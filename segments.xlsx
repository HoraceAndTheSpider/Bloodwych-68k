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7CEB08BA-FCA9-124E-BEA8-F3051CEFD817}" xr6:coauthVersionLast="47" xr6:coauthVersionMax="47" xr10:uidLastSave="{00000000-0000-0000-0000-000000000000}"/>
  <bookViews>
    <workbookView xWindow="420" yWindow="880" windowWidth="38300" windowHeight="21020" xr2:uid="{00000000-000D-0000-FFFF-FFFF00000000}"/>
  </bookViews>
  <sheets>
    <sheet name="BLOODWYCH439" sheetId="1" r:id="rId1"/>
  </sheets>
  <definedNames>
    <definedName name="_xlnm._FilterDatabase" localSheetId="0" hidden="1">BLOODWYCH439!$A$1:$N$2665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3" i="1" l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2006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2006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313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E2145" i="1"/>
  <c r="E2146" i="1"/>
  <c r="I399" i="1" l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G447" i="1"/>
  <c r="G446" i="1"/>
  <c r="G292" i="1"/>
  <c r="G291" i="1"/>
  <c r="G290" i="1"/>
  <c r="G289" i="1"/>
  <c r="E238" i="1"/>
  <c r="E237" i="1"/>
  <c r="E236" i="1"/>
  <c r="E235" i="1"/>
  <c r="E230" i="1"/>
  <c r="G239" i="1"/>
  <c r="G238" i="1"/>
  <c r="G237" i="1"/>
  <c r="G236" i="1"/>
  <c r="G235" i="1"/>
  <c r="I3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288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53" i="1" l="1"/>
  <c r="G32" i="1"/>
  <c r="E817" i="1" l="1"/>
  <c r="E898" i="1"/>
  <c r="E901" i="1"/>
  <c r="E908" i="1"/>
  <c r="E910" i="1"/>
  <c r="E919" i="1"/>
  <c r="E1063" i="1"/>
  <c r="E1065" i="1"/>
  <c r="E1068" i="1"/>
  <c r="E1140" i="1"/>
  <c r="E1190" i="1"/>
  <c r="E1192" i="1"/>
  <c r="E2025" i="1"/>
  <c r="E2026" i="1"/>
  <c r="E2270" i="1" l="1"/>
  <c r="G39" i="1"/>
  <c r="G38" i="1"/>
  <c r="G37" i="1"/>
  <c r="G36" i="1"/>
  <c r="G35" i="1"/>
  <c r="G34" i="1"/>
  <c r="E1969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9" i="1"/>
  <c r="E2020" i="1"/>
  <c r="E2021" i="1"/>
  <c r="E2022" i="1"/>
  <c r="E2023" i="1"/>
  <c r="E2024" i="1"/>
  <c r="E2027" i="1"/>
  <c r="E2028" i="1"/>
  <c r="E2029" i="1"/>
  <c r="E2032" i="1"/>
  <c r="E2033" i="1"/>
  <c r="E2034" i="1"/>
  <c r="E2035" i="1"/>
  <c r="E2036" i="1"/>
  <c r="E2038" i="1"/>
  <c r="E2039" i="1"/>
  <c r="E2040" i="1"/>
  <c r="E2042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6" i="1"/>
  <c r="E2087" i="1"/>
  <c r="E2088" i="1"/>
  <c r="E2090" i="1"/>
  <c r="E2091" i="1"/>
  <c r="E2092" i="1"/>
  <c r="E2093" i="1"/>
  <c r="E2094" i="1"/>
  <c r="E2095" i="1"/>
  <c r="E2096" i="1"/>
  <c r="E2097" i="1"/>
  <c r="E2100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8" i="1"/>
  <c r="E2119" i="1"/>
  <c r="E2123" i="1"/>
  <c r="E2124" i="1"/>
  <c r="E2132" i="1"/>
  <c r="E2136" i="1"/>
  <c r="E2137" i="1"/>
  <c r="E2138" i="1"/>
  <c r="E2139" i="1"/>
  <c r="E2140" i="1"/>
  <c r="E2143" i="1"/>
  <c r="E2147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8" i="1"/>
  <c r="E1967" i="1"/>
  <c r="E1962" i="1"/>
  <c r="E1964" i="1"/>
  <c r="E1965" i="1"/>
  <c r="E1966" i="1"/>
  <c r="E1961" i="1"/>
  <c r="E1706" i="1"/>
  <c r="E1707" i="1"/>
  <c r="E1708" i="1"/>
  <c r="E1709" i="1"/>
  <c r="E1710" i="1"/>
  <c r="E1711" i="1"/>
  <c r="E1712" i="1"/>
  <c r="E1713" i="1"/>
  <c r="E1728" i="1"/>
  <c r="E1729" i="1"/>
  <c r="E1730" i="1"/>
  <c r="E1731" i="1"/>
  <c r="E1732" i="1"/>
  <c r="E1733" i="1"/>
  <c r="E1734" i="1"/>
  <c r="E1735" i="1"/>
  <c r="E1736" i="1"/>
  <c r="E1737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7" i="1"/>
  <c r="E1868" i="1"/>
  <c r="E1869" i="1"/>
  <c r="E1870" i="1"/>
  <c r="E1871" i="1"/>
  <c r="E1872" i="1"/>
  <c r="E1873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2" i="1"/>
  <c r="E1903" i="1"/>
  <c r="E1904" i="1"/>
  <c r="E1905" i="1"/>
  <c r="E1906" i="1"/>
  <c r="E1907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1" i="1"/>
  <c r="E1955" i="1"/>
  <c r="E1956" i="1"/>
  <c r="E1957" i="1"/>
  <c r="E1958" i="1"/>
  <c r="E1960" i="1"/>
  <c r="E1705" i="1"/>
  <c r="E1688" i="1"/>
  <c r="E1689" i="1"/>
  <c r="E1690" i="1"/>
  <c r="E1691" i="1"/>
  <c r="E1692" i="1"/>
  <c r="E1693" i="1"/>
  <c r="E1694" i="1"/>
  <c r="E1695" i="1"/>
  <c r="E1697" i="1"/>
  <c r="E1698" i="1"/>
  <c r="E1699" i="1"/>
  <c r="E1700" i="1"/>
  <c r="E1703" i="1"/>
  <c r="E1704" i="1"/>
  <c r="E1671" i="1"/>
  <c r="E1672" i="1"/>
  <c r="E1674" i="1"/>
  <c r="E1675" i="1"/>
  <c r="E1676" i="1"/>
  <c r="E1677" i="1"/>
  <c r="E1678" i="1"/>
  <c r="E1679" i="1"/>
  <c r="E1680" i="1"/>
  <c r="E1681" i="1"/>
  <c r="E1682" i="1"/>
  <c r="E1684" i="1"/>
  <c r="E1685" i="1"/>
  <c r="E1670" i="1"/>
  <c r="E1660" i="1"/>
  <c r="E1661" i="1"/>
  <c r="E1662" i="1"/>
  <c r="E1663" i="1"/>
  <c r="E1664" i="1"/>
  <c r="E1665" i="1"/>
  <c r="E1667" i="1"/>
  <c r="E1669" i="1"/>
  <c r="E1658" i="1"/>
  <c r="E61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2" i="1"/>
  <c r="E813" i="1"/>
  <c r="E814" i="1"/>
  <c r="E815" i="1"/>
  <c r="E816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9" i="1"/>
  <c r="E890" i="1"/>
  <c r="E892" i="1"/>
  <c r="E893" i="1"/>
  <c r="E894" i="1"/>
  <c r="E895" i="1"/>
  <c r="E896" i="1"/>
  <c r="E897" i="1"/>
  <c r="E899" i="1"/>
  <c r="E900" i="1"/>
  <c r="E902" i="1"/>
  <c r="E903" i="1"/>
  <c r="E904" i="1"/>
  <c r="E905" i="1"/>
  <c r="E907" i="1"/>
  <c r="E909" i="1"/>
  <c r="E911" i="1"/>
  <c r="E912" i="1"/>
  <c r="E913" i="1"/>
  <c r="E914" i="1"/>
  <c r="E915" i="1"/>
  <c r="E916" i="1"/>
  <c r="E917" i="1"/>
  <c r="E918" i="1"/>
  <c r="E934" i="1"/>
  <c r="E935" i="1"/>
  <c r="E936" i="1"/>
  <c r="E939" i="1"/>
  <c r="E942" i="1"/>
  <c r="E943" i="1"/>
  <c r="E945" i="1"/>
  <c r="E946" i="1"/>
  <c r="E951" i="1"/>
  <c r="E952" i="1"/>
  <c r="E953" i="1"/>
  <c r="E954" i="1"/>
  <c r="E955" i="1"/>
  <c r="E956" i="1"/>
  <c r="E957" i="1"/>
  <c r="E962" i="1"/>
  <c r="E964" i="1"/>
  <c r="E965" i="1"/>
  <c r="E966" i="1"/>
  <c r="E967" i="1"/>
  <c r="E971" i="1"/>
  <c r="E972" i="1"/>
  <c r="E980" i="1"/>
  <c r="E983" i="1"/>
  <c r="E988" i="1"/>
  <c r="E989" i="1"/>
  <c r="E990" i="1"/>
  <c r="E991" i="1"/>
  <c r="E992" i="1"/>
  <c r="E994" i="1"/>
  <c r="E1007" i="1"/>
  <c r="E1012" i="1"/>
  <c r="E1013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4" i="1"/>
  <c r="E1066" i="1"/>
  <c r="E1075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85" i="1"/>
  <c r="E1186" i="1"/>
  <c r="E1187" i="1"/>
  <c r="E1188" i="1"/>
  <c r="E1189" i="1"/>
  <c r="E1191" i="1"/>
  <c r="E1193" i="1"/>
  <c r="E1194" i="1"/>
  <c r="E1195" i="1"/>
  <c r="E1196" i="1"/>
  <c r="E1197" i="1"/>
  <c r="E1198" i="1"/>
  <c r="E1200" i="1"/>
  <c r="E1201" i="1"/>
  <c r="E1202" i="1"/>
  <c r="E1205" i="1"/>
  <c r="E1206" i="1"/>
  <c r="E1207" i="1"/>
  <c r="E1208" i="1"/>
  <c r="E1209" i="1"/>
  <c r="E1210" i="1"/>
  <c r="E1212" i="1"/>
  <c r="E1213" i="1"/>
  <c r="E1216" i="1"/>
  <c r="E1217" i="1"/>
  <c r="E1218" i="1"/>
  <c r="E1219" i="1"/>
  <c r="E1221" i="1"/>
  <c r="E1222" i="1"/>
  <c r="E1224" i="1"/>
  <c r="E1229" i="1"/>
  <c r="E1230" i="1"/>
  <c r="E1231" i="1"/>
  <c r="E1232" i="1"/>
  <c r="E1233" i="1"/>
  <c r="E1235" i="1"/>
  <c r="E1236" i="1"/>
  <c r="E1237" i="1"/>
  <c r="E1238" i="1"/>
  <c r="E1239" i="1"/>
  <c r="E1240" i="1"/>
  <c r="E1241" i="1"/>
  <c r="E1242" i="1"/>
  <c r="E1243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4" i="1"/>
  <c r="E1275" i="1"/>
  <c r="E1276" i="1"/>
  <c r="E1277" i="1"/>
  <c r="E1279" i="1"/>
  <c r="E1280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4" i="1"/>
  <c r="E1415" i="1"/>
  <c r="E1418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3" i="1"/>
  <c r="E1444" i="1"/>
  <c r="E1445" i="1"/>
  <c r="E1446" i="1"/>
  <c r="E1447" i="1"/>
  <c r="E1448" i="1"/>
  <c r="E1449" i="1"/>
  <c r="E1450" i="1"/>
  <c r="E1451" i="1"/>
  <c r="E1453" i="1"/>
  <c r="E1454" i="1"/>
  <c r="E1456" i="1"/>
  <c r="E1457" i="1"/>
  <c r="E1462" i="1"/>
  <c r="E1463" i="1"/>
  <c r="E1464" i="1"/>
  <c r="E1485" i="1"/>
  <c r="E1486" i="1"/>
  <c r="E1487" i="1"/>
  <c r="E1488" i="1"/>
  <c r="E1489" i="1"/>
  <c r="E1490" i="1"/>
  <c r="E1491" i="1"/>
  <c r="E1492" i="1"/>
  <c r="E1497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9" i="1"/>
  <c r="E1570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3" i="1"/>
  <c r="E1604" i="1"/>
  <c r="E1605" i="1"/>
  <c r="E1606" i="1"/>
  <c r="E1607" i="1"/>
  <c r="E1608" i="1"/>
  <c r="E1610" i="1"/>
  <c r="E1611" i="1"/>
  <c r="E1612" i="1"/>
  <c r="E1613" i="1"/>
  <c r="E1614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2" i="1"/>
  <c r="H2343" i="1"/>
  <c r="I2343" i="1" s="1"/>
  <c r="G31" i="1"/>
  <c r="G30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N70" i="1"/>
  <c r="G46" i="1"/>
  <c r="G47" i="1"/>
  <c r="G48" i="1"/>
  <c r="G49" i="1"/>
  <c r="G50" i="1"/>
  <c r="G51" i="1"/>
  <c r="G52" i="1"/>
  <c r="G54" i="1"/>
  <c r="N68" i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N71" i="1"/>
  <c r="N73" i="1"/>
  <c r="N156" i="1"/>
  <c r="N155" i="1"/>
  <c r="G33" i="1"/>
  <c r="I2" i="1"/>
  <c r="O115" i="1" l="1"/>
  <c r="O116" i="1"/>
  <c r="O117" i="1"/>
  <c r="N114" i="1"/>
  <c r="G114" i="1"/>
  <c r="N111" i="1"/>
  <c r="G111" i="1"/>
  <c r="N116" i="1"/>
  <c r="G116" i="1"/>
  <c r="N109" i="1"/>
  <c r="G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<sst xmlns="http://schemas.openxmlformats.org/spreadsheetml/2006/main" count="7302" uniqueCount="5392">
  <si>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</si>
  <si>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</si>
  <si>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</si>
  <si>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</si>
  <si>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</si>
  <si>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</si>
  <si>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</si>
  <si>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</si>
  <si>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</si>
  <si>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</si>
  <si>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</si>
  <si>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</si>
  <si>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</si>
  <si>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</si>
  <si>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</si>
  <si>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</si>
  <si>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</si>
  <si>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</si>
  <si>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</si>
  <si>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</si>
  <si>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</si>
  <si>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</si>
  <si>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</si>
  <si>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</si>
  <si>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</si>
  <si>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</si>
  <si>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</si>
  <si>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</si>
  <si>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</si>
  <si>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</si>
  <si>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</si>
  <si>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</si>
  <si>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</si>
  <si>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</si>
  <si>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</si>
  <si>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</si>
  <si>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</si>
  <si>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</si>
  <si>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</si>
  <si>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</si>
  <si>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</si>
  <si>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</si>
  <si>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</si>
  <si>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</si>
  <si>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</si>
  <si>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</si>
  <si>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</si>
  <si>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</si>
  <si>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</si>
  <si>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</si>
  <si>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</si>
  <si>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</si>
  <si>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</si>
  <si>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</si>
  <si>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</si>
  <si>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</si>
  <si>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</si>
  <si>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</si>
  <si>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</si>
  <si>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</si>
  <si>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</si>
  <si>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</si>
  <si>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</si>
  <si>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</si>
  <si>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</si>
  <si>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</si>
  <si>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</si>
  <si>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</si>
  <si>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</si>
  <si>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</si>
  <si>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</si>
  <si>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</si>
  <si>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</si>
  <si>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</si>
  <si>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</si>
  <si>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</si>
  <si>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</si>
  <si>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</si>
  <si>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</si>
  <si>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</si>
  <si>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</si>
  <si>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</si>
  <si>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</si>
  <si>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</si>
  <si>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</si>
  <si>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</si>
  <si>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</si>
  <si>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</si>
  <si>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</si>
  <si>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</si>
  <si>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</si>
  <si>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</si>
  <si>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</si>
  <si>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</si>
  <si>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</si>
  <si>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</si>
  <si>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</si>
  <si>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</si>
  <si>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</si>
  <si>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</si>
  <si>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</si>
  <si>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</si>
  <si>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</si>
  <si>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</si>
  <si>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</si>
  <si>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</si>
  <si>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</si>
  <si>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</si>
  <si>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</si>
  <si>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</si>
  <si>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</si>
  <si>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</si>
  <si>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</si>
  <si>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</si>
  <si>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</si>
  <si>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</si>
  <si>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</si>
  <si>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</si>
  <si>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</si>
  <si>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</si>
  <si>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</si>
  <si>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</si>
  <si>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</si>
  <si>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</si>
  <si>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</si>
  <si>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</si>
  <si>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</si>
  <si>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</si>
  <si>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</si>
  <si>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</si>
  <si>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</si>
  <si>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</si>
  <si>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</si>
  <si>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</si>
  <si>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</si>
  <si>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</si>
  <si>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</si>
  <si>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</si>
  <si>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</si>
  <si>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</si>
  <si>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</si>
  <si>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</si>
  <si>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</si>
  <si>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</si>
  <si>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</si>
  <si>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</si>
  <si>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</si>
  <si>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</si>
  <si>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</si>
  <si>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</si>
  <si>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</si>
  <si>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</si>
  <si>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</si>
  <si>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</si>
  <si>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</si>
  <si>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</si>
  <si>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</si>
  <si>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</si>
  <si>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</si>
  <si>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</si>
  <si>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</si>
  <si>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</si>
  <si>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</si>
  <si>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</si>
  <si>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</si>
  <si>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</si>
  <si>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</si>
  <si>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</si>
  <si>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</si>
  <si>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</si>
  <si>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</si>
  <si>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</si>
  <si>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</si>
  <si>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</si>
  <si>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</si>
  <si>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</si>
  <si>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</si>
  <si>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</si>
  <si>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</si>
  <si>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</si>
  <si>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</si>
  <si>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</si>
  <si>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</si>
  <si>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</si>
  <si>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</si>
  <si>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</si>
  <si>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</si>
  <si>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</si>
  <si>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</si>
  <si>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</si>
  <si>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</si>
  <si>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</si>
  <si>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</si>
  <si>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</si>
  <si>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</si>
  <si>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</si>
  <si>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</si>
  <si>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</si>
  <si>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</si>
  <si>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</si>
  <si>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</si>
  <si>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</si>
  <si>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</si>
  <si>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</si>
  <si>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</si>
  <si>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</si>
  <si>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</si>
  <si>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</si>
  <si>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</si>
  <si>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</si>
  <si>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</si>
  <si>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</si>
  <si>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</si>
  <si>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</si>
  <si>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</si>
  <si>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</si>
  <si>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</si>
  <si>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</si>
  <si>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</si>
  <si>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</si>
  <si>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</si>
  <si>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</si>
  <si>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</si>
  <si>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</si>
  <si>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</si>
  <si>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</si>
  <si>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</si>
  <si>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</si>
  <si>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</si>
  <si>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</si>
  <si>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</si>
  <si>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</si>
  <si>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</si>
  <si>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</si>
  <si>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</si>
  <si>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</si>
  <si>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</si>
  <si>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</si>
  <si>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</si>
  <si>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</si>
  <si>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</si>
  <si>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</si>
  <si>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</si>
  <si>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</si>
  <si>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</si>
  <si>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</si>
  <si>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</si>
  <si>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</si>
  <si>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</si>
  <si>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</si>
  <si>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</si>
  <si>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</si>
  <si>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</si>
  <si>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</si>
  <si>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</si>
  <si>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</si>
  <si>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</si>
  <si>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</si>
  <si>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</si>
  <si>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</si>
  <si>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</si>
  <si>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</si>
  <si>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</si>
  <si>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</si>
  <si>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</si>
  <si>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</si>
  <si>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</si>
  <si>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</si>
  <si>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</si>
  <si>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</si>
  <si>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</si>
  <si>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</si>
  <si>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</si>
  <si>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</si>
  <si>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</si>
  <si>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</si>
  <si>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</si>
  <si>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</si>
  <si>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</si>
  <si>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</si>
  <si>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</si>
  <si>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</si>
  <si>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</si>
  <si>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</si>
  <si>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</si>
  <si>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</si>
  <si>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</si>
  <si>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</si>
  <si>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</si>
  <si>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</si>
  <si>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</si>
  <si>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</si>
  <si>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</si>
  <si>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</si>
  <si>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</si>
  <si>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</si>
  <si>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</si>
  <si>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</si>
  <si>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</si>
  <si>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</si>
  <si>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</si>
  <si>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</si>
  <si>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</si>
  <si>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</si>
  <si>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</si>
  <si>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</si>
  <si>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</si>
  <si>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</si>
  <si>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</si>
  <si>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</si>
  <si>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</si>
  <si>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</si>
  <si>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</si>
  <si>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</si>
  <si>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</si>
  <si>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</si>
  <si>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</si>
  <si>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</si>
  <si>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</si>
  <si>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</si>
  <si>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</si>
  <si>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</si>
  <si>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</si>
  <si>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</si>
  <si>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</si>
  <si>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</si>
  <si>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</si>
  <si>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</si>
  <si>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</si>
  <si>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</si>
  <si>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</si>
  <si>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</si>
  <si>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</si>
  <si>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</si>
  <si>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</si>
  <si>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</si>
  <si>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</si>
  <si>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</si>
  <si>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</si>
  <si>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</si>
  <si>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</si>
  <si>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</si>
  <si>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</si>
  <si>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</si>
  <si>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</si>
  <si>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</si>
  <si>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</si>
  <si>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</si>
  <si>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</si>
  <si>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</si>
  <si>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</si>
  <si>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</si>
  <si>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</si>
  <si>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</si>
  <si>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</si>
  <si>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</si>
  <si>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</si>
  <si>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</si>
  <si>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</si>
  <si>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</si>
  <si>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</si>
  <si>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</si>
  <si>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</si>
  <si>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</si>
  <si>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</si>
  <si>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</si>
  <si>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</si>
  <si>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</si>
  <si>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</si>
  <si>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</si>
  <si>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</si>
  <si>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</si>
  <si>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</si>
  <si>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</si>
  <si>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</si>
  <si>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</si>
  <si>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</si>
  <si>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</si>
  <si>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</si>
  <si>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</si>
  <si>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</si>
  <si>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</si>
  <si>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</si>
  <si>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</si>
  <si>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</si>
  <si>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</si>
  <si>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</si>
  <si>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</si>
  <si>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</si>
  <si>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</si>
  <si>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</si>
  <si>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</si>
  <si>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</si>
  <si>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</si>
  <si>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</si>
  <si>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</si>
  <si>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</si>
  <si>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</si>
  <si>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</si>
  <si>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</si>
  <si>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</si>
  <si>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</si>
  <si>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</si>
  <si>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</si>
  <si>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</si>
  <si>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</si>
  <si>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</si>
  <si>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</si>
  <si>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</si>
  <si>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</si>
  <si>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</si>
  <si>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</si>
  <si>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</si>
  <si>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</si>
  <si>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</si>
  <si>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</si>
  <si>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</si>
  <si>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</si>
  <si>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</si>
  <si>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</si>
  <si>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</si>
  <si>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</si>
  <si>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</si>
  <si>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</si>
  <si>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</si>
  <si>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</si>
  <si>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</si>
  <si>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</si>
  <si>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</si>
  <si>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</si>
  <si>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</si>
  <si>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</si>
  <si>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</si>
  <si>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</si>
  <si>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</si>
  <si>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</si>
  <si>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</si>
  <si>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</si>
  <si>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</si>
  <si>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</si>
  <si>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</si>
  <si>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</si>
  <si>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</si>
  <si>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</si>
  <si>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</si>
  <si>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</si>
  <si>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</si>
  <si>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</si>
  <si>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</si>
  <si>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</si>
  <si>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</si>
  <si>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</si>
  <si>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</si>
  <si>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</si>
  <si>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</si>
  <si>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</si>
  <si>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</si>
  <si>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</si>
  <si>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</si>
  <si>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</si>
  <si>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</si>
  <si>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</si>
  <si>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</si>
  <si>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</si>
  <si>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</si>
  <si>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</si>
  <si>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</si>
  <si>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</si>
  <si>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</si>
  <si>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</si>
  <si>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</si>
  <si>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</si>
  <si>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</si>
  <si>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</si>
  <si>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</si>
  <si>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</si>
  <si>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</si>
  <si>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</si>
  <si>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</si>
  <si>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</si>
  <si>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</si>
  <si>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</si>
  <si>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</si>
  <si>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</si>
  <si>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</si>
  <si>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</si>
  <si>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</si>
  <si>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</si>
  <si>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</si>
  <si>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</si>
  <si>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</si>
  <si>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</si>
  <si>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</si>
  <si>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</si>
  <si>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</si>
  <si>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</si>
  <si>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</si>
  <si>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</si>
  <si>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</si>
  <si>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</si>
  <si>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</si>
  <si>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</si>
  <si>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</si>
  <si>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</si>
  <si>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</si>
  <si>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</si>
  <si>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</si>
  <si>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</si>
  <si>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</si>
  <si>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</si>
  <si>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</si>
  <si>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</si>
  <si>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</si>
  <si>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</si>
  <si>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</si>
  <si>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</si>
  <si>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</si>
  <si>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</si>
  <si>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</si>
  <si>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</si>
  <si>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</si>
  <si>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</si>
  <si>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</si>
  <si>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</si>
  <si>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</si>
  <si>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</si>
  <si>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</si>
  <si>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</si>
  <si>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</si>
  <si>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</si>
  <si>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</si>
  <si>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</si>
  <si>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</si>
  <si>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</si>
  <si>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</si>
  <si>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</si>
  <si>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</si>
  <si>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</si>
  <si>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</si>
  <si>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</si>
  <si>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</si>
  <si>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</si>
  <si>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</si>
  <si>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</si>
  <si>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</si>
  <si>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</si>
  <si>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</si>
  <si>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</si>
  <si>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</si>
  <si>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</si>
  <si>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</si>
  <si>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</si>
  <si>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</si>
  <si>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</si>
  <si>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</si>
  <si>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</si>
  <si>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</si>
  <si>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</si>
  <si>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</si>
  <si>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</si>
  <si>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</si>
  <si>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</si>
  <si>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</si>
  <si>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</si>
  <si>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</si>
  <si>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</si>
  <si>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</si>
  <si>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</si>
  <si>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</si>
  <si>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</si>
  <si>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</si>
  <si>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</si>
  <si>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</si>
  <si>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</si>
  <si>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</si>
  <si>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</si>
  <si>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</si>
  <si>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</si>
  <si>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</si>
  <si>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</si>
  <si>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</si>
  <si>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</si>
  <si>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</si>
  <si>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</si>
  <si>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</si>
  <si>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</si>
  <si>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</si>
  <si>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</si>
  <si>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</si>
  <si>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</si>
  <si>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</si>
  <si>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</si>
  <si>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</si>
  <si>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</si>
  <si>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</si>
  <si>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</si>
  <si>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</si>
  <si>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</si>
  <si>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</si>
  <si>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</si>
  <si>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</si>
  <si>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</si>
  <si>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</si>
  <si>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</si>
  <si>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</si>
  <si>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</si>
  <si>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</si>
  <si>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</si>
  <si>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</si>
  <si>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</si>
  <si>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</si>
  <si>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</si>
  <si>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</si>
  <si>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</si>
  <si>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</si>
  <si>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</si>
  <si>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</si>
  <si>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</si>
  <si>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</si>
  <si>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</si>
  <si>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</si>
  <si>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</si>
  <si>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</si>
  <si>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</si>
  <si>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</si>
  <si>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</si>
  <si>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</si>
  <si>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</si>
  <si>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</si>
  <si>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</si>
  <si>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</si>
  <si>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</si>
  <si>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</si>
  <si>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</si>
  <si>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</si>
  <si>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</si>
  <si>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</si>
  <si>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</si>
  <si>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</si>
  <si>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</si>
  <si>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</si>
  <si>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</si>
  <si>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</si>
  <si>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</si>
  <si>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</si>
  <si>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</si>
  <si>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</si>
  <si>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</si>
  <si>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</si>
  <si>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</si>
  <si>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</si>
  <si>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</si>
  <si>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</si>
  <si>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</si>
  <si>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</si>
  <si>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</si>
  <si>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</si>
  <si>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</si>
  <si>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</si>
  <si>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</si>
  <si>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</si>
  <si>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</si>
  <si>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</si>
  <si>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</si>
  <si>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</si>
  <si>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</si>
  <si>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</si>
  <si>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</si>
  <si>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</si>
  <si>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</si>
  <si>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</si>
  <si>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</si>
  <si>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</si>
  <si>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</si>
  <si>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</si>
  <si>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</si>
  <si>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</si>
  <si>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</si>
  <si>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</si>
  <si>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</si>
  <si>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</si>
  <si>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</si>
  <si>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</si>
  <si>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</si>
  <si>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</si>
  <si>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</si>
  <si>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</si>
  <si>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</si>
  <si>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</si>
  <si>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</si>
  <si>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</si>
  <si>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</si>
  <si>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</si>
  <si>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</si>
  <si>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</si>
  <si>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</si>
  <si>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</si>
  <si>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</si>
  <si>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</si>
  <si>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</si>
  <si>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</si>
  <si>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</si>
  <si>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</si>
  <si>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</si>
  <si>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</si>
  <si>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</si>
  <si>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</si>
  <si>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</si>
  <si>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</si>
  <si>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</si>
  <si>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</si>
  <si>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</si>
  <si>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</si>
  <si>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</si>
  <si>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</si>
  <si>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</si>
  <si>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</si>
  <si>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</si>
  <si>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</si>
  <si>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</si>
  <si>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</si>
  <si>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</si>
  <si>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</si>
  <si>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</si>
  <si>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</si>
  <si>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</si>
  <si>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</si>
  <si>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</si>
  <si>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</si>
  <si>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</si>
  <si>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</si>
  <si>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</si>
  <si>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</si>
  <si>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</si>
  <si>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</si>
  <si>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</si>
  <si>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</si>
  <si>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</si>
  <si>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</si>
  <si>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</si>
  <si>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</si>
  <si>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</si>
  <si>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</si>
  <si>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</si>
  <si>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</si>
  <si>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</si>
  <si>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</si>
  <si>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</si>
  <si>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</si>
  <si>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</si>
  <si>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</si>
  <si>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</si>
  <si>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</si>
  <si>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</si>
  <si>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</si>
  <si>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</si>
  <si>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</si>
  <si>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</si>
  <si>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</si>
  <si>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</si>
  <si>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</si>
  <si>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</si>
  <si>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</si>
  <si>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</si>
  <si>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</si>
  <si>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</si>
  <si>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</si>
  <si>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</si>
  <si>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</si>
  <si>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</si>
  <si>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</si>
  <si>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</si>
  <si>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</si>
  <si>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</si>
  <si>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</si>
  <si>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</si>
  <si>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</si>
  <si>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</si>
  <si>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</si>
  <si>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</si>
  <si>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</si>
  <si>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</si>
  <si>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</si>
  <si>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</si>
  <si>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</si>
  <si>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</si>
  <si>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</si>
  <si>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</si>
  <si>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</si>
  <si>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</si>
  <si>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</si>
  <si>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</si>
  <si>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</si>
  <si>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</si>
  <si>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</si>
  <si>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</si>
  <si>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</si>
  <si>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</si>
  <si>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</si>
  <si>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</si>
  <si>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</si>
  <si>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</si>
  <si>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</si>
  <si>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</si>
  <si>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</si>
  <si>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</si>
  <si>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</si>
  <si>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</si>
  <si>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</si>
  <si>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</si>
  <si>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</si>
  <si>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</si>
  <si>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</si>
  <si>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</si>
  <si>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</si>
  <si>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</si>
  <si>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</si>
  <si>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</si>
  <si>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</si>
  <si>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</si>
  <si>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</si>
  <si>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</si>
  <si>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</si>
  <si>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</si>
  <si>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</si>
  <si>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</si>
  <si>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</si>
  <si>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</si>
  <si>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</si>
  <si>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</si>
  <si>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</si>
  <si>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</si>
  <si>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</si>
  <si>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</si>
  <si>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</si>
  <si>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</si>
  <si>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</si>
  <si>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</si>
  <si>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</si>
  <si>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</si>
  <si>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</si>
  <si>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</si>
  <si>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</si>
  <si>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</si>
  <si>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</si>
  <si>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</si>
  <si>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</si>
  <si>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</si>
  <si>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</si>
  <si>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</si>
  <si>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</si>
  <si>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</si>
  <si>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</si>
  <si>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</si>
  <si>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</si>
  <si>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</si>
  <si>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</si>
  <si>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</si>
  <si>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</si>
  <si>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</si>
  <si>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</si>
  <si>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</si>
  <si>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</si>
  <si>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</si>
  <si>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</si>
  <si>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</si>
  <si>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</si>
  <si>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</si>
  <si>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</si>
  <si>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</si>
  <si>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</si>
  <si>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</si>
  <si>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</si>
  <si>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</si>
  <si>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</si>
  <si>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</si>
  <si>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</si>
  <si>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</si>
  <si>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</si>
  <si>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</si>
  <si>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</si>
  <si>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</si>
  <si>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</si>
  <si>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</si>
  <si>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</si>
  <si>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</si>
  <si>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</si>
  <si>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</si>
  <si>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</si>
  <si>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</si>
  <si>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</si>
  <si>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</si>
  <si>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</si>
  <si>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</si>
  <si>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</si>
  <si>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</si>
  <si>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</si>
  <si>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</si>
  <si>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</si>
  <si>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</si>
  <si>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</si>
  <si>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</si>
  <si>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</si>
  <si>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</si>
  <si>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</si>
  <si>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</si>
  <si>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</si>
  <si>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</si>
  <si>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</si>
  <si>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</si>
  <si>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</si>
  <si>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</si>
  <si>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</si>
  <si>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</si>
  <si>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</si>
  <si>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</si>
  <si>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</si>
  <si>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</si>
  <si>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</si>
  <si>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</si>
  <si>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</si>
  <si>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</si>
  <si>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</si>
  <si>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</si>
  <si>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</si>
  <si>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</si>
  <si>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</si>
  <si>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</si>
  <si>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</si>
  <si>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</si>
  <si>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</si>
  <si>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</si>
  <si>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</si>
  <si>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</si>
  <si>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</si>
  <si>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</si>
  <si>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</si>
  <si>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</si>
  <si>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</si>
  <si>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</si>
  <si>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</si>
  <si>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</si>
  <si>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</si>
  <si>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</si>
  <si>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</si>
  <si>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</si>
  <si>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</si>
  <si>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</si>
  <si>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</si>
  <si>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</si>
  <si>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</si>
  <si>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</si>
  <si>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</si>
  <si>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</si>
  <si>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</si>
  <si>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</si>
  <si>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</si>
  <si>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</si>
  <si>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</si>
  <si>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</si>
  <si>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</si>
  <si>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</si>
  <si>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</si>
  <si>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</si>
  <si>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</si>
  <si>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</si>
  <si>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</si>
  <si>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</si>
  <si>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</si>
  <si>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</si>
  <si>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</si>
  <si>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</si>
  <si>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</si>
  <si>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</si>
  <si>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</si>
  <si>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</si>
  <si>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</si>
  <si>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</si>
  <si>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</si>
  <si>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</si>
  <si>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</si>
  <si>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</si>
  <si>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</si>
  <si>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</si>
  <si>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</si>
  <si>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</si>
  <si>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</si>
  <si>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</si>
  <si>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</si>
  <si>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</si>
  <si>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</si>
  <si>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</si>
  <si>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</si>
  <si>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</si>
  <si>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</si>
  <si>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</si>
  <si>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</si>
  <si>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</si>
  <si>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</si>
  <si>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</si>
  <si>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</si>
  <si>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</si>
  <si>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</si>
  <si>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</si>
  <si>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</si>
  <si>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</si>
  <si>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</si>
  <si>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</si>
  <si>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</si>
  <si>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</si>
  <si>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</si>
  <si>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</si>
  <si>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</si>
  <si>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</si>
  <si>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</si>
  <si>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</si>
  <si>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</si>
  <si>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</si>
  <si>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</si>
  <si>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</si>
  <si>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</si>
  <si>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</si>
  <si>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</si>
  <si>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</si>
  <si>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</si>
  <si>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</si>
  <si>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</si>
  <si>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</si>
  <si>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</si>
  <si>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</si>
  <si>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</si>
  <si>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</si>
  <si>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</si>
  <si>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</si>
  <si>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</si>
  <si>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</si>
  <si>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</si>
  <si>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</si>
  <si>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</si>
  <si>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</si>
  <si>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</si>
  <si>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</si>
  <si>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</si>
  <si>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</si>
  <si>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</si>
  <si>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</si>
  <si>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</si>
  <si>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</si>
  <si>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</si>
  <si>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</si>
  <si>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</si>
  <si>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</si>
  <si>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</si>
  <si>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</si>
  <si>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</si>
  <si>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</si>
  <si>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</si>
  <si>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</si>
  <si>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</si>
  <si>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</si>
  <si>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</si>
  <si>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</si>
  <si>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</si>
  <si>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</si>
  <si>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</si>
  <si>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</si>
  <si>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</si>
  <si>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</si>
  <si>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</si>
  <si>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</si>
  <si>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</si>
  <si>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</si>
  <si>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</si>
  <si>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</si>
  <si>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</si>
  <si>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</si>
  <si>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</si>
  <si>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</si>
  <si>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</si>
  <si>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</si>
  <si>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</si>
  <si>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</si>
  <si>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</si>
  <si>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</si>
  <si>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</si>
  <si>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</si>
  <si>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</si>
  <si>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</si>
  <si>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</si>
  <si>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</si>
  <si>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</si>
  <si>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</si>
  <si>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</si>
  <si>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</si>
  <si>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</si>
  <si>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</si>
  <si>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</si>
  <si>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</si>
  <si>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</si>
  <si>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</si>
  <si>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</si>
  <si>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</si>
  <si>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</si>
  <si>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</si>
  <si>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</si>
  <si>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</si>
  <si>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</si>
  <si>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</si>
  <si>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</si>
  <si>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</si>
  <si>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</si>
  <si>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</si>
  <si>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</si>
  <si>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</si>
  <si>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</si>
  <si>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</si>
  <si>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</si>
  <si>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</si>
  <si>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</si>
  <si>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</si>
  <si>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</si>
  <si>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</si>
  <si>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</si>
  <si>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</si>
  <si>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</si>
  <si>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</si>
  <si>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</si>
  <si>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</si>
  <si>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</si>
  <si>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</si>
  <si>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</si>
  <si>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</si>
  <si>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</si>
  <si>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</si>
  <si>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</si>
  <si>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</si>
  <si>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</si>
  <si>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</si>
  <si>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</si>
  <si>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</si>
  <si>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</si>
  <si>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</si>
  <si>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</si>
  <si>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</si>
  <si>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</si>
  <si>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</si>
  <si>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</si>
  <si>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</si>
  <si>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</si>
  <si>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</si>
  <si>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</si>
  <si>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</si>
  <si>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</si>
  <si>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</si>
  <si>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</si>
  <si>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</si>
  <si>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</si>
  <si>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</si>
  <si>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</si>
  <si>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</si>
  <si>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</si>
  <si>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</si>
  <si>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</si>
  <si>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</si>
  <si>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</si>
  <si>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</si>
  <si>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</si>
  <si>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</si>
  <si>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</si>
  <si>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</si>
  <si>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</si>
  <si>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</si>
  <si>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</si>
  <si>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</si>
  <si>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</si>
  <si>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</si>
  <si>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</si>
  <si>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</si>
  <si>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</si>
  <si>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</si>
  <si>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</si>
  <si>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</si>
  <si>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</si>
  <si>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</si>
  <si>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</si>
  <si>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</si>
  <si>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</si>
  <si>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</si>
  <si>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</si>
  <si>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</si>
  <si>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</si>
  <si>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</si>
  <si>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</si>
  <si>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</si>
  <si>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</si>
  <si>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</si>
  <si>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</si>
  <si>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</si>
  <si>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</si>
  <si>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</si>
  <si>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</si>
  <si>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</si>
  <si>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</si>
  <si>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</si>
  <si>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</si>
  <si>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</si>
  <si>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</si>
  <si>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</si>
  <si>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</si>
  <si>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</si>
  <si>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</si>
  <si>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</si>
  <si>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</si>
  <si>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</si>
  <si>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</si>
  <si>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</si>
  <si>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</si>
  <si>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</si>
  <si>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</si>
  <si>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</si>
  <si>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</si>
  <si>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</si>
  <si>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</si>
  <si>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</si>
  <si>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</si>
  <si>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</si>
  <si>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</si>
  <si>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</si>
  <si>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</si>
  <si>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</si>
  <si>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</si>
  <si>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</si>
  <si>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</si>
  <si>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</si>
  <si>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</si>
  <si>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</si>
  <si>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</si>
  <si>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</si>
  <si>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</si>
  <si>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</si>
  <si>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</si>
  <si>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</si>
  <si>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</si>
  <si>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</si>
  <si>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</si>
  <si>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</si>
  <si>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</si>
  <si>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</si>
  <si>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</si>
  <si>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</si>
  <si>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</si>
  <si>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</si>
  <si>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</si>
  <si>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</si>
  <si>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</si>
  <si>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</si>
  <si>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</si>
  <si>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</si>
  <si>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</si>
  <si>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</si>
  <si>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</si>
  <si>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</si>
  <si>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</si>
  <si>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</si>
  <si>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</si>
  <si>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</si>
  <si>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</si>
  <si>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</si>
  <si>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</si>
  <si>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</si>
  <si>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</si>
  <si>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</si>
  <si>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</si>
  <si>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</si>
  <si>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</si>
  <si>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</si>
  <si>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</si>
  <si>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</si>
  <si>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</si>
  <si>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</si>
  <si>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</si>
  <si>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</si>
  <si>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</si>
  <si>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</si>
  <si>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</si>
  <si>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</si>
  <si>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</si>
  <si>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</si>
  <si>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</si>
  <si>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</si>
  <si>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</si>
  <si>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</si>
  <si>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</si>
  <si>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</si>
  <si>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</si>
  <si>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</si>
  <si>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</si>
  <si>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</si>
  <si>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</si>
  <si>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</si>
  <si>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</si>
  <si>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</si>
  <si>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</si>
  <si>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</si>
  <si>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</si>
  <si>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</si>
  <si>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</si>
  <si>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</si>
  <si>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</si>
  <si>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</si>
  <si>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</si>
  <si>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</si>
  <si>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</si>
  <si>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</si>
  <si>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</si>
  <si>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</si>
  <si>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</si>
  <si>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</si>
  <si>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</si>
  <si>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</si>
  <si>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</si>
  <si>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</si>
  <si>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</si>
  <si>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</si>
  <si>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</si>
  <si>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</si>
  <si>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</si>
  <si>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</si>
  <si>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</si>
  <si>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</si>
  <si>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</si>
  <si>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</si>
  <si>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</si>
  <si>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</si>
  <si>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</si>
  <si>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</si>
  <si>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</si>
  <si>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</si>
  <si>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</si>
  <si>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</si>
  <si>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</si>
  <si>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</si>
  <si>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</si>
  <si>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</si>
  <si>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</si>
  <si>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</si>
  <si>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</si>
  <si>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</si>
  <si>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</si>
  <si>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</si>
  <si>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</si>
  <si>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</si>
  <si>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</si>
  <si>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</si>
  <si>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</si>
  <si>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</si>
  <si>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</si>
  <si>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</si>
  <si>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</si>
  <si>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</si>
  <si>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</si>
  <si>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</si>
  <si>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</si>
  <si>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</si>
  <si>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</si>
  <si>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</si>
  <si>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</si>
  <si>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</si>
  <si>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</si>
  <si>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</si>
  <si>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</si>
  <si>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</si>
  <si>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</si>
  <si>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</si>
  <si>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</si>
  <si>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</si>
  <si>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</si>
  <si>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</si>
  <si>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</si>
  <si>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</si>
  <si>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</si>
  <si>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</si>
  <si>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</si>
  <si>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</si>
  <si>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</si>
  <si>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</si>
  <si>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</si>
  <si>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</si>
  <si>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</si>
  <si>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</si>
  <si>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</si>
  <si>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</si>
  <si>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</si>
  <si>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</si>
  <si>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</si>
  <si>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</si>
  <si>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</si>
  <si>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</si>
  <si>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</si>
  <si>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</si>
  <si>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</si>
  <si>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</si>
  <si>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</si>
  <si>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</si>
  <si>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</si>
  <si>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</si>
  <si>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</si>
  <si>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</si>
  <si>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</si>
  <si>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</si>
  <si>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</si>
  <si>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</si>
  <si>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</si>
  <si>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</si>
  <si>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</si>
  <si>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</si>
  <si>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</si>
  <si>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</si>
  <si>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</si>
  <si>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</si>
  <si>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</si>
  <si>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</si>
  <si>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</si>
  <si>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</si>
  <si>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</si>
  <si>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</si>
  <si>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</si>
  <si>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</si>
  <si>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</si>
  <si>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</si>
  <si>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</si>
  <si>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</si>
  <si>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</si>
  <si>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</si>
  <si>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</si>
  <si>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</si>
  <si>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</si>
  <si>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</si>
  <si>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</si>
  <si>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</si>
  <si>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</si>
  <si>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</si>
  <si>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</si>
  <si>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</si>
  <si>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</si>
  <si>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</si>
  <si>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</si>
  <si>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</si>
  <si>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</si>
  <si>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</si>
  <si>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</si>
  <si>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</si>
  <si>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</si>
  <si>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</si>
  <si>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</si>
  <si>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</si>
  <si>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</si>
  <si>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</si>
  <si>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</si>
  <si>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</si>
  <si>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</si>
  <si>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</si>
  <si>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</si>
  <si>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</si>
  <si>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</si>
  <si>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</si>
  <si>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</si>
  <si>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</si>
  <si>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</si>
  <si>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</si>
  <si>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</si>
  <si>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</si>
  <si>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</si>
  <si>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</si>
  <si>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</si>
  <si>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</si>
  <si>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</si>
  <si>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</si>
  <si>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</si>
  <si>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</si>
  <si>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</si>
  <si>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</si>
  <si>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</si>
  <si>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</si>
  <si>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</si>
  <si>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</si>
  <si>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</si>
  <si>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</si>
  <si>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</si>
  <si>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</si>
  <si>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</si>
  <si>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</si>
  <si>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</si>
  <si>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</si>
  <si>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</si>
  <si>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</si>
  <si>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</si>
  <si>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</si>
  <si>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</si>
  <si>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</si>
  <si>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</si>
  <si>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</si>
  <si>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</si>
  <si>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</si>
  <si>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</si>
  <si>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</si>
  <si>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</si>
  <si>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</si>
  <si>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</si>
  <si>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</si>
  <si>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</si>
  <si>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</si>
  <si>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</si>
  <si>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</si>
  <si>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</si>
  <si>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</si>
  <si>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</si>
  <si>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</si>
  <si>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</si>
  <si>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</si>
  <si>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</si>
  <si>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</si>
  <si>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</si>
  <si>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</si>
  <si>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</si>
  <si>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</si>
  <si>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</si>
  <si>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</si>
  <si>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</si>
  <si>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</si>
  <si>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</si>
  <si>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</si>
  <si>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</si>
  <si>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</si>
  <si>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</si>
  <si>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</si>
  <si>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</si>
  <si>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</si>
  <si>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</si>
  <si>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</si>
  <si>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</si>
  <si>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</si>
  <si>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</si>
  <si>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</si>
  <si>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</si>
  <si>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</si>
  <si>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</si>
  <si>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</si>
  <si>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</si>
  <si>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</si>
  <si>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</si>
  <si>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</si>
  <si>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</si>
  <si>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</si>
  <si>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</si>
  <si>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</si>
  <si>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</si>
  <si>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</si>
  <si>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</si>
  <si>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</si>
  <si>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</si>
  <si>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</si>
  <si>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</si>
  <si>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</si>
  <si>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</si>
  <si>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</si>
  <si>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</si>
  <si>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</si>
  <si>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</si>
  <si>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</si>
  <si>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</si>
  <si>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</si>
  <si>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</si>
  <si>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</si>
  <si>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</si>
  <si>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</si>
  <si>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</si>
  <si>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</si>
  <si>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</si>
  <si>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</si>
  <si>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</si>
  <si>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</si>
  <si>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</si>
  <si>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</si>
  <si>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</si>
  <si>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</si>
  <si>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</si>
  <si>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</si>
  <si>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</si>
  <si>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</si>
  <si>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</si>
  <si>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</si>
  <si>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</si>
  <si>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</si>
  <si>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</si>
  <si>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</si>
  <si>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</si>
  <si>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</si>
  <si>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</si>
  <si>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</si>
  <si>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</si>
  <si>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</si>
  <si>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</si>
  <si>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</si>
  <si>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</si>
  <si>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</si>
  <si>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</si>
  <si>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</si>
  <si>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</si>
  <si>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</si>
  <si>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</si>
  <si>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</si>
  <si>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</si>
  <si>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</si>
  <si>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</si>
  <si>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</si>
  <si>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</si>
  <si>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</si>
  <si>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</si>
  <si>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</si>
  <si>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</si>
  <si>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</si>
  <si>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</si>
  <si>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</si>
  <si>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</si>
  <si>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</si>
  <si>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</si>
  <si>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</si>
  <si>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</si>
  <si>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</si>
  <si>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</si>
  <si>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</si>
  <si>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</si>
  <si>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</si>
  <si>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</si>
  <si>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</si>
  <si>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</si>
  <si>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</si>
  <si>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</si>
  <si>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</si>
  <si>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</si>
  <si>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</si>
  <si>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</si>
  <si>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</si>
  <si>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</si>
  <si>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</si>
  <si>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</si>
  <si>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</si>
  <si>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</si>
  <si>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</si>
  <si>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</si>
  <si>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</si>
  <si>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</si>
  <si>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</si>
  <si>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</si>
  <si>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</si>
  <si>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</si>
  <si>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</si>
  <si>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</si>
  <si>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</si>
  <si>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</si>
  <si>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</si>
  <si>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</si>
  <si>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</si>
  <si>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</si>
  <si>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</si>
  <si>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</si>
  <si>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</si>
  <si>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</si>
  <si>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</si>
  <si>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</si>
  <si>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</si>
  <si>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</si>
  <si>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</si>
  <si>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</si>
  <si>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</si>
  <si>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</si>
  <si>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</si>
  <si>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</si>
  <si>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</si>
  <si>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</si>
  <si>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</si>
  <si>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</si>
  <si>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</si>
  <si>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</si>
  <si>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</si>
  <si>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</si>
  <si>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</si>
  <si>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</si>
  <si>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</si>
  <si>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</si>
  <si>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</si>
  <si>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</si>
  <si>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</si>
  <si>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</si>
  <si>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</si>
  <si>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</si>
  <si>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</si>
  <si>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</si>
  <si>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</si>
  <si>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</si>
  <si>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</si>
  <si>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</si>
  <si>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</si>
  <si>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</si>
  <si>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</si>
  <si>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</si>
  <si>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</si>
  <si>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</si>
  <si>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</si>
  <si>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</si>
  <si>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</si>
  <si>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</si>
  <si>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</si>
  <si>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</si>
  <si>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</si>
  <si>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</si>
  <si>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</si>
  <si>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</si>
  <si>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</si>
  <si>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</si>
  <si>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</si>
  <si>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</si>
  <si>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</si>
  <si>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</si>
  <si>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</si>
  <si>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</si>
  <si>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</si>
  <si>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</si>
  <si>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</si>
  <si>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</si>
  <si>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</si>
  <si>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</si>
  <si>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</si>
  <si>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</si>
  <si>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</si>
  <si>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</si>
  <si>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</si>
  <si>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</si>
  <si>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</si>
  <si>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</si>
  <si>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</si>
  <si>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</si>
  <si>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</si>
  <si>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</si>
  <si>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</si>
  <si>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</si>
  <si>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</si>
  <si>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</si>
  <si>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</si>
  <si>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</si>
  <si>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</si>
  <si>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</si>
  <si>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</si>
  <si>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</si>
  <si>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</si>
  <si>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</si>
  <si>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</si>
  <si>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</si>
  <si>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</si>
  <si>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</si>
  <si>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</si>
  <si>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</si>
  <si>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</si>
  <si>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</si>
  <si>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</si>
  <si>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</si>
  <si>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</si>
  <si>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</si>
  <si>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</si>
  <si>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</si>
  <si>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</si>
  <si>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</si>
  <si>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</si>
  <si>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</si>
  <si>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</si>
  <si>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</si>
  <si>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</si>
  <si>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</si>
  <si>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</si>
  <si>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</si>
  <si>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</si>
  <si>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</si>
  <si>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</si>
  <si>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</si>
  <si>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</si>
  <si>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</si>
  <si>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</si>
  <si>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</si>
  <si>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</si>
  <si>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</si>
  <si>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</si>
  <si>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</si>
  <si>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</si>
  <si>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</si>
  <si>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</si>
  <si>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</si>
  <si>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</si>
  <si>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</si>
  <si>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</si>
  <si>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</si>
  <si>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</si>
  <si>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</si>
  <si>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</si>
  <si>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</si>
  <si>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</si>
  <si>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</si>
  <si>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</si>
  <si>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</si>
  <si>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</si>
  <si>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</si>
  <si>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</si>
  <si>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</si>
  <si>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</si>
  <si>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</si>
  <si>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</si>
  <si>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</si>
  <si>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</si>
  <si>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</si>
  <si>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</si>
  <si>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</si>
  <si>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</si>
  <si>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</si>
  <si>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</si>
  <si>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</si>
  <si>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</si>
  <si>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</si>
  <si>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</si>
  <si>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</si>
  <si>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</si>
  <si>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</si>
  <si>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</si>
  <si>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</si>
  <si>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</si>
  <si>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</si>
  <si>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</si>
  <si>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</si>
  <si>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</si>
  <si>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</si>
  <si>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</si>
  <si>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</si>
  <si>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</si>
  <si>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</si>
  <si>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</si>
  <si>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</si>
  <si>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</si>
  <si>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</si>
  <si>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</si>
  <si>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</si>
  <si>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</si>
  <si>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</si>
  <si>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</si>
  <si>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</si>
  <si>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</si>
  <si>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</si>
  <si>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</si>
  <si>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</si>
  <si>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</si>
  <si>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</si>
  <si>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</si>
  <si>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</si>
  <si>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</si>
  <si>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</si>
  <si>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</si>
  <si>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</si>
  <si>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</si>
  <si>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</si>
  <si>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</si>
  <si>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</si>
  <si>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</si>
  <si>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</si>
  <si>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</si>
  <si>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</si>
  <si>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</si>
  <si>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</si>
  <si>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</si>
  <si>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</si>
  <si>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</si>
  <si>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</si>
  <si>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</si>
  <si>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</si>
  <si>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</si>
  <si>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</si>
  <si>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</si>
  <si>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</si>
  <si>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</si>
  <si>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</si>
  <si>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</si>
  <si>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</si>
  <si>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</si>
  <si>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</si>
  <si>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</si>
  <si>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</si>
  <si>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</si>
  <si>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</si>
  <si>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</si>
  <si>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</si>
  <si>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</si>
  <si>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</si>
  <si>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</si>
  <si>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</si>
  <si>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</si>
  <si>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</si>
  <si>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</si>
  <si>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</si>
  <si>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</si>
  <si>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</si>
  <si>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</si>
  <si>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</si>
  <si>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</si>
  <si>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</si>
  <si>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</si>
  <si>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</si>
  <si>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</si>
  <si>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</si>
  <si>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</si>
  <si>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</si>
  <si>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</si>
  <si>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</si>
  <si>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</si>
  <si>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</si>
  <si>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</si>
  <si>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</si>
  <si>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</si>
  <si>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</si>
  <si>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</si>
  <si>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</si>
  <si>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</si>
  <si>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</si>
  <si>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</si>
  <si>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</si>
  <si>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</si>
  <si>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</si>
  <si>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</si>
  <si>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</si>
  <si>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</si>
  <si>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</si>
  <si>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</si>
  <si>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</si>
  <si>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</si>
  <si>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</si>
  <si>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</si>
  <si>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</si>
  <si>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</si>
  <si>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</si>
  <si>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</si>
  <si>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</si>
  <si>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</si>
  <si>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</si>
  <si>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</si>
  <si>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</si>
  <si>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</si>
  <si>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</si>
  <si>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</si>
  <si>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</si>
  <si>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</si>
  <si>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</si>
  <si>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</si>
  <si>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</si>
  <si>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</si>
  <si>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</si>
  <si>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</si>
  <si>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</si>
  <si>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</si>
  <si>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</si>
  <si>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</si>
  <si>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</si>
  <si>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</si>
  <si>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</si>
  <si>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</si>
  <si>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</si>
  <si>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</si>
  <si>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</si>
  <si>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</si>
  <si>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</si>
  <si>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</si>
  <si>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</si>
  <si>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</si>
  <si>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</si>
  <si>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</si>
  <si>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</si>
  <si>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</si>
  <si>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</si>
  <si>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</si>
  <si>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</si>
  <si>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</si>
  <si>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</si>
  <si>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</si>
  <si>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</si>
  <si>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</si>
  <si>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</si>
  <si>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</si>
  <si>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</si>
  <si>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</si>
  <si>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</si>
  <si>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</si>
  <si>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</si>
  <si>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</si>
  <si>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</si>
  <si>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</si>
  <si>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</si>
  <si>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</si>
  <si>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</si>
  <si>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</si>
  <si>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</si>
  <si>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</si>
  <si>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</si>
  <si>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</si>
  <si>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</si>
  <si>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</si>
  <si>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</si>
  <si>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</si>
  <si>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</si>
  <si>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</si>
  <si>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</si>
  <si>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</si>
  <si>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</si>
  <si>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</si>
  <si>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</si>
  <si>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</si>
  <si>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</si>
  <si>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</si>
  <si>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</si>
  <si>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</si>
  <si>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</si>
  <si>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</si>
  <si>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</si>
  <si>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</si>
  <si>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</si>
  <si>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</si>
  <si>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</si>
  <si>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</si>
  <si>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</si>
  <si>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</si>
  <si>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</si>
  <si>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</si>
  <si>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</si>
  <si>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</si>
  <si>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</si>
  <si>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</si>
  <si>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</si>
  <si>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</si>
  <si>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</si>
  <si>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</si>
  <si>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</si>
  <si>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</si>
  <si>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</si>
  <si>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</si>
  <si>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</si>
  <si>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</si>
  <si>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</si>
  <si>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</si>
  <si>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</si>
  <si>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</si>
  <si>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</si>
  <si>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</si>
  <si>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</si>
  <si>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</si>
  <si>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</si>
  <si>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</si>
  <si>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</si>
  <si>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</si>
  <si>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</si>
  <si>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</si>
  <si>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</si>
  <si>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</si>
  <si>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</si>
  <si>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</si>
  <si>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</si>
  <si>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</si>
  <si>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</si>
  <si>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</si>
  <si>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</si>
  <si>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</si>
  <si>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</si>
  <si>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</si>
  <si>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</si>
  <si>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</si>
  <si>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</si>
  <si>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</si>
  <si>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</si>
  <si>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</si>
  <si>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</si>
  <si>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</si>
  <si>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</si>
  <si>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</si>
  <si>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</si>
  <si>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</si>
  <si>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</si>
  <si>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</si>
  <si>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</si>
  <si>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</si>
  <si>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</si>
  <si>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</si>
  <si>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</si>
  <si>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</si>
  <si>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</si>
  <si>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</si>
  <si>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</si>
  <si>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</si>
  <si>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</si>
  <si>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</si>
  <si>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</si>
  <si>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</si>
  <si>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</si>
  <si>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</si>
  <si>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</si>
  <si>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</si>
  <si>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</si>
  <si>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</si>
  <si>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</si>
  <si>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</si>
  <si>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</si>
  <si>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</si>
  <si>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</si>
  <si>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</si>
  <si>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</si>
  <si>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</si>
  <si>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</si>
  <si>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</si>
  <si>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</si>
  <si>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</si>
  <si>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</si>
  <si>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</si>
  <si>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</si>
  <si>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</si>
  <si>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</si>
  <si>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</si>
  <si>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</si>
  <si>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</si>
  <si>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</si>
  <si>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</si>
  <si>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</si>
  <si>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</si>
  <si>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</si>
  <si>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</si>
  <si>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</si>
  <si>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</si>
  <si>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</si>
  <si>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</si>
  <si>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</si>
  <si>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</si>
  <si>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</si>
  <si>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</si>
  <si>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</si>
  <si>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</si>
  <si>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</si>
  <si>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</si>
  <si>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</si>
  <si>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</si>
  <si>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</si>
  <si>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</si>
  <si>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</si>
  <si>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</si>
  <si>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</si>
  <si>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</si>
  <si>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</si>
  <si>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</si>
  <si>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</si>
  <si>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</si>
  <si>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</si>
  <si>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</si>
  <si>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</si>
  <si>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</si>
  <si>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</si>
  <si>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</si>
  <si>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</si>
  <si>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</si>
  <si>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</si>
  <si>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</si>
  <si>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</si>
  <si>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</si>
  <si>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</si>
  <si>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</si>
  <si>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</si>
  <si>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</si>
  <si>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</si>
  <si>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</si>
  <si>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</si>
  <si>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</si>
  <si>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</si>
  <si>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</si>
  <si>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</si>
  <si>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</si>
  <si>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</si>
  <si>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</si>
  <si>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</si>
  <si>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</si>
  <si>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</si>
  <si>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</si>
  <si>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</si>
  <si>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</si>
  <si>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</si>
  <si>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</si>
  <si>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</si>
  <si>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</si>
  <si>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</si>
  <si>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</si>
  <si>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</si>
  <si>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</si>
  <si>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</si>
  <si>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</si>
  <si>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</si>
  <si>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</si>
  <si>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</si>
  <si>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</si>
  <si>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</si>
  <si>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</si>
  <si>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</si>
  <si>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</si>
  <si>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</si>
  <si>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</si>
  <si>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</si>
  <si>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</si>
  <si>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</si>
  <si>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</si>
  <si>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</si>
  <si>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</si>
  <si>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</si>
  <si>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</si>
  <si>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</si>
  <si>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</si>
  <si>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</si>
  <si>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</si>
  <si>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</si>
  <si>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</si>
  <si>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</si>
  <si>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</si>
  <si>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</si>
  <si>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</si>
  <si>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</si>
  <si>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</si>
  <si>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</si>
  <si>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</si>
  <si>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</si>
  <si>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</si>
  <si>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</si>
  <si>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</si>
  <si>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</si>
  <si>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</si>
  <si>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</si>
  <si>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</si>
  <si>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</si>
  <si>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</si>
  <si>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</si>
  <si>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</si>
  <si>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</si>
  <si>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</si>
  <si>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</si>
  <si>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</si>
  <si>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</si>
  <si>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</si>
  <si>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</si>
  <si>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</si>
  <si>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</si>
  <si>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</si>
  <si>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</si>
  <si>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</si>
  <si>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</si>
  <si>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</si>
  <si>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</si>
  <si>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</si>
  <si>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</si>
  <si>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</si>
  <si>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</si>
  <si>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</si>
  <si>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</si>
  <si>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</si>
  <si>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</si>
  <si>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</si>
  <si>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</si>
  <si>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</si>
  <si>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</si>
  <si>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</si>
  <si>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</si>
  <si>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</si>
  <si>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</si>
  <si>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</si>
  <si>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</si>
  <si>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</si>
  <si>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</si>
  <si>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</si>
  <si>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</si>
  <si>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</si>
  <si>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</si>
  <si>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</si>
  <si>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</si>
  <si>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</si>
  <si>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</si>
  <si>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</si>
  <si>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</si>
  <si>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</si>
  <si>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</si>
  <si>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</si>
  <si>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</si>
  <si>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</si>
  <si>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</si>
  <si>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</si>
  <si>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</si>
  <si>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</si>
  <si>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</si>
  <si>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</si>
  <si>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</si>
  <si>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</si>
  <si>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</si>
  <si>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</si>
  <si>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</si>
  <si>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</si>
  <si>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</si>
  <si>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</si>
  <si>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</si>
  <si>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</si>
  <si>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</si>
  <si>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</si>
  <si>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</si>
  <si>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</si>
  <si>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</si>
  <si>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</si>
  <si>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</si>
  <si>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</si>
  <si>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</si>
  <si>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</si>
  <si>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</si>
  <si>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</si>
  <si>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</si>
  <si>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</si>
  <si>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</si>
  <si>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</si>
  <si>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</si>
  <si>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</si>
  <si>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</si>
  <si>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</si>
  <si>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</si>
  <si>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</si>
  <si>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</si>
  <si>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</si>
  <si>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</si>
  <si>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</si>
  <si>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</si>
  <si>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</si>
  <si>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</si>
  <si>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</si>
  <si>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</si>
  <si>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</si>
  <si>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</si>
  <si>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</si>
  <si>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</si>
  <si>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</si>
  <si>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</si>
  <si>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</si>
  <si>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</si>
  <si>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</si>
  <si>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</si>
  <si>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</si>
  <si>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</si>
  <si>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</si>
  <si>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</si>
  <si>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</si>
  <si>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</si>
  <si>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</si>
  <si>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</si>
  <si>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</si>
  <si>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</si>
  <si>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</si>
  <si>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</si>
  <si>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</si>
  <si>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</si>
  <si>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</si>
  <si>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</si>
  <si>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</si>
  <si>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</si>
  <si>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</si>
  <si>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</si>
  <si>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</si>
  <si>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</si>
  <si>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</si>
  <si>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</si>
  <si>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</si>
  <si>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</si>
  <si>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</si>
  <si>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</si>
  <si>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</si>
  <si>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</si>
  <si>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</si>
  <si>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</si>
  <si>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</si>
  <si>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</si>
  <si>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</si>
  <si>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</si>
  <si>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</si>
  <si>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</si>
  <si>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</si>
  <si>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</si>
  <si>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</si>
  <si>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</si>
  <si>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</si>
  <si>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</si>
  <si>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</si>
  <si>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</si>
  <si>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</si>
  <si>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</si>
  <si>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</si>
  <si>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</si>
  <si>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</si>
  <si>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</si>
  <si>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</si>
  <si>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</si>
  <si>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</si>
  <si>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</si>
  <si>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</si>
  <si>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</si>
  <si>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</si>
  <si>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</si>
  <si>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</si>
  <si>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</si>
  <si>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</si>
  <si>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</si>
  <si>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</si>
  <si>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</si>
  <si>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</si>
  <si>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</si>
  <si>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</si>
  <si>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</si>
  <si>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</si>
  <si>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</si>
  <si>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</si>
  <si>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</si>
  <si>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</si>
  <si>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</si>
  <si>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</si>
  <si>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</si>
  <si>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</si>
  <si>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</si>
  <si>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</si>
  <si>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</si>
  <si>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</si>
  <si>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</si>
  <si>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</si>
  <si>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</si>
  <si>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</si>
  <si>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</si>
  <si>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</si>
  <si>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</si>
  <si>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</si>
  <si>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</si>
  <si>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</si>
  <si>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</si>
  <si>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</si>
  <si>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</si>
  <si>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</si>
  <si>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</si>
  <si>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</si>
  <si>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</si>
  <si>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</si>
  <si>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</si>
  <si>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</si>
  <si>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</si>
  <si>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</si>
  <si>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</si>
  <si>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</si>
  <si>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</si>
  <si>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</si>
  <si>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</si>
  <si>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</si>
  <si>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</si>
  <si>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</si>
  <si>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</si>
  <si>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</si>
  <si>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</si>
  <si>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</si>
  <si>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</si>
  <si>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</si>
  <si>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</si>
  <si>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</si>
  <si>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</si>
  <si>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</si>
  <si>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</si>
  <si>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</si>
  <si>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</si>
  <si>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</si>
  <si>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</si>
  <si>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</si>
  <si>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</si>
  <si>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</si>
  <si>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</si>
  <si>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</si>
  <si>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</si>
  <si>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</si>
  <si>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</si>
  <si>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</si>
  <si>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</si>
  <si>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</si>
  <si>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</si>
  <si>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</si>
  <si>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</si>
  <si>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</si>
  <si>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</si>
  <si>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</si>
  <si>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</si>
  <si>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</si>
  <si>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</si>
  <si>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</si>
  <si>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</si>
  <si>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</si>
  <si>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</si>
  <si>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</si>
  <si>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</si>
  <si>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</si>
  <si>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</si>
  <si>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</si>
  <si>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</si>
  <si>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</si>
  <si>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</si>
  <si>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</si>
  <si>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</si>
  <si>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</si>
  <si>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</si>
  <si>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</si>
  <si>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</si>
  <si>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</si>
  <si>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</si>
  <si>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</si>
  <si>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</si>
  <si>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</si>
  <si>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</si>
  <si>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</si>
  <si>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</si>
  <si>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</si>
  <si>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</si>
  <si>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</si>
  <si>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</si>
  <si>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</si>
  <si>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</si>
  <si>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</si>
  <si>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</si>
  <si>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</si>
  <si>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</si>
  <si>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</si>
  <si>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</si>
  <si>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</si>
  <si>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</si>
  <si>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</si>
  <si>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</si>
  <si>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</si>
  <si>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</si>
  <si>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</si>
  <si>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</si>
  <si>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</si>
  <si>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</si>
  <si>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</si>
  <si>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</si>
  <si>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</si>
  <si>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</si>
  <si>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</si>
  <si>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</si>
  <si>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</si>
  <si>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</si>
  <si>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</si>
  <si>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</si>
  <si>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</si>
  <si>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</si>
  <si>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</si>
  <si>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</si>
  <si>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</si>
  <si>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</si>
  <si>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</si>
  <si>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</si>
  <si>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</si>
  <si>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</si>
  <si>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</si>
  <si>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</si>
  <si>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</si>
  <si>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</si>
  <si>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</si>
  <si>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</si>
  <si>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</si>
  <si>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</si>
  <si>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</si>
  <si>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</si>
  <si>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</si>
  <si>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</si>
  <si>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</si>
  <si>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</si>
  <si>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</si>
  <si>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</si>
  <si>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</si>
  <si>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</si>
  <si>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</si>
  <si>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</si>
  <si>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</si>
  <si>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</si>
  <si>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</si>
  <si>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</si>
  <si>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</si>
  <si>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</si>
  <si>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</si>
  <si>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</si>
  <si>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</si>
  <si>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</si>
  <si>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</si>
  <si>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</si>
  <si>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</si>
  <si>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</si>
  <si>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</si>
  <si>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</si>
  <si>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</si>
  <si>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</si>
  <si>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</si>
  <si>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</si>
  <si>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</si>
  <si>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</si>
  <si>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</si>
  <si>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</si>
  <si>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</si>
  <si>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</si>
  <si>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</si>
  <si>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</si>
  <si>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</si>
  <si>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</si>
  <si>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</si>
  <si>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</si>
  <si>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</si>
  <si>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</si>
  <si>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</si>
  <si>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</si>
  <si>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</si>
  <si>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</si>
  <si>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</si>
  <si>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</si>
  <si>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</si>
  <si>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</si>
  <si>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</si>
  <si>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</si>
  <si>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</si>
  <si>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</si>
  <si>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</si>
  <si>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</si>
  <si>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</si>
  <si>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</si>
  <si>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</si>
  <si>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</si>
  <si>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</si>
  <si>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</si>
  <si>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</si>
  <si>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</si>
  <si>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</si>
  <si>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</si>
  <si>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</si>
  <si>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</si>
  <si>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</si>
  <si>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</si>
  <si>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</si>
  <si>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</si>
  <si>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</si>
  <si>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</si>
  <si>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</si>
  <si>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</si>
  <si>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</si>
  <si>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</si>
  <si>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</si>
  <si>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</si>
  <si>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</si>
  <si>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</si>
  <si>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</si>
  <si>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</si>
  <si>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</si>
  <si>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</si>
  <si>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</si>
  <si>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</si>
  <si>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</si>
  <si>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</si>
  <si>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</si>
  <si>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</si>
  <si>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</si>
  <si>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</si>
  <si>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</si>
  <si>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</si>
  <si>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</si>
  <si>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</si>
  <si>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</si>
  <si>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</si>
  <si>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</si>
  <si>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</si>
  <si>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</si>
  <si>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</si>
  <si>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</si>
  <si>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</si>
  <si>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</si>
  <si>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</si>
  <si>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</si>
  <si>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</si>
  <si>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</si>
  <si>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</si>
  <si>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</si>
  <si>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</si>
  <si>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</si>
  <si>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</si>
  <si>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</si>
  <si>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</si>
  <si>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</si>
  <si>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</si>
  <si>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</si>
  <si>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</si>
  <si>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</si>
  <si>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</si>
  <si>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</si>
  <si>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</si>
  <si>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</si>
  <si>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</si>
  <si>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</si>
  <si>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</si>
  <si>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</si>
  <si>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</si>
  <si>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</si>
  <si>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</si>
  <si>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</si>
  <si>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</si>
  <si>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</si>
  <si>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</si>
  <si>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</si>
  <si>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</si>
  <si>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</si>
  <si>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</si>
  <si>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</si>
  <si>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</si>
  <si>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</si>
  <si>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</si>
  <si>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</si>
  <si>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</si>
  <si>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</si>
  <si>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</si>
  <si>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</si>
  <si>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</si>
  <si>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</si>
  <si>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</si>
  <si>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</si>
  <si>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</si>
  <si>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</si>
  <si>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</si>
  <si>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</si>
  <si>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</si>
  <si>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</si>
  <si>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</si>
  <si>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</si>
  <si>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</si>
  <si>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</si>
  <si>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</si>
  <si>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</si>
  <si>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</si>
  <si>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</si>
  <si>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</si>
  <si>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</si>
  <si>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</si>
  <si>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</si>
  <si>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</si>
  <si>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</si>
  <si>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</si>
  <si>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</si>
  <si>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</si>
  <si>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</si>
  <si>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</si>
  <si>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</si>
  <si>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</si>
  <si>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</si>
  <si>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</si>
  <si>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</si>
  <si>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</si>
  <si>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</si>
  <si>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</si>
  <si>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</si>
  <si>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</si>
  <si>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</si>
  <si>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</si>
  <si>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</si>
  <si>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</si>
  <si>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</si>
  <si>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</si>
  <si>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</si>
  <si>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</si>
  <si>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</si>
  <si>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</si>
  <si>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</si>
  <si>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</si>
  <si>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</si>
  <si>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</si>
  <si>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</si>
  <si>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</si>
  <si>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</si>
  <si>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</si>
  <si>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</si>
  <si>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</si>
  <si>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</si>
  <si>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</si>
  <si>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</si>
  <si>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</si>
  <si>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</si>
  <si>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</si>
  <si>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</si>
  <si>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</si>
  <si>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</si>
  <si>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</si>
  <si>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</si>
  <si>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</si>
  <si>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</si>
  <si>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</si>
  <si>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</si>
  <si>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</si>
  <si>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</si>
  <si>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</si>
  <si>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</si>
  <si>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</si>
  <si>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</si>
  <si>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</si>
  <si>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</si>
  <si>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</si>
  <si>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</si>
  <si>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</si>
  <si>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</si>
  <si>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</si>
  <si>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</si>
  <si>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</si>
  <si>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</si>
  <si>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</si>
  <si>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</si>
  <si>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</si>
  <si>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</si>
  <si>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</si>
  <si>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</si>
  <si>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</si>
  <si>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</si>
  <si>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</si>
  <si>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</si>
  <si>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</si>
  <si>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</si>
  <si>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</si>
  <si>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</si>
  <si>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</si>
  <si>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</si>
  <si>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</si>
  <si>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</si>
  <si>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</si>
  <si>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</si>
  <si>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</si>
  <si>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</si>
  <si>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</si>
  <si>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</si>
  <si>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</si>
  <si>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</si>
  <si>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</si>
  <si>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</si>
  <si>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</si>
  <si>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</si>
  <si>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</si>
  <si>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</si>
  <si>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</si>
  <si>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</si>
  <si>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</si>
  <si>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</si>
  <si>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</si>
  <si>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</si>
  <si>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</si>
  <si>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</si>
  <si>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</si>
  <si>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</si>
  <si>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</si>
  <si>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</si>
  <si>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</si>
  <si>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</si>
  <si>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</si>
  <si>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</si>
  <si>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</si>
  <si>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</si>
  <si>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</si>
  <si>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</si>
  <si>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</si>
  <si>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</si>
  <si>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</si>
  <si>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</si>
  <si>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</si>
  <si>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</si>
  <si>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</si>
  <si>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</si>
  <si>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</si>
  <si>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</si>
  <si>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</si>
  <si>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</si>
  <si>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</si>
  <si>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</si>
  <si>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</si>
  <si>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</si>
  <si>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</si>
  <si>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</si>
  <si>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</si>
  <si>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</si>
  <si>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</si>
  <si>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</si>
  <si>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</si>
  <si>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</si>
  <si>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</si>
  <si>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</si>
  <si>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</si>
  <si>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</si>
  <si>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</si>
  <si>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</si>
  <si>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</si>
  <si>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</si>
  <si>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</si>
  <si>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</si>
  <si>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</si>
  <si>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</si>
  <si>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</si>
  <si>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</si>
  <si>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</si>
  <si>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</si>
  <si>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</si>
  <si>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</si>
  <si>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</si>
  <si>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</si>
  <si>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</si>
  <si>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</si>
  <si>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</si>
  <si>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</si>
  <si>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</si>
  <si>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</si>
  <si>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</si>
  <si>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</si>
  <si>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</si>
  <si>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</si>
  <si>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</si>
  <si>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</si>
  <si>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</si>
  <si>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</si>
  <si>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</si>
  <si>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</si>
  <si>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</si>
  <si>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</si>
  <si>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</si>
  <si>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</si>
  <si>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</si>
  <si>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</si>
  <si>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</si>
  <si>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</si>
  <si>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</si>
  <si>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</si>
  <si>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</si>
  <si>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</si>
  <si>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</si>
  <si>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</si>
  <si>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</si>
  <si>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</si>
  <si>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</si>
  <si>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</si>
  <si>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</si>
  <si>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</si>
  <si>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</si>
  <si>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</si>
  <si>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</si>
  <si>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</si>
  <si>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</si>
  <si>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</si>
  <si>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</si>
  <si>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</si>
  <si>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</si>
  <si>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</si>
  <si>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</si>
  <si>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</si>
  <si>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</si>
  <si>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</si>
  <si>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</si>
  <si>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</si>
  <si>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</si>
  <si>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</si>
  <si>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</si>
  <si>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</si>
  <si>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</si>
  <si>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</si>
  <si>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</si>
  <si>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</si>
  <si>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</si>
  <si>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</si>
  <si>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</si>
  <si>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</si>
  <si>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</si>
  <si>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</si>
  <si>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</si>
  <si>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</si>
  <si>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</si>
  <si>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</si>
  <si>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</si>
  <si>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</si>
  <si>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</si>
  <si>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</si>
  <si>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</si>
  <si>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</si>
  <si>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</si>
  <si>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</si>
  <si>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</si>
  <si>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</si>
  <si>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</si>
  <si>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</si>
  <si>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</si>
  <si>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</si>
  <si>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</si>
  <si>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</si>
  <si>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</si>
  <si>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</si>
  <si>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</si>
  <si>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</si>
  <si>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</si>
  <si>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</si>
  <si>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</si>
  <si>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</si>
  <si>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</si>
  <si>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</si>
  <si>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</si>
  <si>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</si>
  <si>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</si>
  <si>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</si>
  <si>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</si>
  <si>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</si>
  <si>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</si>
  <si>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</si>
  <si>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</si>
  <si>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</si>
  <si>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</si>
  <si>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</si>
  <si>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</si>
  <si>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</si>
  <si>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</si>
  <si>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</si>
  <si>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</si>
  <si>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</si>
  <si>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</si>
  <si>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</si>
  <si>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</si>
  <si>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</si>
  <si>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</si>
  <si>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</si>
  <si>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</si>
  <si>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</si>
  <si>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</si>
  <si>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</si>
  <si>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</si>
  <si>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</si>
  <si>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</si>
  <si>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</si>
  <si>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</si>
  <si>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</si>
  <si>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</si>
  <si>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</si>
  <si>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</si>
  <si>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</si>
  <si>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</si>
  <si>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</si>
  <si>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</si>
  <si>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</si>
  <si>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</si>
  <si>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</si>
  <si>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</si>
  <si>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</si>
  <si>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</si>
  <si>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</si>
  <si>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</si>
  <si>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</si>
  <si>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</si>
  <si>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</si>
  <si>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</si>
  <si>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</si>
  <si>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</si>
  <si>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</si>
  <si>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</si>
  <si>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</si>
  <si>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</si>
  <si>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</si>
  <si>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</si>
  <si>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</si>
  <si>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</si>
  <si>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</si>
  <si>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</si>
  <si>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</si>
  <si>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</si>
  <si>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</si>
  <si>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</si>
  <si>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</si>
  <si>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</si>
  <si>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</si>
  <si>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</si>
  <si>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</si>
  <si>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</si>
  <si>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</si>
  <si>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</si>
  <si>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</si>
  <si>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</si>
  <si>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</si>
  <si>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</si>
  <si>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</si>
  <si>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</si>
  <si>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</si>
  <si>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</si>
  <si>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</si>
  <si>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</si>
  <si>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</si>
  <si>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</si>
  <si>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</si>
  <si>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</si>
  <si>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</si>
  <si>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</si>
  <si>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</si>
  <si>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</si>
  <si>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</si>
  <si>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</si>
  <si>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</si>
  <si>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</si>
  <si>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</si>
  <si>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</si>
  <si>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</si>
  <si>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</si>
  <si>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</si>
  <si>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</si>
  <si>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</si>
  <si>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</si>
  <si>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</si>
  <si>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</si>
  <si>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</si>
  <si>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</si>
  <si>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</si>
  <si>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</si>
  <si>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</si>
  <si>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</si>
  <si>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</si>
  <si>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</si>
  <si>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</si>
  <si>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</si>
  <si>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</si>
  <si>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</si>
  <si>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</si>
  <si>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</si>
  <si>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</si>
  <si>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</si>
  <si>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</si>
  <si>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</si>
  <si>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</si>
  <si>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</si>
  <si>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</si>
  <si>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</si>
  <si>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</si>
  <si>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</si>
  <si>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</si>
  <si>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</si>
  <si>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</si>
  <si>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</si>
  <si>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</si>
  <si>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</si>
  <si>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</si>
  <si>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</si>
  <si>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</si>
  <si>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</si>
  <si>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</si>
  <si>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</si>
  <si>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</si>
  <si>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</si>
  <si>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</si>
  <si>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</si>
  <si>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</si>
  <si>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</si>
  <si>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</si>
  <si>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</si>
  <si>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</si>
  <si>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</si>
  <si>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</si>
  <si>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</si>
  <si>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</si>
  <si>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</si>
  <si>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</si>
  <si>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</si>
  <si>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</si>
  <si>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</si>
  <si>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</si>
  <si>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</si>
  <si>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</si>
  <si>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</si>
  <si>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</si>
  <si>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</si>
  <si>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</si>
  <si>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</si>
  <si>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</si>
  <si>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</si>
  <si>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</si>
  <si>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</si>
  <si>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</si>
  <si>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</si>
  <si>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</si>
  <si>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</si>
  <si>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</si>
  <si>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</si>
  <si>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</si>
  <si>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</si>
  <si>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</si>
  <si>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</si>
  <si>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</si>
  <si>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</si>
  <si>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</si>
  <si>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</si>
  <si>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</si>
  <si>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</si>
  <si>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</si>
  <si>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</si>
  <si>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</si>
  <si>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</si>
  <si>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</si>
  <si>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</si>
  <si>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</si>
  <si>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</si>
  <si>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</si>
  <si>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</si>
  <si>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</si>
  <si>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</si>
  <si>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</si>
  <si>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</si>
  <si>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</si>
  <si>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</si>
  <si>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</si>
  <si>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</si>
  <si>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</si>
  <si>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</si>
  <si>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</si>
  <si>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</si>
  <si>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</si>
  <si>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</si>
  <si>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</si>
  <si>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</si>
  <si>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</si>
  <si>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</si>
  <si>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</si>
  <si>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</si>
  <si>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</si>
  <si>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</si>
  <si>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</si>
  <si>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</si>
  <si>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</si>
  <si>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</si>
  <si>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</si>
  <si>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</si>
  <si>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</si>
  <si>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</si>
  <si>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</si>
  <si>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</si>
  <si>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</si>
  <si>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</si>
  <si>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</si>
  <si>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</si>
  <si>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</si>
  <si>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</si>
  <si>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</si>
  <si>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</si>
  <si>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</si>
  <si>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</si>
  <si>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</si>
  <si>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</si>
  <si>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</si>
  <si>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</si>
  <si>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</si>
  <si>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</si>
  <si>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</si>
  <si>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</si>
  <si>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</si>
  <si>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</si>
  <si>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</si>
  <si>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</si>
  <si>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</si>
  <si>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</si>
  <si>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</si>
  <si>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</si>
  <si>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</si>
  <si>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</si>
  <si>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</si>
  <si>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</si>
  <si>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</si>
  <si>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</si>
  <si>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</si>
  <si>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</si>
  <si>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</si>
  <si>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</si>
  <si>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</si>
  <si>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</si>
  <si>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</si>
  <si>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</si>
  <si>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</si>
  <si>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</si>
  <si>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</si>
  <si>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</si>
  <si>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</si>
  <si>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</si>
  <si>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</si>
  <si>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</si>
  <si>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</si>
  <si>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</si>
  <si>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</si>
  <si>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</si>
  <si>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</si>
  <si>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</si>
  <si>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</si>
  <si>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</si>
  <si>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</si>
  <si>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</si>
  <si>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</si>
  <si>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</si>
  <si>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</si>
  <si>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</si>
  <si>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</si>
  <si>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</si>
  <si>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</si>
  <si>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</si>
  <si>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</si>
  <si>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</si>
  <si>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</si>
  <si>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</si>
  <si>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</si>
  <si>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</si>
  <si>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</si>
  <si>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</si>
  <si>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</si>
  <si>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</si>
  <si>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</si>
  <si>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</si>
  <si>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</si>
  <si>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</si>
  <si>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</si>
  <si>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</si>
  <si>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</si>
  <si>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</si>
  <si>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</si>
  <si>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</si>
  <si>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</si>
  <si>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</si>
  <si>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</si>
  <si>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</si>
  <si>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</si>
  <si>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</si>
  <si>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</si>
  <si>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</si>
  <si>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</si>
  <si>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</si>
  <si>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</si>
  <si>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</si>
  <si>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</si>
  <si>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</si>
  <si>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</si>
  <si>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</si>
  <si>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</si>
  <si>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</si>
  <si>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</si>
  <si>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</si>
  <si>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</si>
  <si>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</si>
  <si>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</si>
  <si>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</si>
  <si>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</si>
  <si>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</si>
  <si>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</si>
  <si>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</si>
  <si>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</si>
  <si>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</si>
  <si>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</si>
  <si>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</si>
  <si>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</si>
  <si>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</si>
  <si>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</si>
  <si>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</si>
  <si>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</si>
  <si>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</si>
  <si>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</si>
  <si>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</si>
  <si>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</si>
  <si>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</si>
  <si>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</si>
  <si>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</si>
  <si>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</si>
  <si>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</si>
  <si>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</si>
  <si>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</si>
  <si>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</si>
  <si>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</si>
  <si>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</si>
  <si>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</si>
  <si>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</si>
  <si>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</si>
  <si>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</si>
  <si>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</si>
  <si>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</si>
  <si>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</si>
  <si>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</si>
  <si>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</si>
  <si>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</si>
  <si>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</si>
  <si>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</si>
  <si>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</si>
  <si>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</si>
  <si>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</si>
  <si>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</si>
  <si>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</si>
  <si>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</si>
  <si>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</si>
  <si>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</si>
  <si>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</si>
  <si>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</si>
  <si>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</si>
  <si>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</si>
  <si>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</si>
  <si>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</si>
  <si>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</si>
  <si>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</si>
  <si>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</si>
  <si>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</si>
  <si>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</si>
  <si>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</si>
  <si>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</si>
  <si>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</si>
  <si>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</si>
  <si>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</si>
  <si>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</si>
  <si>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</si>
  <si>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</si>
  <si>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</si>
  <si>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</si>
  <si>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</si>
  <si>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</si>
  <si>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</si>
  <si>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</si>
  <si>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</si>
  <si>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</si>
  <si>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</si>
  <si>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</si>
  <si>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</si>
  <si>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</si>
  <si>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</si>
  <si>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</si>
  <si>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</si>
  <si>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</si>
  <si>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</si>
  <si>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</si>
  <si>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</si>
  <si>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</si>
  <si>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</si>
  <si>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</si>
  <si>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</si>
  <si>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</si>
  <si>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</si>
  <si>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</si>
  <si>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</si>
  <si>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</si>
  <si>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</si>
  <si>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</si>
  <si>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</si>
  <si>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</si>
  <si>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</si>
  <si>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</si>
  <si>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</si>
  <si>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</si>
  <si>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</si>
  <si>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</si>
  <si>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</si>
  <si>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</si>
  <si>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</si>
  <si>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</si>
  <si>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</si>
  <si>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</si>
  <si>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</si>
  <si>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</si>
  <si>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</si>
  <si>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</si>
  <si>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</si>
  <si>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</si>
  <si>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</si>
  <si>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</si>
  <si>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</si>
  <si>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</si>
  <si>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</si>
  <si>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</si>
  <si>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</si>
  <si>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</si>
  <si>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</si>
  <si>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</si>
  <si>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</si>
  <si>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</si>
  <si>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</si>
  <si>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</si>
  <si>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</si>
  <si>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</si>
  <si>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</si>
  <si>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</si>
  <si>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</si>
  <si>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</si>
  <si>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</si>
  <si>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</si>
  <si>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</si>
  <si>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</si>
  <si>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</si>
  <si>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</si>
  <si>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</si>
  <si>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</si>
  <si>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</si>
  <si>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</si>
  <si>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</si>
  <si>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</si>
  <si>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</si>
  <si>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</si>
  <si>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</si>
  <si>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</si>
  <si>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</si>
  <si>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</si>
  <si>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</si>
  <si>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</si>
  <si>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</si>
  <si>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</si>
  <si>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</si>
  <si>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</si>
  <si>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</si>
  <si>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</si>
  <si>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</si>
  <si>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</si>
  <si>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</si>
  <si>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</si>
  <si>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</si>
  <si>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</si>
  <si>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</si>
  <si>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</si>
  <si>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</si>
  <si>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</si>
  <si>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</si>
  <si>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</si>
  <si>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</si>
  <si>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</si>
  <si>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</si>
  <si>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</si>
  <si>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</si>
  <si>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</si>
  <si>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</si>
  <si>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</si>
  <si>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</si>
  <si>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</si>
  <si>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</si>
  <si>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</si>
  <si>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</si>
  <si>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</si>
  <si>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</si>
  <si>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</si>
  <si>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</si>
  <si>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</si>
  <si>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</si>
  <si>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</si>
  <si>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</si>
  <si>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</si>
  <si>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</si>
  <si>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</si>
  <si>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</si>
  <si>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</si>
  <si>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</si>
  <si>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</si>
  <si>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</si>
  <si>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</si>
  <si>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</si>
  <si>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</si>
  <si>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</si>
  <si>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</si>
  <si>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</si>
  <si>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</si>
  <si>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</si>
  <si>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</si>
  <si>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</si>
  <si>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</si>
  <si>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</si>
  <si>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</si>
  <si>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</si>
  <si>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</si>
  <si>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</si>
  <si>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</si>
  <si>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</si>
  <si>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</si>
  <si>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</si>
  <si>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</si>
  <si>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</si>
  <si>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</si>
  <si>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</si>
  <si>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</si>
  <si>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</si>
  <si>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</si>
  <si>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</si>
  <si>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</si>
  <si>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</si>
  <si>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</si>
  <si>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</si>
  <si>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</si>
  <si>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</si>
  <si>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</si>
  <si>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</si>
  <si>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</si>
  <si>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</si>
  <si>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</si>
  <si>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</si>
  <si>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</si>
  <si>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</si>
  <si>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</si>
  <si>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</si>
  <si>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</si>
  <si>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</si>
  <si>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</si>
  <si>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</si>
  <si>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</si>
  <si>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</si>
  <si>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</si>
  <si>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</si>
  <si>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</si>
  <si>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</si>
  <si>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</si>
  <si>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</si>
  <si>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</si>
  <si>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</si>
  <si>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</si>
  <si>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</si>
  <si>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</si>
  <si>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</si>
  <si>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</si>
  <si>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</si>
  <si>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</si>
  <si>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</si>
  <si>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</si>
  <si>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</si>
  <si>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</si>
  <si>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</si>
  <si>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</si>
  <si>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</si>
  <si>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</si>
  <si>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</si>
  <si>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</si>
  <si>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</si>
  <si>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</si>
  <si>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</si>
  <si>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</si>
  <si>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</si>
  <si>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</si>
  <si>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</si>
  <si>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</si>
  <si>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</si>
  <si>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</si>
  <si>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</si>
  <si>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</si>
  <si>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</si>
  <si>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</si>
  <si>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</si>
  <si>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</si>
  <si>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</si>
  <si>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</si>
  <si>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</si>
  <si>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</si>
  <si>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</si>
  <si>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</si>
  <si>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</si>
  <si>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</si>
  <si>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</si>
  <si>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</si>
  <si>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</si>
  <si>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</si>
  <si>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</si>
  <si>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</si>
  <si>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</si>
  <si>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</si>
  <si>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</si>
  <si>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</si>
  <si>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</si>
  <si>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</si>
  <si>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</si>
  <si>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</si>
  <si>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</si>
  <si>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</si>
  <si>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</si>
  <si>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</si>
  <si>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</si>
  <si>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</si>
  <si>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</si>
  <si>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</si>
  <si>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</si>
  <si>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</si>
  <si>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</si>
  <si>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</si>
  <si>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</si>
  <si>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</si>
  <si>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</si>
  <si>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</si>
  <si>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</si>
  <si>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</si>
  <si>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</si>
  <si>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</si>
  <si>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</si>
  <si>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</si>
  <si>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</si>
  <si>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</si>
  <si>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</si>
  <si>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</si>
  <si>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</si>
  <si>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</si>
  <si>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</si>
  <si>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</si>
  <si>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</si>
  <si>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</si>
  <si>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</si>
  <si>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</si>
  <si>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</si>
  <si>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</si>
  <si>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</si>
  <si>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</si>
  <si>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</si>
  <si>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</si>
  <si>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</si>
  <si>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</si>
  <si>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</si>
  <si>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</si>
  <si>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</si>
  <si>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</si>
  <si>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</si>
  <si>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</si>
  <si>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</si>
  <si>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</si>
  <si>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</si>
  <si>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</si>
  <si>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</si>
  <si>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</si>
  <si>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</si>
  <si>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</si>
  <si>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</si>
  <si>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</si>
  <si>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</si>
  <si>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</si>
  <si>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</si>
  <si>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</si>
  <si>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</si>
  <si>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</si>
  <si>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</si>
  <si>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</si>
  <si>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</si>
  <si>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</si>
  <si>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</si>
  <si>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</si>
  <si>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</si>
  <si>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</si>
  <si>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</si>
  <si>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</si>
  <si>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</si>
  <si>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</si>
  <si>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</si>
  <si>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</si>
  <si>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</si>
  <si>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</si>
  <si>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</si>
  <si>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</si>
  <si>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</si>
  <si>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</si>
  <si>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</si>
  <si>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</si>
  <si>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</si>
  <si>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</si>
  <si>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</si>
  <si>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</si>
  <si>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</si>
  <si>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</si>
  <si>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</si>
  <si>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</si>
  <si>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</si>
  <si>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</si>
  <si>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</si>
  <si>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</si>
  <si>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</si>
  <si>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</si>
  <si>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</si>
  <si>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</si>
  <si>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</si>
  <si>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</si>
  <si>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</si>
  <si>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</si>
  <si>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</si>
  <si>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</si>
  <si>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</si>
  <si>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</si>
  <si>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</si>
  <si>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</si>
  <si>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</si>
  <si>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</si>
  <si>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</si>
  <si>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</si>
  <si>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</si>
  <si>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</si>
  <si>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</si>
  <si>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</si>
  <si>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</si>
  <si>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</si>
  <si>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</si>
  <si>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</si>
  <si>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</si>
  <si>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</si>
  <si>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</si>
  <si>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</si>
  <si>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</si>
  <si>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</si>
  <si>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</si>
  <si>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</si>
  <si>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</si>
  <si>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</si>
  <si>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</si>
  <si>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</si>
  <si>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</si>
  <si>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</si>
  <si>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</si>
  <si>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</si>
  <si>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</si>
  <si>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</si>
  <si>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</si>
  <si>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</si>
  <si>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</si>
  <si>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</si>
  <si>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</si>
  <si>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</si>
  <si>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</si>
  <si>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</si>
  <si>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</si>
  <si>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</si>
  <si>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</si>
  <si>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</si>
  <si>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</si>
  <si>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</si>
  <si>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</si>
  <si>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</si>
  <si>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</si>
  <si>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</si>
  <si>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</si>
  <si>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</si>
  <si>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</si>
  <si>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</si>
  <si>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</si>
  <si>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</si>
  <si>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</si>
  <si>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</si>
  <si>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</si>
  <si>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</si>
  <si>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</si>
  <si>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</si>
  <si>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</si>
  <si>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</si>
  <si>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</si>
  <si>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</si>
  <si>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</si>
  <si>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</si>
  <si>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</si>
  <si>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</si>
  <si>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</si>
  <si>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</si>
  <si>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</si>
  <si>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</si>
  <si>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</si>
  <si>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</si>
  <si>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</si>
  <si>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</si>
  <si>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</si>
  <si>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</si>
  <si>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</si>
  <si>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</si>
  <si>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</si>
  <si>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</si>
  <si>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</si>
  <si>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</si>
  <si>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</si>
  <si>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</si>
  <si>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</si>
  <si>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</si>
  <si>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</si>
  <si>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</si>
  <si>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</si>
  <si>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</si>
  <si>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</si>
  <si>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</si>
  <si>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</si>
  <si>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</si>
  <si>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</si>
  <si>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</si>
  <si>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</si>
  <si>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</si>
  <si>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</si>
  <si>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</si>
  <si>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</si>
  <si>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</si>
  <si>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</si>
  <si>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</si>
  <si>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</si>
  <si>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</si>
  <si>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</si>
  <si>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</si>
  <si>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</si>
  <si>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</si>
  <si>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</si>
  <si>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</si>
  <si>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</si>
  <si>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</si>
  <si>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</si>
  <si>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</si>
  <si>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</si>
  <si>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</si>
  <si>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</si>
  <si>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</si>
  <si>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</si>
  <si>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</si>
  <si>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</si>
  <si>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</si>
  <si>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</si>
  <si>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</si>
  <si>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</si>
  <si>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</si>
  <si>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</si>
  <si>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</si>
  <si>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</si>
  <si>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</si>
  <si>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</si>
  <si>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</si>
  <si>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</si>
  <si>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</si>
  <si>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</si>
  <si>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</si>
  <si>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</si>
  <si>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</si>
  <si>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</si>
  <si>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</si>
  <si>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</si>
  <si>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</si>
  <si>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</si>
  <si>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</si>
  <si>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</si>
  <si>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</si>
  <si>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</si>
  <si>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</si>
  <si>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</si>
  <si>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</si>
  <si>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</si>
  <si>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</si>
  <si>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</si>
  <si>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</si>
  <si>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</si>
  <si>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</si>
  <si>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</si>
  <si>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</si>
  <si>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</si>
  <si>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</si>
  <si>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</si>
  <si>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</si>
  <si>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</si>
  <si>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</si>
  <si>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</si>
  <si>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</si>
  <si>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</si>
  <si>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</si>
  <si>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</si>
  <si>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</si>
  <si>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</si>
  <si>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</si>
  <si>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</si>
  <si>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</si>
  <si>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</si>
  <si>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</si>
  <si>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</si>
  <si>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</si>
  <si>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</si>
  <si>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</si>
  <si>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</si>
  <si>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</si>
  <si>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</si>
  <si>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</si>
  <si>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</si>
  <si>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</si>
  <si>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</si>
  <si>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</si>
  <si>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</si>
  <si>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</si>
  <si>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</si>
  <si>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</si>
  <si>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</si>
  <si>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</si>
  <si>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</si>
  <si>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</si>
  <si>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</si>
  <si>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</si>
  <si>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</si>
  <si>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</si>
  <si>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</si>
  <si>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</si>
  <si>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</si>
  <si>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</si>
  <si>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</si>
  <si>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</si>
  <si>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</si>
  <si>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</si>
  <si>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</si>
  <si>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</si>
  <si>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</si>
  <si>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</si>
  <si>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</si>
  <si>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</si>
  <si>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</si>
  <si>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</si>
  <si>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</si>
  <si>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</si>
  <si>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</si>
  <si>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</si>
  <si>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</si>
  <si>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</si>
  <si>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</si>
  <si>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</si>
  <si>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</si>
  <si>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</si>
  <si>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</si>
  <si>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</si>
  <si>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</si>
  <si>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</si>
  <si>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</si>
  <si>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</si>
  <si>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</si>
  <si>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</si>
  <si>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</si>
  <si>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</si>
  <si>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</si>
  <si>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</si>
  <si>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</si>
  <si>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</si>
  <si>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</si>
  <si>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</si>
  <si>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</si>
  <si>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</si>
  <si>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</si>
  <si>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</si>
  <si>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</si>
  <si>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</si>
  <si>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</si>
  <si>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</si>
  <si>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</si>
  <si>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</si>
  <si>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</si>
  <si>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</si>
  <si>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</si>
  <si>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</si>
  <si>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</si>
  <si>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</si>
  <si>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</si>
  <si>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</si>
  <si>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</si>
  <si>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</si>
  <si>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</si>
  <si>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</si>
  <si>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</si>
  <si>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</si>
  <si>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</si>
  <si>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</si>
  <si>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</si>
  <si>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</si>
  <si>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</si>
  <si>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</si>
  <si>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</si>
  <si>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</si>
  <si>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</si>
  <si>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</si>
  <si>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</si>
  <si>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</si>
  <si>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</si>
  <si>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</si>
  <si>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</si>
  <si>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</si>
  <si>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</si>
  <si>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</si>
  <si>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</si>
  <si>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</si>
  <si>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</si>
  <si>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</si>
  <si>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</si>
  <si>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</si>
  <si>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</si>
  <si>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</si>
  <si>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</si>
  <si>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</si>
  <si>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</si>
  <si>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</si>
  <si>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</si>
  <si>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</si>
  <si>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</si>
  <si>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</si>
  <si>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</si>
  <si>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</si>
  <si>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</si>
  <si>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</si>
  <si>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</si>
  <si>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</si>
  <si>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</si>
  <si>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</si>
  <si>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</si>
  <si>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</si>
  <si>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</si>
  <si>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</si>
  <si>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</si>
  <si>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</si>
  <si>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</si>
  <si>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</si>
  <si>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</si>
  <si>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</si>
  <si>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</si>
  <si>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</si>
  <si>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</si>
  <si>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</si>
  <si>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</si>
  <si>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</si>
  <si>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</si>
  <si>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</si>
  <si>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</si>
  <si>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</si>
  <si>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</si>
  <si>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</si>
  <si>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</si>
  <si>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</si>
  <si>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</si>
  <si>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</si>
  <si>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</si>
  <si>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</si>
  <si>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</si>
  <si>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</si>
  <si>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</si>
  <si>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</si>
  <si>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</si>
  <si>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</si>
  <si>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</si>
  <si>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</si>
  <si>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</si>
  <si>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</si>
  <si>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</si>
  <si>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</si>
  <si>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</si>
  <si>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</si>
  <si>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</si>
  <si>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</si>
  <si>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</si>
  <si>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</si>
  <si>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</si>
  <si>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</si>
  <si>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</si>
  <si>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</si>
  <si>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</si>
  <si>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</si>
  <si>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</si>
  <si>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</si>
  <si>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</si>
  <si>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</si>
  <si>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</si>
  <si>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</si>
  <si>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</si>
  <si>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</si>
  <si>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</si>
  <si>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</si>
  <si>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</si>
  <si>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</si>
  <si>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</si>
  <si>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</si>
  <si>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</si>
  <si>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</si>
  <si>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</si>
  <si>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</si>
  <si>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</si>
  <si>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</si>
  <si>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</si>
  <si>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</si>
  <si>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</si>
  <si>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</si>
  <si>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</si>
  <si>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</si>
  <si>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</si>
  <si>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</si>
  <si>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</si>
  <si>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</si>
  <si>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</si>
  <si>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</si>
  <si>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</si>
  <si>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</si>
  <si>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</si>
  <si>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</si>
  <si>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</si>
  <si>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</si>
  <si>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</si>
  <si>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</si>
  <si>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</si>
  <si>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</si>
  <si>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</si>
  <si>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</si>
  <si>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</si>
  <si>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</si>
  <si>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</si>
  <si>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</si>
  <si>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</si>
  <si>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</si>
  <si>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</si>
  <si>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</si>
  <si>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</si>
  <si>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</si>
  <si>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</si>
  <si>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</si>
  <si>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</si>
  <si>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</si>
  <si>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</si>
  <si>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</si>
  <si>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</si>
  <si>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</si>
  <si>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</si>
  <si>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</si>
  <si>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</si>
  <si>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</si>
  <si>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</si>
  <si>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</si>
  <si>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</si>
  <si>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</si>
  <si>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</si>
  <si>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</si>
  <si>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</si>
  <si>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</si>
  <si>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</si>
  <si>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</si>
  <si>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</si>
  <si>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</si>
  <si>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</si>
  <si>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</si>
  <si>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</si>
  <si>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</si>
  <si>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</si>
  <si>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</si>
  <si>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</si>
  <si>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</si>
  <si>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</si>
  <si>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</si>
  <si>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</si>
  <si>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</si>
  <si>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</si>
  <si>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</si>
  <si>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</si>
  <si>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</si>
  <si>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</si>
  <si>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</si>
  <si>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</si>
  <si>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</si>
  <si>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</si>
  <si>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</si>
  <si>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</si>
  <si>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</si>
  <si>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</si>
  <si>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</si>
  <si>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</si>
  <si>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</si>
  <si>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</si>
  <si>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</si>
  <si>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</si>
  <si>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</si>
  <si>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</si>
  <si>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</si>
  <si>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</si>
  <si>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</si>
  <si>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</si>
  <si>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</si>
  <si>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</si>
  <si>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</si>
  <si>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</si>
  <si>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</si>
  <si>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</si>
  <si>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</si>
  <si>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</si>
  <si>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</si>
  <si>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</si>
  <si>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</si>
  <si>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</si>
  <si>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</si>
  <si>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</si>
  <si>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</si>
  <si>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</si>
  <si>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</si>
  <si>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</si>
  <si>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</si>
  <si>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</si>
  <si>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</si>
  <si>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</si>
  <si>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</si>
  <si>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</si>
  <si>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</si>
  <si>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</si>
  <si>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</si>
  <si>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</si>
  <si>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</si>
  <si>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</si>
  <si>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</si>
  <si>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</si>
  <si>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</si>
  <si>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</si>
  <si>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</si>
  <si>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</si>
  <si>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</si>
  <si>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</si>
  <si>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</si>
  <si>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</si>
  <si>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</si>
  <si>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</si>
  <si>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</si>
  <si>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</si>
  <si>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</si>
  <si>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</si>
  <si>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</si>
  <si>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</si>
  <si>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</si>
  <si>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</si>
  <si>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</si>
  <si>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</si>
  <si>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</si>
  <si>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</si>
  <si>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</si>
  <si>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</si>
  <si>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</si>
  <si>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</si>
  <si>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</si>
  <si>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</si>
  <si>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</si>
  <si>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</si>
  <si>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</si>
  <si>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</si>
  <si>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</si>
  <si>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</si>
  <si>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</si>
  <si>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</si>
  <si>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</si>
  <si>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</si>
  <si>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</si>
  <si>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</si>
  <si>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</si>
  <si>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</si>
  <si>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</si>
  <si>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</si>
  <si>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</si>
  <si>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</si>
  <si>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</si>
  <si>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</si>
  <si>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</si>
  <si>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</si>
  <si>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</si>
  <si>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</si>
  <si>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</si>
  <si>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</si>
  <si>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</si>
  <si>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</si>
  <si>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</si>
  <si>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</si>
  <si>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</si>
  <si>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</si>
  <si>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</si>
  <si>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</si>
  <si>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</si>
  <si>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</si>
  <si>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</si>
  <si>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</si>
  <si>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</si>
  <si>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</si>
  <si>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</si>
  <si>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</si>
  <si>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</si>
  <si>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</si>
  <si>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</si>
  <si>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</si>
  <si>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</si>
  <si>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</si>
  <si>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</si>
  <si>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</si>
  <si>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</si>
  <si>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</si>
  <si>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</si>
  <si>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</si>
  <si>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</si>
  <si>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</si>
  <si>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</si>
  <si>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</si>
  <si>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</si>
  <si>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</si>
  <si>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</si>
  <si>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</si>
  <si>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</si>
  <si>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</si>
  <si>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</si>
  <si>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</si>
  <si>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</si>
  <si>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</si>
  <si>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</si>
  <si>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</si>
  <si>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</si>
  <si>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</si>
  <si>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</si>
  <si>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</si>
  <si>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</si>
  <si>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</si>
  <si>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</si>
  <si>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</si>
  <si>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</si>
  <si>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</si>
  <si>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</si>
  <si>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</si>
  <si>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</si>
  <si>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</si>
  <si>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</si>
  <si>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</si>
  <si>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</si>
  <si>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</si>
  <si>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</si>
  <si>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</si>
  <si>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</si>
  <si>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</si>
  <si>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</si>
  <si>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</si>
  <si>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</si>
  <si>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</si>
  <si>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</si>
  <si>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</si>
  <si>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</si>
  <si>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</si>
  <si>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</si>
  <si>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</si>
  <si>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</si>
  <si>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</si>
  <si>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</si>
  <si>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</si>
  <si>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</si>
  <si>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</si>
  <si>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</si>
  <si>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</si>
  <si>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</si>
  <si>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</si>
  <si>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</si>
  <si>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</si>
  <si>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</si>
  <si>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</si>
  <si>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</si>
  <si>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</si>
  <si>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</si>
  <si>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</si>
  <si>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</si>
  <si>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</si>
  <si>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</si>
  <si>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</si>
  <si>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</si>
  <si>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</si>
  <si>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</si>
  <si>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</si>
  <si>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</si>
  <si>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</si>
  <si>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</si>
  <si>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</si>
  <si>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</si>
  <si>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</si>
  <si>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</si>
  <si>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</si>
  <si>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</si>
  <si>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</si>
  <si>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</si>
  <si>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</si>
  <si>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</si>
  <si>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</si>
  <si>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</si>
  <si>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</si>
  <si>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</si>
  <si>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</si>
  <si>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</si>
  <si>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</si>
  <si>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</si>
  <si>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</si>
  <si>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</si>
  <si>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</si>
  <si>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</si>
  <si>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</si>
  <si>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</si>
  <si>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</si>
  <si>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</si>
  <si>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</si>
  <si>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</si>
  <si>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</si>
  <si>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</si>
  <si>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</si>
  <si>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</si>
  <si>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</si>
  <si>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</si>
  <si>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</si>
  <si>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</si>
  <si>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</si>
  <si>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</si>
  <si>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</si>
  <si>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</si>
  <si>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</si>
  <si>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</si>
  <si>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</si>
  <si>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</si>
  <si>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</si>
  <si>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</si>
  <si>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</si>
  <si>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</si>
  <si>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</si>
  <si>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</si>
  <si>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</si>
  <si>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</si>
  <si>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</si>
  <si>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</si>
  <si>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</si>
  <si>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</si>
  <si>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</si>
  <si>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</si>
  <si>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</si>
  <si>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</si>
  <si>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</si>
  <si>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</si>
  <si>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</si>
  <si>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</si>
  <si>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</si>
  <si>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</si>
  <si>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</si>
  <si>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</si>
  <si>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</si>
  <si>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</si>
  <si>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</si>
  <si>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</si>
  <si>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</si>
  <si>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</si>
  <si>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</si>
  <si>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</si>
  <si>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</si>
  <si>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</si>
  <si>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</si>
  <si>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</si>
  <si>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</si>
  <si>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</si>
  <si>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</si>
  <si>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</si>
  <si>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</si>
  <si>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</si>
  <si>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</si>
  <si>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</si>
  <si>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</si>
  <si>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</si>
  <si>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</si>
  <si>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</si>
  <si>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</si>
  <si>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</si>
  <si>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</si>
  <si>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</si>
  <si>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</si>
  <si>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</si>
  <si>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</si>
  <si>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</si>
  <si>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</si>
  <si>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</si>
  <si>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</si>
  <si>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</si>
  <si>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</si>
  <si>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</si>
  <si>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</si>
  <si>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</si>
  <si>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</si>
  <si>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</si>
  <si>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Sixteen 32-byte champion-stat records.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</si>
  <si>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</si>
  <si>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</si>
  <si>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</si>
  <si>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</si>
  <si>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</si>
  <si>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</si>
  <si>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</si>
  <si>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</si>
  <si>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</si>
  <si>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</si>
  <si>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</si>
  <si>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</si>
  <si>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</si>
  <si>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</si>
  <si>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</si>
  <si>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</si>
  <si>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</si>
  <si>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</si>
  <si>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</si>
  <si>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</si>
  <si>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</si>
  <si>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</si>
  <si>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</si>
  <si>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</si>
  <si>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</si>
  <si>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</si>
  <si>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</si>
  <si>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</si>
  <si>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</si>
  <si>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</si>
  <si>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</si>
  <si>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</si>
  <si>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</si>
  <si>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</si>
  <si>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</si>
  <si>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</si>
  <si>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</si>
  <si>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</si>
  <si>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</si>
  <si>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</si>
  <si>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</si>
  <si>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</si>
  <si>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</si>
  <si>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</si>
  <si>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</si>
  <si>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</si>
  <si>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</si>
  <si>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</si>
  <si>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</si>
  <si>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</si>
  <si>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</si>
  <si>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</si>
  <si>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</si>
  <si>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</si>
  <si>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</si>
  <si>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</si>
  <si>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</si>
  <si>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</si>
  <si>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</si>
  <si>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</si>
  <si>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</si>
  <si>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</si>
  <si>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</si>
  <si>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</si>
  <si>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</si>
  <si>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</si>
  <si>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</si>
  <si>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</si>
  <si>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</si>
  <si>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</si>
  <si>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</si>
  <si>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</si>
  <si>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</si>
  <si>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</si>
  <si>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</si>
  <si>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</si>
  <si>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</si>
  <si>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</si>
  <si>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</si>
  <si>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</si>
  <si>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</si>
  <si>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</si>
  <si>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</si>
  <si>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</si>
  <si>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</si>
  <si>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</si>
  <si>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</si>
  <si>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</si>
  <si>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</si>
  <si>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</si>
  <si>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</si>
  <si>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</si>
  <si>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</si>
  <si>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</si>
  <si>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</si>
  <si>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</si>
  <si>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</si>
  <si>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</si>
  <si>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</si>
  <si>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</si>
  <si>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</si>
  <si>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</si>
  <si>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</si>
  <si>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Relative dispatch offsets for shelf, wall-decoration, switch, and socket click handlers.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</si>
  <si>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</si>
  <si>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</si>
  <si>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</si>
  <si>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</si>
  <si>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</si>
  <si>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</si>
  <si>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</si>
  <si>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</si>
  <si>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</si>
  <si>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</si>
  <si>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</si>
  <si>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</si>
  <si>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</si>
  <si>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</si>
  <si>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</si>
  <si>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</si>
  <si>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</si>
  <si>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</si>
  <si>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</si>
  <si>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</si>
  <si>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</si>
  <si>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</si>
  <si>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</si>
  <si>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</si>
  <si>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</si>
  <si>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</si>
  <si>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</si>
  <si>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</si>
  <si>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</si>
  <si>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</si>
  <si>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</si>
  <si>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</si>
  <si>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</si>
  <si>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</si>
  <si>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</si>
  <si>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</si>
  <si>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</si>
  <si>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</si>
  <si>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</si>
  <si>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</si>
  <si>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</si>
  <si>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</si>
  <si>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</si>
  <si>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</si>
  <si>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</si>
  <si>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</si>
  <si>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</si>
  <si>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</si>
  <si>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</si>
  <si>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</si>
  <si>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</si>
  <si>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</si>
  <si>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</si>
  <si>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</si>
  <si>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</si>
  <si>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</si>
  <si>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</si>
  <si>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</si>
  <si>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</si>
  <si>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</si>
  <si>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</si>
  <si>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</si>
  <si>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</si>
  <si>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</si>
  <si>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</si>
  <si>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</si>
  <si>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</si>
  <si>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</si>
  <si>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</si>
  <si>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</si>
  <si>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</si>
  <si>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</si>
  <si>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</si>
  <si>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</si>
  <si>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</si>
  <si>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</si>
  <si>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</si>
  <si>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</si>
  <si>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</si>
  <si>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</si>
  <si>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</si>
  <si>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</si>
  <si>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</si>
  <si>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</si>
  <si>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</si>
  <si>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</si>
  <si>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</si>
  <si>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</si>
  <si>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</si>
  <si>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</si>
  <si>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</si>
  <si>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</si>
  <si>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</si>
  <si>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</si>
  <si>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</si>
  <si>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</si>
  <si>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</si>
  <si>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</si>
  <si>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</si>
  <si>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</si>
  <si>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</si>
  <si>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</si>
  <si>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</si>
  <si>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</si>
  <si>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</si>
  <si>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</si>
  <si>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</si>
  <si>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</si>
  <si>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</si>
  <si>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</si>
  <si>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</si>
  <si>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</si>
  <si>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</si>
  <si>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</si>
  <si>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</si>
  <si>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</si>
  <si>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</si>
  <si>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</si>
  <si>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</si>
  <si>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</si>
  <si>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</si>
  <si>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</si>
  <si>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</si>
  <si>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</si>
  <si>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</si>
  <si>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</si>
  <si>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</si>
  <si>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</si>
  <si>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</si>
  <si>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</si>
  <si>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</si>
  <si>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</si>
  <si>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</si>
  <si>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</si>
  <si>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</si>
  <si>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</si>
  <si>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</si>
  <si>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</si>
  <si>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</si>
  <si>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</si>
  <si>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</si>
  <si>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</si>
  <si>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</si>
  <si>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</si>
  <si>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</si>
  <si>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</si>
  <si>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</si>
  <si>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</si>
  <si>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</si>
  <si>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</si>
  <si>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</si>
  <si>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</si>
  <si>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</si>
  <si>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</si>
  <si>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</si>
  <si>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</si>
  <si>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</si>
  <si>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</si>
  <si>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</si>
  <si>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</si>
  <si>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</si>
  <si>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</si>
  <si>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</si>
  <si>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</si>
  <si>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</si>
  <si>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</si>
  <si>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</si>
  <si>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</si>
  <si>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Checks whether a monster form and carried object require held-object processing.</t>
  </si>
  <si>
    <t>CheckMonsterHeldObjectByLevel</t>
  </si>
  <si>
    <t>Continues held-object processing using the current interaction or level threshold.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</si>
  <si>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</si>
  <si>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</si>
  <si>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</si>
  <si>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</si>
  <si>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</si>
  <si>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</si>
  <si>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</si>
  <si>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</si>
  <si>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</si>
  <si>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</si>
  <si>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</si>
  <si>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</si>
  <si>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</si>
  <si>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</si>
  <si>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</si>
  <si>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</si>
  <si>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</si>
  <si>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</si>
  <si>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</si>
  <si>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</si>
  <si>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</si>
  <si>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</si>
  <si>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</si>
  <si>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</si>
  <si>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</si>
  <si>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</si>
  <si>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</si>
  <si>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</si>
  <si>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</si>
  <si>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</si>
  <si>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</si>
  <si>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</si>
  <si>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</si>
  <si>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</si>
  <si>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</si>
  <si>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</si>
  <si>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</si>
  <si>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</si>
  <si>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</si>
  <si>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</si>
  <si>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</si>
  <si>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</si>
  <si>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</si>
  <si>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</si>
  <si>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</si>
  <si>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</si>
  <si>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</si>
  <si>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SpellEntity_AIOriginFlag</t>
  </si>
  <si>
    <t>$505B</t>
  </si>
  <si>
    <t>Working origin value used by AI-created entities and to suppress player-facing cast notices.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</si>
  <si>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</si>
  <si>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</si>
  <si>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</si>
  <si>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</si>
  <si>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</si>
  <si>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</si>
  <si>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</si>
  <si>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</si>
  <si>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</si>
  <si>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</si>
  <si>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</si>
  <si>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</si>
  <si>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</si>
  <si>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</si>
  <si>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</si>
  <si>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</si>
  <si>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</si>
  <si>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</si>
  <si>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</si>
  <si>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</si>
  <si>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</si>
  <si>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</si>
  <si>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</si>
  <si>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</si>
  <si>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</si>
  <si>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</si>
  <si>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</si>
  <si>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</si>
  <si>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</si>
  <si>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</si>
  <si>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</si>
  <si>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</si>
  <si>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</si>
  <si>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</si>
  <si>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</si>
  <si>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</si>
  <si>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</si>
  <si>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</si>
  <si>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</si>
  <si>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</si>
  <si>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</si>
  <si>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</si>
  <si>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</si>
  <si>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</si>
  <si>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</si>
  <si>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</si>
  <si>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</si>
  <si>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</si>
  <si>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</si>
  <si>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</si>
  <si>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</si>
  <si>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</si>
  <si>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</si>
  <si>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</si>
  <si>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</si>
  <si>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</si>
  <si>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</si>
  <si>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</si>
  <si>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</si>
  <si>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</si>
  <si>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</si>
  <si>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</si>
  <si>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</si>
  <si>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</si>
  <si>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</si>
  <si>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</si>
  <si>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</si>
  <si>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</si>
  <si>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</si>
  <si>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</si>
  <si>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</si>
  <si>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</si>
  <si>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</si>
  <si>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</si>
  <si>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</si>
  <si>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</si>
  <si>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</si>
  <si>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</si>
  <si>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</si>
  <si>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</si>
  <si>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</si>
  <si>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</si>
  <si>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</si>
  <si>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</si>
  <si>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</si>
  <si>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</si>
  <si>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</si>
  <si>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</si>
  <si>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</si>
  <si>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</si>
  <si>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</si>
  <si>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</si>
  <si>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</si>
  <si>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</si>
  <si>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</si>
  <si>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</si>
  <si>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</si>
  <si>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</si>
  <si>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</si>
  <si>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</si>
  <si>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</si>
  <si>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</si>
  <si>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</si>
  <si>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</si>
  <si>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</si>
  <si>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</si>
  <si>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</si>
  <si>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</si>
  <si>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</si>
  <si>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</si>
  <si>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</si>
  <si>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</si>
  <si>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</si>
  <si>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</si>
  <si>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</si>
  <si>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</si>
  <si>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</si>
  <si>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</si>
  <si>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</si>
  <si>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</si>
  <si>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</si>
  <si>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</si>
  <si>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</si>
  <si>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</si>
  <si>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</si>
  <si>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</si>
  <si>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</si>
  <si>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</si>
  <si>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</si>
  <si>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</si>
  <si>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</si>
  <si>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</si>
  <si>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</si>
  <si>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</si>
  <si>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</si>
  <si>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</si>
  <si>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</si>
  <si>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</si>
  <si>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</si>
  <si>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</si>
  <si>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</si>
  <si>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</si>
  <si>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</si>
  <si>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</si>
  <si>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</si>
  <si>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</si>
  <si>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</si>
  <si>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</si>
  <si>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</si>
  <si>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</si>
  <si>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</si>
  <si>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</si>
  <si>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</si>
  <si>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</si>
  <si>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Interface_Hitboxes_Display.lookup</t>
  </si>
  <si>
    <t>data/Interface_Hitboxes_Display.lookup</t>
  </si>
  <si>
    <t>Three display/context hitbox records for action IDs $22-$24, stored as inclusive X/Y rectangle words.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</si>
  <si>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</si>
  <si>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</si>
  <si>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</si>
  <si>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</si>
  <si>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</si>
  <si>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</si>
  <si>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</si>
  <si>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</si>
  <si>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</si>
  <si>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</si>
  <si>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</si>
  <si>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</si>
  <si>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</si>
  <si>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</si>
  <si>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</si>
  <si>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$5566</t>
  </si>
  <si>
    <t>Return point used when a wall-feature click does not resolve to a supported action.</t>
  </si>
  <si>
    <t>PostMainMenu_ChampionSetup_AI_TBC</t>
  </si>
  <si>
    <t>MainMenu_ReturnToStart_AI_TBC</t>
  </si>
  <si>
    <t>Init_CustomChipRegisters_AI_TBC</t>
  </si>
  <si>
    <t>Copper_SpriteInitLoop_AI_TBC</t>
  </si>
  <si>
    <t>Interrupt_VectorInitLoop_AI_TBC</t>
  </si>
  <si>
    <t>Copper_SpriteOffsetTable_DATA_AI_TBC</t>
  </si>
  <si>
    <t>Sprite_PositionPointerTable_DATA_AI_TBC</t>
  </si>
  <si>
    <t>Level2Int_LastKeyScratch_AI_TBC</t>
  </si>
  <si>
    <t>Init_DisplayDMA_AI_TBC</t>
  </si>
  <si>
    <t>SpellsPracticed_InitializeEntriesLoop_AI_TBC</t>
  </si>
  <si>
    <t>SpellsPracticed_AccumulateEntryBitsLoop_AI_TBC</t>
  </si>
  <si>
    <t>SpellsPracticed_ClearEntriesLoop_AI_TBC</t>
  </si>
  <si>
    <t>Map_Traps_InitProcessing_AI_TBC</t>
  </si>
  <si>
    <t>Map_Traps_ProcessNextEntryLoop_AI_TBC</t>
  </si>
  <si>
    <t>Map_Traps_ProcessingDone_AI_TBC</t>
  </si>
  <si>
    <t>Wait_FrameSync_AI_TBC</t>
  </si>
  <si>
    <t>Menu_RenderLoop_AI_TBC</t>
  </si>
  <si>
    <t>Menu_IdlePoll_AI_TBC</t>
  </si>
  <si>
    <t>DelayLoop1a_AI_TBC</t>
  </si>
  <si>
    <t>RelocateTraps_AI_TBC</t>
  </si>
  <si>
    <t>Setup_PlayerZOffset_AI_TBC</t>
  </si>
  <si>
    <t>Player_HeightAdjust_AI_TBC</t>
  </si>
  <si>
    <t>Player_HeightCheck_AI_TBC</t>
  </si>
  <si>
    <t>Setup_ScreenFade_AI_TBC</t>
  </si>
  <si>
    <t>ScreenFade_Control_AI_TBC</t>
  </si>
  <si>
    <t>Keyboard_InterruptService_AI_TBC</t>
  </si>
  <si>
    <t>CheckKeyboard_InputLoop_AI_TBC</t>
  </si>
  <si>
    <t>ProcessKeyCode_AI_TBC</t>
  </si>
  <si>
    <t>RandomWalk_Init_AI_TBC</t>
  </si>
  <si>
    <t>RandomWalk_NormalReturn_AI_TBC</t>
  </si>
  <si>
    <t>Stat_UpdateLoop_AI_TBC</t>
  </si>
  <si>
    <t>ChampionFlag_Reset_AI_TBC</t>
  </si>
  <si>
    <t>ChampionFlag_Test_AI_TBC</t>
  </si>
  <si>
    <t>TeamAvatar_UpdateLoop_AI_TBC</t>
  </si>
  <si>
    <t>TriggerState_Reset_AI_TBC</t>
  </si>
  <si>
    <t>TriggerState_Check_AI_TBC</t>
  </si>
  <si>
    <t>FloorTrigger_Handler_AI_TBC</t>
  </si>
  <si>
    <t>HandleArmorSubroutine_AI_TBC</t>
  </si>
  <si>
    <t>CheckAndToggleProcessedFlag_AI_TBC</t>
  </si>
  <si>
    <t>EquipStateOrArmorHandler_AI_TBC</t>
  </si>
  <si>
    <t>ClearOrTogglePlayerBit_AI_TBC</t>
  </si>
  <si>
    <t>CompareLastBlockedVSEquipCode_AI_TBC</t>
  </si>
  <si>
    <t>EquipOrArmorDecisionLoop_AI_TBC</t>
  </si>
  <si>
    <t>MarkMapCellProcessedFlag_AI_TBC</t>
  </si>
  <si>
    <t>CheckEquipCostsAndAttrs_AI_TBC</t>
  </si>
  <si>
    <t>ClampEquipOrTeleportCode_AI_TBC</t>
  </si>
  <si>
    <t>PrepareTeleportOrEquipValue_AI_TBC</t>
  </si>
  <si>
    <t>Loop_CheckSpecialFlag06_AI_TBC</t>
  </si>
  <si>
    <t>Handle_SpecialFlag06_AI_TBC</t>
  </si>
  <si>
    <t>Loop_InventoryAction_AI_TBC</t>
  </si>
  <si>
    <t>Init_InventorySwap_AI_TBC</t>
  </si>
  <si>
    <t>Adjust_InventoryIndex_AI_TBC</t>
  </si>
  <si>
    <t>Store_InventoryState_AI_TBC</t>
  </si>
  <si>
    <t>End_InventoryLoop_AI_TBC</t>
  </si>
  <si>
    <t>Dispatch_PartyAction_AI_TBC</t>
  </si>
  <si>
    <t>Clear_PartyActionState_AI_TBC</t>
  </si>
  <si>
    <t>Finalize_PartyAction_AI_TBC</t>
  </si>
  <si>
    <t>Clear_TriggerProcessed_AI_TBC</t>
  </si>
  <si>
    <t>Mark_TeamAvatarSlot_AI_TBC</t>
  </si>
  <si>
    <t>Loop_TeamAvatarSlots_AI_TBC</t>
  </si>
  <si>
    <t>Eval_TeamAvatarSlot_AI_TBC</t>
  </si>
  <si>
    <t>Quickstart_FallbackHandler_AI_TBC</t>
  </si>
  <si>
    <t>Check_DoorToggle_AI_TBC</t>
  </si>
  <si>
    <t>DoorToggle_Lower_AI_TBC</t>
  </si>
  <si>
    <t>DoorToggle_Raise_AI_TBC</t>
  </si>
  <si>
    <t>Call_DoorToggleRoutine_AI_TBC</t>
  </si>
  <si>
    <t>PostDoorToggle_Enter_AI_TBC</t>
  </si>
  <si>
    <t>PostDoorToggle_CheckExit_AI_TBC</t>
  </si>
  <si>
    <t>PostDoorToggle_EndCase_AI_TBC</t>
  </si>
  <si>
    <t>PostDoorToggle_Default_AI_TBC</t>
  </si>
  <si>
    <t>PlayerColourRampLookupBase_Exit</t>
  </si>
  <si>
    <t>$8864</t>
  </si>
  <si>
    <t>ChampionClassBarColours</t>
  </si>
  <si>
    <t>$7E46</t>
  </si>
  <si>
    <t>Maps the four champion professions to their main-panel status-bar palette indices.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</si>
  <si>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</si>
  <si>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</si>
  <si>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</si>
  <si>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</si>
  <si>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</si>
  <si>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</si>
  <si>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</si>
  <si>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</si>
  <si>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</si>
  <si>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</si>
  <si>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</si>
  <si>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</si>
  <si>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</si>
  <si>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</si>
  <si>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</si>
  <si>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</si>
  <si>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</si>
  <si>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</si>
  <si>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</si>
  <si>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</si>
  <si>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</si>
  <si>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</si>
  <si>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</si>
  <si>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</si>
  <si>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</si>
  <si>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</si>
  <si>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</si>
  <si>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</si>
  <si>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</si>
  <si>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</si>
  <si>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</si>
  <si>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</si>
  <si>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</si>
  <si>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</si>
  <si>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</si>
  <si>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</si>
  <si>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</si>
  <si>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</si>
  <si>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</si>
  <si>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</si>
  <si>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</si>
  <si>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</si>
  <si>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</si>
  <si>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</si>
  <si>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</si>
  <si>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</si>
  <si>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</si>
  <si>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</si>
  <si>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</si>
  <si>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</si>
  <si>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</si>
  <si>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</si>
  <si>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</si>
  <si>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</si>
  <si>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</si>
  <si>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</si>
  <si>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</si>
  <si>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</si>
  <si>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</si>
  <si>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</si>
  <si>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</si>
  <si>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</si>
  <si>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</si>
  <si>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</si>
  <si>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</si>
  <si>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</si>
  <si>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</si>
  <si>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</si>
  <si>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</si>
  <si>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</si>
  <si>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</si>
  <si>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</si>
  <si>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</si>
  <si>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</si>
  <si>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</si>
  <si>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</si>
  <si>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</si>
  <si>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</si>
  <si>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</si>
  <si>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</si>
  <si>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</si>
  <si>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</si>
  <si>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</si>
  <si>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</si>
  <si>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</si>
  <si>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</si>
  <si>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</si>
  <si>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</si>
  <si>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</si>
  <si>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</si>
  <si>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</si>
  <si>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</si>
  <si>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</si>
  <si>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</si>
  <si>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</si>
  <si>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</si>
  <si>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</si>
  <si>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</si>
  <si>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</si>
  <si>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</si>
  <si>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</si>
  <si>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</si>
  <si>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</si>
  <si>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</si>
  <si>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</si>
  <si>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</si>
  <si>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</si>
  <si>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</si>
  <si>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</si>
  <si>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</si>
  <si>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</si>
  <si>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</si>
  <si>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</si>
  <si>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</si>
  <si>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</si>
  <si>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</si>
  <si>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</si>
  <si>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</si>
  <si>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</si>
  <si>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</si>
  <si>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</si>
  <si>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</si>
  <si>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</si>
  <si>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</si>
  <si>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</si>
  <si>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</si>
  <si>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</si>
  <si>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</si>
  <si>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</si>
  <si>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</si>
  <si>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</si>
  <si>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</si>
  <si>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</si>
  <si>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</si>
  <si>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</si>
  <si>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</si>
  <si>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</si>
  <si>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</si>
  <si>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</si>
  <si>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</si>
  <si>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</si>
  <si>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</si>
  <si>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</si>
  <si>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</si>
  <si>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</si>
  <si>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</si>
  <si>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</si>
  <si>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</si>
  <si>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</si>
  <si>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</si>
  <si>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</si>
  <si>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</si>
  <si>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</si>
  <si>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</si>
  <si>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</si>
  <si>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</si>
  <si>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</si>
  <si>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</si>
  <si>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</si>
  <si>
    <t>Click_ChampionPresentationOrPartyCommand</t>
  </si>
  <si>
    <t>$3E88</t>
  </si>
  <si>
    <t>Uses pointer coordinates to toggle a selected champion’s large or shield portrait/standing presentation; otherwise clears presentation state and opens the party-command interface.</t>
  </si>
  <si>
    <t>Toggle_ChampionPresentation</t>
  </si>
  <si>
    <t>$3EA2</t>
  </si>
  <si>
    <t>Toggles the selected party-slot presentation bit and redraws the affected champion avatar.</t>
  </si>
  <si>
    <t>Enter_PartyCommandInterface</t>
  </si>
  <si>
    <t>$3EB0</t>
  </si>
  <si>
    <t>Clears champion-presentation and party-command selection state before composing the top-level party-command panel.</t>
  </si>
  <si>
    <t>$686C</t>
  </si>
  <si>
    <t>Resets the inspected party slot and draws the lower inventory background before the shared inventory redraw path.</t>
  </si>
  <si>
    <t>$6886</t>
  </si>
  <si>
    <t>Resolves the inspected champion, redraws its twelve inventory slots, armour value, name display, and held-item panel.</t>
  </si>
  <si>
    <t>Draw_PartyCommandIconStrip</t>
  </si>
  <si>
    <t>$783C</t>
  </si>
  <si>
    <t>Draws paired GFX_Pockets command icons into successive rows of the party-command panel.</t>
  </si>
  <si>
    <t>Draw_ChampionNamePanelUpperBevelLoop</t>
  </si>
  <si>
    <t>$7F06</t>
  </si>
  <si>
    <t>Draws the five-line upper champion-name bevel, progressively changing the grey palette index.</t>
  </si>
  <si>
    <t>Draw_InventoryPanel</t>
  </si>
  <si>
    <t>$C5B4</t>
  </si>
  <si>
    <t>Clears the spell-book panel, draws inventory title and armour bars with chain decorations, then composes pockets and the inspected champion name.</t>
  </si>
  <si>
    <t>Draw_InventoryArmourRating</t>
  </si>
  <si>
    <t>$C600</t>
  </si>
  <si>
    <t>Calculates the inspected champion’s armour modifier and formats its signed ARMOUR value for printing.</t>
  </si>
  <si>
    <t>Draw_InventoryPocketSlotLoop</t>
  </si>
  <si>
    <t>$C658</t>
  </si>
  <si>
    <t>Iterates over the selected champion’s twelve inventory positions, choosing an empty-slot template or the contained object graphic.</t>
  </si>
  <si>
    <t>Select_PocketGraphicBank</t>
  </si>
  <si>
    <t>$C776</t>
  </si>
  <si>
    <t>Locates the containing 20-picture GFX_Pockets bank for a requested pocket graphic before calculating its source offset.</t>
  </si>
  <si>
    <t>Advance_CompactStatsBarRow</t>
  </si>
  <si>
    <t>$7DAE</t>
  </si>
  <si>
    <t>Advances the ordinary compact-stat renderer to the next statistic pair and the next seven-pixel bar row.</t>
  </si>
  <si>
    <t>Prepare_CompactStatBarLength</t>
  </si>
  <si>
    <t>$7DB8</t>
  </si>
  <si>
    <t>Sets compact-stat bar geometry and maximum pixel length before entering the common value-to-bar scaler.</t>
  </si>
  <si>
    <t>Return_ScaledBarLength</t>
  </si>
  <si>
    <t>$7DD4</t>
  </si>
  <si>
    <t>Returns the packed bar dimensions after Scale_ValueToBarLength has retained or calculated the drawable width.</t>
  </si>
  <si>
    <t>Draw_PartyShieldStatusBars</t>
  </si>
  <si>
    <t>$7DD8</t>
  </si>
  <si>
    <t>Draws status bars for occupied party shield slots when champion presentation is expanded.</t>
  </si>
  <si>
    <t>Draw_PartyShieldStatusBarsLoop</t>
  </si>
  <si>
    <t>$7DE8</t>
  </si>
  <si>
    <t>Processes one party shield slot, suppressing vacant or dead entries and drawing the living champion’s scaled class-colour bar.</t>
  </si>
  <si>
    <t>Advance_PartyShieldStatusBarRow</t>
  </si>
  <si>
    <t>$7E3C</t>
  </si>
  <si>
    <t>Moves the shield-status renderer to the next nine-pixel row before continuing its four-slot loop.</t>
  </si>
  <si>
    <t>Return_FromMainPlayerInterface</t>
  </si>
  <si>
    <t>$7E44</t>
  </si>
  <si>
    <t>Common return from the normal compact-stat and party-shield-status rendering paths.</t>
  </si>
  <si>
    <t>Draw_SelectedSpellDetails</t>
  </si>
  <si>
    <t>$6314</t>
  </si>
  <si>
    <t>Draws selected spell stars, name, COST text, and the CAST display.</t>
  </si>
  <si>
    <t>Draw_SpellCastingBar</t>
  </si>
  <si>
    <t>$639C</t>
  </si>
  <si>
    <t>Converts signed casting quality into the five-pixel-high CAST bar.</t>
  </si>
  <si>
    <t>SpellCasting_CastBarPercentages</t>
  </si>
  <si>
    <t>SpellCasting_CastBarPercentages.lookup</t>
  </si>
  <si>
    <t>data/SpellCasting_CastBarPercentages.lookup</t>
  </si>
  <si>
    <t>$63DC</t>
  </si>
  <si>
    <t>Twenty percentages indexed by the clamped negated casting-quality score to scale the 52-pixel CAST bar.</t>
  </si>
  <si>
    <t>$63F4</t>
  </si>
  <si>
    <t>Existing mapping; calculates signed spell quality from class, practice, level, power, equipment, cooldown, and difficulty.</t>
  </si>
  <si>
    <t>Existing mapping correction: 32 spell-indexed penalty bytes, not 16.</t>
  </si>
  <si>
    <t>SpellCasting_CostValues.lookup</t>
  </si>
  <si>
    <t>data/SpellCasting_CostValues.lookup</t>
  </si>
  <si>
    <t>$64DA</t>
  </si>
  <si>
    <t>Existing mapping; one base spell-cost value for each SPS 439 spell.</t>
  </si>
  <si>
    <t>SpellCasting_CastPowerCostAdjustments</t>
  </si>
  <si>
    <t>SpellCasting_CastPowerCostAdjustments.lookup</t>
  </si>
  <si>
    <t>data/SpellCasting_CastPowerCostAdjustments.lookup</t>
  </si>
  <si>
    <t>$64FA</t>
  </si>
  <si>
    <r>
      <t xml:space="preserve">Additional mana costs for non-negative prepared cast-power values </t>
    </r>
    <r>
      <rPr>
        <sz val="10"/>
        <color theme="1"/>
        <rFont val="Arial Unicode MS"/>
        <family val="2"/>
      </rPr>
      <t>$00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$0D</t>
    </r>
    <r>
      <rPr>
        <sz val="12"/>
        <color theme="1"/>
        <rFont val="Aptos Narrow"/>
        <family val="2"/>
        <scheme val="minor"/>
      </rPr>
      <t>.</t>
    </r>
  </si>
  <si>
    <t>Calculate_SpellPointCost</t>
  </si>
  <si>
    <t>$6508</t>
  </si>
  <si>
    <r>
      <t xml:space="preserve">Calculates COST, handles charged matching rings, and normalises byte </t>
    </r>
    <r>
      <rPr>
        <sz val="10"/>
        <color theme="1"/>
        <rFont val="Arial Unicode MS"/>
        <family val="2"/>
      </rPr>
      <t>$14</t>
    </r>
    <r>
      <rPr>
        <sz val="12"/>
        <color theme="1"/>
        <rFont val="Aptos Narrow"/>
        <family val="2"/>
        <scheme val="minor"/>
      </rPr>
      <t xml:space="preserve"> to costs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$63</t>
    </r>
    <r>
      <rPr>
        <sz val="12"/>
        <color theme="1"/>
        <rFont val="Aptos Narrow"/>
        <family val="2"/>
        <scheme val="minor"/>
      </rPr>
      <t>.</t>
    </r>
  </si>
  <si>
    <t>Select_SpellBookRune</t>
  </si>
  <si>
    <t>$BF28</t>
  </si>
  <si>
    <t>Tests the clicked ownership bit, loads an owned spell, or clears the queued spell.</t>
  </si>
  <si>
    <t>Get_SelectedSpellName</t>
  </si>
  <si>
    <t>$BF50</t>
  </si>
  <si>
    <r>
      <t xml:space="preserve">Resolves the selected spell’s fixed eight-character </t>
    </r>
    <r>
      <rPr>
        <sz val="10"/>
        <color theme="1"/>
        <rFont val="Arial Unicode MS"/>
        <family val="2"/>
      </rPr>
      <t>SpellNames</t>
    </r>
    <r>
      <rPr>
        <sz val="12"/>
        <color theme="1"/>
        <rFont val="Aptos Narrow"/>
        <family val="2"/>
        <scheme val="minor"/>
      </rPr>
      <t xml:space="preserve"> record.</t>
    </r>
  </si>
  <si>
    <t>Draw_SpellBookPageTurn</t>
  </si>
  <si>
    <t>$BF9E</t>
  </si>
  <si>
    <t>Redraws page content through the four-frame page-turn sequence.</t>
  </si>
  <si>
    <t>Build_SpellBookPageTurnColourMask</t>
  </si>
  <si>
    <t>$C022</t>
  </si>
  <si>
    <t>Builds the four rune-class inks used by the page-turn overlay.</t>
  </si>
  <si>
    <t>HitTest_SpellBookControls</t>
  </si>
  <si>
    <t>$C2CC</t>
  </si>
  <si>
    <t>Resolves the spell-book top controls and eight rune hit targets.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</si>
</sst>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95">
    <dxf>
      <fill>
        <patternFill patternType="solid">
          <fgColor rgb="FFFFEB9C"/>
          <bgColor rgb="FF000000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ill>
        <patternFill patternType="solid">
          <fgColor rgb="FFFFEB9C"/>
          <bgColor rgb="FF000000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83"/>
  <sheetViews>
    <sheetView tabSelected="1" zoomScaleNormal="100" workbookViewId="0">
      <pane xSplit="2" ySplit="1" topLeftCell="D1973" activePane="bottomRight" state="frozen"/>
      <selection pane="topRight" activeCell="C1" sqref="C1"/>
      <selection pane="bottomLeft" activeCell="A2" sqref="A2"/>
      <selection pane="bottomRight" activeCell="A2006" sqref="A2006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1" bestFit="1" customWidth="1"/>
    <col min="12" max="13" width="14.83203125" style="6" customWidth="1"/>
    <col min="14" max="14" width="70.83203125" customWidth="1"/>
  </cols>
  <sheetData>
    <row r="1" spans="1:14" ht="32" customHeight="1" x14ac:dyDescent="0.2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3456</v>
      </c>
      <c r="K1" s="20" t="s">
        <v>3563</v>
      </c>
      <c r="L1" s="4" t="s">
        <v>3485</v>
      </c>
      <c r="M1" s="4" t="s">
        <v>3485</v>
      </c>
    </row>
    <row r="2" spans="1:14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s="5" t="s">
        <v>10</v>
      </c>
      <c r="G2" s="5">
        <f t="shared" ref="G2:G52" si="1">IF(F2&lt;&gt;"",HEX2DEC(SUBSTITUTE(SUBSTITUTE(F2,"adrEA",""),"$","")),"")</f>
        <v>22390</v>
      </c>
      <c r="H2" s="5">
        <v>24</v>
      </c>
      <c r="I2" s="6" t="str">
        <f t="shared" ref="I2:I52" si="2">IFERROR(DEC2HEX(H2),"")</f>
        <v>18</v>
      </c>
    </row>
    <row r="3" spans="1:14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s="5" t="s">
        <v>290</v>
      </c>
      <c r="G3" s="5">
        <f t="shared" si="1"/>
        <v>22414</v>
      </c>
      <c r="H3" s="5">
        <v>24</v>
      </c>
      <c r="I3" s="6" t="str">
        <f t="shared" si="2"/>
        <v>18</v>
      </c>
    </row>
    <row r="4" spans="1:14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s="5" t="s">
        <v>15</v>
      </c>
      <c r="G4" s="5">
        <f t="shared" si="1"/>
        <v>22516</v>
      </c>
      <c r="H4" s="5">
        <v>64</v>
      </c>
      <c r="I4" s="6" t="str">
        <f t="shared" si="2"/>
        <v>40</v>
      </c>
    </row>
    <row r="5" spans="1:14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s="5" t="s">
        <v>18</v>
      </c>
      <c r="G5" s="5">
        <f t="shared" si="1"/>
        <v>22580</v>
      </c>
      <c r="H5" s="5">
        <v>64</v>
      </c>
      <c r="I5" s="6" t="str">
        <f t="shared" si="2"/>
        <v>40</v>
      </c>
    </row>
    <row r="6" spans="1:14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s="5" t="s">
        <v>3068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</row>
    <row r="7" spans="1:14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s="5" t="s">
        <v>3069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</row>
    <row r="8" spans="1:14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s="5" t="s">
        <v>3070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</row>
    <row r="9" spans="1:14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s="5" t="s">
        <v>3071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</row>
    <row r="10" spans="1:14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s="5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</row>
    <row r="11" spans="1:14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s="5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</row>
    <row r="12" spans="1:14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s="5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</row>
    <row r="13" spans="1:14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s="5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</row>
    <row r="14" spans="1:14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s="5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</row>
    <row r="15" spans="1:14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s="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</row>
    <row r="16" spans="1:14" x14ac:dyDescent="0.2">
      <c r="A16" t="s">
        <v>1724</v>
      </c>
      <c r="B16" s="16" t="s">
        <v>3162</v>
      </c>
      <c r="C16" s="15" t="s">
        <v>8</v>
      </c>
      <c r="D16" s="16" t="s">
        <v>3161</v>
      </c>
      <c r="E16" t="str">
        <f t="shared" si="0"/>
        <v>maps/keep.floors</v>
      </c>
      <c r="F16" s="15" t="s">
        <v>47</v>
      </c>
      <c r="G16" s="15">
        <f t="shared" si="1"/>
        <v>28744</v>
      </c>
      <c r="H16" s="15">
        <v>2</v>
      </c>
      <c r="I16" s="6" t="str">
        <f t="shared" si="2"/>
        <v>2</v>
      </c>
    </row>
    <row r="17" spans="1:13" s="11" customFormat="1" x14ac:dyDescent="0.2">
      <c r="A17" s="11" t="s">
        <v>1725</v>
      </c>
      <c r="B17" s="16" t="s">
        <v>3163</v>
      </c>
      <c r="C17" s="15" t="s">
        <v>8</v>
      </c>
      <c r="D17" s="16" t="s">
        <v>46</v>
      </c>
      <c r="E17" t="str">
        <f t="shared" si="0"/>
        <v>maps/keep.entrances</v>
      </c>
      <c r="F17" s="15" t="s">
        <v>3165</v>
      </c>
      <c r="G17" s="15">
        <f t="shared" si="1"/>
        <v>28746</v>
      </c>
      <c r="H17" s="15">
        <v>24</v>
      </c>
      <c r="I17" s="6" t="str">
        <f t="shared" si="2"/>
        <v>18</v>
      </c>
      <c r="J17" s="13"/>
      <c r="K17" s="22"/>
      <c r="L17" s="13"/>
      <c r="M17" s="13"/>
    </row>
    <row r="18" spans="1:13" x14ac:dyDescent="0.2">
      <c r="A18" t="s">
        <v>1733</v>
      </c>
      <c r="B18" t="s">
        <v>3164</v>
      </c>
      <c r="C18" s="5" t="s">
        <v>48</v>
      </c>
      <c r="D18" t="s">
        <v>49</v>
      </c>
      <c r="E18" t="str">
        <f t="shared" si="0"/>
        <v>data/tower.entrances</v>
      </c>
      <c r="F18" s="5" t="s">
        <v>50</v>
      </c>
      <c r="G18" s="5">
        <f t="shared" si="1"/>
        <v>29030</v>
      </c>
      <c r="H18" s="5">
        <v>24</v>
      </c>
      <c r="I18" s="6" t="str">
        <f t="shared" si="2"/>
        <v>18</v>
      </c>
    </row>
    <row r="19" spans="1:13" x14ac:dyDescent="0.2">
      <c r="A19" t="s">
        <v>2231</v>
      </c>
      <c r="B19" t="s">
        <v>3205</v>
      </c>
      <c r="C19" s="7" t="s">
        <v>51</v>
      </c>
      <c r="D19" t="s">
        <v>3215</v>
      </c>
      <c r="E19" t="str">
        <f t="shared" si="0"/>
        <v>monsters/illusion.palette</v>
      </c>
      <c r="F19" s="5" t="s">
        <v>52</v>
      </c>
      <c r="G19" s="5">
        <f t="shared" si="1"/>
        <v>39640</v>
      </c>
      <c r="H19" s="5">
        <v>4</v>
      </c>
      <c r="I19" s="6" t="str">
        <f t="shared" si="2"/>
        <v>4</v>
      </c>
    </row>
    <row r="20" spans="1:13" x14ac:dyDescent="0.2">
      <c r="A20" t="s">
        <v>2232</v>
      </c>
      <c r="B20" t="s">
        <v>3204</v>
      </c>
      <c r="C20" s="7" t="s">
        <v>51</v>
      </c>
      <c r="D20" t="s">
        <v>3214</v>
      </c>
      <c r="E20" t="str">
        <f t="shared" si="0"/>
        <v>monsters/monsters.palette</v>
      </c>
      <c r="F20" s="5" t="s">
        <v>53</v>
      </c>
      <c r="G20" s="5">
        <f t="shared" si="1"/>
        <v>39644</v>
      </c>
      <c r="H20" s="5">
        <v>52</v>
      </c>
      <c r="I20" s="6" t="str">
        <f t="shared" si="2"/>
        <v>34</v>
      </c>
    </row>
    <row r="21" spans="1:13" x14ac:dyDescent="0.2">
      <c r="A21" t="s">
        <v>2243</v>
      </c>
      <c r="B21" t="s">
        <v>3206</v>
      </c>
      <c r="C21" s="5" t="s">
        <v>51</v>
      </c>
      <c r="D21" t="s">
        <v>54</v>
      </c>
      <c r="E21" t="str">
        <f t="shared" si="0"/>
        <v>monsters/crab.colours</v>
      </c>
      <c r="F21" s="5" t="s">
        <v>55</v>
      </c>
      <c r="G21" s="5">
        <f t="shared" si="1"/>
        <v>39836</v>
      </c>
      <c r="H21" s="5">
        <v>8</v>
      </c>
      <c r="I21" s="6" t="str">
        <f t="shared" si="2"/>
        <v>8</v>
      </c>
    </row>
    <row r="22" spans="1:13" x14ac:dyDescent="0.2">
      <c r="A22" t="s">
        <v>2296</v>
      </c>
      <c r="B22" t="s">
        <v>3207</v>
      </c>
      <c r="C22" s="5" t="s">
        <v>51</v>
      </c>
      <c r="D22" t="s">
        <v>56</v>
      </c>
      <c r="E22" t="str">
        <f t="shared" si="0"/>
        <v>monsters/beholder.colours</v>
      </c>
      <c r="F22" s="28" t="s">
        <v>57</v>
      </c>
      <c r="G22" s="5">
        <f t="shared" si="1"/>
        <v>40488</v>
      </c>
      <c r="H22" s="5">
        <v>8</v>
      </c>
      <c r="I22" s="6" t="str">
        <f t="shared" si="2"/>
        <v>8</v>
      </c>
    </row>
    <row r="23" spans="1:13" x14ac:dyDescent="0.2">
      <c r="A23" t="s">
        <v>3077</v>
      </c>
      <c r="B23" t="s">
        <v>3208</v>
      </c>
      <c r="C23" s="5" t="s">
        <v>51</v>
      </c>
      <c r="D23" t="s">
        <v>3079</v>
      </c>
      <c r="E23" t="str">
        <f t="shared" si="0"/>
        <v>monsters/summon.colours</v>
      </c>
      <c r="F23" s="28" t="s">
        <v>3171</v>
      </c>
      <c r="G23" s="5">
        <f t="shared" si="1"/>
        <v>39476</v>
      </c>
      <c r="H23" s="5">
        <v>8</v>
      </c>
      <c r="I23" s="6" t="str">
        <f t="shared" si="2"/>
        <v>8</v>
      </c>
    </row>
    <row r="24" spans="1:13" x14ac:dyDescent="0.2">
      <c r="A24" t="s">
        <v>2332</v>
      </c>
      <c r="B24" t="s">
        <v>3209</v>
      </c>
      <c r="C24" s="5" t="s">
        <v>51</v>
      </c>
      <c r="D24" t="s">
        <v>3078</v>
      </c>
      <c r="E24" t="str">
        <f t="shared" si="0"/>
        <v>monsters/dragon.colours</v>
      </c>
      <c r="F24" s="28" t="s">
        <v>3172</v>
      </c>
      <c r="G24" s="5">
        <f t="shared" si="1"/>
        <v>40994</v>
      </c>
      <c r="H24" s="5">
        <v>8</v>
      </c>
      <c r="I24" s="6" t="str">
        <f t="shared" si="2"/>
        <v>8</v>
      </c>
    </row>
    <row r="25" spans="1:13" x14ac:dyDescent="0.2">
      <c r="A25" t="s">
        <v>2353</v>
      </c>
      <c r="B25" t="s">
        <v>3210</v>
      </c>
      <c r="C25" s="5" t="s">
        <v>51</v>
      </c>
      <c r="D25" t="s">
        <v>3080</v>
      </c>
      <c r="E25" t="str">
        <f t="shared" si="0"/>
        <v>monsters/behemoth.colours</v>
      </c>
      <c r="F25" s="28" t="s">
        <v>3173</v>
      </c>
      <c r="G25" s="5">
        <f t="shared" si="1"/>
        <v>41386</v>
      </c>
      <c r="H25" s="5">
        <v>8</v>
      </c>
      <c r="I25" s="6" t="str">
        <f t="shared" si="2"/>
        <v>8</v>
      </c>
    </row>
    <row r="26" spans="1:13" x14ac:dyDescent="0.2">
      <c r="A26" t="s">
        <v>2380</v>
      </c>
      <c r="B26" t="s">
        <v>2380</v>
      </c>
      <c r="C26" s="5" t="s">
        <v>48</v>
      </c>
      <c r="D26" t="s">
        <v>58</v>
      </c>
      <c r="E26" t="str">
        <f t="shared" si="0"/>
        <v>data/characters.bodies</v>
      </c>
      <c r="F26" s="5" t="s">
        <v>59</v>
      </c>
      <c r="G26" s="5">
        <f t="shared" si="1"/>
        <v>42008</v>
      </c>
      <c r="H26" s="5">
        <v>86</v>
      </c>
      <c r="I26" s="6" t="str">
        <f t="shared" si="2"/>
        <v>56</v>
      </c>
    </row>
    <row r="27" spans="1:13" x14ac:dyDescent="0.2">
      <c r="A27" t="s">
        <v>2388</v>
      </c>
      <c r="B27" t="s">
        <v>2388</v>
      </c>
      <c r="C27" s="5" t="s">
        <v>48</v>
      </c>
      <c r="D27" t="s">
        <v>60</v>
      </c>
      <c r="E27" t="str">
        <f t="shared" si="0"/>
        <v>data/characters.heads</v>
      </c>
      <c r="F27" s="5" t="s">
        <v>3175</v>
      </c>
      <c r="G27" s="5">
        <f t="shared" si="1"/>
        <v>42390</v>
      </c>
      <c r="H27" s="5">
        <v>86</v>
      </c>
      <c r="I27" s="6" t="str">
        <f t="shared" si="2"/>
        <v>56</v>
      </c>
    </row>
    <row r="28" spans="1:13" x14ac:dyDescent="0.2">
      <c r="A28" t="s">
        <v>2871</v>
      </c>
      <c r="B28" t="s">
        <v>3240</v>
      </c>
      <c r="C28" s="5" t="s">
        <v>48</v>
      </c>
      <c r="D28" t="s">
        <v>61</v>
      </c>
      <c r="E28" t="str">
        <f t="shared" si="0"/>
        <v>data/objectflooricons.block</v>
      </c>
      <c r="F28" s="5" t="s">
        <v>62</v>
      </c>
      <c r="G28" s="5">
        <f t="shared" si="1"/>
        <v>58102</v>
      </c>
      <c r="H28" s="5">
        <v>110</v>
      </c>
      <c r="I28" s="6" t="str">
        <f t="shared" si="2"/>
        <v>6E</v>
      </c>
    </row>
    <row r="29" spans="1:13" x14ac:dyDescent="0.2">
      <c r="A29" s="11" t="s">
        <v>2865</v>
      </c>
      <c r="B29" s="24" t="s">
        <v>3202</v>
      </c>
      <c r="C29" s="25" t="s">
        <v>48</v>
      </c>
      <c r="D29" s="24" t="s">
        <v>63</v>
      </c>
      <c r="E29" s="24" t="str">
        <f t="shared" si="0"/>
        <v>data/objecttext.block</v>
      </c>
      <c r="F29" s="25" t="s">
        <v>64</v>
      </c>
      <c r="G29" s="25">
        <f t="shared" si="1"/>
        <v>56986</v>
      </c>
      <c r="H29" s="25">
        <v>610</v>
      </c>
      <c r="I29" s="6" t="str">
        <f t="shared" si="2"/>
        <v>262</v>
      </c>
    </row>
    <row r="30" spans="1:13" ht="17" customHeight="1" x14ac:dyDescent="0.2">
      <c r="A30" t="s">
        <v>2873</v>
      </c>
      <c r="B30" t="s">
        <v>3211</v>
      </c>
      <c r="C30" s="5" t="s">
        <v>48</v>
      </c>
      <c r="D30" t="s">
        <v>3203</v>
      </c>
      <c r="E30" t="str">
        <f t="shared" si="0"/>
        <v>data/objectfloor.colours</v>
      </c>
      <c r="F30" s="5" t="s">
        <v>3244</v>
      </c>
      <c r="G30" s="5">
        <f t="shared" si="1"/>
        <v>58348</v>
      </c>
      <c r="H30" s="5">
        <v>110</v>
      </c>
      <c r="I30" s="6" t="str">
        <f t="shared" si="2"/>
        <v>6E</v>
      </c>
    </row>
    <row r="31" spans="1:13" x14ac:dyDescent="0.2">
      <c r="A31" t="s">
        <v>2874</v>
      </c>
      <c r="B31" t="s">
        <v>3212</v>
      </c>
      <c r="C31" s="5" t="s">
        <v>48</v>
      </c>
      <c r="D31" t="s">
        <v>3213</v>
      </c>
      <c r="E31" t="str">
        <f t="shared" si="0"/>
        <v>data/objectfloor.palette</v>
      </c>
      <c r="F31" s="5" t="s">
        <v>3243</v>
      </c>
      <c r="G31" s="5">
        <f t="shared" si="1"/>
        <v>58458</v>
      </c>
      <c r="H31" s="5">
        <v>172</v>
      </c>
      <c r="I31" s="6" t="str">
        <f t="shared" si="2"/>
        <v>AC</v>
      </c>
    </row>
    <row r="32" spans="1:13" x14ac:dyDescent="0.2">
      <c r="A32" t="s">
        <v>3024</v>
      </c>
      <c r="B32" t="s">
        <v>3024</v>
      </c>
      <c r="C32" s="5" t="s">
        <v>121</v>
      </c>
      <c r="D32" t="s">
        <v>163</v>
      </c>
      <c r="E32" t="s">
        <v>4646</v>
      </c>
      <c r="F32" s="5" t="s">
        <v>3250</v>
      </c>
      <c r="G32" s="5">
        <f t="shared" si="1"/>
        <v>207836</v>
      </c>
      <c r="H32" s="5">
        <v>6168</v>
      </c>
      <c r="I32" s="6" t="str">
        <f t="shared" si="2"/>
        <v>1818</v>
      </c>
      <c r="K32" s="21" t="s">
        <v>4647</v>
      </c>
    </row>
    <row r="33" spans="1:11" x14ac:dyDescent="0.2">
      <c r="A33" t="s">
        <v>2875</v>
      </c>
      <c r="B33" t="s">
        <v>3156</v>
      </c>
      <c r="C33" s="5" t="s">
        <v>121</v>
      </c>
      <c r="D33" t="s">
        <v>164</v>
      </c>
      <c r="E33" t="str">
        <f t="shared" ref="E33:E52" si="4">IF(D33&lt;&gt;"",C33&amp;"/"&amp;D33,"")</f>
        <v>gfx/ObjectsOnFloor.offsets</v>
      </c>
      <c r="F33" s="5" t="s">
        <v>3242</v>
      </c>
      <c r="G33" s="5">
        <f t="shared" si="1"/>
        <v>58630</v>
      </c>
      <c r="H33" s="5">
        <v>270</v>
      </c>
      <c r="I33" s="6" t="str">
        <f t="shared" si="2"/>
        <v>10E</v>
      </c>
    </row>
    <row r="34" spans="1:11" x14ac:dyDescent="0.2">
      <c r="A34" t="s">
        <v>2872</v>
      </c>
      <c r="B34" t="s">
        <v>3157</v>
      </c>
      <c r="C34" s="5" t="s">
        <v>121</v>
      </c>
      <c r="D34" t="s">
        <v>165</v>
      </c>
      <c r="E34" t="str">
        <f t="shared" si="4"/>
        <v>gfx/ObjectsOnFloor.heights</v>
      </c>
      <c r="F34" s="5" t="s">
        <v>3241</v>
      </c>
      <c r="G34" s="5">
        <f t="shared" si="1"/>
        <v>58212</v>
      </c>
      <c r="H34" s="5">
        <v>136</v>
      </c>
      <c r="I34" s="6" t="str">
        <f t="shared" si="2"/>
        <v>88</v>
      </c>
    </row>
    <row r="35" spans="1:11" x14ac:dyDescent="0.2">
      <c r="A35" t="s">
        <v>2888</v>
      </c>
      <c r="E35" t="str">
        <f t="shared" si="4"/>
        <v/>
      </c>
      <c r="G35" s="5" t="str">
        <f t="shared" si="1"/>
        <v/>
      </c>
      <c r="I35" s="6" t="str">
        <f t="shared" si="2"/>
        <v>0</v>
      </c>
    </row>
    <row r="36" spans="1:11" x14ac:dyDescent="0.2">
      <c r="A36" s="8" t="s">
        <v>2889</v>
      </c>
      <c r="B36" t="s">
        <v>3270</v>
      </c>
      <c r="C36" s="5" t="s">
        <v>48</v>
      </c>
      <c r="D36" t="s">
        <v>65</v>
      </c>
      <c r="E36" t="str">
        <f t="shared" si="4"/>
        <v>data/champions.stats</v>
      </c>
      <c r="F36" s="5" t="s">
        <v>66</v>
      </c>
      <c r="G36" s="5">
        <f t="shared" si="1"/>
        <v>59302</v>
      </c>
      <c r="H36" s="5">
        <v>512</v>
      </c>
      <c r="I36" s="6" t="str">
        <f t="shared" si="2"/>
        <v>200</v>
      </c>
      <c r="K36" s="21" t="s">
        <v>4565</v>
      </c>
    </row>
    <row r="37" spans="1:11" x14ac:dyDescent="0.2">
      <c r="A37" s="8" t="s">
        <v>2893</v>
      </c>
      <c r="B37" t="s">
        <v>3271</v>
      </c>
      <c r="C37" s="5" t="s">
        <v>48</v>
      </c>
      <c r="D37" t="s">
        <v>67</v>
      </c>
      <c r="E37" t="str">
        <f t="shared" si="4"/>
        <v>data/champions.pockets</v>
      </c>
      <c r="F37" s="5" t="s">
        <v>68</v>
      </c>
      <c r="G37" s="5">
        <f t="shared" si="1"/>
        <v>59814</v>
      </c>
      <c r="H37" s="5">
        <v>256</v>
      </c>
      <c r="I37" s="6" t="str">
        <f t="shared" si="2"/>
        <v>100</v>
      </c>
    </row>
    <row r="38" spans="1:11" x14ac:dyDescent="0.2">
      <c r="A38" t="s">
        <v>3004</v>
      </c>
      <c r="B38" t="s">
        <v>3168</v>
      </c>
      <c r="C38" s="5" t="s">
        <v>48</v>
      </c>
      <c r="D38" t="s">
        <v>69</v>
      </c>
      <c r="E38" t="str">
        <f t="shared" si="4"/>
        <v>data/scrolls.text</v>
      </c>
      <c r="F38" s="5" t="s">
        <v>72</v>
      </c>
      <c r="G38" s="5">
        <f t="shared" si="1"/>
        <v>106538</v>
      </c>
      <c r="H38" s="5">
        <v>3234</v>
      </c>
      <c r="I38" s="6" t="str">
        <f t="shared" si="2"/>
        <v>CA2</v>
      </c>
    </row>
    <row r="39" spans="1:11" x14ac:dyDescent="0.2">
      <c r="A39" t="s">
        <v>3003</v>
      </c>
      <c r="B39" t="s">
        <v>3167</v>
      </c>
      <c r="C39" s="5" t="s">
        <v>48</v>
      </c>
      <c r="D39" t="s">
        <v>71</v>
      </c>
      <c r="E39" t="str">
        <f t="shared" si="4"/>
        <v>data/scrolls.offsets</v>
      </c>
      <c r="F39" s="5" t="s">
        <v>70</v>
      </c>
      <c r="G39" s="5">
        <f t="shared" si="1"/>
        <v>106392</v>
      </c>
      <c r="H39" s="5">
        <v>146</v>
      </c>
      <c r="I39" s="6" t="str">
        <f t="shared" si="2"/>
        <v>92</v>
      </c>
    </row>
    <row r="40" spans="1:11" x14ac:dyDescent="0.2">
      <c r="A40" t="s">
        <v>1402</v>
      </c>
      <c r="B40" t="s">
        <v>3166</v>
      </c>
      <c r="C40" s="5" t="s">
        <v>48</v>
      </c>
      <c r="D40" t="s">
        <v>3169</v>
      </c>
      <c r="E40" t="str">
        <f t="shared" si="4"/>
        <v>data/scrollstowers.data</v>
      </c>
      <c r="F40" s="5" t="s">
        <v>3170</v>
      </c>
      <c r="G40" s="5">
        <f t="shared" si="1"/>
        <v>21966</v>
      </c>
      <c r="H40" s="5">
        <v>6</v>
      </c>
      <c r="I40" s="6" t="str">
        <f t="shared" si="2"/>
        <v>6</v>
      </c>
    </row>
    <row r="41" spans="1:11" x14ac:dyDescent="0.2">
      <c r="A41" t="s">
        <v>2952</v>
      </c>
      <c r="B41" t="s">
        <v>2952</v>
      </c>
      <c r="C41" s="5" t="s">
        <v>8</v>
      </c>
      <c r="D41" t="s">
        <v>73</v>
      </c>
      <c r="E41" t="str">
        <f t="shared" si="4"/>
        <v>maps/mod0.map</v>
      </c>
      <c r="F41" s="5" t="s">
        <v>74</v>
      </c>
      <c r="G41" s="5">
        <f t="shared" si="1"/>
        <v>60348</v>
      </c>
      <c r="H41" s="5">
        <v>4096</v>
      </c>
      <c r="I41" s="6" t="str">
        <f t="shared" si="2"/>
        <v>1000</v>
      </c>
    </row>
    <row r="42" spans="1:11" x14ac:dyDescent="0.2">
      <c r="A42" t="s">
        <v>2953</v>
      </c>
      <c r="B42" t="s">
        <v>2953</v>
      </c>
      <c r="C42" s="5" t="s">
        <v>8</v>
      </c>
      <c r="D42" t="s">
        <v>75</v>
      </c>
      <c r="E42" t="str">
        <f t="shared" si="4"/>
        <v>maps/mod0.obj</v>
      </c>
      <c r="F42" s="5" t="s">
        <v>76</v>
      </c>
      <c r="G42" s="5">
        <f t="shared" si="1"/>
        <v>64444</v>
      </c>
      <c r="H42" s="5">
        <v>1026</v>
      </c>
      <c r="I42" s="6" t="str">
        <f t="shared" si="2"/>
        <v>402</v>
      </c>
    </row>
    <row r="43" spans="1:11" x14ac:dyDescent="0.2">
      <c r="A43" t="s">
        <v>2956</v>
      </c>
      <c r="B43" t="s">
        <v>2956</v>
      </c>
      <c r="C43" s="5" t="s">
        <v>8</v>
      </c>
      <c r="D43" t="s">
        <v>77</v>
      </c>
      <c r="E43" t="str">
        <f t="shared" si="4"/>
        <v>maps/serp.map</v>
      </c>
      <c r="F43" s="5" t="s">
        <v>78</v>
      </c>
      <c r="G43" s="5">
        <f t="shared" si="1"/>
        <v>65470</v>
      </c>
      <c r="H43" s="5">
        <v>4096</v>
      </c>
      <c r="I43" s="6" t="str">
        <f t="shared" si="2"/>
        <v>1000</v>
      </c>
    </row>
    <row r="44" spans="1:11" x14ac:dyDescent="0.2">
      <c r="A44" t="s">
        <v>2957</v>
      </c>
      <c r="B44" t="s">
        <v>2957</v>
      </c>
      <c r="C44" s="5" t="s">
        <v>8</v>
      </c>
      <c r="D44" t="s">
        <v>79</v>
      </c>
      <c r="E44" t="str">
        <f t="shared" si="4"/>
        <v>maps/serp.obj</v>
      </c>
      <c r="F44" s="5" t="s">
        <v>80</v>
      </c>
      <c r="G44" s="5">
        <f t="shared" si="1"/>
        <v>69566</v>
      </c>
      <c r="H44" s="5">
        <v>1026</v>
      </c>
      <c r="I44" s="6" t="str">
        <f t="shared" si="2"/>
        <v>402</v>
      </c>
    </row>
    <row r="45" spans="1:11" x14ac:dyDescent="0.2">
      <c r="A45" t="s">
        <v>3277</v>
      </c>
      <c r="B45" t="s">
        <v>3076</v>
      </c>
      <c r="C45" s="5" t="s">
        <v>8</v>
      </c>
      <c r="D45" t="s">
        <v>81</v>
      </c>
      <c r="E45" t="str">
        <f t="shared" si="4"/>
        <v>maps/moon.map</v>
      </c>
      <c r="F45" s="5" t="s">
        <v>82</v>
      </c>
      <c r="G45" s="5">
        <f t="shared" si="1"/>
        <v>70592</v>
      </c>
      <c r="H45" s="5">
        <v>4096</v>
      </c>
      <c r="I45" s="6" t="str">
        <f t="shared" si="2"/>
        <v>1000</v>
      </c>
    </row>
    <row r="46" spans="1:11" x14ac:dyDescent="0.2">
      <c r="A46" t="s">
        <v>2958</v>
      </c>
      <c r="B46" t="s">
        <v>2958</v>
      </c>
      <c r="C46" s="5" t="s">
        <v>8</v>
      </c>
      <c r="D46" t="s">
        <v>83</v>
      </c>
      <c r="E46" t="str">
        <f t="shared" si="4"/>
        <v>maps/moon.obj</v>
      </c>
      <c r="F46" s="5" t="s">
        <v>84</v>
      </c>
      <c r="G46" s="5">
        <f t="shared" si="1"/>
        <v>74688</v>
      </c>
      <c r="H46" s="5">
        <v>1026</v>
      </c>
      <c r="I46" s="6" t="str">
        <f t="shared" si="2"/>
        <v>402</v>
      </c>
    </row>
    <row r="47" spans="1:11" x14ac:dyDescent="0.2">
      <c r="A47" t="s">
        <v>2959</v>
      </c>
      <c r="B47" t="s">
        <v>2959</v>
      </c>
      <c r="C47" s="5" t="s">
        <v>8</v>
      </c>
      <c r="D47" t="s">
        <v>85</v>
      </c>
      <c r="E47" t="str">
        <f t="shared" si="4"/>
        <v>maps/drag.map</v>
      </c>
      <c r="F47" s="5" t="s">
        <v>86</v>
      </c>
      <c r="G47" s="5">
        <f t="shared" si="1"/>
        <v>75714</v>
      </c>
      <c r="H47" s="5">
        <v>4096</v>
      </c>
      <c r="I47" s="6" t="str">
        <f t="shared" si="2"/>
        <v>1000</v>
      </c>
    </row>
    <row r="48" spans="1:11" x14ac:dyDescent="0.2">
      <c r="A48" t="s">
        <v>2960</v>
      </c>
      <c r="B48" t="s">
        <v>2960</v>
      </c>
      <c r="C48" s="5" t="s">
        <v>8</v>
      </c>
      <c r="D48" t="s">
        <v>87</v>
      </c>
      <c r="E48" t="str">
        <f t="shared" si="4"/>
        <v>maps/drag.obj</v>
      </c>
      <c r="F48" s="5" t="s">
        <v>88</v>
      </c>
      <c r="G48" s="5">
        <f t="shared" si="1"/>
        <v>79810</v>
      </c>
      <c r="H48" s="5">
        <v>1026</v>
      </c>
      <c r="I48" s="6" t="str">
        <f t="shared" si="2"/>
        <v>402</v>
      </c>
    </row>
    <row r="49" spans="1:13" x14ac:dyDescent="0.2">
      <c r="A49" t="s">
        <v>2961</v>
      </c>
      <c r="B49" t="s">
        <v>2961</v>
      </c>
      <c r="C49" s="5" t="s">
        <v>8</v>
      </c>
      <c r="D49" t="s">
        <v>89</v>
      </c>
      <c r="E49" t="str">
        <f t="shared" si="4"/>
        <v>maps/chaos.map</v>
      </c>
      <c r="F49" s="5" t="s">
        <v>90</v>
      </c>
      <c r="G49" s="5">
        <f t="shared" si="1"/>
        <v>80836</v>
      </c>
      <c r="H49" s="5">
        <v>4096</v>
      </c>
      <c r="I49" s="6" t="str">
        <f t="shared" si="2"/>
        <v>1000</v>
      </c>
    </row>
    <row r="50" spans="1:13" x14ac:dyDescent="0.2">
      <c r="A50" t="s">
        <v>2962</v>
      </c>
      <c r="B50" t="s">
        <v>2962</v>
      </c>
      <c r="C50" s="5" t="s">
        <v>8</v>
      </c>
      <c r="D50" t="s">
        <v>91</v>
      </c>
      <c r="E50" t="str">
        <f t="shared" si="4"/>
        <v>maps/chaos.obj</v>
      </c>
      <c r="F50" s="5" t="s">
        <v>92</v>
      </c>
      <c r="G50" s="5">
        <f t="shared" si="1"/>
        <v>84932</v>
      </c>
      <c r="H50" s="5">
        <v>1026</v>
      </c>
      <c r="I50" s="6" t="str">
        <f t="shared" si="2"/>
        <v>402</v>
      </c>
    </row>
    <row r="51" spans="1:13" x14ac:dyDescent="0.2">
      <c r="A51" t="s">
        <v>2963</v>
      </c>
      <c r="B51" t="s">
        <v>2963</v>
      </c>
      <c r="C51" s="5" t="s">
        <v>8</v>
      </c>
      <c r="D51" t="s">
        <v>93</v>
      </c>
      <c r="E51" t="str">
        <f t="shared" si="4"/>
        <v>maps/zendik.map</v>
      </c>
      <c r="F51" s="5" t="s">
        <v>94</v>
      </c>
      <c r="G51" s="5">
        <f t="shared" si="1"/>
        <v>85958</v>
      </c>
      <c r="H51" s="5">
        <v>4096</v>
      </c>
      <c r="I51" s="6" t="str">
        <f t="shared" si="2"/>
        <v>1000</v>
      </c>
    </row>
    <row r="52" spans="1:13" x14ac:dyDescent="0.2">
      <c r="A52" t="s">
        <v>2964</v>
      </c>
      <c r="B52" t="s">
        <v>2964</v>
      </c>
      <c r="C52" s="5" t="s">
        <v>8</v>
      </c>
      <c r="D52" t="s">
        <v>95</v>
      </c>
      <c r="E52" t="str">
        <f t="shared" si="4"/>
        <v>maps/zendik.obj</v>
      </c>
      <c r="F52" s="5" t="s">
        <v>96</v>
      </c>
      <c r="G52" s="5">
        <f t="shared" si="1"/>
        <v>90054</v>
      </c>
      <c r="H52" s="5">
        <v>1026</v>
      </c>
      <c r="I52" s="6" t="str">
        <f t="shared" si="2"/>
        <v>402</v>
      </c>
    </row>
    <row r="53" spans="1:13" x14ac:dyDescent="0.2">
      <c r="A53" t="s">
        <v>2979</v>
      </c>
      <c r="B53" s="24" t="s">
        <v>2979</v>
      </c>
      <c r="C53" s="25" t="s">
        <v>8</v>
      </c>
      <c r="D53" s="24" t="s">
        <v>97</v>
      </c>
      <c r="E53" s="24" t="str">
        <f>IF(D53&lt;&gt;"",C53&amp;"/"&amp;D53,"")</f>
        <v>maps/monsters.totals</v>
      </c>
      <c r="F53" s="25" t="s">
        <v>98</v>
      </c>
      <c r="G53" s="5">
        <f>IF(F53&lt;&gt;"",HEX2DEC(SUBSTITUTE(SUBSTITUTE(F53,"adrEA",""),"$","")),"")</f>
        <v>94708</v>
      </c>
      <c r="H53" s="25">
        <v>12</v>
      </c>
      <c r="I53" s="6" t="str">
        <f>IFERROR(DEC2HEX(H53),"")</f>
        <v>C</v>
      </c>
      <c r="J53" s="6" t="s">
        <v>3465</v>
      </c>
    </row>
    <row r="54" spans="1:13" ht="17" x14ac:dyDescent="0.25">
      <c r="A54" s="11" t="s">
        <v>2979</v>
      </c>
      <c r="B54" s="8" t="s">
        <v>3466</v>
      </c>
      <c r="C54" s="5" t="s">
        <v>8</v>
      </c>
      <c r="D54" t="s">
        <v>99</v>
      </c>
      <c r="E54" t="str">
        <f>IF(D54&lt;&gt;"",C54&amp;"/"&amp;D54,"")</f>
        <v>maps/mod0.monstercount</v>
      </c>
      <c r="F54" s="5" t="s">
        <v>98</v>
      </c>
      <c r="G54" s="5">
        <f>IF(F54&lt;&gt;"",HEX2DEC(SUBSTITUTE(SUBSTITUTE(F54,"adrEA",""),"$","")),"")</f>
        <v>94708</v>
      </c>
      <c r="H54" s="5">
        <v>2</v>
      </c>
      <c r="I54" s="6" t="str">
        <f>IFERROR(DEC2HEX(H54),"")</f>
        <v>2</v>
      </c>
      <c r="J54" s="18" t="s">
        <v>3455</v>
      </c>
      <c r="K54" s="23"/>
      <c r="L54" s="18"/>
      <c r="M54" s="18"/>
    </row>
    <row r="55" spans="1:13" ht="17" x14ac:dyDescent="0.25">
      <c r="A55" s="11" t="s">
        <v>2979</v>
      </c>
      <c r="B55" s="8" t="s">
        <v>3467</v>
      </c>
      <c r="C55" s="5" t="s">
        <v>8</v>
      </c>
      <c r="D55" t="s">
        <v>100</v>
      </c>
      <c r="E55" t="str">
        <f>IF(D55&lt;&gt;"",C55&amp;"/"&amp;D55,"")</f>
        <v>maps/serp.monstercount</v>
      </c>
      <c r="F55" s="5" t="s">
        <v>101</v>
      </c>
      <c r="G55" s="5">
        <f>IF(F55&lt;&gt;"",HEX2DEC(SUBSTITUTE(SUBSTITUTE(F55,"adrEA",""),"$","")),"")</f>
        <v>94710</v>
      </c>
      <c r="H55" s="5">
        <v>2</v>
      </c>
      <c r="I55" s="6" t="str">
        <f>IFERROR(DEC2HEX(H55),"")</f>
        <v>2</v>
      </c>
      <c r="J55" s="18" t="s">
        <v>3460</v>
      </c>
      <c r="K55" s="23"/>
      <c r="L55" s="18"/>
      <c r="M55" s="18"/>
    </row>
    <row r="56" spans="1:13" ht="17" x14ac:dyDescent="0.25">
      <c r="A56" s="11" t="s">
        <v>2979</v>
      </c>
      <c r="B56" s="8" t="s">
        <v>3468</v>
      </c>
      <c r="C56" s="5" t="s">
        <v>8</v>
      </c>
      <c r="D56" t="s">
        <v>102</v>
      </c>
      <c r="E56" t="str">
        <f>IF(D56&lt;&gt;"",C56&amp;"/"&amp;D56,"")</f>
        <v>maps/moon.monstercount</v>
      </c>
      <c r="F56" s="5" t="s">
        <v>103</v>
      </c>
      <c r="G56" s="5">
        <f>IF(F56&lt;&gt;"",HEX2DEC(SUBSTITUTE(SUBSTITUTE(F56,"adrEA",""),"$","")),"")</f>
        <v>94712</v>
      </c>
      <c r="H56" s="5">
        <v>2</v>
      </c>
      <c r="I56" s="6" t="str">
        <f>IFERROR(DEC2HEX(H56),"")</f>
        <v>2</v>
      </c>
      <c r="J56" s="18" t="s">
        <v>3460</v>
      </c>
      <c r="K56" s="23"/>
      <c r="L56" s="18"/>
      <c r="M56" s="18"/>
    </row>
    <row r="57" spans="1:13" ht="17" x14ac:dyDescent="0.25">
      <c r="A57" s="11" t="s">
        <v>2979</v>
      </c>
      <c r="B57" s="8" t="s">
        <v>3469</v>
      </c>
      <c r="C57" s="5" t="s">
        <v>8</v>
      </c>
      <c r="D57" t="s">
        <v>104</v>
      </c>
      <c r="E57" t="str">
        <f>IF(D57&lt;&gt;"",C57&amp;"/"&amp;D57,"")</f>
        <v>maps/drag.monstercount</v>
      </c>
      <c r="F57" s="5" t="s">
        <v>105</v>
      </c>
      <c r="G57" s="5">
        <f>IF(F57&lt;&gt;"",HEX2DEC(SUBSTITUTE(SUBSTITUTE(F57,"adrEA",""),"$","")),"")</f>
        <v>94714</v>
      </c>
      <c r="H57" s="5">
        <v>2</v>
      </c>
      <c r="I57" s="6" t="str">
        <f>IFERROR(DEC2HEX(H57),"")</f>
        <v>2</v>
      </c>
      <c r="J57" s="18" t="s">
        <v>3460</v>
      </c>
      <c r="K57" s="23"/>
      <c r="L57" s="18"/>
      <c r="M57" s="18"/>
    </row>
    <row r="58" spans="1:13" ht="17" x14ac:dyDescent="0.25">
      <c r="A58" s="11" t="s">
        <v>2979</v>
      </c>
      <c r="B58" s="8" t="s">
        <v>3470</v>
      </c>
      <c r="C58" s="5" t="s">
        <v>8</v>
      </c>
      <c r="D58" t="s">
        <v>106</v>
      </c>
      <c r="E58" t="str">
        <f>IF(D58&lt;&gt;"",C58&amp;"/"&amp;D58,"")</f>
        <v>maps/chaos.monstercount</v>
      </c>
      <c r="F58" s="5" t="s">
        <v>107</v>
      </c>
      <c r="G58" s="5">
        <f>IF(F58&lt;&gt;"",HEX2DEC(SUBSTITUTE(SUBSTITUTE(F58,"adrEA",""),"$","")),"")</f>
        <v>94716</v>
      </c>
      <c r="H58" s="5">
        <v>2</v>
      </c>
      <c r="I58" s="6" t="str">
        <f>IFERROR(DEC2HEX(H58),"")</f>
        <v>2</v>
      </c>
      <c r="J58" s="18" t="s">
        <v>3460</v>
      </c>
      <c r="K58" s="23"/>
      <c r="L58" s="18"/>
      <c r="M58" s="18"/>
    </row>
    <row r="59" spans="1:13" ht="17" x14ac:dyDescent="0.25">
      <c r="A59" s="11" t="s">
        <v>2979</v>
      </c>
      <c r="B59" s="8" t="s">
        <v>3471</v>
      </c>
      <c r="C59" s="5" t="s">
        <v>8</v>
      </c>
      <c r="D59" t="s">
        <v>108</v>
      </c>
      <c r="E59" t="str">
        <f>IF(D59&lt;&gt;"",C59&amp;"/"&amp;D59,"")</f>
        <v>maps/zendik.monstercount</v>
      </c>
      <c r="F59" s="5" t="s">
        <v>109</v>
      </c>
      <c r="G59" s="5">
        <f>IF(F59&lt;&gt;"",HEX2DEC(SUBSTITUTE(SUBSTITUTE(F59,"adrEA",""),"$","")),"")</f>
        <v>94718</v>
      </c>
      <c r="H59" s="5">
        <v>2</v>
      </c>
      <c r="I59" s="6" t="str">
        <f>IFERROR(DEC2HEX(H59),"")</f>
        <v>2</v>
      </c>
      <c r="J59" s="18" t="s">
        <v>3460</v>
      </c>
      <c r="K59" s="23"/>
      <c r="L59" s="18"/>
      <c r="M59" s="18"/>
    </row>
    <row r="60" spans="1:13" ht="17" x14ac:dyDescent="0.25">
      <c r="A60" t="s">
        <v>2980</v>
      </c>
      <c r="B60" s="8"/>
      <c r="E60" t="str">
        <f>IF(D60&lt;&gt;"",C60&amp;"/"&amp;D60,"")</f>
        <v/>
      </c>
      <c r="G60" s="5" t="str">
        <f>IF(F60&lt;&gt;"",HEX2DEC(SUBSTITUTE(SUBSTITUTE(F60,"adrEA",""),"$","")),"")</f>
        <v/>
      </c>
      <c r="I60" s="6" t="str">
        <f>IFERROR(DEC2HEX(H60),"")</f>
        <v>0</v>
      </c>
      <c r="J60" s="18"/>
      <c r="K60" s="23"/>
      <c r="L60" s="18"/>
      <c r="M60" s="18"/>
    </row>
    <row r="61" spans="1:13" ht="17" x14ac:dyDescent="0.25">
      <c r="A61" t="s">
        <v>2980</v>
      </c>
      <c r="B61" s="8" t="s">
        <v>3783</v>
      </c>
      <c r="C61" s="5" t="s">
        <v>8</v>
      </c>
      <c r="D61" t="s">
        <v>110</v>
      </c>
      <c r="E61" t="str">
        <f>IF(D61&lt;&gt;"",C61&amp;"/"&amp;D61,"")</f>
        <v>maps/mod0.monsters</v>
      </c>
      <c r="F61" s="5" t="s">
        <v>111</v>
      </c>
      <c r="G61" s="5">
        <f>IF(F61&lt;&gt;"",HEX2DEC(SUBSTITUTE(SUBSTITUTE(F61,"adrEA",""),"$","")),"")</f>
        <v>94720</v>
      </c>
      <c r="H61" s="5">
        <v>768</v>
      </c>
      <c r="I61" s="6" t="str">
        <f>IFERROR(DEC2HEX(H61),"")</f>
        <v>300</v>
      </c>
      <c r="J61" s="18" t="s">
        <v>3455</v>
      </c>
    </row>
    <row r="62" spans="1:13" ht="17" x14ac:dyDescent="0.25">
      <c r="A62" t="s">
        <v>2980</v>
      </c>
      <c r="B62" s="8" t="s">
        <v>3784</v>
      </c>
      <c r="C62" s="5" t="s">
        <v>8</v>
      </c>
      <c r="D62" t="s">
        <v>112</v>
      </c>
      <c r="E62" t="str">
        <f>IF(D62&lt;&gt;"",C62&amp;"/"&amp;D62,"")</f>
        <v>maps/serp.monsters</v>
      </c>
      <c r="F62" s="5" t="s">
        <v>113</v>
      </c>
      <c r="G62" s="5">
        <f>IF(F62&lt;&gt;"",HEX2DEC(SUBSTITUTE(SUBSTITUTE(F62,"adrEA",""),"$","")),"")</f>
        <v>95488</v>
      </c>
      <c r="H62" s="5">
        <v>768</v>
      </c>
      <c r="I62" s="6" t="str">
        <f>IFERROR(DEC2HEX(H62),"")</f>
        <v>300</v>
      </c>
      <c r="J62" s="18" t="s">
        <v>3460</v>
      </c>
    </row>
    <row r="63" spans="1:13" ht="17" x14ac:dyDescent="0.25">
      <c r="A63" t="s">
        <v>2980</v>
      </c>
      <c r="B63" s="8" t="s">
        <v>3785</v>
      </c>
      <c r="C63" s="5" t="s">
        <v>8</v>
      </c>
      <c r="D63" t="s">
        <v>114</v>
      </c>
      <c r="E63" t="str">
        <f>IF(D63&lt;&gt;"",C63&amp;"/"&amp;D63,"")</f>
        <v>maps/moon.monsters</v>
      </c>
      <c r="F63" s="5" t="s">
        <v>115</v>
      </c>
      <c r="G63" s="5">
        <f>IF(F63&lt;&gt;"",HEX2DEC(SUBSTITUTE(SUBSTITUTE(F63,"adrEA",""),"$","")),"")</f>
        <v>96256</v>
      </c>
      <c r="H63" s="5">
        <v>768</v>
      </c>
      <c r="I63" s="6" t="str">
        <f>IFERROR(DEC2HEX(H63),"")</f>
        <v>300</v>
      </c>
      <c r="J63" s="18" t="s">
        <v>3460</v>
      </c>
    </row>
    <row r="64" spans="1:13" ht="17" x14ac:dyDescent="0.25">
      <c r="A64" t="s">
        <v>2980</v>
      </c>
      <c r="B64" s="8" t="s">
        <v>3786</v>
      </c>
      <c r="C64" s="5" t="s">
        <v>8</v>
      </c>
      <c r="D64" t="s">
        <v>116</v>
      </c>
      <c r="E64" t="str">
        <f>IF(D64&lt;&gt;"",C64&amp;"/"&amp;D64,"")</f>
        <v>maps/drag.monsters</v>
      </c>
      <c r="F64" s="5" t="s">
        <v>117</v>
      </c>
      <c r="G64" s="5">
        <f>IF(F64&lt;&gt;"",HEX2DEC(SUBSTITUTE(SUBSTITUTE(F64,"adrEA",""),"$","")),"")</f>
        <v>97024</v>
      </c>
      <c r="H64" s="5">
        <v>768</v>
      </c>
      <c r="I64" s="6" t="str">
        <f>IFERROR(DEC2HEX(H64),"")</f>
        <v>300</v>
      </c>
      <c r="J64" s="18" t="s">
        <v>3460</v>
      </c>
    </row>
    <row r="65" spans="1:16" ht="17" x14ac:dyDescent="0.25">
      <c r="A65" t="s">
        <v>2980</v>
      </c>
      <c r="B65" s="8" t="s">
        <v>3787</v>
      </c>
      <c r="C65" s="5" t="s">
        <v>8</v>
      </c>
      <c r="D65" t="s">
        <v>118</v>
      </c>
      <c r="E65" t="str">
        <f>IF(D65&lt;&gt;"",C65&amp;"/"&amp;D65,"")</f>
        <v>maps/chaos.monsters</v>
      </c>
      <c r="F65" s="5" t="s">
        <v>119</v>
      </c>
      <c r="G65" s="5">
        <f>IF(F65&lt;&gt;"",HEX2DEC(SUBSTITUTE(SUBSTITUTE(F65,"adrEA",""),"$","")),"")</f>
        <v>97792</v>
      </c>
      <c r="H65" s="5">
        <v>768</v>
      </c>
      <c r="I65" s="6" t="str">
        <f>IFERROR(DEC2HEX(H65),"")</f>
        <v>300</v>
      </c>
      <c r="J65" s="18" t="s">
        <v>3460</v>
      </c>
    </row>
    <row r="66" spans="1:16" ht="17" x14ac:dyDescent="0.25">
      <c r="A66" t="s">
        <v>2980</v>
      </c>
      <c r="B66" s="8" t="s">
        <v>3788</v>
      </c>
      <c r="C66" s="5" t="s">
        <v>8</v>
      </c>
      <c r="D66" t="s">
        <v>120</v>
      </c>
      <c r="E66" t="str">
        <f>IF(D66&lt;&gt;"",C66&amp;"/"&amp;D66,"")</f>
        <v>maps/zendik.monsters</v>
      </c>
      <c r="F66" s="5" t="s">
        <v>3808</v>
      </c>
      <c r="G66" s="5">
        <f>IF(F66&lt;&gt;"",HEX2DEC(SUBSTITUTE(SUBSTITUTE(F66,"adrEA",""),"$","")),"")</f>
        <v>98560</v>
      </c>
      <c r="H66" s="5">
        <v>768</v>
      </c>
      <c r="I66" s="6" t="str">
        <f>IFERROR(DEC2HEX(H66),"")</f>
        <v>300</v>
      </c>
      <c r="J66" s="18" t="s">
        <v>3460</v>
      </c>
    </row>
    <row r="67" spans="1:16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4648</v>
      </c>
      <c r="F67" s="5" t="s">
        <v>303</v>
      </c>
      <c r="G67" s="5">
        <f>IF(F67&lt;&gt;"",HEX2DEC(SUBSTITUTE(SUBSTITUTE(F67,"adrEA",""),"$","")),"")</f>
        <v>100602</v>
      </c>
      <c r="H67" s="5">
        <v>640</v>
      </c>
      <c r="I67" s="6" t="str">
        <f>IFERROR(DEC2HEX(H67),"")</f>
        <v>280</v>
      </c>
      <c r="K67" s="21" t="s">
        <v>4649</v>
      </c>
    </row>
    <row r="68" spans="1:16" x14ac:dyDescent="0.2">
      <c r="A68" t="s">
        <v>2993</v>
      </c>
      <c r="B68" t="s">
        <v>3150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3177</v>
      </c>
      <c r="G68" s="5">
        <f>IF(F68&lt;&gt;"",HEX2DEC(SUBSTITUTE(SUBSTITUTE(F68,"adrEA",""),"$","")),"")</f>
        <v>101242</v>
      </c>
      <c r="H68" s="5" t="s">
        <v>124</v>
      </c>
      <c r="I68" s="6" t="str">
        <f>IFERROR(DEC2HEX(H68),"")</f>
        <v>2C0</v>
      </c>
      <c r="N68" t="e">
        <f>DEC2HEX(#REF!+#REF!)</f>
        <v>#REF!</v>
      </c>
      <c r="O68" t="e">
        <f>DEC2HEX(#REF!+#REF!)</f>
        <v>#REF!</v>
      </c>
      <c r="P68" t="s">
        <v>3176</v>
      </c>
    </row>
    <row r="69" spans="1:16" x14ac:dyDescent="0.2">
      <c r="A69" t="s">
        <v>2994</v>
      </c>
      <c r="B69" t="s">
        <v>3151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3178</v>
      </c>
      <c r="G69" s="5">
        <f>IF(F69&lt;&gt;"",HEX2DEC(SUBSTITUTE(SUBSTITUTE(F69,"adrEA",""),"$","")),"")</f>
        <v>101946</v>
      </c>
      <c r="H69" s="5" t="s">
        <v>126</v>
      </c>
      <c r="I69" s="6" t="str">
        <f>IFERROR(DEC2HEX(H69),"")</f>
        <v>2D0</v>
      </c>
      <c r="N69" t="str">
        <f>DEC2HEX(G68+H68)</f>
        <v>18E3A</v>
      </c>
      <c r="O69" t="e">
        <f>DEC2HEX(#REF!+#REF!)</f>
        <v>#REF!</v>
      </c>
    </row>
    <row r="70" spans="1:16" x14ac:dyDescent="0.2">
      <c r="A70" t="s">
        <v>2995</v>
      </c>
      <c r="B70" t="s">
        <v>3153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3179</v>
      </c>
      <c r="G70" s="5">
        <f>IF(F70&lt;&gt;"",HEX2DEC(SUBSTITUTE(SUBSTITUTE(F70,"adrEA",""),"$","")),"")</f>
        <v>102666</v>
      </c>
      <c r="H70" s="5" t="s">
        <v>126</v>
      </c>
      <c r="I70" s="6" t="str">
        <f>IFERROR(DEC2HEX(H70),"")</f>
        <v>2D0</v>
      </c>
      <c r="N70" t="str">
        <f>DEC2HEX(G69+H69)</f>
        <v>1910A</v>
      </c>
      <c r="O70" t="e">
        <f>DEC2HEX(#REF!+#REF!)</f>
        <v>#REF!</v>
      </c>
    </row>
    <row r="71" spans="1:16" x14ac:dyDescent="0.2">
      <c r="A71" t="s">
        <v>2996</v>
      </c>
      <c r="B71" t="s">
        <v>3152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3180</v>
      </c>
      <c r="G71" s="5">
        <f>IF(F71&lt;&gt;"",HEX2DEC(SUBSTITUTE(SUBSTITUTE(F71,"adrEA",""),"$","")),"")</f>
        <v>103386</v>
      </c>
      <c r="H71" s="5" t="s">
        <v>129</v>
      </c>
      <c r="I71" s="6" t="str">
        <f>IFERROR(DEC2HEX(H71),"")</f>
        <v>1D0</v>
      </c>
      <c r="N71" t="str">
        <f>DEC2HEX(G70+H70)</f>
        <v>193DA</v>
      </c>
      <c r="O71" t="e">
        <f>DEC2HEX(#REF!+#REF!)</f>
        <v>#REF!</v>
      </c>
    </row>
    <row r="72" spans="1:16" ht="17" x14ac:dyDescent="0.25">
      <c r="A72" t="s">
        <v>2997</v>
      </c>
      <c r="B72" s="19" t="s">
        <v>3154</v>
      </c>
      <c r="C72" s="5" t="s">
        <v>121</v>
      </c>
      <c r="D72" s="19" t="s">
        <v>130</v>
      </c>
      <c r="E72" t="s">
        <v>3858</v>
      </c>
      <c r="F72" s="18" t="s">
        <v>3181</v>
      </c>
      <c r="G72" s="5">
        <f>IF(F72&lt;&gt;"",HEX2DEC(SUBSTITUTE(SUBSTITUTE(F72,"adrEA",""),"$","")),"")</f>
        <v>103850</v>
      </c>
      <c r="H72" s="5">
        <v>464</v>
      </c>
      <c r="I72" s="6" t="str">
        <f>IFERROR(DEC2HEX(H72),"")</f>
        <v>1D0</v>
      </c>
    </row>
    <row r="73" spans="1:16" x14ac:dyDescent="0.2">
      <c r="A73" t="s">
        <v>2998</v>
      </c>
      <c r="B73" t="s">
        <v>3155</v>
      </c>
      <c r="C73" s="5" t="s">
        <v>121</v>
      </c>
      <c r="D73" t="s">
        <v>131</v>
      </c>
      <c r="E73" t="str">
        <f>IF(D73&lt;&gt;"",C73&amp;"/"&amp;D73,"")</f>
        <v>gfx/Shield_Clicked.gfx</v>
      </c>
      <c r="F73" s="5" t="s">
        <v>3182</v>
      </c>
      <c r="G73" s="5">
        <f>IF(F73&lt;&gt;"",HEX2DEC(SUBSTITUTE(SUBSTITUTE(F73,"adrEA",""),"$","")),"")</f>
        <v>104570</v>
      </c>
      <c r="H73" s="5" t="s">
        <v>132</v>
      </c>
      <c r="I73" s="6" t="str">
        <f>IFERROR(DEC2HEX(H73),"")</f>
        <v>290</v>
      </c>
      <c r="N73" t="e">
        <f>DEC2HEX(#REF!+#REF!)</f>
        <v>#REF!</v>
      </c>
      <c r="O73" t="e">
        <f>DEC2HEX(#REF!+#REF!)</f>
        <v>#REF!</v>
      </c>
    </row>
    <row r="74" spans="1:16" x14ac:dyDescent="0.2">
      <c r="A74" t="s">
        <v>3005</v>
      </c>
      <c r="B74" t="s">
        <v>3124</v>
      </c>
      <c r="C74" s="5" t="s">
        <v>121</v>
      </c>
      <c r="D74" t="s">
        <v>133</v>
      </c>
      <c r="E74" t="str">
        <f>IF(D74&lt;&gt;"",C74&amp;"/"&amp;D74,"")</f>
        <v>gfx/Main_Walls.gfx</v>
      </c>
      <c r="F74" s="5" t="s">
        <v>134</v>
      </c>
      <c r="G74" s="5">
        <f>IF(F74&lt;&gt;"",HEX2DEC(SUBSTITUTE(SUBSTITUTE(F74,"adrEA",""),"$","")),"")</f>
        <v>109772</v>
      </c>
      <c r="H74" s="5">
        <v>18736</v>
      </c>
      <c r="I74" s="6" t="str">
        <f>IFERROR(DEC2HEX(H74),"")</f>
        <v>4930</v>
      </c>
      <c r="N74" t="str">
        <f>RIGHT(A74,5)</f>
        <v>1B050</v>
      </c>
    </row>
    <row r="75" spans="1:16" x14ac:dyDescent="0.2">
      <c r="A75" t="s">
        <v>3006</v>
      </c>
      <c r="B75" t="s">
        <v>3144</v>
      </c>
      <c r="C75" s="5" t="s">
        <v>121</v>
      </c>
      <c r="D75" t="s">
        <v>135</v>
      </c>
      <c r="E75" t="str">
        <f>IF(D75&lt;&gt;"",C75&amp;"/"&amp;D75,"")</f>
        <v>gfx/Wooden_Wall.gfx</v>
      </c>
      <c r="F75" s="5" t="s">
        <v>136</v>
      </c>
      <c r="G75" s="5">
        <f>IF(F75&lt;&gt;"",HEX2DEC(SUBSTITUTE(SUBSTITUTE(F75,"adrEA",""),"$","")),"")</f>
        <v>128508</v>
      </c>
      <c r="H75" s="5">
        <v>18736</v>
      </c>
      <c r="I75" s="6" t="str">
        <f>IFERROR(DEC2HEX(H75),"")</f>
        <v>4930</v>
      </c>
    </row>
    <row r="76" spans="1:16" x14ac:dyDescent="0.2">
      <c r="A76" t="s">
        <v>3007</v>
      </c>
      <c r="B76" t="s">
        <v>3125</v>
      </c>
      <c r="C76" s="5" t="s">
        <v>121</v>
      </c>
      <c r="D76" t="s">
        <v>137</v>
      </c>
      <c r="E76" t="str">
        <f>IF(D76&lt;&gt;"",C76&amp;"/"&amp;D76,"")</f>
        <v>gfx/Wooden_Doors.gfx</v>
      </c>
      <c r="F76" s="5" t="s">
        <v>138</v>
      </c>
      <c r="G76" s="5">
        <f>IF(F76&lt;&gt;"",HEX2DEC(SUBSTITUTE(SUBSTITUTE(F76,"adrEA",""),"$","")),"")</f>
        <v>147244</v>
      </c>
      <c r="H76" s="5">
        <v>4576</v>
      </c>
      <c r="I76" s="6" t="str">
        <f>IFERROR(DEC2HEX(H76),"")</f>
        <v>11E0</v>
      </c>
    </row>
    <row r="77" spans="1:16" x14ac:dyDescent="0.2">
      <c r="A77" t="s">
        <v>3008</v>
      </c>
      <c r="B77" t="s">
        <v>3132</v>
      </c>
      <c r="C77" s="5" t="s">
        <v>121</v>
      </c>
      <c r="D77" t="s">
        <v>139</v>
      </c>
      <c r="E77" t="str">
        <f>IF(D77&lt;&gt;"",C77&amp;"/"&amp;D77,"")</f>
        <v>gfx/Main_Shelf.gfx</v>
      </c>
      <c r="F77" s="5" t="s">
        <v>140</v>
      </c>
      <c r="G77" s="5">
        <f>IF(F77&lt;&gt;"",HEX2DEC(SUBSTITUTE(SUBSTITUTE(F77,"adrEA",""),"$","")),"")</f>
        <v>151820</v>
      </c>
      <c r="H77" s="5">
        <v>2120</v>
      </c>
      <c r="I77" s="6" t="str">
        <f>IFERROR(DEC2HEX(H77),"")</f>
        <v>848</v>
      </c>
    </row>
    <row r="78" spans="1:16" x14ac:dyDescent="0.2">
      <c r="A78" t="s">
        <v>3009</v>
      </c>
      <c r="B78" t="s">
        <v>3133</v>
      </c>
      <c r="C78" s="5" t="s">
        <v>121</v>
      </c>
      <c r="D78" t="s">
        <v>141</v>
      </c>
      <c r="E78" t="str">
        <f>IF(D78&lt;&gt;"",C78&amp;"/"&amp;D78,"")</f>
        <v>gfx/Main_Sign.gfx</v>
      </c>
      <c r="F78" s="5" t="s">
        <v>142</v>
      </c>
      <c r="G78" s="5">
        <f>IF(F78&lt;&gt;"",HEX2DEC(SUBSTITUTE(SUBSTITUTE(F78,"adrEA",""),"$","")),"")</f>
        <v>153940</v>
      </c>
      <c r="H78" s="5">
        <v>4048</v>
      </c>
      <c r="I78" s="6" t="str">
        <f>IFERROR(DEC2HEX(H78),"")</f>
        <v>FD0</v>
      </c>
    </row>
    <row r="79" spans="1:16" x14ac:dyDescent="0.2">
      <c r="A79" t="s">
        <v>3010</v>
      </c>
      <c r="B79" t="s">
        <v>3134</v>
      </c>
      <c r="C79" s="5" t="s">
        <v>121</v>
      </c>
      <c r="D79" t="s">
        <v>143</v>
      </c>
      <c r="E79" t="str">
        <f>IF(D79&lt;&gt;"",C79&amp;"/"&amp;D79,"")</f>
        <v>gfx/Main_SignOverlay.gfx</v>
      </c>
      <c r="F79" s="5" t="s">
        <v>144</v>
      </c>
      <c r="G79" s="5">
        <f>IF(F79&lt;&gt;"",HEX2DEC(SUBSTITUTE(SUBSTITUTE(F79,"adrEA",""),"$","")),"")</f>
        <v>157988</v>
      </c>
      <c r="H79" s="5">
        <v>6208</v>
      </c>
      <c r="I79" s="6" t="str">
        <f>IFERROR(DEC2HEX(H79),"")</f>
        <v>1840</v>
      </c>
    </row>
    <row r="80" spans="1:16" x14ac:dyDescent="0.2">
      <c r="A80" t="s">
        <v>3011</v>
      </c>
      <c r="B80" t="s">
        <v>3135</v>
      </c>
      <c r="C80" s="5" t="s">
        <v>121</v>
      </c>
      <c r="D80" t="s">
        <v>145</v>
      </c>
      <c r="E80" t="str">
        <f>IF(D80&lt;&gt;"",C80&amp;"/"&amp;D80,"")</f>
        <v>gfx/Main_Switches.gfx</v>
      </c>
      <c r="F80" s="5" t="s">
        <v>146</v>
      </c>
      <c r="G80" s="5">
        <f>IF(F80&lt;&gt;"",HEX2DEC(SUBSTITUTE(SUBSTITUTE(F80,"adrEA",""),"$","")),"")</f>
        <v>164196</v>
      </c>
      <c r="H80" s="5">
        <v>696</v>
      </c>
      <c r="I80" s="6" t="str">
        <f>IFERROR(DEC2HEX(H80),"")</f>
        <v>2B8</v>
      </c>
    </row>
    <row r="81" spans="1:15" x14ac:dyDescent="0.2">
      <c r="A81" t="s">
        <v>3012</v>
      </c>
      <c r="B81" t="s">
        <v>3136</v>
      </c>
      <c r="C81" s="5" t="s">
        <v>121</v>
      </c>
      <c r="D81" t="s">
        <v>147</v>
      </c>
      <c r="E81" t="str">
        <f>IF(D81&lt;&gt;"",C81&amp;"/"&amp;D81,"")</f>
        <v>gfx/Main_Slots.gfx</v>
      </c>
      <c r="F81" s="5" t="s">
        <v>148</v>
      </c>
      <c r="G81" s="5">
        <f>IF(F81&lt;&gt;"",HEX2DEC(SUBSTITUTE(SUBSTITUTE(F81,"adrEA",""),"$","")),"")</f>
        <v>164892</v>
      </c>
      <c r="H81" s="5">
        <v>1160</v>
      </c>
      <c r="I81" s="6" t="str">
        <f>IFERROR(DEC2HEX(H81),"")</f>
        <v>488</v>
      </c>
      <c r="K81" s="21" t="s">
        <v>3774</v>
      </c>
    </row>
    <row r="82" spans="1:15" x14ac:dyDescent="0.2">
      <c r="A82" t="s">
        <v>3013</v>
      </c>
      <c r="B82" t="s">
        <v>3137</v>
      </c>
      <c r="C82" s="5" t="s">
        <v>121</v>
      </c>
      <c r="D82" t="s">
        <v>149</v>
      </c>
      <c r="E82" t="str">
        <f>IF(D82&lt;&gt;"",C82&amp;"/"&amp;D82,"")</f>
        <v>gfx/Misc_Bed.gfx</v>
      </c>
      <c r="F82" s="5" t="s">
        <v>150</v>
      </c>
      <c r="G82" s="5">
        <f>IF(F82&lt;&gt;"",HEX2DEC(SUBSTITUTE(SUBSTITUTE(F82,"adrEA",""),"$","")),"")</f>
        <v>166052</v>
      </c>
      <c r="H82" s="5">
        <v>2680</v>
      </c>
      <c r="I82" s="6" t="str">
        <f>IFERROR(DEC2HEX(H82),"")</f>
        <v>A78</v>
      </c>
    </row>
    <row r="83" spans="1:15" x14ac:dyDescent="0.2">
      <c r="A83" t="s">
        <v>3014</v>
      </c>
      <c r="B83" t="s">
        <v>3138</v>
      </c>
      <c r="C83" s="5" t="s">
        <v>121</v>
      </c>
      <c r="D83" t="s">
        <v>151</v>
      </c>
      <c r="E83" t="str">
        <f>IF(D83&lt;&gt;"",C83&amp;"/"&amp;D83,"")</f>
        <v>gfx/Misc_Pillar.gfx</v>
      </c>
      <c r="F83" s="5" t="s">
        <v>152</v>
      </c>
      <c r="G83" s="5">
        <f>IF(F83&lt;&gt;"",HEX2DEC(SUBSTITUTE(SUBSTITUTE(F83,"adrEA",""),"$","")),"")</f>
        <v>168732</v>
      </c>
      <c r="H83" s="5">
        <v>5272</v>
      </c>
      <c r="I83" s="6" t="str">
        <f>IFERROR(DEC2HEX(H83),"")</f>
        <v>1498</v>
      </c>
    </row>
    <row r="84" spans="1:15" x14ac:dyDescent="0.2">
      <c r="A84" t="s">
        <v>3015</v>
      </c>
      <c r="B84" t="s">
        <v>3139</v>
      </c>
      <c r="C84" s="5" t="s">
        <v>121</v>
      </c>
      <c r="D84" t="s">
        <v>153</v>
      </c>
      <c r="E84" t="str">
        <f>IF(D84&lt;&gt;"",C84&amp;"/"&amp;D84,"")</f>
        <v>gfx/Stairs_Up.gfx</v>
      </c>
      <c r="F84" s="5" t="s">
        <v>3183</v>
      </c>
      <c r="G84" s="5">
        <f>IF(F84&lt;&gt;"",HEX2DEC(SUBSTITUTE(SUBSTITUTE(F84,"adrEA",""),"$","")),"")</f>
        <v>174004</v>
      </c>
      <c r="H84" s="5">
        <v>7848</v>
      </c>
      <c r="I84" s="6" t="str">
        <f>IFERROR(DEC2HEX(H84),"")</f>
        <v>1EA8</v>
      </c>
    </row>
    <row r="85" spans="1:15" x14ac:dyDescent="0.2">
      <c r="A85" t="s">
        <v>3016</v>
      </c>
      <c r="B85" t="s">
        <v>3140</v>
      </c>
      <c r="C85" s="5" t="s">
        <v>121</v>
      </c>
      <c r="D85" t="s">
        <v>154</v>
      </c>
      <c r="E85" t="str">
        <f>IF(D85&lt;&gt;"",C85&amp;"/"&amp;D85,"")</f>
        <v>gfx/Stairs_Down.gfx</v>
      </c>
      <c r="F85" s="5" t="s">
        <v>155</v>
      </c>
      <c r="G85" s="5">
        <f>IF(F85&lt;&gt;"",HEX2DEC(SUBSTITUTE(SUBSTITUTE(F85,"adrEA",""),"$","")),"")</f>
        <v>181852</v>
      </c>
      <c r="H85" s="5">
        <v>3200</v>
      </c>
      <c r="I85" s="6" t="str">
        <f>IFERROR(DEC2HEX(H85),"")</f>
        <v>C80</v>
      </c>
      <c r="O85" t="e">
        <f>#REF!-#REF!</f>
        <v>#REF!</v>
      </c>
    </row>
    <row r="86" spans="1:15" x14ac:dyDescent="0.2">
      <c r="A86" t="s">
        <v>3017</v>
      </c>
      <c r="B86" t="s">
        <v>3141</v>
      </c>
      <c r="C86" s="5" t="s">
        <v>121</v>
      </c>
      <c r="D86" t="s">
        <v>156</v>
      </c>
      <c r="E86" t="str">
        <f>IF(D86&lt;&gt;"",C86&amp;"/"&amp;D86,"")</f>
        <v>gfx/Door_Open.gfx</v>
      </c>
      <c r="F86" s="5" t="s">
        <v>157</v>
      </c>
      <c r="G86" s="5">
        <f>IF(F86&lt;&gt;"",HEX2DEC(SUBSTITUTE(SUBSTITUTE(F86,"adrEA",""),"$","")),"")</f>
        <v>185052</v>
      </c>
      <c r="H86" s="5">
        <v>7016</v>
      </c>
      <c r="I86" s="6" t="str">
        <f>IFERROR(DEC2HEX(H86),"")</f>
        <v>1B68</v>
      </c>
    </row>
    <row r="87" spans="1:15" x14ac:dyDescent="0.2">
      <c r="A87" t="s">
        <v>3018</v>
      </c>
      <c r="B87" t="s">
        <v>3142</v>
      </c>
      <c r="C87" s="5" t="s">
        <v>121</v>
      </c>
      <c r="D87" t="s">
        <v>158</v>
      </c>
      <c r="E87" t="str">
        <f>IF(D87&lt;&gt;"",C87&amp;"/"&amp;D87,"")</f>
        <v>gfx/Door_Metal.gfx</v>
      </c>
      <c r="F87" s="5" t="s">
        <v>159</v>
      </c>
      <c r="G87" s="5">
        <f>IF(F87&lt;&gt;"",HEX2DEC(SUBSTITUTE(SUBSTITUTE(F87,"adrEA",""),"$","")),"")</f>
        <v>192068</v>
      </c>
      <c r="H87" s="5">
        <v>5256</v>
      </c>
      <c r="I87" s="6" t="str">
        <f>IFERROR(DEC2HEX(H87),"")</f>
        <v>1488</v>
      </c>
    </row>
    <row r="88" spans="1:15" x14ac:dyDescent="0.2">
      <c r="A88" t="s">
        <v>3019</v>
      </c>
      <c r="B88" t="s">
        <v>3143</v>
      </c>
      <c r="C88" s="5" t="s">
        <v>121</v>
      </c>
      <c r="D88" t="s">
        <v>160</v>
      </c>
      <c r="E88" t="str">
        <f>IF(D88&lt;&gt;"",C88&amp;"/"&amp;D88,"")</f>
        <v>gfx/Door_PortCullis.gfx</v>
      </c>
      <c r="F88" s="5" t="s">
        <v>161</v>
      </c>
      <c r="G88" s="5">
        <f>IF(F88&lt;&gt;"",HEX2DEC(SUBSTITUTE(SUBSTITUTE(F88,"adrEA",""),"$","")),"")</f>
        <v>197324</v>
      </c>
      <c r="H88" s="5">
        <v>5256</v>
      </c>
      <c r="I88" s="6" t="str">
        <f>IFERROR(DEC2HEX(H88),"")</f>
        <v>1488</v>
      </c>
    </row>
    <row r="89" spans="1:15" x14ac:dyDescent="0.2">
      <c r="A89" t="s">
        <v>3020</v>
      </c>
      <c r="B89" t="s">
        <v>3809</v>
      </c>
      <c r="C89" s="5" t="s">
        <v>121</v>
      </c>
      <c r="D89" t="s">
        <v>3810</v>
      </c>
      <c r="E89" t="s">
        <v>3811</v>
      </c>
      <c r="F89" s="5" t="s">
        <v>3247</v>
      </c>
      <c r="G89" s="5">
        <f>IF(F89&lt;&gt;"",HEX2DEC(SUBSTITUTE(SUBSTITUTE(F89,"adrEA",""),"$","")),"")</f>
        <v>202580</v>
      </c>
      <c r="H89" s="5">
        <v>584</v>
      </c>
      <c r="I89" s="6" t="str">
        <f>IFERROR(DEC2HEX(H89),"")</f>
        <v>248</v>
      </c>
      <c r="K89" s="21" t="s">
        <v>3812</v>
      </c>
    </row>
    <row r="90" spans="1:15" x14ac:dyDescent="0.2">
      <c r="A90" t="s">
        <v>3021</v>
      </c>
      <c r="B90" t="s">
        <v>3813</v>
      </c>
      <c r="C90" s="5" t="s">
        <v>121</v>
      </c>
      <c r="D90" t="s">
        <v>3814</v>
      </c>
      <c r="E90" t="s">
        <v>3815</v>
      </c>
      <c r="F90" s="5" t="s">
        <v>3248</v>
      </c>
      <c r="G90" s="5">
        <f>IF(F90&lt;&gt;"",HEX2DEC(SUBSTITUTE(SUBSTITUTE(F90,"adrEA",""),"$","")),"")</f>
        <v>203164</v>
      </c>
      <c r="H90" s="5">
        <v>584</v>
      </c>
      <c r="I90" s="6" t="str">
        <f>IFERROR(DEC2HEX(H90),"")</f>
        <v>248</v>
      </c>
      <c r="K90" s="21" t="s">
        <v>3816</v>
      </c>
    </row>
    <row r="91" spans="1:15" ht="18" customHeight="1" x14ac:dyDescent="0.2">
      <c r="A91" t="s">
        <v>3022</v>
      </c>
      <c r="B91" t="s">
        <v>3817</v>
      </c>
      <c r="C91" s="5" t="s">
        <v>121</v>
      </c>
      <c r="D91" t="s">
        <v>3818</v>
      </c>
      <c r="E91" t="s">
        <v>3819</v>
      </c>
      <c r="F91" s="5" t="s">
        <v>3249</v>
      </c>
      <c r="G91" s="5">
        <f>IF(F91&lt;&gt;"",HEX2DEC(SUBSTITUTE(SUBSTITUTE(F91,"adrEA",""),"$","")),"")</f>
        <v>203748</v>
      </c>
      <c r="H91" s="5">
        <v>440</v>
      </c>
      <c r="I91" s="6" t="str">
        <f>IFERROR(DEC2HEX(H91),"")</f>
        <v>1B8</v>
      </c>
      <c r="K91" s="21" t="s">
        <v>3820</v>
      </c>
    </row>
    <row r="92" spans="1:15" x14ac:dyDescent="0.2">
      <c r="A92" t="s">
        <v>3023</v>
      </c>
      <c r="B92" t="s">
        <v>3023</v>
      </c>
      <c r="C92" s="5" t="s">
        <v>121</v>
      </c>
      <c r="D92" t="s">
        <v>162</v>
      </c>
      <c r="E92" t="s">
        <v>4650</v>
      </c>
      <c r="F92" s="5" t="s">
        <v>3174</v>
      </c>
      <c r="G92" s="5">
        <f>IF(F92&lt;&gt;"",HEX2DEC(SUBSTITUTE(SUBSTITUTE(F92,"adrEA",""),"$","")),"")</f>
        <v>204188</v>
      </c>
      <c r="H92" s="5">
        <v>3648</v>
      </c>
      <c r="I92" s="6" t="str">
        <f>IFERROR(DEC2HEX(H92),"")</f>
        <v>E40</v>
      </c>
      <c r="K92" s="21" t="s">
        <v>4651</v>
      </c>
    </row>
    <row r="93" spans="1:15" x14ac:dyDescent="0.2">
      <c r="A93" t="s">
        <v>3025</v>
      </c>
      <c r="B93" t="s">
        <v>3025</v>
      </c>
      <c r="C93" s="5" t="s">
        <v>121</v>
      </c>
      <c r="D93" t="s">
        <v>166</v>
      </c>
      <c r="E93" t="s">
        <v>4652</v>
      </c>
      <c r="F93" s="5" t="s">
        <v>3476</v>
      </c>
      <c r="G93" s="5">
        <f>IF(F93&lt;&gt;"",HEX2DEC(SUBSTITUTE(SUBSTITUTE(F93,"adrEA",""),"$","")),"")</f>
        <v>214004</v>
      </c>
      <c r="H93" s="5">
        <v>696</v>
      </c>
      <c r="I93" s="6" t="str">
        <f>IFERROR(DEC2HEX(H93),"")</f>
        <v>2B8</v>
      </c>
      <c r="K93" s="21" t="s">
        <v>4653</v>
      </c>
    </row>
    <row r="94" spans="1:15" x14ac:dyDescent="0.2">
      <c r="A94" t="s">
        <v>3026</v>
      </c>
      <c r="B94" t="s">
        <v>3026</v>
      </c>
      <c r="C94" s="5" t="s">
        <v>121</v>
      </c>
      <c r="D94" t="s">
        <v>167</v>
      </c>
      <c r="E94" t="s">
        <v>4654</v>
      </c>
      <c r="F94" s="5" t="s">
        <v>3477</v>
      </c>
      <c r="G94" s="5">
        <f>IF(F94&lt;&gt;"",HEX2DEC(SUBSTITUTE(SUBSTITUTE(F94,"adrEA",""),"$","")),"")</f>
        <v>214700</v>
      </c>
      <c r="H94" s="5">
        <v>1944</v>
      </c>
      <c r="I94" s="6" t="str">
        <f>IFERROR(DEC2HEX(H94),"")</f>
        <v>798</v>
      </c>
      <c r="K94" s="21" t="s">
        <v>4655</v>
      </c>
    </row>
    <row r="95" spans="1:15" x14ac:dyDescent="0.2">
      <c r="A95" t="s">
        <v>3027</v>
      </c>
      <c r="B95" t="s">
        <v>3027</v>
      </c>
      <c r="C95" s="5" t="s">
        <v>48</v>
      </c>
      <c r="D95" t="s">
        <v>168</v>
      </c>
      <c r="E95" t="str">
        <f>IF(D95&lt;&gt;"",C95&amp;"/"&amp;D95,"")</f>
        <v>data/characters.colours</v>
      </c>
      <c r="F95" s="29" t="s">
        <v>3478</v>
      </c>
      <c r="G95" s="5">
        <f>IF(F95&lt;&gt;"",HEX2DEC(SUBSTITUTE(SUBSTITUTE(F95,"adrEA",""),"$","")),"")</f>
        <v>216644</v>
      </c>
      <c r="H95" s="5">
        <v>1720</v>
      </c>
      <c r="I95" s="6" t="str">
        <f>IFERROR(DEC2HEX(H95),"")</f>
        <v>6B8</v>
      </c>
    </row>
    <row r="96" spans="1:15" x14ac:dyDescent="0.2">
      <c r="A96" t="s">
        <v>3029</v>
      </c>
      <c r="B96" t="s">
        <v>3103</v>
      </c>
      <c r="C96" s="5" t="s">
        <v>121</v>
      </c>
      <c r="D96" t="s">
        <v>169</v>
      </c>
      <c r="E96" t="str">
        <f>IF(D96&lt;&gt;"",C96&amp;"/"&amp;D96,"")</f>
        <v>gfx/HeadParts.gfx</v>
      </c>
      <c r="F96" s="5" t="s">
        <v>3479</v>
      </c>
      <c r="G96" s="5">
        <f>IF(F96&lt;&gt;"",HEX2DEC(SUBSTITUTE(SUBSTITUTE(F96,"adrEA",""),"$","")),"")</f>
        <v>218364</v>
      </c>
      <c r="H96" s="5">
        <v>15984</v>
      </c>
      <c r="I96" s="6" t="str">
        <f>IFERROR(DEC2HEX(H96),"")</f>
        <v>3E70</v>
      </c>
    </row>
    <row r="97" spans="1:21" x14ac:dyDescent="0.2">
      <c r="A97" t="s">
        <v>3030</v>
      </c>
      <c r="B97" t="s">
        <v>3131</v>
      </c>
      <c r="C97" s="5" t="s">
        <v>121</v>
      </c>
      <c r="D97" t="s">
        <v>170</v>
      </c>
      <c r="E97" t="str">
        <f>IF(D97&lt;&gt;"",C97&amp;"/"&amp;D97,"")</f>
        <v>gfx/BodyParts.gfx</v>
      </c>
      <c r="F97" s="5" t="s">
        <v>3480</v>
      </c>
      <c r="G97" s="5">
        <f>IF(F97&lt;&gt;"",HEX2DEC(SUBSTITUTE(SUBSTITUTE(F97,"adrEA",""),"$","")),"")</f>
        <v>234348</v>
      </c>
      <c r="H97" s="5">
        <v>34368</v>
      </c>
      <c r="I97" s="6" t="str">
        <f>IFERROR(DEC2HEX(H97),"")</f>
        <v>8640</v>
      </c>
    </row>
    <row r="98" spans="1:21" x14ac:dyDescent="0.2">
      <c r="A98" t="s">
        <v>3032</v>
      </c>
      <c r="B98" t="s">
        <v>3130</v>
      </c>
      <c r="C98" s="5" t="s">
        <v>121</v>
      </c>
      <c r="D98" t="s">
        <v>3121</v>
      </c>
      <c r="E98" t="str">
        <f>IF(D98&lt;&gt;"",C98&amp;"/"&amp;D98,"")</f>
        <v>gfx/Avatars_Large.gfx</v>
      </c>
      <c r="F98" s="5" t="s">
        <v>3481</v>
      </c>
      <c r="G98" s="5">
        <f>IF(F98&lt;&gt;"",HEX2DEC(SUBSTITUTE(SUBSTITUTE(F98,"adrEA",""),"$","")),"")</f>
        <v>268716</v>
      </c>
      <c r="H98" s="5">
        <v>7680</v>
      </c>
      <c r="I98" s="6" t="str">
        <f>IFERROR(DEC2HEX(H98),"")</f>
        <v>1E00</v>
      </c>
    </row>
    <row r="99" spans="1:21" x14ac:dyDescent="0.2">
      <c r="A99" t="s">
        <v>3033</v>
      </c>
      <c r="B99" t="s">
        <v>3129</v>
      </c>
      <c r="C99" s="5" t="s">
        <v>121</v>
      </c>
      <c r="D99" t="s">
        <v>171</v>
      </c>
      <c r="E99" t="str">
        <f>IF(D99&lt;&gt;"",C99&amp;"/"&amp;D99,"")</f>
        <v>gfx/Shield_Avatars.gfx</v>
      </c>
      <c r="F99" s="5" t="s">
        <v>3482</v>
      </c>
      <c r="G99" s="5">
        <f>IF(F99&lt;&gt;"",HEX2DEC(SUBSTITUTE(SUBSTITUTE(F99,"adrEA",""),"$","")),"")</f>
        <v>276396</v>
      </c>
      <c r="H99" s="5">
        <v>4096</v>
      </c>
      <c r="I99" s="6" t="str">
        <f>IFERROR(DEC2HEX(H99),"")</f>
        <v>1000</v>
      </c>
    </row>
    <row r="100" spans="1:21" x14ac:dyDescent="0.2">
      <c r="A100" t="s">
        <v>3034</v>
      </c>
      <c r="B100" t="s">
        <v>3128</v>
      </c>
      <c r="C100" s="5" t="s">
        <v>121</v>
      </c>
      <c r="D100" t="s">
        <v>172</v>
      </c>
      <c r="E100" t="str">
        <f>IF(D100&lt;&gt;"",C100&amp;"/"&amp;D100,"")</f>
        <v>gfx/ShieldTop.gfx</v>
      </c>
      <c r="F100" s="5" t="s">
        <v>3483</v>
      </c>
      <c r="G100" s="5">
        <f>IF(F100&lt;&gt;"",HEX2DEC(SUBSTITUTE(SUBSTITUTE(F100,"adrEA",""),"$","")),"")</f>
        <v>280492</v>
      </c>
      <c r="H100" s="5" t="s">
        <v>173</v>
      </c>
      <c r="I100" s="6" t="str">
        <f>IFERROR(DEC2HEX(H100),"")</f>
        <v>50</v>
      </c>
    </row>
    <row r="101" spans="1:21" x14ac:dyDescent="0.2">
      <c r="A101" t="s">
        <v>3035</v>
      </c>
      <c r="B101" t="s">
        <v>3127</v>
      </c>
      <c r="C101" s="5" t="s">
        <v>121</v>
      </c>
      <c r="D101" t="s">
        <v>174</v>
      </c>
      <c r="E101" t="str">
        <f>IF(D101&lt;&gt;"",C101&amp;"/"&amp;D101,"")</f>
        <v>gfx/ShieldBottom.gfx</v>
      </c>
      <c r="F101" s="5" t="s">
        <v>3484</v>
      </c>
      <c r="G101" s="5">
        <f>IF(F101&lt;&gt;"",HEX2DEC(SUBSTITUTE(SUBSTITUTE(F101,"adrEA",""),"$","")),"")</f>
        <v>280572</v>
      </c>
      <c r="H101" s="5" t="s">
        <v>175</v>
      </c>
      <c r="I101" s="6" t="str">
        <f>IFERROR(DEC2HEX(H101),"")</f>
        <v>90</v>
      </c>
    </row>
    <row r="102" spans="1:21" x14ac:dyDescent="0.2">
      <c r="A102" t="s">
        <v>3036</v>
      </c>
      <c r="B102" t="s">
        <v>3126</v>
      </c>
      <c r="C102" s="5" t="s">
        <v>121</v>
      </c>
      <c r="D102" t="s">
        <v>176</v>
      </c>
      <c r="E102" t="str">
        <f>IF(D102&lt;&gt;"",C102&amp;"/"&amp;D102,"")</f>
        <v>gfx/ShieldClasses.gfx</v>
      </c>
      <c r="F102" s="5" t="s">
        <v>3251</v>
      </c>
      <c r="G102" s="5">
        <f>IF(F102&lt;&gt;"",HEX2DEC(SUBSTITUTE(SUBSTITUTE(F102,"adrEA",""),"$","")),"")</f>
        <v>280716</v>
      </c>
      <c r="H102" s="5">
        <v>704</v>
      </c>
      <c r="I102" s="6" t="str">
        <f>IFERROR(DEC2HEX(H102),"")</f>
        <v>2C0</v>
      </c>
    </row>
    <row r="103" spans="1:21" x14ac:dyDescent="0.2">
      <c r="A103" t="s">
        <v>3037</v>
      </c>
      <c r="B103" t="s">
        <v>3104</v>
      </c>
      <c r="C103" s="5" t="s">
        <v>121</v>
      </c>
      <c r="D103" t="s">
        <v>177</v>
      </c>
      <c r="E103" t="str">
        <f>IF(D103&lt;&gt;"",C103&amp;"/"&amp;D103,"")</f>
        <v>gfx/Fairy.gfx</v>
      </c>
      <c r="F103" s="5" t="s">
        <v>3252</v>
      </c>
      <c r="G103" s="5">
        <f>IF(F103&lt;&gt;"",HEX2DEC(SUBSTITUTE(SUBSTITUTE(F103,"adrEA",""),"$","")),"")</f>
        <v>281420</v>
      </c>
      <c r="H103" s="5" t="s">
        <v>178</v>
      </c>
      <c r="I103" s="6" t="str">
        <f>IFERROR(DEC2HEX(H103),"")</f>
        <v>148</v>
      </c>
    </row>
    <row r="104" spans="1:21" x14ac:dyDescent="0.2">
      <c r="A104" t="s">
        <v>3276</v>
      </c>
      <c r="C104" s="7" t="s">
        <v>51</v>
      </c>
      <c r="D104" t="s">
        <v>289</v>
      </c>
      <c r="E104" t="str">
        <f>IF(D104&lt;&gt;"",C104&amp;"/"&amp;D104,"")</f>
        <v>monsters/behemoth.gradeoffset</v>
      </c>
      <c r="G104" s="5" t="str">
        <f>IF(F104&lt;&gt;"",HEX2DEC(SUBSTITUTE(SUBSTITUTE(F104,"adrEA",""),"$","")),"")</f>
        <v/>
      </c>
      <c r="H104" s="5">
        <v>1</v>
      </c>
      <c r="I104" s="6" t="str">
        <f>IFERROR(DEC2HEX(H104),"")</f>
        <v>1</v>
      </c>
    </row>
    <row r="105" spans="1:21" x14ac:dyDescent="0.2">
      <c r="A105" t="s">
        <v>3045</v>
      </c>
      <c r="B105" s="17" t="s">
        <v>3367</v>
      </c>
      <c r="E105" t="str">
        <f>IF(D105&lt;&gt;"",C105&amp;"/"&amp;D105,"")</f>
        <v/>
      </c>
      <c r="F105" s="5" t="str">
        <f>"$"&amp;RIGHT(A105,5)</f>
        <v>$50302</v>
      </c>
      <c r="G105" s="5">
        <f>IF(F105&lt;&gt;"",HEX2DEC(SUBSTITUTE(SUBSTITUTE(F105,"adrEA",""),"$","")),"")</f>
        <v>328450</v>
      </c>
      <c r="I105" s="6" t="str">
        <f>IFERROR(DEC2HEX(H105),"")</f>
        <v>0</v>
      </c>
      <c r="N105" t="e">
        <f>#REF!-#REF!</f>
        <v>#REF!</v>
      </c>
      <c r="O105" t="e">
        <f>HEX2DEC(#REF!)-HEX2DEC(#REF!)</f>
        <v>#REF!</v>
      </c>
      <c r="S105" s="14" t="s">
        <v>3184</v>
      </c>
      <c r="U105" t="str">
        <f>RIGHT(S105,4)</f>
        <v>3C00</v>
      </c>
    </row>
    <row r="106" spans="1:21" x14ac:dyDescent="0.2">
      <c r="A106" t="s">
        <v>3046</v>
      </c>
      <c r="B106" s="17" t="s">
        <v>3368</v>
      </c>
      <c r="E106" t="str">
        <f>IF(D106&lt;&gt;"",C106&amp;"/"&amp;D106,"")</f>
        <v/>
      </c>
      <c r="F106" s="5" t="str">
        <f>"$"&amp;RIGHT(A106,5)</f>
        <v>$50332</v>
      </c>
      <c r="G106" s="5">
        <f>IF(F106&lt;&gt;"",HEX2DEC(SUBSTITUTE(SUBSTITUTE(F106,"adrEA",""),"$","")),"")</f>
        <v>328498</v>
      </c>
      <c r="I106" s="6" t="str">
        <f>IFERROR(DEC2HEX(H106),"")</f>
        <v>0</v>
      </c>
      <c r="N106" t="e">
        <f>#REF!-#REF!</f>
        <v>#REF!</v>
      </c>
      <c r="O106" t="e">
        <f>HEX2DEC(#REF!)-HEX2DEC(#REF!)</f>
        <v>#REF!</v>
      </c>
      <c r="S106" s="14" t="s">
        <v>3185</v>
      </c>
      <c r="U106" t="str">
        <f t="shared" ref="U106:U117" si="5">RIGHT(S106,4)</f>
        <v>3C30</v>
      </c>
    </row>
    <row r="107" spans="1:21" x14ac:dyDescent="0.2">
      <c r="A107" t="s">
        <v>3047</v>
      </c>
      <c r="B107" s="17" t="s">
        <v>3369</v>
      </c>
      <c r="E107" t="str">
        <f>IF(D107&lt;&gt;"",C107&amp;"/"&amp;D107,"")</f>
        <v/>
      </c>
      <c r="F107" s="5" t="str">
        <f>"$"&amp;RIGHT(A107,5)</f>
        <v>$50362</v>
      </c>
      <c r="G107" s="5">
        <f>IF(F107&lt;&gt;"",HEX2DEC(SUBSTITUTE(SUBSTITUTE(F107,"adrEA",""),"$","")),"")</f>
        <v>328546</v>
      </c>
      <c r="I107" s="6" t="str">
        <f>IFERROR(DEC2HEX(H107),"")</f>
        <v>0</v>
      </c>
      <c r="N107" t="e">
        <f>#REF!-#REF!</f>
        <v>#REF!</v>
      </c>
      <c r="O107" t="e">
        <f>HEX2DEC(#REF!)-HEX2DEC(#REF!)</f>
        <v>#REF!</v>
      </c>
      <c r="S107" s="14" t="s">
        <v>3186</v>
      </c>
      <c r="U107" t="str">
        <f t="shared" si="5"/>
        <v>3C60</v>
      </c>
    </row>
    <row r="108" spans="1:21" x14ac:dyDescent="0.2">
      <c r="A108" t="s">
        <v>3048</v>
      </c>
      <c r="B108" s="17" t="s">
        <v>3370</v>
      </c>
      <c r="E108" t="str">
        <f>IF(D108&lt;&gt;"",C108&amp;"/"&amp;D108,"")</f>
        <v/>
      </c>
      <c r="F108" s="5" t="str">
        <f>"$"&amp;RIGHT(A108,5)</f>
        <v>$50802</v>
      </c>
      <c r="G108" s="5">
        <f>IF(F108&lt;&gt;"",HEX2DEC(SUBSTITUTE(SUBSTITUTE(F108,"adrEA",""),"$","")),"")</f>
        <v>329730</v>
      </c>
      <c r="I108" s="6" t="str">
        <f>IFERROR(DEC2HEX(H108),"")</f>
        <v>0</v>
      </c>
      <c r="N108" t="e">
        <f>#REF!-#REF!</f>
        <v>#REF!</v>
      </c>
      <c r="O108" t="e">
        <f>HEX2DEC(#REF!)-HEX2DEC(#REF!)</f>
        <v>#REF!</v>
      </c>
      <c r="S108" s="14" t="s">
        <v>3187</v>
      </c>
      <c r="U108" t="str">
        <f t="shared" si="5"/>
        <v>4100</v>
      </c>
    </row>
    <row r="109" spans="1:21" x14ac:dyDescent="0.2">
      <c r="A109" t="s">
        <v>3049</v>
      </c>
      <c r="B109" s="17" t="s">
        <v>3371</v>
      </c>
      <c r="E109" t="str">
        <f>IF(D109&lt;&gt;"",C109&amp;"/"&amp;D109,"")</f>
        <v/>
      </c>
      <c r="F109" s="5" t="str">
        <f>"$"&amp;RIGHT(A109,5)</f>
        <v>$50832</v>
      </c>
      <c r="G109" s="5">
        <f>IF(F109&lt;&gt;"",HEX2DEC(SUBSTITUTE(SUBSTITUTE(F109,"adrEA",""),"$","")),"")</f>
        <v>329778</v>
      </c>
      <c r="I109" s="6" t="str">
        <f>IFERROR(DEC2HEX(H109),"")</f>
        <v>0</v>
      </c>
      <c r="N109" t="e">
        <f>#REF!-#REF!</f>
        <v>#REF!</v>
      </c>
      <c r="O109" t="e">
        <f>HEX2DEC(#REF!)-HEX2DEC(#REF!)</f>
        <v>#REF!</v>
      </c>
      <c r="S109" s="14" t="s">
        <v>3188</v>
      </c>
      <c r="U109" t="str">
        <f t="shared" si="5"/>
        <v>4130</v>
      </c>
    </row>
    <row r="110" spans="1:21" x14ac:dyDescent="0.2">
      <c r="A110" t="s">
        <v>3050</v>
      </c>
      <c r="B110" s="17" t="s">
        <v>3372</v>
      </c>
      <c r="E110" t="str">
        <f>IF(D110&lt;&gt;"",C110&amp;"/"&amp;D110,"")</f>
        <v/>
      </c>
      <c r="F110" s="5" t="str">
        <f>"$"&amp;RIGHT(A110,5)</f>
        <v>$51772</v>
      </c>
      <c r="G110" s="5">
        <f>IF(F110&lt;&gt;"",HEX2DEC(SUBSTITUTE(SUBSTITUTE(F110,"adrEA",""),"$","")),"")</f>
        <v>333682</v>
      </c>
      <c r="I110" s="6" t="str">
        <f>IFERROR(DEC2HEX(H110),"")</f>
        <v>0</v>
      </c>
      <c r="N110" t="e">
        <f>#REF!-#REF!</f>
        <v>#REF!</v>
      </c>
      <c r="O110" t="e">
        <f>HEX2DEC(#REF!)-HEX2DEC(#REF!)</f>
        <v>#REF!</v>
      </c>
      <c r="S110" s="14" t="s">
        <v>3189</v>
      </c>
      <c r="U110" t="str">
        <f t="shared" si="5"/>
        <v>5070</v>
      </c>
    </row>
    <row r="111" spans="1:21" x14ac:dyDescent="0.2">
      <c r="A111" t="s">
        <v>3051</v>
      </c>
      <c r="B111" s="17" t="s">
        <v>3373</v>
      </c>
      <c r="E111" t="str">
        <f>IF(D111&lt;&gt;"",C111&amp;"/"&amp;D111,"")</f>
        <v/>
      </c>
      <c r="F111" s="5" t="str">
        <f>"$"&amp;RIGHT(A111,5)</f>
        <v>$52C02</v>
      </c>
      <c r="G111" s="5">
        <f>IF(F111&lt;&gt;"",HEX2DEC(SUBSTITUTE(SUBSTITUTE(F111,"adrEA",""),"$","")),"")</f>
        <v>338946</v>
      </c>
      <c r="I111" s="6" t="str">
        <f>IFERROR(DEC2HEX(H111),"")</f>
        <v>0</v>
      </c>
      <c r="N111" t="e">
        <f>#REF!-#REF!</f>
        <v>#REF!</v>
      </c>
      <c r="O111" t="e">
        <f>HEX2DEC(#REF!)-HEX2DEC(#REF!)</f>
        <v>#REF!</v>
      </c>
      <c r="S111" s="14" t="s">
        <v>3190</v>
      </c>
      <c r="U111" t="str">
        <f t="shared" si="5"/>
        <v>6500</v>
      </c>
    </row>
    <row r="112" spans="1:21" x14ac:dyDescent="0.2">
      <c r="A112" t="s">
        <v>3052</v>
      </c>
      <c r="B112" s="17" t="s">
        <v>3374</v>
      </c>
      <c r="E112" t="str">
        <f>IF(D112&lt;&gt;"",C112&amp;"/"&amp;D112,"")</f>
        <v/>
      </c>
      <c r="F112" s="5" t="str">
        <f>"$"&amp;RIGHT(A112,5)</f>
        <v>$52C0A</v>
      </c>
      <c r="G112" s="5">
        <f>IF(F112&lt;&gt;"",HEX2DEC(SUBSTITUTE(SUBSTITUTE(F112,"adrEA",""),"$","")),"")</f>
        <v>338954</v>
      </c>
      <c r="I112" s="6" t="str">
        <f>IFERROR(DEC2HEX(H112),"")</f>
        <v>0</v>
      </c>
      <c r="N112" t="e">
        <f>#REF!-#REF!</f>
        <v>#REF!</v>
      </c>
      <c r="O112" t="e">
        <f>HEX2DEC(#REF!)-HEX2DEC(#REF!)</f>
        <v>#REF!</v>
      </c>
      <c r="S112" s="14" t="s">
        <v>3191</v>
      </c>
      <c r="U112" t="str">
        <f t="shared" si="5"/>
        <v>6508</v>
      </c>
    </row>
    <row r="113" spans="1:21" x14ac:dyDescent="0.2">
      <c r="A113" t="s">
        <v>3053</v>
      </c>
      <c r="B113" s="17" t="s">
        <v>3375</v>
      </c>
      <c r="E113" t="str">
        <f>IF(D113&lt;&gt;"",C113&amp;"/"&amp;D113,"")</f>
        <v/>
      </c>
      <c r="F113" s="5" t="str">
        <f>"$"&amp;RIGHT(A113,5)</f>
        <v>$52EC2</v>
      </c>
      <c r="G113" s="5">
        <f>IF(F113&lt;&gt;"",HEX2DEC(SUBSTITUTE(SUBSTITUTE(F113,"adrEA",""),"$","")),"")</f>
        <v>339650</v>
      </c>
      <c r="I113" s="6" t="str">
        <f>IFERROR(DEC2HEX(H113),"")</f>
        <v>0</v>
      </c>
      <c r="N113" t="e">
        <f>#REF!-#REF!</f>
        <v>#REF!</v>
      </c>
      <c r="O113" t="e">
        <f>HEX2DEC(#REF!)-HEX2DEC(#REF!)</f>
        <v>#REF!</v>
      </c>
      <c r="S113" s="14" t="s">
        <v>3192</v>
      </c>
      <c r="U113" t="str">
        <f t="shared" si="5"/>
        <v>67C0</v>
      </c>
    </row>
    <row r="114" spans="1:21" x14ac:dyDescent="0.2">
      <c r="A114" t="s">
        <v>3054</v>
      </c>
      <c r="B114" s="17" t="s">
        <v>3376</v>
      </c>
      <c r="E114" t="str">
        <f>IF(D114&lt;&gt;"",C114&amp;"/"&amp;D114,"")</f>
        <v/>
      </c>
      <c r="F114" s="5" t="str">
        <f>"$"&amp;RIGHT(A114,5)</f>
        <v>$52EE2</v>
      </c>
      <c r="G114" s="5">
        <f>IF(F114&lt;&gt;"",HEX2DEC(SUBSTITUTE(SUBSTITUTE(F114,"adrEA",""),"$","")),"")</f>
        <v>339682</v>
      </c>
      <c r="I114" s="6" t="str">
        <f>IFERROR(DEC2HEX(H114),"")</f>
        <v>0</v>
      </c>
      <c r="N114" t="e">
        <f>#REF!-#REF!</f>
        <v>#REF!</v>
      </c>
      <c r="O114" t="e">
        <f>HEX2DEC(#REF!)-HEX2DEC(#REF!)</f>
        <v>#REF!</v>
      </c>
      <c r="S114" s="14" t="s">
        <v>3193</v>
      </c>
      <c r="U114" t="str">
        <f t="shared" si="5"/>
        <v>67E0</v>
      </c>
    </row>
    <row r="115" spans="1:21" x14ac:dyDescent="0.2">
      <c r="A115" t="s">
        <v>3055</v>
      </c>
      <c r="B115" s="17" t="s">
        <v>3377</v>
      </c>
      <c r="E115" t="str">
        <f>IF(D115&lt;&gt;"",C115&amp;"/"&amp;D115,"")</f>
        <v/>
      </c>
      <c r="F115" s="5" t="str">
        <f>"$"&amp;RIGHT(A115,5)</f>
        <v>$53162</v>
      </c>
      <c r="G115" s="5">
        <f>IF(F115&lt;&gt;"",HEX2DEC(SUBSTITUTE(SUBSTITUTE(F115,"adrEA",""),"$","")),"")</f>
        <v>340322</v>
      </c>
      <c r="I115" s="6" t="str">
        <f>IFERROR(DEC2HEX(H115),"")</f>
        <v>0</v>
      </c>
      <c r="N115" t="e">
        <f>#REF!-#REF!</f>
        <v>#REF!</v>
      </c>
      <c r="O115" t="e">
        <f>HEX2DEC(#REF!)-HEX2DEC(#REF!)</f>
        <v>#REF!</v>
      </c>
      <c r="S115" s="14" t="s">
        <v>3194</v>
      </c>
      <c r="U115" t="str">
        <f t="shared" si="5"/>
        <v>6A60</v>
      </c>
    </row>
    <row r="116" spans="1:21" x14ac:dyDescent="0.2">
      <c r="A116" t="s">
        <v>3056</v>
      </c>
      <c r="B116" s="17" t="s">
        <v>3378</v>
      </c>
      <c r="E116" t="str">
        <f>IF(D116&lt;&gt;"",C116&amp;"/"&amp;D116,"")</f>
        <v/>
      </c>
      <c r="F116" s="5" t="str">
        <f>"$"&amp;RIGHT(A116,5)</f>
        <v>$53C82</v>
      </c>
      <c r="G116" s="5">
        <f>IF(F116&lt;&gt;"",HEX2DEC(SUBSTITUTE(SUBSTITUTE(F116,"adrEA",""),"$","")),"")</f>
        <v>343170</v>
      </c>
      <c r="I116" s="6" t="str">
        <f>IFERROR(DEC2HEX(H116),"")</f>
        <v>0</v>
      </c>
      <c r="N116" t="e">
        <f>#REF!-#REF!</f>
        <v>#REF!</v>
      </c>
      <c r="O116" t="e">
        <f>HEX2DEC(#REF!)-HEX2DEC(#REF!)</f>
        <v>#REF!</v>
      </c>
      <c r="S116" s="14" t="s">
        <v>3195</v>
      </c>
      <c r="U116" t="str">
        <f t="shared" si="5"/>
        <v>7580</v>
      </c>
    </row>
    <row r="117" spans="1:21" x14ac:dyDescent="0.2">
      <c r="A117" t="s">
        <v>3057</v>
      </c>
      <c r="B117" s="17" t="s">
        <v>3379</v>
      </c>
      <c r="E117" t="str">
        <f>IF(D117&lt;&gt;"",C117&amp;"/"&amp;D117,"")</f>
        <v/>
      </c>
      <c r="F117" s="5" t="str">
        <f>"$"&amp;RIGHT(A117,5)</f>
        <v>$53D8A</v>
      </c>
      <c r="G117" s="5">
        <f>IF(F117&lt;&gt;"",HEX2DEC(SUBSTITUTE(SUBSTITUTE(F117,"adrEA",""),"$","")),"")</f>
        <v>343434</v>
      </c>
      <c r="I117" s="6" t="str">
        <f>IFERROR(DEC2HEX(H117),"")</f>
        <v>0</v>
      </c>
      <c r="N117" t="e">
        <f>#REF!-#REF!</f>
        <v>#REF!</v>
      </c>
      <c r="O117" t="e">
        <f>HEX2DEC(#REF!)-HEX2DEC(#REF!)</f>
        <v>#REF!</v>
      </c>
      <c r="S117" s="14" t="s">
        <v>3196</v>
      </c>
      <c r="U117" t="str">
        <f t="shared" si="5"/>
        <v>7688</v>
      </c>
    </row>
    <row r="118" spans="1:21" x14ac:dyDescent="0.2">
      <c r="A118" t="s">
        <v>204</v>
      </c>
      <c r="B118" t="s">
        <v>3160</v>
      </c>
      <c r="C118" s="5" t="s">
        <v>121</v>
      </c>
      <c r="D118" t="s">
        <v>202</v>
      </c>
      <c r="E118" t="str">
        <f>IF(D118&lt;&gt;"",C118&amp;"/"&amp;D118,"")</f>
        <v>gfx/Main_Walls.offsets</v>
      </c>
      <c r="F118" s="5" t="s">
        <v>203</v>
      </c>
      <c r="G118" s="5">
        <f>IF(F118&lt;&gt;"",HEX2DEC(SUBSTITUTE(SUBSTITUTE(F118,"adrEA",""),"$","")),"")</f>
        <v>100186</v>
      </c>
      <c r="H118" s="5">
        <v>56</v>
      </c>
      <c r="I118" s="6" t="str">
        <f>IFERROR(DEC2HEX(H118),"")</f>
        <v>38</v>
      </c>
    </row>
    <row r="119" spans="1:21" x14ac:dyDescent="0.2">
      <c r="A119" t="s">
        <v>207</v>
      </c>
      <c r="B119" t="s">
        <v>3159</v>
      </c>
      <c r="C119" s="5" t="s">
        <v>121</v>
      </c>
      <c r="D119" t="s">
        <v>205</v>
      </c>
      <c r="E119" t="str">
        <f>IF(D119&lt;&gt;"",C119&amp;"/"&amp;D119,"")</f>
        <v>gfx/Misc_Pillar.offsets</v>
      </c>
      <c r="F119" s="5" t="s">
        <v>206</v>
      </c>
      <c r="G119" s="5">
        <f>IF(F119&lt;&gt;"",HEX2DEC(SUBSTITUTE(SUBSTITUTE(F119,"adrEA",""),"$","")),"")</f>
        <v>100242</v>
      </c>
      <c r="H119" s="5">
        <v>22</v>
      </c>
      <c r="I119" s="6" t="str">
        <f>IFERROR(DEC2HEX(H119),"")</f>
        <v>16</v>
      </c>
    </row>
    <row r="120" spans="1:21" x14ac:dyDescent="0.2">
      <c r="A120" t="s">
        <v>210</v>
      </c>
      <c r="B120" t="s">
        <v>3158</v>
      </c>
      <c r="C120" s="5" t="s">
        <v>121</v>
      </c>
      <c r="D120" t="s">
        <v>208</v>
      </c>
      <c r="E120" t="str">
        <f>IF(D120&lt;&gt;"",C120&amp;"/"&amp;D120,"")</f>
        <v>gfx/Misc_Bed.offsets</v>
      </c>
      <c r="F120" s="5" t="s">
        <v>209</v>
      </c>
      <c r="G120" s="5">
        <f>IF(F120&lt;&gt;"",HEX2DEC(SUBSTITUTE(SUBSTITUTE(F120,"adrEA",""),"$","")),"")</f>
        <v>100264</v>
      </c>
      <c r="H120" s="5">
        <v>36</v>
      </c>
      <c r="I120" s="6" t="str">
        <f>IFERROR(DEC2HEX(H120),"")</f>
        <v>24</v>
      </c>
    </row>
    <row r="121" spans="1:21" x14ac:dyDescent="0.2">
      <c r="A121" t="s">
        <v>213</v>
      </c>
      <c r="B121" t="s">
        <v>3238</v>
      </c>
      <c r="C121" s="5" t="s">
        <v>121</v>
      </c>
      <c r="D121" t="s">
        <v>211</v>
      </c>
      <c r="E121" t="str">
        <f>IF(D121&lt;&gt;"",C121&amp;"/"&amp;D121,"")</f>
        <v>gfx/Wooden_Doors.offsets</v>
      </c>
      <c r="F121" s="5" t="s">
        <v>212</v>
      </c>
      <c r="G121" s="5">
        <f>IF(F121&lt;&gt;"",HEX2DEC(SUBSTITUTE(SUBSTITUTE(F121,"adrEA",""),"$","")),"")</f>
        <v>100300</v>
      </c>
      <c r="H121" s="5">
        <v>32</v>
      </c>
      <c r="I121" s="6" t="str">
        <f>IFERROR(DEC2HEX(H121),"")</f>
        <v>20</v>
      </c>
    </row>
    <row r="122" spans="1:21" x14ac:dyDescent="0.2">
      <c r="A122" t="s">
        <v>216</v>
      </c>
      <c r="B122" t="s">
        <v>3216</v>
      </c>
      <c r="C122" s="5" t="s">
        <v>121</v>
      </c>
      <c r="D122" t="s">
        <v>214</v>
      </c>
      <c r="E122" t="str">
        <f>IF(D122&lt;&gt;"",C122&amp;"/"&amp;D122,"")</f>
        <v>gfx/Wooden_Wall.offsets</v>
      </c>
      <c r="F122" s="5" t="s">
        <v>215</v>
      </c>
      <c r="G122" s="5">
        <f>IF(F122&lt;&gt;"",HEX2DEC(SUBSTITUTE(SUBSTITUTE(F122,"adrEA",""),"$","")),"")</f>
        <v>100332</v>
      </c>
      <c r="H122" s="5">
        <v>32</v>
      </c>
      <c r="I122" s="6" t="str">
        <f>IFERROR(DEC2HEX(H122),"")</f>
        <v>20</v>
      </c>
    </row>
    <row r="123" spans="1:21" x14ac:dyDescent="0.2">
      <c r="A123" t="s">
        <v>219</v>
      </c>
      <c r="B123" t="s">
        <v>3217</v>
      </c>
      <c r="C123" s="5" t="s">
        <v>121</v>
      </c>
      <c r="D123" t="s">
        <v>217</v>
      </c>
      <c r="E123" t="str">
        <f>IF(D123&lt;&gt;"",C123&amp;"/"&amp;D123,"")</f>
        <v>gfx/Main_Shelf.offsets</v>
      </c>
      <c r="F123" s="5" t="s">
        <v>218</v>
      </c>
      <c r="G123" s="5">
        <f>IF(F123&lt;&gt;"",HEX2DEC(SUBSTITUTE(SUBSTITUTE(F123,"adrEA",""),"$","")),"")</f>
        <v>100364</v>
      </c>
      <c r="H123" s="5">
        <v>32</v>
      </c>
      <c r="I123" s="6" t="str">
        <f>IFERROR(DEC2HEX(H123),"")</f>
        <v>20</v>
      </c>
    </row>
    <row r="124" spans="1:21" x14ac:dyDescent="0.2">
      <c r="A124" t="s">
        <v>222</v>
      </c>
      <c r="B124" t="s">
        <v>3218</v>
      </c>
      <c r="C124" s="5" t="s">
        <v>121</v>
      </c>
      <c r="D124" t="s">
        <v>220</v>
      </c>
      <c r="E124" t="str">
        <f>IF(D124&lt;&gt;"",C124&amp;"/"&amp;D124,"")</f>
        <v>gfx/Main_Sign.offsets</v>
      </c>
      <c r="F124" s="5" t="s">
        <v>221</v>
      </c>
      <c r="G124" s="5">
        <f>IF(F124&lt;&gt;"",HEX2DEC(SUBSTITUTE(SUBSTITUTE(F124,"adrEA",""),"$","")),"")</f>
        <v>100396</v>
      </c>
      <c r="H124" s="5">
        <v>32</v>
      </c>
      <c r="I124" s="6" t="str">
        <f>IFERROR(DEC2HEX(H124),"")</f>
        <v>20</v>
      </c>
    </row>
    <row r="125" spans="1:21" x14ac:dyDescent="0.2">
      <c r="A125" t="s">
        <v>225</v>
      </c>
      <c r="B125" t="s">
        <v>3219</v>
      </c>
      <c r="C125" s="5" t="s">
        <v>121</v>
      </c>
      <c r="D125" t="s">
        <v>223</v>
      </c>
      <c r="E125" t="str">
        <f>IF(D125&lt;&gt;"",C125&amp;"/"&amp;D125,"")</f>
        <v>gfx/Stairs_Up.offsets</v>
      </c>
      <c r="F125" s="5" t="s">
        <v>224</v>
      </c>
      <c r="G125" s="5">
        <f>IF(F125&lt;&gt;"",HEX2DEC(SUBSTITUTE(SUBSTITUTE(F125,"adrEA",""),"$","")),"")</f>
        <v>100428</v>
      </c>
      <c r="H125" s="5">
        <v>34</v>
      </c>
      <c r="I125" s="6" t="str">
        <f>IFERROR(DEC2HEX(H125),"")</f>
        <v>22</v>
      </c>
    </row>
    <row r="126" spans="1:21" x14ac:dyDescent="0.2">
      <c r="A126" t="s">
        <v>228</v>
      </c>
      <c r="B126" t="s">
        <v>3220</v>
      </c>
      <c r="C126" s="5" t="s">
        <v>121</v>
      </c>
      <c r="D126" t="s">
        <v>226</v>
      </c>
      <c r="E126" t="str">
        <f>IF(D126&lt;&gt;"",C126&amp;"/"&amp;D126,"")</f>
        <v>gfx/Stairs_Down.offsets</v>
      </c>
      <c r="F126" s="5" t="s">
        <v>227</v>
      </c>
      <c r="G126" s="5">
        <f>IF(F126&lt;&gt;"",HEX2DEC(SUBSTITUTE(SUBSTITUTE(F126,"adrEA",""),"$","")),"")</f>
        <v>100462</v>
      </c>
      <c r="H126" s="5">
        <v>34</v>
      </c>
      <c r="I126" s="6" t="str">
        <f>IFERROR(DEC2HEX(H126),"")</f>
        <v>22</v>
      </c>
    </row>
    <row r="127" spans="1:21" x14ac:dyDescent="0.2">
      <c r="A127" t="s">
        <v>231</v>
      </c>
      <c r="B127" t="s">
        <v>3221</v>
      </c>
      <c r="C127" s="5" t="s">
        <v>121</v>
      </c>
      <c r="D127" t="s">
        <v>229</v>
      </c>
      <c r="E127" t="str">
        <f>IF(D127&lt;&gt;"",C127&amp;"/"&amp;D127,"")</f>
        <v>gfx/Door.offsets</v>
      </c>
      <c r="F127" s="5" t="s">
        <v>230</v>
      </c>
      <c r="G127" s="5">
        <f>IF(F127&lt;&gt;"",HEX2DEC(SUBSTITUTE(SUBSTITUTE(F127,"adrEA",""),"$","")),"")</f>
        <v>100496</v>
      </c>
      <c r="H127" s="5">
        <v>26</v>
      </c>
      <c r="I127" s="6" t="str">
        <f>IFERROR(DEC2HEX(H127),"")</f>
        <v>1A</v>
      </c>
    </row>
    <row r="128" spans="1:21" x14ac:dyDescent="0.2">
      <c r="A128" t="s">
        <v>234</v>
      </c>
      <c r="B128" t="s">
        <v>3222</v>
      </c>
      <c r="C128" s="5" t="s">
        <v>121</v>
      </c>
      <c r="D128" t="s">
        <v>232</v>
      </c>
      <c r="E128" t="str">
        <f>IF(D128&lt;&gt;"",C128&amp;"/"&amp;D128,"")</f>
        <v>gfx/Main_Switches.offsets</v>
      </c>
      <c r="F128" s="5" t="s">
        <v>233</v>
      </c>
      <c r="G128" s="5">
        <f>IF(F128&lt;&gt;"",HEX2DEC(SUBSTITUTE(SUBSTITUTE(F128,"adrEA",""),"$","")),"")</f>
        <v>100522</v>
      </c>
      <c r="H128" s="5">
        <v>32</v>
      </c>
      <c r="I128" s="6" t="str">
        <f>IFERROR(DEC2HEX(H128),"")</f>
        <v>20</v>
      </c>
    </row>
    <row r="129" spans="1:11" x14ac:dyDescent="0.2">
      <c r="A129" t="s">
        <v>236</v>
      </c>
      <c r="B129" t="s">
        <v>3821</v>
      </c>
      <c r="C129" s="5" t="s">
        <v>121</v>
      </c>
      <c r="D129" t="s">
        <v>3822</v>
      </c>
      <c r="E129" t="s">
        <v>3823</v>
      </c>
      <c r="F129" s="5" t="s">
        <v>235</v>
      </c>
      <c r="G129" s="5">
        <f>IF(F129&lt;&gt;"",HEX2DEC(SUBSTITUTE(SUBSTITUTE(F129,"adrEA",""),"$","")),"")</f>
        <v>100554</v>
      </c>
      <c r="H129" s="5">
        <v>24</v>
      </c>
      <c r="I129" s="6" t="str">
        <f>IFERROR(DEC2HEX(H129),"")</f>
        <v>18</v>
      </c>
      <c r="K129" s="21" t="s">
        <v>3824</v>
      </c>
    </row>
    <row r="130" spans="1:11" x14ac:dyDescent="0.2">
      <c r="A130" t="s">
        <v>238</v>
      </c>
      <c r="B130" t="s">
        <v>3825</v>
      </c>
      <c r="C130" s="5" t="s">
        <v>121</v>
      </c>
      <c r="D130" t="s">
        <v>3826</v>
      </c>
      <c r="E130" t="s">
        <v>3827</v>
      </c>
      <c r="F130" s="5" t="s">
        <v>237</v>
      </c>
      <c r="G130" s="5">
        <f>IF(F130&lt;&gt;"",HEX2DEC(SUBSTITUTE(SUBSTITUTE(F130,"adrEA",""),"$","")),"")</f>
        <v>100578</v>
      </c>
      <c r="H130" s="5">
        <v>24</v>
      </c>
      <c r="I130" s="6" t="str">
        <f>IFERROR(DEC2HEX(H130),"")</f>
        <v>18</v>
      </c>
      <c r="K130" s="21" t="s">
        <v>3828</v>
      </c>
    </row>
    <row r="131" spans="1:11" x14ac:dyDescent="0.2">
      <c r="A131" t="s">
        <v>241</v>
      </c>
      <c r="B131" t="s">
        <v>3223</v>
      </c>
      <c r="C131" s="5" t="s">
        <v>121</v>
      </c>
      <c r="D131" t="s">
        <v>239</v>
      </c>
      <c r="E131" t="str">
        <f>IF(D131&lt;&gt;"",C131&amp;"/"&amp;D131,"")</f>
        <v>gfx/Main_Walls.positions</v>
      </c>
      <c r="F131" s="5" t="s">
        <v>240</v>
      </c>
      <c r="G131" s="5">
        <f>IF(F131&lt;&gt;"",HEX2DEC(SUBSTITUTE(SUBSTITUTE(F131,"adrEA",""),"$","")),"")</f>
        <v>46778</v>
      </c>
      <c r="H131" s="5">
        <v>112</v>
      </c>
      <c r="I131" s="6" t="str">
        <f>IFERROR(DEC2HEX(H131),"")</f>
        <v>70</v>
      </c>
    </row>
    <row r="132" spans="1:11" x14ac:dyDescent="0.2">
      <c r="A132" t="s">
        <v>244</v>
      </c>
      <c r="B132" t="s">
        <v>3224</v>
      </c>
      <c r="C132" s="5" t="s">
        <v>121</v>
      </c>
      <c r="D132" t="s">
        <v>242</v>
      </c>
      <c r="E132" t="str">
        <f>IF(D132&lt;&gt;"",C132&amp;"/"&amp;D132,"")</f>
        <v>gfx/Wooden_Wall.positions</v>
      </c>
      <c r="F132" s="5" t="s">
        <v>243</v>
      </c>
      <c r="G132" s="5">
        <f>IF(F132&lt;&gt;"",HEX2DEC(SUBSTITUTE(SUBSTITUTE(F132,"adrEA",""),"$","")),"")</f>
        <v>46890</v>
      </c>
      <c r="H132" s="5">
        <v>112</v>
      </c>
      <c r="I132" s="6" t="str">
        <f>IFERROR(DEC2HEX(H132),"")</f>
        <v>70</v>
      </c>
    </row>
    <row r="133" spans="1:11" x14ac:dyDescent="0.2">
      <c r="A133" t="s">
        <v>247</v>
      </c>
      <c r="B133" t="s">
        <v>3225</v>
      </c>
      <c r="C133" s="5" t="s">
        <v>121</v>
      </c>
      <c r="D133" t="s">
        <v>245</v>
      </c>
      <c r="E133" t="str">
        <f>IF(D133&lt;&gt;"",C133&amp;"/"&amp;D133,"")</f>
        <v>gfx/Stairs_Up.positions</v>
      </c>
      <c r="F133" s="5" t="s">
        <v>246</v>
      </c>
      <c r="G133" s="5">
        <f>IF(F133&lt;&gt;"",HEX2DEC(SUBSTITUTE(SUBSTITUTE(F133,"adrEA",""),"$","")),"")</f>
        <v>47002</v>
      </c>
      <c r="H133" s="5">
        <v>116</v>
      </c>
      <c r="I133" s="6" t="str">
        <f>IFERROR(DEC2HEX(H133),"")</f>
        <v>74</v>
      </c>
    </row>
    <row r="134" spans="1:11" x14ac:dyDescent="0.2">
      <c r="A134" t="s">
        <v>250</v>
      </c>
      <c r="B134" t="s">
        <v>3226</v>
      </c>
      <c r="C134" s="5" t="s">
        <v>121</v>
      </c>
      <c r="D134" t="s">
        <v>248</v>
      </c>
      <c r="E134" t="str">
        <f>IF(D134&lt;&gt;"",C134&amp;"/"&amp;D134,"")</f>
        <v>gfx/Stairs_Down.positions</v>
      </c>
      <c r="F134" s="5" t="s">
        <v>249</v>
      </c>
      <c r="G134" s="5">
        <f>IF(F134&lt;&gt;"",HEX2DEC(SUBSTITUTE(SUBSTITUTE(F134,"adrEA",""),"$","")),"")</f>
        <v>47118</v>
      </c>
      <c r="H134" s="5">
        <v>116</v>
      </c>
      <c r="I134" s="6" t="str">
        <f>IFERROR(DEC2HEX(H134),"")</f>
        <v>74</v>
      </c>
    </row>
    <row r="135" spans="1:11" x14ac:dyDescent="0.2">
      <c r="A135" t="s">
        <v>253</v>
      </c>
      <c r="B135" t="s">
        <v>3227</v>
      </c>
      <c r="C135" s="5" t="s">
        <v>121</v>
      </c>
      <c r="D135" t="s">
        <v>251</v>
      </c>
      <c r="E135" t="str">
        <f>IF(D135&lt;&gt;"",C135&amp;"/"&amp;D135,"")</f>
        <v>gfx/Misc_Pillar.positions</v>
      </c>
      <c r="F135" s="5" t="s">
        <v>252</v>
      </c>
      <c r="G135" s="5">
        <f>IF(F135&lt;&gt;"",HEX2DEC(SUBSTITUTE(SUBSTITUTE(F135,"adrEA",""),"$","")),"")</f>
        <v>47234</v>
      </c>
      <c r="H135" s="5">
        <v>72</v>
      </c>
      <c r="I135" s="6" t="str">
        <f>IFERROR(DEC2HEX(H135),"")</f>
        <v>48</v>
      </c>
    </row>
    <row r="136" spans="1:11" x14ac:dyDescent="0.2">
      <c r="A136" t="s">
        <v>256</v>
      </c>
      <c r="B136" t="s">
        <v>3228</v>
      </c>
      <c r="C136" s="5" t="s">
        <v>121</v>
      </c>
      <c r="D136" t="s">
        <v>254</v>
      </c>
      <c r="E136" t="str">
        <f>IF(D136&lt;&gt;"",C136&amp;"/"&amp;D136,"")</f>
        <v>gfx/Door.Positions</v>
      </c>
      <c r="F136" s="5" t="s">
        <v>255</v>
      </c>
      <c r="G136" s="5">
        <f>IF(F136&lt;&gt;"",HEX2DEC(SUBSTITUTE(SUBSTITUTE(F136,"adrEA",""),"$","")),"")</f>
        <v>47306</v>
      </c>
      <c r="H136" s="5">
        <v>80</v>
      </c>
      <c r="I136" s="6" t="str">
        <f>IFERROR(DEC2HEX(H136),"")</f>
        <v>50</v>
      </c>
    </row>
    <row r="137" spans="1:11" x14ac:dyDescent="0.2">
      <c r="A137" t="s">
        <v>259</v>
      </c>
      <c r="B137" t="s">
        <v>3229</v>
      </c>
      <c r="C137" s="5" t="s">
        <v>121</v>
      </c>
      <c r="D137" t="s">
        <v>257</v>
      </c>
      <c r="E137" t="str">
        <f>IF(D137&lt;&gt;"",C137&amp;"/"&amp;D137,"")</f>
        <v>gfx/Misc_Bed.positions</v>
      </c>
      <c r="F137" s="5" t="s">
        <v>258</v>
      </c>
      <c r="G137" s="5">
        <f>IF(F137&lt;&gt;"",HEX2DEC(SUBSTITUTE(SUBSTITUTE(F137,"adrEA",""),"$","")),"")</f>
        <v>47386</v>
      </c>
      <c r="H137" s="5">
        <v>72</v>
      </c>
      <c r="I137" s="6" t="str">
        <f>IFERROR(DEC2HEX(H137),"")</f>
        <v>48</v>
      </c>
    </row>
    <row r="138" spans="1:11" x14ac:dyDescent="0.2">
      <c r="A138" t="s">
        <v>262</v>
      </c>
      <c r="B138" t="s">
        <v>3230</v>
      </c>
      <c r="C138" s="5" t="s">
        <v>121</v>
      </c>
      <c r="D138" t="s">
        <v>260</v>
      </c>
      <c r="E138" t="str">
        <f>IF(D138&lt;&gt;"",C138&amp;"/"&amp;D138,"")</f>
        <v>gfx/Main_Shelf.positions</v>
      </c>
      <c r="F138" s="5" t="s">
        <v>261</v>
      </c>
      <c r="G138" s="5">
        <f>IF(F138&lt;&gt;"",HEX2DEC(SUBSTITUTE(SUBSTITUTE(F138,"adrEA",""),"$","")),"")</f>
        <v>47458</v>
      </c>
      <c r="H138" s="5">
        <v>112</v>
      </c>
      <c r="I138" s="6" t="str">
        <f>IFERROR(DEC2HEX(H138),"")</f>
        <v>70</v>
      </c>
    </row>
    <row r="139" spans="1:11" x14ac:dyDescent="0.2">
      <c r="A139" t="s">
        <v>265</v>
      </c>
      <c r="B139" t="s">
        <v>3231</v>
      </c>
      <c r="C139" s="5" t="s">
        <v>121</v>
      </c>
      <c r="D139" t="s">
        <v>263</v>
      </c>
      <c r="E139" t="str">
        <f>IF(D139&lt;&gt;"",C139&amp;"/"&amp;D139,"")</f>
        <v>gfx/Main_Sign.positions</v>
      </c>
      <c r="F139" s="5" t="s">
        <v>264</v>
      </c>
      <c r="G139" s="5">
        <f>IF(F139&lt;&gt;"",HEX2DEC(SUBSTITUTE(SUBSTITUTE(F139,"adrEA",""),"$","")),"")</f>
        <v>47570</v>
      </c>
      <c r="H139" s="5">
        <v>112</v>
      </c>
      <c r="I139" s="6" t="str">
        <f>IFERROR(DEC2HEX(H139),"")</f>
        <v>70</v>
      </c>
    </row>
    <row r="140" spans="1:11" x14ac:dyDescent="0.2">
      <c r="A140" t="s">
        <v>268</v>
      </c>
      <c r="B140" t="s">
        <v>3232</v>
      </c>
      <c r="C140" s="5" t="s">
        <v>121</v>
      </c>
      <c r="D140" t="s">
        <v>266</v>
      </c>
      <c r="E140" t="str">
        <f>IF(D140&lt;&gt;"",C140&amp;"/"&amp;D140,"")</f>
        <v>gfx/Main_SignOverlay.positions</v>
      </c>
      <c r="F140" s="5" t="s">
        <v>267</v>
      </c>
      <c r="G140" s="5">
        <f>IF(F140&lt;&gt;"",HEX2DEC(SUBSTITUTE(SUBSTITUTE(F140,"adrEA",""),"$","")),"")</f>
        <v>47682</v>
      </c>
      <c r="H140" s="5">
        <v>112</v>
      </c>
      <c r="I140" s="6" t="str">
        <f>IFERROR(DEC2HEX(H140),"")</f>
        <v>70</v>
      </c>
    </row>
    <row r="141" spans="1:11" x14ac:dyDescent="0.2">
      <c r="A141" t="s">
        <v>271</v>
      </c>
      <c r="B141" t="s">
        <v>3233</v>
      </c>
      <c r="C141" s="5" t="s">
        <v>121</v>
      </c>
      <c r="D141" t="s">
        <v>269</v>
      </c>
      <c r="E141" t="s">
        <v>4628</v>
      </c>
      <c r="F141" s="5" t="s">
        <v>270</v>
      </c>
      <c r="G141" s="5">
        <f>IF(F141&lt;&gt;"",HEX2DEC(SUBSTITUTE(SUBSTITUTE(F141,"adrEA",""),"$","")),"")</f>
        <v>44800</v>
      </c>
      <c r="H141" s="5">
        <v>32</v>
      </c>
      <c r="I141" s="6" t="str">
        <f>IFERROR(DEC2HEX(H141),"")</f>
        <v>20</v>
      </c>
      <c r="K141" s="21" t="s">
        <v>4629</v>
      </c>
    </row>
    <row r="142" spans="1:11" x14ac:dyDescent="0.2">
      <c r="A142" t="s">
        <v>274</v>
      </c>
      <c r="B142" t="s">
        <v>3234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>IF(F142&lt;&gt;"",HEX2DEC(SUBSTITUTE(SUBSTITUTE(F142,"adrEA",""),"$","")),"")</f>
        <v>47794</v>
      </c>
      <c r="H142" s="5">
        <v>112</v>
      </c>
      <c r="I142" s="6" t="str">
        <f>IFERROR(DEC2HEX(H142),"")</f>
        <v>70</v>
      </c>
      <c r="K142" s="21" t="s">
        <v>3776</v>
      </c>
    </row>
    <row r="143" spans="1:11" x14ac:dyDescent="0.2">
      <c r="A143" t="s">
        <v>277</v>
      </c>
      <c r="B143" t="s">
        <v>3235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>IF(F143&lt;&gt;"",HEX2DEC(SUBSTITUTE(SUBSTITUTE(F143,"adrEA",""),"$","")),"")</f>
        <v>47906</v>
      </c>
      <c r="H143" s="5">
        <v>112</v>
      </c>
      <c r="I143" s="6" t="str">
        <f>IFERROR(DEC2HEX(H143),"")</f>
        <v>70</v>
      </c>
    </row>
    <row r="144" spans="1:11" x14ac:dyDescent="0.2">
      <c r="A144" t="s">
        <v>279</v>
      </c>
      <c r="B144" t="s">
        <v>3829</v>
      </c>
      <c r="C144" s="5" t="s">
        <v>121</v>
      </c>
      <c r="D144" t="s">
        <v>3830</v>
      </c>
      <c r="E144" t="s">
        <v>3831</v>
      </c>
      <c r="F144" s="5" t="s">
        <v>278</v>
      </c>
      <c r="G144" s="5">
        <f>IF(F144&lt;&gt;"",HEX2DEC(SUBSTITUTE(SUBSTITUTE(F144,"adrEA",""),"$","")),"")</f>
        <v>48018</v>
      </c>
      <c r="H144" s="5">
        <v>76</v>
      </c>
      <c r="I144" s="6" t="str">
        <f>IFERROR(DEC2HEX(H144),"")</f>
        <v>4C</v>
      </c>
      <c r="K144" s="21" t="s">
        <v>3832</v>
      </c>
    </row>
    <row r="145" spans="1:14" x14ac:dyDescent="0.2">
      <c r="A145" t="s">
        <v>281</v>
      </c>
      <c r="B145" t="s">
        <v>3833</v>
      </c>
      <c r="C145" s="5" t="s">
        <v>121</v>
      </c>
      <c r="D145" t="s">
        <v>3834</v>
      </c>
      <c r="E145" t="s">
        <v>3835</v>
      </c>
      <c r="F145" s="5" t="s">
        <v>280</v>
      </c>
      <c r="G145" s="5">
        <f>IF(F145&lt;&gt;"",HEX2DEC(SUBSTITUTE(SUBSTITUTE(F145,"adrEA",""),"$","")),"")</f>
        <v>48094</v>
      </c>
      <c r="H145" s="5">
        <v>76</v>
      </c>
      <c r="I145" s="6" t="str">
        <f>IFERROR(DEC2HEX(H145),"")</f>
        <v>4C</v>
      </c>
      <c r="K145" s="21" t="s">
        <v>3836</v>
      </c>
    </row>
    <row r="146" spans="1:14" x14ac:dyDescent="0.2">
      <c r="A146" t="s">
        <v>284</v>
      </c>
      <c r="B146" t="s">
        <v>3236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>IF(F146&lt;&gt;"",HEX2DEC(SUBSTITUTE(SUBSTITUTE(F146,"adrEA",""),"$","")),"")</f>
        <v>48170</v>
      </c>
      <c r="H146" s="5">
        <v>112</v>
      </c>
      <c r="I146" s="6" t="str">
        <f>IFERROR(DEC2HEX(H146),"")</f>
        <v>70</v>
      </c>
    </row>
    <row r="147" spans="1:14" x14ac:dyDescent="0.2">
      <c r="A147" t="s">
        <v>286</v>
      </c>
      <c r="B147" t="s">
        <v>3237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3253</v>
      </c>
      <c r="G147" s="5">
        <f>IF(F147&lt;&gt;"",HEX2DEC(SUBSTITUTE(SUBSTITUTE(F147,"adrEA",""),"$","")),"")</f>
        <v>44704</v>
      </c>
      <c r="H147" s="5">
        <v>32</v>
      </c>
      <c r="I147" s="6" t="str">
        <f>IFERROR(DEC2HEX(H147),"")</f>
        <v>20</v>
      </c>
      <c r="K147" s="21" t="s">
        <v>3775</v>
      </c>
    </row>
    <row r="148" spans="1:14" x14ac:dyDescent="0.2">
      <c r="A148" t="s">
        <v>287</v>
      </c>
      <c r="B148" t="s">
        <v>3145</v>
      </c>
      <c r="C148" s="5" t="s">
        <v>121</v>
      </c>
      <c r="D148" t="s">
        <v>3146</v>
      </c>
      <c r="E148" t="s">
        <v>4624</v>
      </c>
      <c r="F148" s="5" t="s">
        <v>3254</v>
      </c>
      <c r="G148" s="5">
        <f>IF(F148&lt;&gt;"",HEX2DEC(SUBSTITUTE(SUBSTITUTE(F148,"adrEA",""),"$","")),"")</f>
        <v>44736</v>
      </c>
      <c r="H148" s="5">
        <v>32</v>
      </c>
      <c r="I148" s="6" t="str">
        <f>IFERROR(DEC2HEX(H148),"")</f>
        <v>20</v>
      </c>
      <c r="K148" s="21" t="s">
        <v>4625</v>
      </c>
    </row>
    <row r="149" spans="1:14" x14ac:dyDescent="0.2">
      <c r="A149" t="s">
        <v>288</v>
      </c>
      <c r="B149" t="s">
        <v>3239</v>
      </c>
      <c r="C149" s="5" t="s">
        <v>121</v>
      </c>
      <c r="D149" t="s">
        <v>3073</v>
      </c>
      <c r="E149" t="s">
        <v>4626</v>
      </c>
      <c r="F149" s="5" t="s">
        <v>3255</v>
      </c>
      <c r="G149" s="5">
        <f>IF(F149&lt;&gt;"",HEX2DEC(SUBSTITUTE(SUBSTITUTE(F149,"adrEA",""),"$","")),"")</f>
        <v>44768</v>
      </c>
      <c r="H149" s="5">
        <v>32</v>
      </c>
      <c r="I149" s="6" t="str">
        <f>IFERROR(DEC2HEX(H149),"")</f>
        <v>20</v>
      </c>
      <c r="K149" s="21" t="s">
        <v>4627</v>
      </c>
    </row>
    <row r="150" spans="1:14" x14ac:dyDescent="0.2">
      <c r="A150" t="s">
        <v>3028</v>
      </c>
      <c r="B150" t="s">
        <v>3091</v>
      </c>
      <c r="C150" s="5" t="s">
        <v>121</v>
      </c>
      <c r="E150" t="str">
        <f>IF(D150&lt;&gt;"",C150&amp;"/"&amp;D150,"")</f>
        <v/>
      </c>
      <c r="G150" s="5" t="str">
        <f>IF(F150&lt;&gt;"",HEX2DEC(SUBSTITUTE(SUBSTITUTE(F150,"adrEA",""),"$","")),"")</f>
        <v/>
      </c>
      <c r="I150" s="6" t="str">
        <f>IFERROR(DEC2HEX(H150),"")</f>
        <v>0</v>
      </c>
    </row>
    <row r="151" spans="1:14" s="11" customFormat="1" x14ac:dyDescent="0.2">
      <c r="A151" s="11" t="s">
        <v>3031</v>
      </c>
      <c r="B151" s="11" t="s">
        <v>3118</v>
      </c>
      <c r="C151" s="12"/>
      <c r="E151" t="str">
        <f>IF(D151&lt;&gt;"",C151&amp;"/"&amp;D151,"")</f>
        <v/>
      </c>
      <c r="F151" s="12"/>
      <c r="G151" s="5" t="str">
        <f>IF(F151&lt;&gt;"",HEX2DEC(SUBSTITUTE(SUBSTITUTE(F151,"adrEA",""),"$","")),"")</f>
        <v/>
      </c>
      <c r="H151" s="12"/>
      <c r="I151" s="6" t="str">
        <f>IFERROR(DEC2HEX(H151),"")</f>
        <v>0</v>
      </c>
      <c r="J151" s="13"/>
      <c r="K151" s="22"/>
      <c r="L151" s="13"/>
      <c r="M151" s="13"/>
    </row>
    <row r="152" spans="1:14" x14ac:dyDescent="0.2">
      <c r="A152" t="s">
        <v>3038</v>
      </c>
      <c r="B152" t="s">
        <v>3108</v>
      </c>
      <c r="C152" s="5" t="s">
        <v>51</v>
      </c>
      <c r="D152" t="s">
        <v>179</v>
      </c>
      <c r="E152" t="s">
        <v>4658</v>
      </c>
      <c r="F152" s="5" t="s">
        <v>3260</v>
      </c>
      <c r="G152" s="5">
        <f>IF(F152&lt;&gt;"",HEX2DEC(SUBSTITUTE(SUBSTITUTE(F152,"adrEA",""),"$","")),"")</f>
        <v>281748</v>
      </c>
      <c r="H152" s="5">
        <v>5816</v>
      </c>
      <c r="I152" s="6" t="str">
        <f>IFERROR(DEC2HEX(H152),"")</f>
        <v>16B8</v>
      </c>
      <c r="K152" s="21" t="s">
        <v>4659</v>
      </c>
    </row>
    <row r="153" spans="1:14" x14ac:dyDescent="0.2">
      <c r="A153" t="s">
        <v>3039</v>
      </c>
      <c r="B153" t="s">
        <v>3105</v>
      </c>
      <c r="C153" s="5" t="s">
        <v>51</v>
      </c>
      <c r="D153" t="s">
        <v>180</v>
      </c>
      <c r="E153" t="s">
        <v>4660</v>
      </c>
      <c r="F153" s="5" t="s">
        <v>3261</v>
      </c>
      <c r="G153" s="5">
        <f>IF(F153&lt;&gt;"",HEX2DEC(SUBSTITUTE(SUBSTITUTE(F153,"adrEA",""),"$","")),"")</f>
        <v>287564</v>
      </c>
      <c r="H153" s="5">
        <v>5096</v>
      </c>
      <c r="I153" s="6" t="str">
        <f>IFERROR(DEC2HEX(H153),"")</f>
        <v>13E8</v>
      </c>
      <c r="K153" s="21" t="s">
        <v>4661</v>
      </c>
    </row>
    <row r="154" spans="1:14" x14ac:dyDescent="0.2">
      <c r="A154" t="s">
        <v>3040</v>
      </c>
      <c r="B154" t="s">
        <v>3106</v>
      </c>
      <c r="C154" s="5" t="s">
        <v>51</v>
      </c>
      <c r="D154" t="s">
        <v>181</v>
      </c>
      <c r="E154" t="s">
        <v>4662</v>
      </c>
      <c r="F154" s="5" t="s">
        <v>3262</v>
      </c>
      <c r="G154" s="5">
        <f>IF(F154&lt;&gt;"",HEX2DEC(SUBSTITUTE(SUBSTITUTE(F154,"adrEA",""),"$","")),"")</f>
        <v>292660</v>
      </c>
      <c r="H154" s="5">
        <v>1112</v>
      </c>
      <c r="I154" s="6" t="str">
        <f>IFERROR(DEC2HEX(H154),"")</f>
        <v>458</v>
      </c>
      <c r="K154" s="21" t="s">
        <v>4663</v>
      </c>
    </row>
    <row r="155" spans="1:14" x14ac:dyDescent="0.2">
      <c r="A155" t="s">
        <v>3041</v>
      </c>
      <c r="B155" t="s">
        <v>3107</v>
      </c>
      <c r="C155" s="7" t="s">
        <v>51</v>
      </c>
      <c r="D155" t="s">
        <v>182</v>
      </c>
      <c r="E155" t="str">
        <f>IF(D155&lt;&gt;"",C155&amp;"/"&amp;D155,"")</f>
        <v>monsters/CrabClaw.gfx</v>
      </c>
      <c r="F155" s="5" t="s">
        <v>3263</v>
      </c>
      <c r="G155" s="5">
        <f>IF(F155&lt;&gt;"",HEX2DEC(SUBSTITUTE(SUBSTITUTE(F155,"adrEA",""),"$","")),"")</f>
        <v>293772</v>
      </c>
      <c r="H155" s="5" t="s">
        <v>183</v>
      </c>
      <c r="I155" s="6" t="str">
        <f>IFERROR(DEC2HEX(H155),"")</f>
        <v>350</v>
      </c>
      <c r="N155" t="e">
        <f>#REF!+#REF!</f>
        <v>#REF!</v>
      </c>
    </row>
    <row r="156" spans="1:14" x14ac:dyDescent="0.2">
      <c r="A156" t="s">
        <v>2318</v>
      </c>
      <c r="B156" t="s">
        <v>3380</v>
      </c>
      <c r="C156" s="7" t="s">
        <v>51</v>
      </c>
      <c r="D156" t="s">
        <v>3381</v>
      </c>
      <c r="E156" t="str">
        <f>IF(D156&lt;&gt;"",C156&amp;"/"&amp;D156,"")</f>
        <v>monsters/Beholder_Body.offsets</v>
      </c>
      <c r="F156" s="5" t="s">
        <v>3388</v>
      </c>
      <c r="G156" s="5">
        <f>IF(F156&lt;&gt;"",HEX2DEC(SUBSTITUTE(SUBSTITUTE(F156,"adrEA",""),"$","")),"")</f>
        <v>40816</v>
      </c>
      <c r="H156" s="5">
        <v>12</v>
      </c>
      <c r="I156" s="6" t="str">
        <f>IFERROR(DEC2HEX(H156),"")</f>
        <v>C</v>
      </c>
      <c r="N156">
        <f>G155+H155</f>
        <v>294620</v>
      </c>
    </row>
    <row r="157" spans="1:14" x14ac:dyDescent="0.2">
      <c r="A157" t="s">
        <v>2319</v>
      </c>
      <c r="B157" t="s">
        <v>3431</v>
      </c>
      <c r="C157" s="7" t="s">
        <v>51</v>
      </c>
      <c r="D157" t="s">
        <v>3432</v>
      </c>
      <c r="E157" t="str">
        <f>IF(D157&lt;&gt;"",C157&amp;"/"&amp;D157,"")</f>
        <v>monsters/Beholder_UpperEyes.offsets</v>
      </c>
      <c r="F157" s="5" t="s">
        <v>3389</v>
      </c>
      <c r="G157" s="5">
        <f>IF(F157&lt;&gt;"",HEX2DEC(SUBSTITUTE(SUBSTITUTE(F157,"adrEA",""),"$","")),"")</f>
        <v>40828</v>
      </c>
      <c r="H157" s="5">
        <v>8</v>
      </c>
      <c r="I157" s="6" t="str">
        <f>IFERROR(DEC2HEX(H157),"")</f>
        <v>8</v>
      </c>
    </row>
    <row r="158" spans="1:14" x14ac:dyDescent="0.2">
      <c r="A158" t="s">
        <v>2320</v>
      </c>
      <c r="B158" t="s">
        <v>3382</v>
      </c>
      <c r="C158" s="7" t="s">
        <v>51</v>
      </c>
      <c r="D158" t="s">
        <v>3385</v>
      </c>
      <c r="E158" t="str">
        <f>IF(D158&lt;&gt;"",C158&amp;"/"&amp;D158,"")</f>
        <v>monsters/Beholder_CentralEye_Near.offsets</v>
      </c>
      <c r="F158" s="5" t="s">
        <v>3390</v>
      </c>
      <c r="G158" s="5">
        <f>IF(F158&lt;&gt;"",HEX2DEC(SUBSTITUTE(SUBSTITUTE(F158,"adrEA",""),"$","")),"")</f>
        <v>40836</v>
      </c>
      <c r="H158" s="5">
        <v>32</v>
      </c>
      <c r="I158" s="6" t="str">
        <f>IFERROR(DEC2HEX(H158),"")</f>
        <v>20</v>
      </c>
    </row>
    <row r="159" spans="1:14" x14ac:dyDescent="0.2">
      <c r="A159" t="s">
        <v>2321</v>
      </c>
      <c r="B159" t="s">
        <v>3383</v>
      </c>
      <c r="C159" s="7" t="s">
        <v>51</v>
      </c>
      <c r="D159" t="s">
        <v>3384</v>
      </c>
      <c r="E159" t="str">
        <f>IF(D159&lt;&gt;"",C159&amp;"/"&amp;D159,"")</f>
        <v>monsters/Beholder_CentralEye_Far.offsets</v>
      </c>
      <c r="F159" s="5" t="s">
        <v>3391</v>
      </c>
      <c r="G159" s="5">
        <f>IF(F159&lt;&gt;"",HEX2DEC(SUBSTITUTE(SUBSTITUTE(F159,"adrEA",""),"$","")),"")</f>
        <v>40868</v>
      </c>
      <c r="H159" s="5">
        <v>8</v>
      </c>
      <c r="I159" s="6" t="str">
        <f>IFERROR(DEC2HEX(H159),"")</f>
        <v>8</v>
      </c>
    </row>
    <row r="160" spans="1:14" x14ac:dyDescent="0.2">
      <c r="A160" t="s">
        <v>2297</v>
      </c>
      <c r="B160" t="s">
        <v>3392</v>
      </c>
      <c r="C160" s="7" t="s">
        <v>51</v>
      </c>
      <c r="D160" t="s">
        <v>3433</v>
      </c>
      <c r="E160" t="str">
        <f>IF(D160&lt;&gt;"",C160&amp;"/"&amp;D160,"")</f>
        <v>monsters/Beholder_CentralEye_Near_Front.heights</v>
      </c>
      <c r="F160" s="5" t="s">
        <v>3393</v>
      </c>
      <c r="G160" s="5">
        <f>IF(F160&lt;&gt;"",HEX2DEC(SUBSTITUTE(SUBSTITUTE(F160,"adrEA",""),"$","")),"")</f>
        <v>40496</v>
      </c>
      <c r="H160" s="5">
        <v>4</v>
      </c>
      <c r="I160" s="6" t="str">
        <f>IFERROR(DEC2HEX(H160),"")</f>
        <v>4</v>
      </c>
      <c r="N160" t="s">
        <v>3394</v>
      </c>
    </row>
    <row r="161" spans="1:14" x14ac:dyDescent="0.2">
      <c r="A161" t="s">
        <v>2298</v>
      </c>
      <c r="B161" t="s">
        <v>3434</v>
      </c>
      <c r="C161" s="7" t="s">
        <v>51</v>
      </c>
      <c r="D161" t="s">
        <v>3435</v>
      </c>
      <c r="E161" t="str">
        <f>IF(D161&lt;&gt;"",C161&amp;"/"&amp;D161,"")</f>
        <v>monsters/Beholder_CentralEye_Near_Y.positions</v>
      </c>
      <c r="F161" s="5" t="s">
        <v>3395</v>
      </c>
      <c r="G161" s="5">
        <f>IF(F161&lt;&gt;"",HEX2DEC(SUBSTITUTE(SUBSTITUTE(F161,"adrEA",""),"$","")),"")</f>
        <v>40500</v>
      </c>
      <c r="H161" s="5">
        <v>4</v>
      </c>
      <c r="I161" s="6" t="str">
        <f>IFERROR(DEC2HEX(H161),"")</f>
        <v>4</v>
      </c>
      <c r="N161" t="s">
        <v>3396</v>
      </c>
    </row>
    <row r="162" spans="1:14" x14ac:dyDescent="0.2">
      <c r="A162" t="s">
        <v>2301</v>
      </c>
      <c r="B162" t="s">
        <v>3397</v>
      </c>
      <c r="C162" s="7" t="s">
        <v>51</v>
      </c>
      <c r="D162" t="s">
        <v>3436</v>
      </c>
      <c r="E162" t="str">
        <f>IF(D162&lt;&gt;"",C162&amp;"/"&amp;D162,"")</f>
        <v>monsters/Beholder_CentralEye_Near_Side.heights</v>
      </c>
      <c r="F162" s="5" t="s">
        <v>3398</v>
      </c>
      <c r="G162" s="5">
        <f>IF(F162&lt;&gt;"",HEX2DEC(SUBSTITUTE(SUBSTITUTE(F162,"adrEA",""),"$","")),"")</f>
        <v>40560</v>
      </c>
      <c r="H162" s="5">
        <v>4</v>
      </c>
      <c r="I162" s="6" t="str">
        <f>IFERROR(DEC2HEX(H162),"")</f>
        <v>4</v>
      </c>
      <c r="N162" t="s">
        <v>3399</v>
      </c>
    </row>
    <row r="163" spans="1:14" x14ac:dyDescent="0.2">
      <c r="A163" t="s">
        <v>2302</v>
      </c>
      <c r="B163" t="s">
        <v>3437</v>
      </c>
      <c r="C163" s="7" t="s">
        <v>51</v>
      </c>
      <c r="D163" t="s">
        <v>3438</v>
      </c>
      <c r="E163" t="str">
        <f>IF(D163&lt;&gt;"",C163&amp;"/"&amp;D163,"")</f>
        <v>monsters/Beholder_CentralEye_Near_Side_Mirrored_X.positions</v>
      </c>
      <c r="F163" s="5" t="s">
        <v>3400</v>
      </c>
      <c r="G163" s="5">
        <f>IF(F163&lt;&gt;"",HEX2DEC(SUBSTITUTE(SUBSTITUTE(F163,"adrEA",""),"$","")),"")</f>
        <v>40564</v>
      </c>
      <c r="H163" s="5">
        <v>4</v>
      </c>
      <c r="I163" s="6" t="str">
        <f>IFERROR(DEC2HEX(H163),"")</f>
        <v>4</v>
      </c>
      <c r="N163" t="s">
        <v>3401</v>
      </c>
    </row>
    <row r="164" spans="1:14" x14ac:dyDescent="0.2">
      <c r="A164" t="s">
        <v>2303</v>
      </c>
      <c r="B164" t="s">
        <v>3439</v>
      </c>
      <c r="C164" s="7" t="s">
        <v>51</v>
      </c>
      <c r="D164" t="s">
        <v>3440</v>
      </c>
      <c r="E164" t="str">
        <f>IF(D164&lt;&gt;"",C164&amp;"/"&amp;D164,"")</f>
        <v>monsters/Beholder_CentralEye_Near_Side_Y.positions</v>
      </c>
      <c r="F164" s="5" t="s">
        <v>3402</v>
      </c>
      <c r="G164" s="5">
        <f>IF(F164&lt;&gt;"",HEX2DEC(SUBSTITUTE(SUBSTITUTE(F164,"adrEA",""),"$","")),"")</f>
        <v>40568</v>
      </c>
      <c r="H164" s="5">
        <v>4</v>
      </c>
      <c r="I164" s="6" t="str">
        <f>IFERROR(DEC2HEX(H164),"")</f>
        <v>4</v>
      </c>
      <c r="N164" t="s">
        <v>3403</v>
      </c>
    </row>
    <row r="165" spans="1:14" x14ac:dyDescent="0.2">
      <c r="A165" t="s">
        <v>2305</v>
      </c>
      <c r="B165" t="s">
        <v>3441</v>
      </c>
      <c r="C165" s="7" t="s">
        <v>51</v>
      </c>
      <c r="D165" t="s">
        <v>3442</v>
      </c>
      <c r="E165" t="str">
        <f>IF(D165&lt;&gt;"",C165&amp;"/"&amp;D165,"")</f>
        <v>monsters/Beholder_CentralEye_Far_Y.positions</v>
      </c>
      <c r="F165" s="5" t="s">
        <v>3404</v>
      </c>
      <c r="G165" s="5">
        <f>IF(F165&lt;&gt;"",HEX2DEC(SUBSTITUTE(SUBSTITUTE(F165,"adrEA",""),"$","")),"")</f>
        <v>40606</v>
      </c>
      <c r="H165" s="5">
        <v>2</v>
      </c>
      <c r="I165" s="6" t="str">
        <f>IFERROR(DEC2HEX(H165),"")</f>
        <v>2</v>
      </c>
      <c r="N165" t="s">
        <v>3405</v>
      </c>
    </row>
    <row r="166" spans="1:14" x14ac:dyDescent="0.2">
      <c r="A166" t="s">
        <v>2306</v>
      </c>
      <c r="B166" t="s">
        <v>3443</v>
      </c>
      <c r="C166" s="7" t="s">
        <v>51</v>
      </c>
      <c r="D166" t="s">
        <v>3444</v>
      </c>
      <c r="E166" t="str">
        <f>IF(D166&lt;&gt;"",C166&amp;"/"&amp;D166,"")</f>
        <v>monsters/Beholder_CentralEye_Far_Side_Mirrored_X.positions</v>
      </c>
      <c r="F166" s="5" t="s">
        <v>3406</v>
      </c>
      <c r="G166" s="5">
        <f>IF(F166&lt;&gt;"",HEX2DEC(SUBSTITUTE(SUBSTITUTE(F166,"adrEA",""),"$","")),"")</f>
        <v>40608</v>
      </c>
      <c r="H166" s="5">
        <v>2</v>
      </c>
      <c r="I166" s="6" t="str">
        <f>IFERROR(DEC2HEX(H166),"")</f>
        <v>2</v>
      </c>
      <c r="N166" t="s">
        <v>3407</v>
      </c>
    </row>
    <row r="167" spans="1:14" x14ac:dyDescent="0.2">
      <c r="A167" t="s">
        <v>2309</v>
      </c>
      <c r="B167" t="s">
        <v>3408</v>
      </c>
      <c r="C167" s="7" t="s">
        <v>51</v>
      </c>
      <c r="D167" t="s">
        <v>3445</v>
      </c>
      <c r="E167" t="str">
        <f>IF(D167&lt;&gt;"",C167&amp;"/"&amp;D167,"")</f>
        <v>monsters/Beholder_Body.heights</v>
      </c>
      <c r="F167" s="5" t="s">
        <v>3409</v>
      </c>
      <c r="G167" s="5">
        <f>IF(F167&lt;&gt;"",HEX2DEC(SUBSTITUTE(SUBSTITUTE(F167,"adrEA",""),"$","")),"")</f>
        <v>40660</v>
      </c>
      <c r="H167" s="5">
        <v>6</v>
      </c>
      <c r="I167" s="6" t="str">
        <f>IFERROR(DEC2HEX(H167),"")</f>
        <v>6</v>
      </c>
      <c r="N167" t="s">
        <v>3410</v>
      </c>
    </row>
    <row r="168" spans="1:14" x14ac:dyDescent="0.2">
      <c r="A168" t="s">
        <v>2310</v>
      </c>
      <c r="B168" t="s">
        <v>3446</v>
      </c>
      <c r="C168" s="7" t="s">
        <v>51</v>
      </c>
      <c r="D168" t="s">
        <v>3447</v>
      </c>
      <c r="E168" t="str">
        <f>IF(D168&lt;&gt;"",C168&amp;"/"&amp;D168,"")</f>
        <v>monsters/Beholder_Composite_X.positions</v>
      </c>
      <c r="F168" s="5" t="s">
        <v>3411</v>
      </c>
      <c r="G168" s="5">
        <f>IF(F168&lt;&gt;"",HEX2DEC(SUBSTITUTE(SUBSTITUTE(F168,"adrEA",""),"$","")),"")</f>
        <v>40666</v>
      </c>
      <c r="H168" s="5">
        <v>6</v>
      </c>
      <c r="I168" s="6" t="str">
        <f>IFERROR(DEC2HEX(H168),"")</f>
        <v>6</v>
      </c>
      <c r="N168" t="s">
        <v>3412</v>
      </c>
    </row>
    <row r="169" spans="1:14" x14ac:dyDescent="0.2">
      <c r="A169" t="s">
        <v>2311</v>
      </c>
      <c r="B169" t="s">
        <v>3448</v>
      </c>
      <c r="C169" s="7" t="s">
        <v>51</v>
      </c>
      <c r="D169" t="s">
        <v>3449</v>
      </c>
      <c r="E169" t="str">
        <f>IF(D169&lt;&gt;"",C169&amp;"/"&amp;D169,"")</f>
        <v>monsters/Beholder_Composite_Y.positions</v>
      </c>
      <c r="F169" s="5" t="s">
        <v>3413</v>
      </c>
      <c r="G169" s="5">
        <f>IF(F169&lt;&gt;"",HEX2DEC(SUBSTITUTE(SUBSTITUTE(F169,"adrEA",""),"$","")),"")</f>
        <v>40672</v>
      </c>
      <c r="H169" s="5">
        <v>6</v>
      </c>
      <c r="I169" s="6" t="str">
        <f>IFERROR(DEC2HEX(H169),"")</f>
        <v>6</v>
      </c>
      <c r="N169" t="s">
        <v>3414</v>
      </c>
    </row>
    <row r="170" spans="1:14" x14ac:dyDescent="0.2">
      <c r="A170" t="s">
        <v>2312</v>
      </c>
      <c r="B170" t="s">
        <v>3415</v>
      </c>
      <c r="C170" s="7" t="s">
        <v>51</v>
      </c>
      <c r="D170" t="s">
        <v>3450</v>
      </c>
      <c r="E170" t="str">
        <f>IF(D170&lt;&gt;"",C170&amp;"/"&amp;D170,"")</f>
        <v>monsters/Beholder_UpperEyes.heights</v>
      </c>
      <c r="F170" s="5" t="s">
        <v>3416</v>
      </c>
      <c r="G170" s="5">
        <f>IF(F170&lt;&gt;"",HEX2DEC(SUBSTITUTE(SUBSTITUTE(F170,"adrEA",""),"$","")),"")</f>
        <v>40678</v>
      </c>
      <c r="H170" s="5">
        <v>4</v>
      </c>
      <c r="I170" s="6" t="str">
        <f>IFERROR(DEC2HEX(H170),"")</f>
        <v>4</v>
      </c>
      <c r="N170" t="s">
        <v>3417</v>
      </c>
    </row>
    <row r="171" spans="1:14" x14ac:dyDescent="0.2">
      <c r="A171" t="s">
        <v>2316</v>
      </c>
      <c r="B171" t="s">
        <v>3451</v>
      </c>
      <c r="C171" s="7" t="s">
        <v>51</v>
      </c>
      <c r="D171" t="s">
        <v>3452</v>
      </c>
      <c r="E171" t="str">
        <f>IF(D171&lt;&gt;"",C171&amp;"/"&amp;D171,"")</f>
        <v>monsters/Beholder_Near_MirroredHalf_X.positions</v>
      </c>
      <c r="F171" s="5" t="s">
        <v>3418</v>
      </c>
      <c r="G171" s="5">
        <f>IF(F171&lt;&gt;"",HEX2DEC(SUBSTITUTE(SUBSTITUTE(F171,"adrEA",""),"$","")),"")</f>
        <v>40798</v>
      </c>
      <c r="H171" s="5">
        <v>2</v>
      </c>
      <c r="I171" s="6" t="str">
        <f>IFERROR(DEC2HEX(H171),"")</f>
        <v>2</v>
      </c>
      <c r="N171" t="s">
        <v>3419</v>
      </c>
    </row>
    <row r="172" spans="1:14" x14ac:dyDescent="0.2">
      <c r="A172" t="s">
        <v>3090</v>
      </c>
      <c r="B172" t="s">
        <v>3453</v>
      </c>
      <c r="C172" s="7" t="s">
        <v>51</v>
      </c>
      <c r="D172" t="s">
        <v>3454</v>
      </c>
      <c r="E172" t="str">
        <f>IF(D172&lt;&gt;"",C172&amp;"/"&amp;D172,"")</f>
        <v>monsters/Beholder_Body.gfx</v>
      </c>
      <c r="F172" s="5" t="s">
        <v>3264</v>
      </c>
      <c r="G172" s="5">
        <f>IF(F172&lt;&gt;"",HEX2DEC(SUBSTITUTE(SUBSTITUTE(F172,"adrEA",""),"$","")),"")</f>
        <v>294620</v>
      </c>
      <c r="H172" s="5">
        <v>672</v>
      </c>
      <c r="I172" s="6" t="str">
        <f>IFERROR(DEC2HEX(H172),"")</f>
        <v>2A0</v>
      </c>
      <c r="J172" s="6" t="s">
        <v>3455</v>
      </c>
    </row>
    <row r="173" spans="1:14" x14ac:dyDescent="0.2">
      <c r="A173" t="s">
        <v>3090</v>
      </c>
      <c r="B173" t="s">
        <v>3457</v>
      </c>
      <c r="C173" s="7" t="s">
        <v>51</v>
      </c>
      <c r="D173" t="s">
        <v>3459</v>
      </c>
      <c r="E173" t="str">
        <f>IF(D173&lt;&gt;"",C173&amp;"/"&amp;D173,"")</f>
        <v>monsters/Beholder_UpperEyes.gfx</v>
      </c>
      <c r="F173" s="5" t="s">
        <v>3265</v>
      </c>
      <c r="G173" s="5">
        <f>IF(F173&lt;&gt;"",HEX2DEC(SUBSTITUTE(SUBSTITUTE(F173,"adrEA",""),"$","")),"")</f>
        <v>295292</v>
      </c>
      <c r="H173" s="5">
        <v>160</v>
      </c>
      <c r="I173" s="6" t="str">
        <f>IFERROR(DEC2HEX(H173),"")</f>
        <v>A0</v>
      </c>
      <c r="J173" s="6" t="s">
        <v>3460</v>
      </c>
    </row>
    <row r="174" spans="1:14" x14ac:dyDescent="0.2">
      <c r="A174" t="s">
        <v>3090</v>
      </c>
      <c r="B174" t="s">
        <v>3458</v>
      </c>
      <c r="C174" s="7" t="s">
        <v>51</v>
      </c>
      <c r="D174" t="s">
        <v>3461</v>
      </c>
      <c r="E174" t="str">
        <f>IF(D174&lt;&gt;"",C174&amp;"/"&amp;D174,"")</f>
        <v>monsters/Beholder_CentralEye_Near.gfx</v>
      </c>
      <c r="F174" s="5" t="s">
        <v>3462</v>
      </c>
      <c r="G174" s="5">
        <f>IF(F174&lt;&gt;"",HEX2DEC(SUBSTITUTE(SUBSTITUTE(F174,"adrEA",""),"$","")),"")</f>
        <v>295452</v>
      </c>
      <c r="H174" s="5">
        <v>864</v>
      </c>
      <c r="I174" s="6" t="str">
        <f>IFERROR(DEC2HEX(H174),"")</f>
        <v>360</v>
      </c>
      <c r="J174" s="6" t="s">
        <v>3460</v>
      </c>
    </row>
    <row r="175" spans="1:14" x14ac:dyDescent="0.2">
      <c r="A175" t="s">
        <v>3090</v>
      </c>
      <c r="B175" t="s">
        <v>3463</v>
      </c>
      <c r="C175" s="7" t="s">
        <v>51</v>
      </c>
      <c r="D175" t="s">
        <v>3464</v>
      </c>
      <c r="E175" t="str">
        <f>IF(D175&lt;&gt;"",C175&amp;"/"&amp;D175,"")</f>
        <v>monsters/Beholder_CentralEye_Far.gfx</v>
      </c>
      <c r="F175" s="5" t="s">
        <v>3387</v>
      </c>
      <c r="G175" s="5">
        <f>IF(F175&lt;&gt;"",HEX2DEC(SUBSTITUTE(SUBSTITUTE(F175,"adrEA",""),"$","")),"")</f>
        <v>296316</v>
      </c>
      <c r="H175" s="5">
        <v>96</v>
      </c>
      <c r="I175" s="6" t="str">
        <f>IFERROR(DEC2HEX(H175),"")</f>
        <v>60</v>
      </c>
      <c r="J175" s="6" t="s">
        <v>3460</v>
      </c>
    </row>
    <row r="176" spans="1:14" x14ac:dyDescent="0.2">
      <c r="A176" t="s">
        <v>3081</v>
      </c>
      <c r="C176" s="7"/>
      <c r="E176" t="str">
        <f>IF(D176&lt;&gt;"",C176&amp;"/"&amp;D176,"")</f>
        <v/>
      </c>
      <c r="G176" s="5" t="str">
        <f>IF(F176&lt;&gt;"",HEX2DEC(SUBSTITUTE(SUBSTITUTE(F176,"adrEA",""),"$","")),"")</f>
        <v/>
      </c>
      <c r="I176" s="6" t="str">
        <f>IFERROR(DEC2HEX(H176),"")</f>
        <v>0</v>
      </c>
      <c r="N176">
        <f>G172+H172</f>
        <v>295292</v>
      </c>
    </row>
    <row r="177" spans="1:14" x14ac:dyDescent="0.2">
      <c r="A177" t="s">
        <v>3082</v>
      </c>
      <c r="C177" s="7"/>
      <c r="E177" t="str">
        <f>IF(D177&lt;&gt;"",C177&amp;"/"&amp;D177,"")</f>
        <v/>
      </c>
      <c r="G177" s="5" t="str">
        <f>IF(F177&lt;&gt;"",HEX2DEC(SUBSTITUTE(SUBSTITUTE(F177,"adrEA",""),"$","")),"")</f>
        <v/>
      </c>
      <c r="I177" s="6" t="str">
        <f>IFERROR(DEC2HEX(H177),"")</f>
        <v>0</v>
      </c>
      <c r="N177">
        <f>N176+H176</f>
        <v>295292</v>
      </c>
    </row>
    <row r="178" spans="1:14" x14ac:dyDescent="0.2">
      <c r="A178" t="s">
        <v>3083</v>
      </c>
      <c r="C178" s="7"/>
      <c r="E178" t="str">
        <f>IF(D178&lt;&gt;"",C178&amp;"/"&amp;D178,"")</f>
        <v/>
      </c>
      <c r="G178" s="5" t="str">
        <f>IF(F178&lt;&gt;"",HEX2DEC(SUBSTITUTE(SUBSTITUTE(F178,"adrEA",""),"$","")),"")</f>
        <v/>
      </c>
      <c r="I178" s="6" t="str">
        <f>IFERROR(DEC2HEX(H178),"")</f>
        <v>0</v>
      </c>
      <c r="N178">
        <f>N177+H177</f>
        <v>295292</v>
      </c>
    </row>
    <row r="179" spans="1:14" x14ac:dyDescent="0.2">
      <c r="A179" t="s">
        <v>3084</v>
      </c>
      <c r="C179" s="7"/>
      <c r="E179" t="str">
        <f>IF(D179&lt;&gt;"",C179&amp;"/"&amp;D179,"")</f>
        <v/>
      </c>
      <c r="G179" s="5" t="str">
        <f>IF(F179&lt;&gt;"",HEX2DEC(SUBSTITUTE(SUBSTITUTE(F179,"adrEA",""),"$","")),"")</f>
        <v/>
      </c>
      <c r="I179" s="6" t="str">
        <f>IFERROR(DEC2HEX(H179),"")</f>
        <v>0</v>
      </c>
      <c r="N179">
        <f>N178+H178</f>
        <v>295292</v>
      </c>
    </row>
    <row r="180" spans="1:14" x14ac:dyDescent="0.2">
      <c r="A180" t="s">
        <v>3085</v>
      </c>
      <c r="C180" s="7"/>
      <c r="E180" t="str">
        <f>IF(D180&lt;&gt;"",C180&amp;"/"&amp;D180,"")</f>
        <v/>
      </c>
      <c r="G180" s="5" t="str">
        <f>IF(F180&lt;&gt;"",HEX2DEC(SUBSTITUTE(SUBSTITUTE(F180,"adrEA",""),"$","")),"")</f>
        <v/>
      </c>
      <c r="I180" s="6" t="str">
        <f>IFERROR(DEC2HEX(H180),"")</f>
        <v>0</v>
      </c>
      <c r="N180">
        <f>N179+H179</f>
        <v>295292</v>
      </c>
    </row>
    <row r="181" spans="1:14" x14ac:dyDescent="0.2">
      <c r="A181" t="s">
        <v>3086</v>
      </c>
      <c r="C181" s="7"/>
      <c r="E181" t="str">
        <f>IF(D181&lt;&gt;"",C181&amp;"/"&amp;D181,"")</f>
        <v/>
      </c>
      <c r="G181" s="5" t="str">
        <f>IF(F181&lt;&gt;"",HEX2DEC(SUBSTITUTE(SUBSTITUTE(F181,"adrEA",""),"$","")),"")</f>
        <v/>
      </c>
      <c r="I181" s="6" t="str">
        <f>IFERROR(DEC2HEX(H181),"")</f>
        <v>0</v>
      </c>
      <c r="N181">
        <f>N180+H180</f>
        <v>295292</v>
      </c>
    </row>
    <row r="182" spans="1:14" x14ac:dyDescent="0.2">
      <c r="A182" t="s">
        <v>3087</v>
      </c>
      <c r="C182" s="7"/>
      <c r="E182" t="str">
        <f>IF(D182&lt;&gt;"",C182&amp;"/"&amp;D182,"")</f>
        <v/>
      </c>
      <c r="G182" s="5" t="str">
        <f>IF(F182&lt;&gt;"",HEX2DEC(SUBSTITUTE(SUBSTITUTE(F182,"adrEA",""),"$","")),"")</f>
        <v/>
      </c>
      <c r="I182" s="6" t="str">
        <f>IFERROR(DEC2HEX(H182),"")</f>
        <v>0</v>
      </c>
      <c r="N182">
        <f>N181+H181</f>
        <v>295292</v>
      </c>
    </row>
    <row r="183" spans="1:14" x14ac:dyDescent="0.2">
      <c r="A183" t="s">
        <v>3088</v>
      </c>
      <c r="C183" s="7"/>
      <c r="E183" t="str">
        <f>IF(D183&lt;&gt;"",C183&amp;"/"&amp;D183,"")</f>
        <v/>
      </c>
      <c r="G183" s="5" t="str">
        <f>IF(F183&lt;&gt;"",HEX2DEC(SUBSTITUTE(SUBSTITUTE(F183,"adrEA",""),"$","")),"")</f>
        <v/>
      </c>
      <c r="I183" s="6" t="str">
        <f>IFERROR(DEC2HEX(H183),"")</f>
        <v>0</v>
      </c>
      <c r="N183">
        <f>N182+H182</f>
        <v>295292</v>
      </c>
    </row>
    <row r="184" spans="1:14" x14ac:dyDescent="0.2">
      <c r="A184" t="s">
        <v>3089</v>
      </c>
      <c r="C184" s="7"/>
      <c r="E184" t="str">
        <f>IF(D184&lt;&gt;"",C184&amp;"/"&amp;D184,"")</f>
        <v/>
      </c>
      <c r="G184" s="5" t="str">
        <f>IF(F184&lt;&gt;"",HEX2DEC(SUBSTITUTE(SUBSTITUTE(F184,"adrEA",""),"$","")),"")</f>
        <v/>
      </c>
      <c r="I184" s="6" t="str">
        <f>IFERROR(DEC2HEX(H184),"")</f>
        <v>0</v>
      </c>
      <c r="N184">
        <f>N183+H183</f>
        <v>295292</v>
      </c>
    </row>
    <row r="185" spans="1:14" x14ac:dyDescent="0.2">
      <c r="A185" t="s">
        <v>3042</v>
      </c>
      <c r="B185" t="s">
        <v>3109</v>
      </c>
      <c r="C185" s="5" t="s">
        <v>51</v>
      </c>
      <c r="D185" t="s">
        <v>184</v>
      </c>
      <c r="E185" t="s">
        <v>4664</v>
      </c>
      <c r="F185" s="5" t="s">
        <v>3386</v>
      </c>
      <c r="G185" s="5">
        <f>IF(F185&lt;&gt;"",HEX2DEC(SUBSTITUTE(SUBSTITUTE(F185,"adrEA",""),"$","")),"")</f>
        <v>296412</v>
      </c>
      <c r="H185" s="5">
        <v>10544</v>
      </c>
      <c r="I185" s="6" t="str">
        <f>IFERROR(DEC2HEX(H185),"")</f>
        <v>2930</v>
      </c>
      <c r="K185" s="21" t="s">
        <v>4665</v>
      </c>
    </row>
    <row r="186" spans="1:14" x14ac:dyDescent="0.2">
      <c r="A186" t="s">
        <v>3043</v>
      </c>
      <c r="B186" t="s">
        <v>3110</v>
      </c>
      <c r="C186" s="5" t="s">
        <v>51</v>
      </c>
      <c r="D186" t="s">
        <v>185</v>
      </c>
      <c r="E186" t="s">
        <v>4666</v>
      </c>
      <c r="F186" s="5" t="s">
        <v>3472</v>
      </c>
      <c r="G186" s="5">
        <f>IF(F186&lt;&gt;"",HEX2DEC(SUBSTITUTE(SUBSTITUTE(F186,"adrEA",""),"$","")),"")</f>
        <v>306956</v>
      </c>
      <c r="H186" s="5">
        <v>5234</v>
      </c>
      <c r="I186" s="6" t="str">
        <f>IFERROR(DEC2HEX(H186),"")</f>
        <v>1472</v>
      </c>
      <c r="K186" s="21" t="s">
        <v>4667</v>
      </c>
    </row>
    <row r="187" spans="1:14" x14ac:dyDescent="0.2">
      <c r="A187" t="s">
        <v>3044</v>
      </c>
      <c r="B187" t="s">
        <v>3102</v>
      </c>
      <c r="C187" s="5" t="s">
        <v>121</v>
      </c>
      <c r="D187" t="s">
        <v>186</v>
      </c>
      <c r="E187" t="s">
        <v>4656</v>
      </c>
      <c r="F187" s="5" t="s">
        <v>3197</v>
      </c>
      <c r="G187" s="5">
        <f>IF(F187&lt;&gt;"",HEX2DEC(SUBSTITUTE(SUBSTITUTE(F187,"adrEA",""),"$","")),"")</f>
        <v>312190</v>
      </c>
      <c r="H187" s="5">
        <v>32032</v>
      </c>
      <c r="I187" s="6" t="str">
        <f>IFERROR(DEC2HEX(H187),"")</f>
        <v>7D20</v>
      </c>
      <c r="K187" s="21" t="s">
        <v>4657</v>
      </c>
    </row>
    <row r="188" spans="1:14" ht="17" x14ac:dyDescent="0.25">
      <c r="A188" t="s">
        <v>2175</v>
      </c>
      <c r="B188" t="s">
        <v>3486</v>
      </c>
      <c r="C188" s="18" t="s">
        <v>3122</v>
      </c>
      <c r="D188" t="s">
        <v>3487</v>
      </c>
      <c r="E188" t="str">
        <f>IF(D188&lt;&gt;"",C188&amp;"/"&amp;D188,"")</f>
        <v>gfx-data/Monster_SubPosition_DepthAdjustments.positions</v>
      </c>
      <c r="F188" s="5" t="s">
        <v>3488</v>
      </c>
      <c r="G188" s="5">
        <f>IF(F188&lt;&gt;"",HEX2DEC(SUBSTITUTE(SUBSTITUTE(F188,"adrEA",""),"$","")),"")</f>
        <v>38322</v>
      </c>
      <c r="H188" s="5">
        <v>5</v>
      </c>
      <c r="I188" s="6" t="str">
        <f>IFERROR(DEC2HEX(H188),"")</f>
        <v>5</v>
      </c>
      <c r="K188" s="17" t="s">
        <v>3593</v>
      </c>
    </row>
    <row r="189" spans="1:14" ht="17" x14ac:dyDescent="0.25">
      <c r="A189" t="s">
        <v>2176</v>
      </c>
      <c r="B189" t="s">
        <v>3489</v>
      </c>
      <c r="C189" s="18" t="s">
        <v>3122</v>
      </c>
      <c r="D189" t="s">
        <v>3490</v>
      </c>
      <c r="E189" t="str">
        <f>IF(D189&lt;&gt;"",C189&amp;"/"&amp;D189,"")</f>
        <v>gfx-data/Monster_ViewCell_DepthSlots.lookup</v>
      </c>
      <c r="F189" s="5" t="s">
        <v>3491</v>
      </c>
      <c r="G189" s="5">
        <f>IF(F189&lt;&gt;"",HEX2DEC(SUBSTITUTE(SUBSTITUTE(F189,"adrEA",""),"$","")),"")</f>
        <v>38327</v>
      </c>
      <c r="H189" s="5">
        <v>19</v>
      </c>
      <c r="I189" s="6" t="str">
        <f>IFERROR(DEC2HEX(H189),"")</f>
        <v>13</v>
      </c>
      <c r="K189" s="17" t="s">
        <v>3594</v>
      </c>
    </row>
    <row r="190" spans="1:14" ht="17" x14ac:dyDescent="0.25">
      <c r="A190" t="s">
        <v>2177</v>
      </c>
      <c r="B190" t="s">
        <v>3492</v>
      </c>
      <c r="C190" s="18" t="s">
        <v>3122</v>
      </c>
      <c r="D190" t="s">
        <v>3493</v>
      </c>
      <c r="E190" t="str">
        <f>IF(D190&lt;&gt;"",C190&amp;"/"&amp;D190,"")</f>
        <v>gfx-data/Monster_Depth_GfxSlots.lookup</v>
      </c>
      <c r="F190" s="5" t="s">
        <v>3494</v>
      </c>
      <c r="G190" s="5">
        <f>IF(F190&lt;&gt;"",HEX2DEC(SUBSTITUTE(SUBSTITUTE(F190,"adrEA",""),"$","")),"")</f>
        <v>38346</v>
      </c>
      <c r="H190" s="5">
        <v>8</v>
      </c>
      <c r="I190" s="6" t="str">
        <f>IFERROR(DEC2HEX(H190),"")</f>
        <v>8</v>
      </c>
      <c r="K190" s="17" t="s">
        <v>3595</v>
      </c>
    </row>
    <row r="191" spans="1:14" ht="17" x14ac:dyDescent="0.25">
      <c r="A191" t="s">
        <v>2178</v>
      </c>
      <c r="B191" t="s">
        <v>3495</v>
      </c>
      <c r="C191" s="18" t="s">
        <v>3122</v>
      </c>
      <c r="D191" s="19" t="s">
        <v>3496</v>
      </c>
      <c r="E191" t="str">
        <f>IF(D191&lt;&gt;"",C191&amp;"/"&amp;D191,"")</f>
        <v>gfx-data/Monster_GfxSlot_Y.positions</v>
      </c>
      <c r="F191" s="5" t="s">
        <v>3497</v>
      </c>
      <c r="G191" s="5">
        <f>IF(F191&lt;&gt;"",HEX2DEC(SUBSTITUTE(SUBSTITUTE(F191,"adrEA",""),"$","")),"")</f>
        <v>38354</v>
      </c>
      <c r="H191" s="5">
        <v>6</v>
      </c>
      <c r="I191" s="6" t="str">
        <f>IFERROR(DEC2HEX(H191),"")</f>
        <v>6</v>
      </c>
      <c r="K191" s="17" t="s">
        <v>3596</v>
      </c>
    </row>
    <row r="192" spans="1:14" ht="17" x14ac:dyDescent="0.25">
      <c r="A192" t="s">
        <v>2991</v>
      </c>
      <c r="B192" t="s">
        <v>3498</v>
      </c>
      <c r="C192" s="18" t="s">
        <v>3122</v>
      </c>
      <c r="D192" s="19" t="s">
        <v>3499</v>
      </c>
      <c r="E192" t="str">
        <f>IF(D192&lt;&gt;"",C192&amp;"/"&amp;D192,"")</f>
        <v>gfx-data/Monster_ViewCell_SubPosition_X.positions</v>
      </c>
      <c r="F192" s="5" t="s">
        <v>3500</v>
      </c>
      <c r="G192" s="5">
        <f>IF(F192&lt;&gt;"",HEX2DEC(SUBSTITUTE(SUBSTITUTE(F192,"adrEA",""),"$","")),"")</f>
        <v>100096</v>
      </c>
      <c r="H192" s="5">
        <v>90</v>
      </c>
      <c r="I192" s="6" t="str">
        <f>IFERROR(DEC2HEX(H192),"")</f>
        <v>5A</v>
      </c>
      <c r="K192" s="17" t="s">
        <v>3597</v>
      </c>
    </row>
    <row r="193" spans="1:11" x14ac:dyDescent="0.2">
      <c r="A193" t="s">
        <v>2179</v>
      </c>
      <c r="B193" t="s">
        <v>3564</v>
      </c>
      <c r="E193" t="str">
        <f>IF(D193&lt;&gt;"",C193&amp;"/"&amp;D193,"")</f>
        <v/>
      </c>
      <c r="G193" s="5" t="str">
        <f>IF(F193&lt;&gt;"",HEX2DEC(SUBSTITUTE(SUBSTITUTE(F193,"adrEA",""),"$","")),"")</f>
        <v/>
      </c>
      <c r="I193" s="6" t="str">
        <f>IFERROR(DEC2HEX(H193),"")</f>
        <v>0</v>
      </c>
      <c r="K193" s="17" t="s">
        <v>3598</v>
      </c>
    </row>
    <row r="194" spans="1:11" x14ac:dyDescent="0.2">
      <c r="A194" t="s">
        <v>2540</v>
      </c>
      <c r="B194" t="s">
        <v>3501</v>
      </c>
      <c r="E194" t="str">
        <f>IF(D194&lt;&gt;"",C194&amp;"/"&amp;D194,"")</f>
        <v/>
      </c>
      <c r="G194" s="5" t="str">
        <f>IF(F194&lt;&gt;"",HEX2DEC(SUBSTITUTE(SUBSTITUTE(F194,"adrEA",""),"$","")),"")</f>
        <v/>
      </c>
      <c r="I194" s="6" t="str">
        <f>IFERROR(DEC2HEX(H194),"")</f>
        <v>0</v>
      </c>
      <c r="K194" s="17" t="s">
        <v>3792</v>
      </c>
    </row>
    <row r="195" spans="1:11" x14ac:dyDescent="0.2">
      <c r="A195" t="s">
        <v>2541</v>
      </c>
      <c r="B195" t="s">
        <v>3502</v>
      </c>
      <c r="E195" t="str">
        <f>IF(D195&lt;&gt;"",C195&amp;"/"&amp;D195,"")</f>
        <v/>
      </c>
      <c r="G195" s="5" t="str">
        <f>IF(F195&lt;&gt;"",HEX2DEC(SUBSTITUTE(SUBSTITUTE(F195,"adrEA",""),"$","")),"")</f>
        <v/>
      </c>
      <c r="I195" s="6" t="str">
        <f>IFERROR(DEC2HEX(H195),"")</f>
        <v>0</v>
      </c>
      <c r="K195" s="17" t="s">
        <v>3793</v>
      </c>
    </row>
    <row r="196" spans="1:11" x14ac:dyDescent="0.2">
      <c r="A196" t="s">
        <v>2543</v>
      </c>
      <c r="B196" t="s">
        <v>3503</v>
      </c>
      <c r="E196" t="str">
        <f>IF(D196&lt;&gt;"",C196&amp;"/"&amp;D196,"")</f>
        <v/>
      </c>
      <c r="G196" s="5" t="str">
        <f>IF(F196&lt;&gt;"",HEX2DEC(SUBSTITUTE(SUBSTITUTE(F196,"adrEA",""),"$","")),"")</f>
        <v/>
      </c>
      <c r="I196" s="6" t="str">
        <f>IFERROR(DEC2HEX(H196),"")</f>
        <v>0</v>
      </c>
      <c r="K196" s="17" t="s">
        <v>3794</v>
      </c>
    </row>
    <row r="197" spans="1:11" x14ac:dyDescent="0.2">
      <c r="A197" t="s">
        <v>2545</v>
      </c>
      <c r="B197" t="s">
        <v>3504</v>
      </c>
      <c r="E197" t="str">
        <f>IF(D197&lt;&gt;"",C197&amp;"/"&amp;D197,"")</f>
        <v/>
      </c>
      <c r="G197" s="5" t="str">
        <f>IF(F197&lt;&gt;"",HEX2DEC(SUBSTITUTE(SUBSTITUTE(F197,"adrEA",""),"$","")),"")</f>
        <v/>
      </c>
      <c r="I197" s="6" t="str">
        <f>IFERROR(DEC2HEX(H197),"")</f>
        <v>0</v>
      </c>
      <c r="K197" s="17" t="s">
        <v>3795</v>
      </c>
    </row>
    <row r="198" spans="1:11" x14ac:dyDescent="0.2">
      <c r="A198" t="s">
        <v>2546</v>
      </c>
      <c r="B198" t="s">
        <v>3505</v>
      </c>
      <c r="E198" t="str">
        <f>IF(D198&lt;&gt;"",C198&amp;"/"&amp;D198,"")</f>
        <v/>
      </c>
      <c r="G198" s="5" t="str">
        <f>IF(F198&lt;&gt;"",HEX2DEC(SUBSTITUTE(SUBSTITUTE(F198,"adrEA",""),"$","")),"")</f>
        <v/>
      </c>
      <c r="I198" s="6" t="str">
        <f>IFERROR(DEC2HEX(H198),"")</f>
        <v>0</v>
      </c>
      <c r="K198" s="17" t="s">
        <v>3796</v>
      </c>
    </row>
    <row r="199" spans="1:11" x14ac:dyDescent="0.2">
      <c r="A199" t="s">
        <v>2967</v>
      </c>
      <c r="B199" t="s">
        <v>3506</v>
      </c>
      <c r="E199" t="str">
        <f>IF(D199&lt;&gt;"",C199&amp;"/"&amp;D199,"")</f>
        <v/>
      </c>
      <c r="G199" s="5" t="str">
        <f>IF(F199&lt;&gt;"",HEX2DEC(SUBSTITUTE(SUBSTITUTE(F199,"adrEA",""),"$","")),"")</f>
        <v/>
      </c>
      <c r="I199" s="6" t="str">
        <f>IFERROR(DEC2HEX(H199),"")</f>
        <v>0</v>
      </c>
      <c r="K199" s="17" t="s">
        <v>3599</v>
      </c>
    </row>
    <row r="200" spans="1:11" ht="17" x14ac:dyDescent="0.25">
      <c r="A200" t="s">
        <v>2207</v>
      </c>
      <c r="B200" t="s">
        <v>3507</v>
      </c>
      <c r="C200" s="18" t="s">
        <v>3122</v>
      </c>
      <c r="D200" t="s">
        <v>3508</v>
      </c>
      <c r="E200" t="str">
        <f>IF(D200&lt;&gt;"",C200&amp;"/"&amp;D200,"")</f>
        <v>gfx-data/Monster_RenderFlags.lookup</v>
      </c>
      <c r="F200" s="5" t="s">
        <v>3509</v>
      </c>
      <c r="G200" s="5">
        <f>IF(F200&lt;&gt;"",HEX2DEC(SUBSTITUTE(SUBSTITUTE(F200,"adrEA",""),"$","")),"")</f>
        <v>38988</v>
      </c>
      <c r="H200" s="5">
        <v>32</v>
      </c>
      <c r="I200" s="6" t="str">
        <f>IFERROR(DEC2HEX(H200),"")</f>
        <v>20</v>
      </c>
      <c r="K200" s="17" t="s">
        <v>3600</v>
      </c>
    </row>
    <row r="201" spans="1:11" ht="17" x14ac:dyDescent="0.25">
      <c r="A201" t="s">
        <v>2213</v>
      </c>
      <c r="B201" s="19" t="s">
        <v>3565</v>
      </c>
      <c r="C201" s="18" t="s">
        <v>3122</v>
      </c>
      <c r="D201" t="s">
        <v>3510</v>
      </c>
      <c r="E201" t="str">
        <f>IF(D201&lt;&gt;"",C201&amp;"/"&amp;D201,"")</f>
        <v>gfx-data/Monster_Facing_GfxVariants.lookup</v>
      </c>
      <c r="F201" s="5" t="s">
        <v>3511</v>
      </c>
      <c r="G201" s="5">
        <f>IF(F201&lt;&gt;"",HEX2DEC(SUBSTITUTE(SUBSTITUTE(F201,"adrEA",""),"$","")),"")</f>
        <v>39194</v>
      </c>
      <c r="H201" s="5">
        <v>4</v>
      </c>
      <c r="I201" s="6" t="str">
        <f>IFERROR(DEC2HEX(H201),"")</f>
        <v>4</v>
      </c>
      <c r="K201" s="17" t="s">
        <v>3601</v>
      </c>
    </row>
    <row r="202" spans="1:11" ht="17" x14ac:dyDescent="0.25">
      <c r="A202" t="s">
        <v>2354</v>
      </c>
      <c r="B202" s="19" t="s">
        <v>3566</v>
      </c>
      <c r="C202" s="18" t="s">
        <v>3122</v>
      </c>
      <c r="D202" t="s">
        <v>3512</v>
      </c>
      <c r="E202" t="str">
        <f>IF(D202&lt;&gt;"",C202&amp;"/"&amp;D202,"")</f>
        <v>gfx-data/Monster_DistanceGroups.lookup</v>
      </c>
      <c r="F202" s="5" t="s">
        <v>3513</v>
      </c>
      <c r="G202" s="5">
        <f>IF(F202&lt;&gt;"",HEX2DEC(SUBSTITUTE(SUBSTITUTE(F202,"adrEA",""),"$","")),"")</f>
        <v>41394</v>
      </c>
      <c r="H202" s="5">
        <v>6</v>
      </c>
      <c r="I202" s="6" t="str">
        <f>IFERROR(DEC2HEX(H202),"")</f>
        <v>6</v>
      </c>
      <c r="K202" s="17" t="s">
        <v>3602</v>
      </c>
    </row>
    <row r="203" spans="1:11" ht="17" x14ac:dyDescent="0.25">
      <c r="A203" t="s">
        <v>2226</v>
      </c>
      <c r="B203" s="19" t="s">
        <v>3567</v>
      </c>
      <c r="C203" s="5" t="s">
        <v>51</v>
      </c>
      <c r="D203" s="19" t="s">
        <v>3569</v>
      </c>
      <c r="E203" t="str">
        <f>IF(D203&lt;&gt;"",C203&amp;"/"&amp;D203,"")</f>
        <v>monsters/Summon_Body.layout</v>
      </c>
      <c r="F203" s="5" t="s">
        <v>3514</v>
      </c>
      <c r="G203" s="5">
        <f>IF(F203&lt;&gt;"",HEX2DEC(SUBSTITUTE(SUBSTITUTE(F203,"adrEA",""),"$","")),"")</f>
        <v>39484</v>
      </c>
      <c r="H203" s="5">
        <v>12</v>
      </c>
      <c r="I203" s="6" t="str">
        <f>IFERROR(DEC2HEX(H203),"")</f>
        <v>C</v>
      </c>
      <c r="K203" s="17" t="s">
        <v>3603</v>
      </c>
    </row>
    <row r="204" spans="1:11" ht="17" x14ac:dyDescent="0.25">
      <c r="A204" t="s">
        <v>2227</v>
      </c>
      <c r="B204" s="19" t="s">
        <v>3568</v>
      </c>
      <c r="C204" s="5" t="s">
        <v>51</v>
      </c>
      <c r="D204" s="19" t="s">
        <v>3570</v>
      </c>
      <c r="E204" t="str">
        <f>IF(D204&lt;&gt;"",C204&amp;"/"&amp;D204,"")</f>
        <v>monsters/Summon_ArmVariants.lookup</v>
      </c>
      <c r="F204" s="5" t="s">
        <v>3515</v>
      </c>
      <c r="G204" s="5">
        <f>IF(F204&lt;&gt;"",HEX2DEC(SUBSTITUTE(SUBSTITUTE(F204,"adrEA",""),"$","")),"")</f>
        <v>39496</v>
      </c>
      <c r="H204" s="5">
        <v>4</v>
      </c>
      <c r="I204" s="6" t="str">
        <f>IFERROR(DEC2HEX(H204),"")</f>
        <v>4</v>
      </c>
      <c r="K204" s="17" t="s">
        <v>3604</v>
      </c>
    </row>
    <row r="205" spans="1:11" x14ac:dyDescent="0.2">
      <c r="A205" t="s">
        <v>2228</v>
      </c>
      <c r="B205" t="s">
        <v>3516</v>
      </c>
      <c r="C205" s="5" t="s">
        <v>51</v>
      </c>
      <c r="D205" t="s">
        <v>3517</v>
      </c>
      <c r="E205" t="str">
        <f>IF(D205&lt;&gt;"",C205&amp;"/"&amp;D205,"")</f>
        <v>monsters/Summon_Arms.heights</v>
      </c>
      <c r="F205" s="5" t="s">
        <v>3518</v>
      </c>
      <c r="G205" s="5">
        <f>IF(F205&lt;&gt;"",HEX2DEC(SUBSTITUTE(SUBSTITUTE(F205,"adrEA",""),"$","")),"")</f>
        <v>39500</v>
      </c>
      <c r="H205" s="5">
        <v>12</v>
      </c>
      <c r="I205" s="6" t="str">
        <f>IFERROR(DEC2HEX(H205),"")</f>
        <v>C</v>
      </c>
      <c r="K205" s="17" t="s">
        <v>3605</v>
      </c>
    </row>
    <row r="206" spans="1:11" x14ac:dyDescent="0.2">
      <c r="A206" t="s">
        <v>2229</v>
      </c>
      <c r="B206" t="s">
        <v>3519</v>
      </c>
      <c r="C206" s="5" t="s">
        <v>51</v>
      </c>
      <c r="D206" t="s">
        <v>3520</v>
      </c>
      <c r="E206" t="str">
        <f>IF(D206&lt;&gt;"",C206&amp;"/"&amp;D206,"")</f>
        <v>monsters/Summon_PrimaryArm.positions</v>
      </c>
      <c r="F206" s="5" t="s">
        <v>3521</v>
      </c>
      <c r="G206" s="5">
        <f>IF(F206&lt;&gt;"",HEX2DEC(SUBSTITUTE(SUBSTITUTE(F206,"adrEA",""),"$","")),"")</f>
        <v>39512</v>
      </c>
      <c r="H206" s="5">
        <v>32</v>
      </c>
      <c r="I206" s="6" t="str">
        <f>IFERROR(DEC2HEX(H206),"")</f>
        <v>20</v>
      </c>
      <c r="K206" s="17" t="s">
        <v>3606</v>
      </c>
    </row>
    <row r="207" spans="1:11" x14ac:dyDescent="0.2">
      <c r="A207" t="s">
        <v>2230</v>
      </c>
      <c r="B207" t="s">
        <v>3522</v>
      </c>
      <c r="C207" s="5" t="s">
        <v>51</v>
      </c>
      <c r="D207" t="s">
        <v>3523</v>
      </c>
      <c r="E207" t="str">
        <f>IF(D207&lt;&gt;"",C207&amp;"/"&amp;D207,"")</f>
        <v>monsters/Summon_SecondaryArm.positions</v>
      </c>
      <c r="F207" s="5" t="s">
        <v>3524</v>
      </c>
      <c r="G207" s="5">
        <f>IF(F207&lt;&gt;"",HEX2DEC(SUBSTITUTE(SUBSTITUTE(F207,"adrEA",""),"$","")),"")</f>
        <v>39544</v>
      </c>
      <c r="H207" s="5">
        <v>96</v>
      </c>
      <c r="I207" s="6" t="str">
        <f>IFERROR(DEC2HEX(H207),"")</f>
        <v>60</v>
      </c>
      <c r="K207" s="17" t="s">
        <v>3607</v>
      </c>
    </row>
    <row r="208" spans="1:11" x14ac:dyDescent="0.2">
      <c r="A208" t="s">
        <v>2239</v>
      </c>
      <c r="B208" t="s">
        <v>3278</v>
      </c>
      <c r="C208" s="5" t="s">
        <v>51</v>
      </c>
      <c r="D208" t="s">
        <v>3525</v>
      </c>
      <c r="E208" t="str">
        <f>IF(D208&lt;&gt;"",C208&amp;"/"&amp;D208,"")</f>
        <v>monsters/Summon.offsets</v>
      </c>
      <c r="F208" s="5" t="s">
        <v>3526</v>
      </c>
      <c r="G208" s="5">
        <f>IF(F208&lt;&gt;"",HEX2DEC(SUBSTITUTE(SUBSTITUTE(F208,"adrEA",""),"$","")),"")</f>
        <v>39738</v>
      </c>
      <c r="H208" s="5">
        <v>36</v>
      </c>
      <c r="I208" s="6" t="str">
        <f>IFERROR(DEC2HEX(H208),"")</f>
        <v>24</v>
      </c>
      <c r="K208" s="17" t="s">
        <v>3608</v>
      </c>
    </row>
    <row r="209" spans="1:11" x14ac:dyDescent="0.2">
      <c r="A209" t="s">
        <v>2240</v>
      </c>
      <c r="B209" t="s">
        <v>3279</v>
      </c>
      <c r="C209" s="5" t="s">
        <v>51</v>
      </c>
      <c r="D209" t="s">
        <v>3527</v>
      </c>
      <c r="E209" t="str">
        <f>IF(D209&lt;&gt;"",C209&amp;"/"&amp;D209,"")</f>
        <v>monsters/Summon_Arms.offsets</v>
      </c>
      <c r="F209" s="5" t="s">
        <v>3528</v>
      </c>
      <c r="G209" s="5">
        <f>IF(F209&lt;&gt;"",HEX2DEC(SUBSTITUTE(SUBSTITUTE(F209,"adrEA",""),"$","")),"")</f>
        <v>39774</v>
      </c>
      <c r="H209" s="5">
        <v>24</v>
      </c>
      <c r="I209" s="6" t="str">
        <f>IFERROR(DEC2HEX(H209),"")</f>
        <v>18</v>
      </c>
      <c r="K209" s="17" t="s">
        <v>3609</v>
      </c>
    </row>
    <row r="210" spans="1:11" ht="17" x14ac:dyDescent="0.25">
      <c r="A210" t="s">
        <v>3276</v>
      </c>
      <c r="C210" s="5" t="s">
        <v>51</v>
      </c>
      <c r="D210" t="s">
        <v>3571</v>
      </c>
      <c r="E210" t="str">
        <f>IF(D210&lt;&gt;"",C210&amp;"/"&amp;D210,"")</f>
        <v>monsters/Entropy_LimbMirroring.flags</v>
      </c>
      <c r="F210" s="5" t="s">
        <v>3529</v>
      </c>
      <c r="G210" s="5">
        <f>IF(F210&lt;&gt;"",HEX2DEC(SUBSTITUTE(SUBSTITUTE(F210,"adrEA",""),"$","")),"")</f>
        <v>41598</v>
      </c>
      <c r="H210" s="5">
        <v>2</v>
      </c>
      <c r="I210" s="6" t="str">
        <f>IFERROR(DEC2HEX(H210),"")</f>
        <v>2</v>
      </c>
      <c r="J210" s="6" t="s">
        <v>3465</v>
      </c>
      <c r="K210" s="23" t="s">
        <v>3610</v>
      </c>
    </row>
    <row r="211" spans="1:11" x14ac:dyDescent="0.2">
      <c r="A211" t="s">
        <v>2366</v>
      </c>
      <c r="B211" t="s">
        <v>3572</v>
      </c>
      <c r="C211" s="5" t="s">
        <v>51</v>
      </c>
      <c r="D211" t="s">
        <v>3573</v>
      </c>
      <c r="E211" t="str">
        <f>IF(D211&lt;&gt;"",C211&amp;"/"&amp;D211,"")</f>
        <v>monsters/Entropy.layout</v>
      </c>
      <c r="F211" s="5" t="s">
        <v>3530</v>
      </c>
      <c r="G211" s="5">
        <f>IF(F211&lt;&gt;"",HEX2DEC(SUBSTITUTE(SUBSTITUTE(F211,"adrEA",""),"$","")),"")</f>
        <v>41600</v>
      </c>
      <c r="H211" s="5">
        <v>62</v>
      </c>
      <c r="I211" s="6" t="str">
        <f>IFERROR(DEC2HEX(H211),"")</f>
        <v>3E</v>
      </c>
      <c r="K211" s="17" t="s">
        <v>3611</v>
      </c>
    </row>
    <row r="212" spans="1:11" x14ac:dyDescent="0.2">
      <c r="A212" t="s">
        <v>3276</v>
      </c>
      <c r="C212" s="5" t="s">
        <v>51</v>
      </c>
      <c r="D212" t="s">
        <v>3531</v>
      </c>
      <c r="E212" t="str">
        <f>IF(D212&lt;&gt;"",C212&amp;"/"&amp;D212,"")</f>
        <v>monsters/Entropy.offsets</v>
      </c>
      <c r="F212" s="5" t="s">
        <v>3532</v>
      </c>
      <c r="G212" s="5">
        <f>IF(F212&lt;&gt;"",HEX2DEC(SUBSTITUTE(SUBSTITUTE(F212,"adrEA",""),"$","")),"")</f>
        <v>41666</v>
      </c>
      <c r="H212" s="5">
        <v>32</v>
      </c>
      <c r="I212" s="6" t="str">
        <f>IFERROR(DEC2HEX(H212),"")</f>
        <v>20</v>
      </c>
      <c r="J212" s="6" t="s">
        <v>3465</v>
      </c>
      <c r="K212" s="17" t="s">
        <v>3612</v>
      </c>
    </row>
    <row r="213" spans="1:11" x14ac:dyDescent="0.2">
      <c r="A213" t="s">
        <v>3276</v>
      </c>
      <c r="C213" s="5" t="s">
        <v>51</v>
      </c>
      <c r="D213" t="s">
        <v>3574</v>
      </c>
      <c r="E213" t="str">
        <f>IF(D213&lt;&gt;"",C213&amp;"/"&amp;D213,"")</f>
        <v>monsters/Behemoth_LimbMirroring.flags</v>
      </c>
      <c r="F213" s="5" t="s">
        <v>3533</v>
      </c>
      <c r="G213" s="5">
        <f>IF(F213&lt;&gt;"",HEX2DEC(SUBSTITUTE(SUBSTITUTE(F213,"adrEA",""),"$","")),"")</f>
        <v>41698</v>
      </c>
      <c r="H213" s="5">
        <v>2</v>
      </c>
      <c r="I213" s="6" t="str">
        <f>IFERROR(DEC2HEX(H213),"")</f>
        <v>2</v>
      </c>
      <c r="J213" s="6" t="s">
        <v>3465</v>
      </c>
      <c r="K213" s="17" t="s">
        <v>3613</v>
      </c>
    </row>
    <row r="214" spans="1:11" x14ac:dyDescent="0.2">
      <c r="A214" t="s">
        <v>2367</v>
      </c>
      <c r="B214" t="s">
        <v>3575</v>
      </c>
      <c r="C214" s="5" t="s">
        <v>51</v>
      </c>
      <c r="D214" t="s">
        <v>3576</v>
      </c>
      <c r="E214" t="str">
        <f>IF(D214&lt;&gt;"",C214&amp;"/"&amp;D214,"")</f>
        <v>monsters/Behemoth.layout</v>
      </c>
      <c r="F214" s="5" t="s">
        <v>3534</v>
      </c>
      <c r="G214" s="5">
        <f>IF(F214&lt;&gt;"",HEX2DEC(SUBSTITUTE(SUBSTITUTE(F214,"adrEA",""),"$","")),"")</f>
        <v>41700</v>
      </c>
      <c r="H214" s="5">
        <v>62</v>
      </c>
      <c r="I214" s="6" t="str">
        <f>IFERROR(DEC2HEX(H214),"")</f>
        <v>3E</v>
      </c>
      <c r="K214" s="17" t="s">
        <v>3614</v>
      </c>
    </row>
    <row r="215" spans="1:11" x14ac:dyDescent="0.2">
      <c r="A215" t="s">
        <v>3276</v>
      </c>
      <c r="C215" s="5" t="s">
        <v>51</v>
      </c>
      <c r="D215" t="s">
        <v>3535</v>
      </c>
      <c r="E215" t="str">
        <f>IF(D215&lt;&gt;"",C215&amp;"/"&amp;D215,"")</f>
        <v>monsters/Behemoth.offsets</v>
      </c>
      <c r="F215" s="5" t="s">
        <v>3536</v>
      </c>
      <c r="G215" s="5">
        <f>IF(F215&lt;&gt;"",HEX2DEC(SUBSTITUTE(SUBSTITUTE(F215,"adrEA",""),"$","")),"")</f>
        <v>41766</v>
      </c>
      <c r="H215" s="5">
        <v>24</v>
      </c>
      <c r="I215" s="6" t="str">
        <f>IFERROR(DEC2HEX(H215),"")</f>
        <v>18</v>
      </c>
      <c r="J215" s="6" t="s">
        <v>3465</v>
      </c>
      <c r="K215" s="17" t="s">
        <v>3615</v>
      </c>
    </row>
    <row r="216" spans="1:11" x14ac:dyDescent="0.2">
      <c r="A216" t="s">
        <v>2368</v>
      </c>
      <c r="B216" t="s">
        <v>3537</v>
      </c>
      <c r="C216" s="5" t="s">
        <v>51</v>
      </c>
      <c r="D216" t="s">
        <v>3538</v>
      </c>
      <c r="E216" t="str">
        <f>IF(D216&lt;&gt;"",C216&amp;"/"&amp;D216,"")</f>
        <v>monsters/Behemoth_Claws.offsets</v>
      </c>
      <c r="F216" s="5" t="s">
        <v>3539</v>
      </c>
      <c r="G216" s="5">
        <f>IF(F216&lt;&gt;"",HEX2DEC(SUBSTITUTE(SUBSTITUTE(F216,"adrEA",""),"$","")),"")</f>
        <v>41790</v>
      </c>
      <c r="H216" s="5">
        <v>8</v>
      </c>
      <c r="I216" s="6" t="str">
        <f>IFERROR(DEC2HEX(H216),"")</f>
        <v>8</v>
      </c>
      <c r="K216" s="17" t="s">
        <v>3616</v>
      </c>
    </row>
    <row r="217" spans="1:11" x14ac:dyDescent="0.2">
      <c r="A217" t="s">
        <v>2324</v>
      </c>
      <c r="B217" t="s">
        <v>3540</v>
      </c>
      <c r="C217" s="5" t="s">
        <v>51</v>
      </c>
      <c r="D217" t="s">
        <v>3541</v>
      </c>
      <c r="E217" t="str">
        <f>IF(D217&lt;&gt;"",C217&amp;"/"&amp;D217,"")</f>
        <v>monsters/Dragon_Composite_XY.positions</v>
      </c>
      <c r="F217" s="5" t="s">
        <v>3542</v>
      </c>
      <c r="G217" s="5">
        <f>IF(F217&lt;&gt;"",HEX2DEC(SUBSTITUTE(SUBSTITUTE(F217,"adrEA",""),"$","")),"")</f>
        <v>40888</v>
      </c>
      <c r="H217" s="5">
        <v>16</v>
      </c>
      <c r="I217" s="6" t="str">
        <f>IFERROR(DEC2HEX(H217),"")</f>
        <v>10</v>
      </c>
      <c r="J217" s="6" t="s">
        <v>3465</v>
      </c>
      <c r="K217" s="17" t="s">
        <v>3617</v>
      </c>
    </row>
    <row r="218" spans="1:11" x14ac:dyDescent="0.2">
      <c r="A218" t="s">
        <v>2331</v>
      </c>
      <c r="B218" t="s">
        <v>3543</v>
      </c>
      <c r="C218" s="5" t="s">
        <v>51</v>
      </c>
      <c r="D218" t="s">
        <v>3544</v>
      </c>
      <c r="E218" t="str">
        <f>IF(D218&lt;&gt;"",C218&amp;"/"&amp;D218,"")</f>
        <v>monsters/Dragon_Side_X.positions</v>
      </c>
      <c r="F218" s="5" t="s">
        <v>3545</v>
      </c>
      <c r="G218" s="5">
        <f>IF(F218&lt;&gt;"",HEX2DEC(SUBSTITUTE(SUBSTITUTE(F218,"adrEA",""),"$","")),"")</f>
        <v>40984</v>
      </c>
      <c r="H218" s="5">
        <v>10</v>
      </c>
      <c r="I218" s="6" t="str">
        <f>IFERROR(DEC2HEX(H218),"")</f>
        <v>A</v>
      </c>
      <c r="K218" s="17" t="s">
        <v>3618</v>
      </c>
    </row>
    <row r="219" spans="1:11" ht="17" x14ac:dyDescent="0.25">
      <c r="A219" t="s">
        <v>2338</v>
      </c>
      <c r="B219" s="19" t="s">
        <v>3577</v>
      </c>
      <c r="C219" s="5" t="s">
        <v>51</v>
      </c>
      <c r="D219" s="19" t="s">
        <v>3579</v>
      </c>
      <c r="E219" t="str">
        <f>IF(D219&lt;&gt;"",C219&amp;"/"&amp;D219,"")</f>
        <v>monsters/Dragon_Claws.layout</v>
      </c>
      <c r="F219" s="5" t="s">
        <v>3546</v>
      </c>
      <c r="G219" s="5">
        <f>IF(F219&lt;&gt;"",HEX2DEC(SUBSTITUTE(SUBSTITUTE(F219,"adrEA",""),"$","")),"")</f>
        <v>41108</v>
      </c>
      <c r="H219" s="5">
        <v>60</v>
      </c>
      <c r="I219" s="6" t="str">
        <f>IFERROR(DEC2HEX(H219),"")</f>
        <v>3C</v>
      </c>
      <c r="J219" s="6" t="s">
        <v>3465</v>
      </c>
      <c r="K219" s="17" t="s">
        <v>3619</v>
      </c>
    </row>
    <row r="220" spans="1:11" ht="17" x14ac:dyDescent="0.25">
      <c r="A220" t="s">
        <v>2342</v>
      </c>
      <c r="B220" s="19" t="s">
        <v>3578</v>
      </c>
      <c r="C220" s="5" t="s">
        <v>51</v>
      </c>
      <c r="D220" s="19" t="s">
        <v>3580</v>
      </c>
      <c r="E220" t="str">
        <f>IF(D220&lt;&gt;"",C220&amp;"/"&amp;D220,"")</f>
        <v>monsters/Dragon_Body.layout</v>
      </c>
      <c r="F220" s="5" t="s">
        <v>3547</v>
      </c>
      <c r="G220" s="5">
        <f>IF(F220&lt;&gt;"",HEX2DEC(SUBSTITUTE(SUBSTITUTE(F220,"adrEA",""),"$","")),"")</f>
        <v>41168</v>
      </c>
      <c r="H220" s="5">
        <v>34</v>
      </c>
      <c r="I220" s="6" t="str">
        <f>IFERROR(DEC2HEX(H220),"")</f>
        <v>22</v>
      </c>
      <c r="J220" s="6" t="s">
        <v>3465</v>
      </c>
      <c r="K220" s="17" t="s">
        <v>3620</v>
      </c>
    </row>
    <row r="221" spans="1:11" x14ac:dyDescent="0.2">
      <c r="A221" t="s">
        <v>2348</v>
      </c>
      <c r="B221" t="s">
        <v>3548</v>
      </c>
      <c r="C221" s="5" t="s">
        <v>51</v>
      </c>
      <c r="D221" t="s">
        <v>3549</v>
      </c>
      <c r="E221" t="str">
        <f>IF(D221&lt;&gt;"",C221&amp;"/"&amp;D221,"")</f>
        <v>monsters/Dragon_MirroredHalf_X.positions</v>
      </c>
      <c r="F221" s="5" t="s">
        <v>3550</v>
      </c>
      <c r="G221" s="5">
        <f>IF(F221&lt;&gt;"",HEX2DEC(SUBSTITUTE(SUBSTITUTE(F221,"adrEA",""),"$","")),"")</f>
        <v>41290</v>
      </c>
      <c r="H221" s="5">
        <v>6</v>
      </c>
      <c r="I221" s="6" t="str">
        <f>IFERROR(DEC2HEX(H221),"")</f>
        <v>6</v>
      </c>
      <c r="K221" s="17" t="s">
        <v>3621</v>
      </c>
    </row>
    <row r="222" spans="1:11" x14ac:dyDescent="0.2">
      <c r="A222" t="s">
        <v>2349</v>
      </c>
      <c r="B222" t="s">
        <v>3551</v>
      </c>
      <c r="C222" s="5" t="s">
        <v>51</v>
      </c>
      <c r="D222" t="s">
        <v>3552</v>
      </c>
      <c r="E222" t="str">
        <f>IF(D222&lt;&gt;"",C222&amp;"/"&amp;D222,"")</f>
        <v>monsters/Dragon.offsets</v>
      </c>
      <c r="F222" s="5" t="s">
        <v>3553</v>
      </c>
      <c r="G222" s="5">
        <f>IF(F222&lt;&gt;"",HEX2DEC(SUBSTITUTE(SUBSTITUTE(F222,"adrEA",""),"$","")),"")</f>
        <v>41296</v>
      </c>
      <c r="H222" s="5">
        <v>54</v>
      </c>
      <c r="I222" s="6" t="str">
        <f>IFERROR(DEC2HEX(H222),"")</f>
        <v>36</v>
      </c>
      <c r="J222" s="6" t="s">
        <v>3465</v>
      </c>
      <c r="K222" s="17" t="s">
        <v>3622</v>
      </c>
    </row>
    <row r="223" spans="1:11" ht="17" x14ac:dyDescent="0.25">
      <c r="A223" t="s">
        <v>2247</v>
      </c>
      <c r="B223" s="19" t="s">
        <v>3581</v>
      </c>
      <c r="C223" s="5" t="s">
        <v>51</v>
      </c>
      <c r="D223" s="19" t="s">
        <v>3587</v>
      </c>
      <c r="E223" t="str">
        <f>IF(D223&lt;&gt;"",C223&amp;"/"&amp;D223,"")</f>
        <v>monsters/Crab_Front.layout</v>
      </c>
      <c r="F223" s="5" t="s">
        <v>3554</v>
      </c>
      <c r="G223" s="5">
        <f>IF(F223&lt;&gt;"",HEX2DEC(SUBSTITUTE(SUBSTITUTE(F223,"adrEA",""),"$","")),"")</f>
        <v>39926</v>
      </c>
      <c r="H223" s="5">
        <v>18</v>
      </c>
      <c r="I223" s="6" t="str">
        <f>IFERROR(DEC2HEX(H223),"")</f>
        <v>12</v>
      </c>
      <c r="J223" s="6" t="s">
        <v>3465</v>
      </c>
      <c r="K223" s="17" t="s">
        <v>3623</v>
      </c>
    </row>
    <row r="224" spans="1:11" ht="17" x14ac:dyDescent="0.25">
      <c r="A224" t="s">
        <v>2257</v>
      </c>
      <c r="B224" s="19" t="s">
        <v>3582</v>
      </c>
      <c r="C224" s="5" t="s">
        <v>51</v>
      </c>
      <c r="D224" s="19" t="s">
        <v>3588</v>
      </c>
      <c r="E224" t="str">
        <f>IF(D224&lt;&gt;"",C224&amp;"/"&amp;D224,"")</f>
        <v>monsters/Crab_SideNear.layout</v>
      </c>
      <c r="F224" s="5" t="s">
        <v>3555</v>
      </c>
      <c r="G224" s="5">
        <f>IF(F224&lt;&gt;"",HEX2DEC(SUBSTITUTE(SUBSTITUTE(F224,"adrEA",""),"$","")),"")</f>
        <v>40020</v>
      </c>
      <c r="H224" s="5">
        <v>16</v>
      </c>
      <c r="I224" s="6" t="str">
        <f>IFERROR(DEC2HEX(H224),"")</f>
        <v>10</v>
      </c>
      <c r="J224" s="6" t="s">
        <v>3465</v>
      </c>
      <c r="K224" s="17" t="s">
        <v>3624</v>
      </c>
    </row>
    <row r="225" spans="1:11" ht="17" x14ac:dyDescent="0.25">
      <c r="A225" t="s">
        <v>2263</v>
      </c>
      <c r="B225" s="19" t="s">
        <v>3583</v>
      </c>
      <c r="C225" s="5" t="s">
        <v>51</v>
      </c>
      <c r="D225" s="19" t="s">
        <v>3589</v>
      </c>
      <c r="E225" t="str">
        <f>IF(D225&lt;&gt;"",C225&amp;"/"&amp;D225,"")</f>
        <v>monsters/Crab_SideFar.layout</v>
      </c>
      <c r="F225" s="5" t="s">
        <v>3556</v>
      </c>
      <c r="G225" s="5">
        <f>IF(F225&lt;&gt;"",HEX2DEC(SUBSTITUTE(SUBSTITUTE(F225,"adrEA",""),"$","")),"")</f>
        <v>40100</v>
      </c>
      <c r="H225" s="5">
        <v>8</v>
      </c>
      <c r="I225" s="6" t="str">
        <f>IFERROR(DEC2HEX(H225),"")</f>
        <v>8</v>
      </c>
      <c r="J225" s="6" t="s">
        <v>3465</v>
      </c>
      <c r="K225" s="17" t="s">
        <v>3625</v>
      </c>
    </row>
    <row r="226" spans="1:11" ht="17" x14ac:dyDescent="0.25">
      <c r="A226" t="s">
        <v>2268</v>
      </c>
      <c r="B226" s="19" t="s">
        <v>3584</v>
      </c>
      <c r="C226" s="5" t="s">
        <v>51</v>
      </c>
      <c r="D226" s="19" t="s">
        <v>3590</v>
      </c>
      <c r="E226" t="str">
        <f>IF(D226&lt;&gt;"",C226&amp;"/"&amp;D226,"")</f>
        <v>monsters/Crab_FaceAndSideClaw.layout</v>
      </c>
      <c r="F226" s="5" t="s">
        <v>3557</v>
      </c>
      <c r="G226" s="5">
        <f>IF(F226&lt;&gt;"",HEX2DEC(SUBSTITUTE(SUBSTITUTE(F226,"adrEA",""),"$","")),"")</f>
        <v>40150</v>
      </c>
      <c r="H226" s="5">
        <v>6</v>
      </c>
      <c r="I226" s="6" t="str">
        <f>IFERROR(DEC2HEX(H226),"")</f>
        <v>6</v>
      </c>
      <c r="J226" s="6" t="s">
        <v>3465</v>
      </c>
      <c r="K226" s="17" t="s">
        <v>3626</v>
      </c>
    </row>
    <row r="227" spans="1:11" ht="17" x14ac:dyDescent="0.25">
      <c r="A227" t="s">
        <v>2276</v>
      </c>
      <c r="B227" s="19" t="s">
        <v>3585</v>
      </c>
      <c r="C227" s="5" t="s">
        <v>51</v>
      </c>
      <c r="D227" s="19" t="s">
        <v>3591</v>
      </c>
      <c r="E227" t="str">
        <f>IF(D227&lt;&gt;"",C227&amp;"/"&amp;D227,"")</f>
        <v>monsters/Crab_BackClaw.layout</v>
      </c>
      <c r="F227" s="5" t="s">
        <v>3558</v>
      </c>
      <c r="G227" s="5">
        <f>IF(F227&lt;&gt;"",HEX2DEC(SUBSTITUTE(SUBSTITUTE(F227,"adrEA",""),"$","")),"")</f>
        <v>40232</v>
      </c>
      <c r="H227" s="5">
        <v>8</v>
      </c>
      <c r="I227" s="6" t="str">
        <f>IFERROR(DEC2HEX(H227),"")</f>
        <v>8</v>
      </c>
      <c r="J227" s="6" t="s">
        <v>3465</v>
      </c>
      <c r="K227" s="17" t="s">
        <v>3627</v>
      </c>
    </row>
    <row r="228" spans="1:11" ht="17" x14ac:dyDescent="0.25">
      <c r="A228" t="s">
        <v>2284</v>
      </c>
      <c r="B228" s="19" t="s">
        <v>3586</v>
      </c>
      <c r="C228" s="5" t="s">
        <v>51</v>
      </c>
      <c r="D228" s="19" t="s">
        <v>3592</v>
      </c>
      <c r="E228" t="str">
        <f>IF(D228&lt;&gt;"",C228&amp;"/"&amp;D228,"")</f>
        <v>monsters/Crab_Body.layout</v>
      </c>
      <c r="F228" s="5" t="s">
        <v>3559</v>
      </c>
      <c r="G228" s="5">
        <f>IF(F228&lt;&gt;"",HEX2DEC(SUBSTITUTE(SUBSTITUTE(F228,"adrEA",""),"$","")),"")</f>
        <v>40400</v>
      </c>
      <c r="H228" s="5">
        <v>20</v>
      </c>
      <c r="I228" s="6" t="str">
        <f>IFERROR(DEC2HEX(H228),"")</f>
        <v>14</v>
      </c>
      <c r="J228" s="6" t="s">
        <v>3465</v>
      </c>
      <c r="K228" s="17" t="s">
        <v>3628</v>
      </c>
    </row>
    <row r="229" spans="1:11" x14ac:dyDescent="0.2">
      <c r="A229" t="s">
        <v>2287</v>
      </c>
      <c r="B229" t="s">
        <v>3560</v>
      </c>
      <c r="C229" s="5" t="s">
        <v>51</v>
      </c>
      <c r="D229" t="s">
        <v>3561</v>
      </c>
      <c r="E229" t="str">
        <f>IF(D229&lt;&gt;"",C229&amp;"/"&amp;D229,"")</f>
        <v>monsters/Crab.offsets</v>
      </c>
      <c r="F229" s="5" t="s">
        <v>3562</v>
      </c>
      <c r="G229" s="5">
        <f>IF(F229&lt;&gt;"",HEX2DEC(SUBSTITUTE(SUBSTITUTE(F229,"adrEA",""),"$","")),"")</f>
        <v>40420</v>
      </c>
      <c r="H229" s="5">
        <v>34</v>
      </c>
      <c r="I229" s="6" t="str">
        <f>IFERROR(DEC2HEX(H229),"")</f>
        <v>22</v>
      </c>
      <c r="J229" s="6" t="s">
        <v>3465</v>
      </c>
      <c r="K229" t="s">
        <v>3629</v>
      </c>
    </row>
    <row r="230" spans="1:11" x14ac:dyDescent="0.2">
      <c r="A230" t="s">
        <v>3058</v>
      </c>
      <c r="B230" t="s">
        <v>3111</v>
      </c>
      <c r="C230" s="5" t="s">
        <v>187</v>
      </c>
      <c r="D230" t="s">
        <v>188</v>
      </c>
      <c r="E230" t="str">
        <f>IF(D230&lt;&gt;"",C230&amp;"/"&amp;D230,"")</f>
        <v>sfx/sample1.sound</v>
      </c>
      <c r="F230" s="5" t="s">
        <v>189</v>
      </c>
      <c r="G230" s="5">
        <f>IF(F230&lt;&gt;"",HEX2DEC(SUBSTITUTE(SUBSTITUTE(F230,"adrEA",""),"$","")),"")</f>
        <v>344222</v>
      </c>
      <c r="H230" s="5">
        <v>132</v>
      </c>
      <c r="I230" s="6" t="str">
        <f>IFERROR(DEC2HEX(H230),"")</f>
        <v>84</v>
      </c>
      <c r="K230" s="26" t="s">
        <v>4783</v>
      </c>
    </row>
    <row r="231" spans="1:11" x14ac:dyDescent="0.2">
      <c r="A231" t="s">
        <v>3116</v>
      </c>
      <c r="B231" t="s">
        <v>3118</v>
      </c>
      <c r="E231" t="str">
        <f>IF(D231&lt;&gt;"",C231&amp;"/"&amp;D231,"")</f>
        <v/>
      </c>
      <c r="G231" s="5" t="str">
        <f>IF(F231&lt;&gt;"",HEX2DEC(SUBSTITUTE(SUBSTITUTE(F231,"adrEA",""),"$","")),"")</f>
        <v/>
      </c>
      <c r="I231" s="6" t="str">
        <f>IFERROR(DEC2HEX(H231),"")</f>
        <v>0</v>
      </c>
      <c r="K231" s="26"/>
    </row>
    <row r="232" spans="1:11" x14ac:dyDescent="0.2">
      <c r="A232" t="s">
        <v>3117</v>
      </c>
      <c r="B232" t="s">
        <v>3118</v>
      </c>
      <c r="E232" t="str">
        <f>IF(D232&lt;&gt;"",C232&amp;"/"&amp;D232,"")</f>
        <v/>
      </c>
      <c r="G232" s="5" t="str">
        <f>IF(F232&lt;&gt;"",HEX2DEC(SUBSTITUTE(SUBSTITUTE(F232,"adrEA",""),"$","")),"")</f>
        <v/>
      </c>
      <c r="I232" s="6" t="str">
        <f>IFERROR(DEC2HEX(H232),"")</f>
        <v>0</v>
      </c>
      <c r="K232" s="26"/>
    </row>
    <row r="233" spans="1:11" x14ac:dyDescent="0.2">
      <c r="A233" t="s">
        <v>3119</v>
      </c>
      <c r="B233" t="s">
        <v>3118</v>
      </c>
      <c r="E233" t="str">
        <f>IF(D233&lt;&gt;"",C233&amp;"/"&amp;D233,"")</f>
        <v/>
      </c>
      <c r="G233" s="5" t="str">
        <f>IF(F233&lt;&gt;"",HEX2DEC(SUBSTITUTE(SUBSTITUTE(F233,"adrEA",""),"$","")),"")</f>
        <v/>
      </c>
      <c r="I233" s="6" t="str">
        <f>IFERROR(DEC2HEX(H233),"")</f>
        <v>0</v>
      </c>
      <c r="K233" s="26"/>
    </row>
    <row r="234" spans="1:11" x14ac:dyDescent="0.2">
      <c r="A234" t="s">
        <v>3120</v>
      </c>
      <c r="B234" t="s">
        <v>3118</v>
      </c>
      <c r="E234" t="str">
        <f>IF(D234&lt;&gt;"",C234&amp;"/"&amp;D234,"")</f>
        <v/>
      </c>
      <c r="G234" s="5" t="str">
        <f>IF(F234&lt;&gt;"",HEX2DEC(SUBSTITUTE(SUBSTITUTE(F234,"adrEA",""),"$","")),"")</f>
        <v/>
      </c>
      <c r="I234" s="6" t="str">
        <f>IFERROR(DEC2HEX(H234),"")</f>
        <v>0</v>
      </c>
      <c r="K234" s="26"/>
    </row>
    <row r="235" spans="1:11" x14ac:dyDescent="0.2">
      <c r="A235" t="s">
        <v>3059</v>
      </c>
      <c r="B235" t="s">
        <v>3112</v>
      </c>
      <c r="C235" s="5" t="s">
        <v>187</v>
      </c>
      <c r="D235" t="s">
        <v>190</v>
      </c>
      <c r="E235" t="str">
        <f>IF(D235&lt;&gt;"",C235&amp;"/"&amp;D235,"")</f>
        <v>sfx/sample2.sound</v>
      </c>
      <c r="F235" s="5" t="s">
        <v>191</v>
      </c>
      <c r="G235" s="5">
        <f>IF(F235&lt;&gt;"",HEX2DEC(SUBSTITUTE(SUBSTITUTE(F235,"adrEA",""),"$","")),"")</f>
        <v>344354</v>
      </c>
      <c r="H235" s="5">
        <v>1474</v>
      </c>
      <c r="I235" s="6" t="str">
        <f>IFERROR(DEC2HEX(H235),"")</f>
        <v>5C2</v>
      </c>
      <c r="K235" s="26" t="s">
        <v>4784</v>
      </c>
    </row>
    <row r="236" spans="1:11" x14ac:dyDescent="0.2">
      <c r="A236" t="s">
        <v>3060</v>
      </c>
      <c r="B236" t="s">
        <v>3113</v>
      </c>
      <c r="C236" s="5" t="s">
        <v>187</v>
      </c>
      <c r="D236" t="s">
        <v>192</v>
      </c>
      <c r="E236" t="str">
        <f>IF(D236&lt;&gt;"",C236&amp;"/"&amp;D236,"")</f>
        <v>sfx/sample3.sound</v>
      </c>
      <c r="F236" s="5" t="s">
        <v>193</v>
      </c>
      <c r="G236" s="5">
        <f>IF(F236&lt;&gt;"",HEX2DEC(SUBSTITUTE(SUBSTITUTE(F236,"adrEA",""),"$","")),"")</f>
        <v>345828</v>
      </c>
      <c r="H236" s="5">
        <v>6280</v>
      </c>
      <c r="I236" s="6" t="str">
        <f>IFERROR(DEC2HEX(H236),"")</f>
        <v>1888</v>
      </c>
      <c r="K236" s="26" t="s">
        <v>4785</v>
      </c>
    </row>
    <row r="237" spans="1:11" x14ac:dyDescent="0.2">
      <c r="A237" t="s">
        <v>3061</v>
      </c>
      <c r="B237" t="s">
        <v>3114</v>
      </c>
      <c r="C237" s="5" t="s">
        <v>187</v>
      </c>
      <c r="D237" t="s">
        <v>194</v>
      </c>
      <c r="E237" t="str">
        <f>IF(D237&lt;&gt;"",C237&amp;"/"&amp;D237,"")</f>
        <v>sfx/sample4.sound</v>
      </c>
      <c r="F237" s="5" t="s">
        <v>195</v>
      </c>
      <c r="G237" s="5">
        <f>IF(F237&lt;&gt;"",HEX2DEC(SUBSTITUTE(SUBSTITUTE(F237,"adrEA",""),"$","")),"")</f>
        <v>352108</v>
      </c>
      <c r="H237" s="5">
        <v>6070</v>
      </c>
      <c r="I237" s="6" t="str">
        <f>IFERROR(DEC2HEX(H237),"")</f>
        <v>17B6</v>
      </c>
      <c r="K237" s="26" t="s">
        <v>4786</v>
      </c>
    </row>
    <row r="238" spans="1:11" x14ac:dyDescent="0.2">
      <c r="A238" t="s">
        <v>3062</v>
      </c>
      <c r="B238" t="s">
        <v>3115</v>
      </c>
      <c r="C238" s="5" t="s">
        <v>187</v>
      </c>
      <c r="D238" t="s">
        <v>196</v>
      </c>
      <c r="E238" t="str">
        <f>IF(D238&lt;&gt;"",C238&amp;"/"&amp;D238,"")</f>
        <v>sfx/sample5.sound</v>
      </c>
      <c r="F238" s="5" t="s">
        <v>197</v>
      </c>
      <c r="G238" s="5">
        <f>IF(F238&lt;&gt;"",HEX2DEC(SUBSTITUTE(SUBSTITUTE(F238,"adrEA",""),"$","")),"")</f>
        <v>358178</v>
      </c>
      <c r="H238" s="5">
        <v>3458</v>
      </c>
      <c r="I238" s="6" t="str">
        <f>IFERROR(DEC2HEX(H238),"")</f>
        <v>D82</v>
      </c>
      <c r="K238" s="26" t="s">
        <v>4787</v>
      </c>
    </row>
    <row r="239" spans="1:11" x14ac:dyDescent="0.2">
      <c r="A239" t="s">
        <v>3063</v>
      </c>
      <c r="B239" t="s">
        <v>3064</v>
      </c>
      <c r="C239" s="5" t="s">
        <v>48</v>
      </c>
      <c r="D239" t="s">
        <v>198</v>
      </c>
      <c r="E239" t="str">
        <f>IF(D239&lt;&gt;"",C239&amp;"/"&amp;D239,"")</f>
        <v>data/reservespace1.block</v>
      </c>
      <c r="F239" s="5" t="s">
        <v>199</v>
      </c>
      <c r="G239" s="5">
        <f>IF(F239&lt;&gt;"",HEX2DEC(SUBSTITUTE(SUBSTITUTE(F239,"adrEA",""),"$","")),"")</f>
        <v>362636</v>
      </c>
      <c r="H239" s="5">
        <v>1000</v>
      </c>
      <c r="I239" s="6" t="str">
        <f>IFERROR(DEC2HEX(H239),"")</f>
        <v>3E8</v>
      </c>
      <c r="K239" s="26"/>
    </row>
    <row r="240" spans="1:11" x14ac:dyDescent="0.2">
      <c r="A240" t="s">
        <v>3065</v>
      </c>
      <c r="B240" t="s">
        <v>3066</v>
      </c>
      <c r="C240" s="5" t="s">
        <v>48</v>
      </c>
      <c r="D240" t="s">
        <v>200</v>
      </c>
      <c r="E240" t="str">
        <f>IF(D240&lt;&gt;"",C240&amp;"/"&amp;D240,"")</f>
        <v>data/reservespace2.block</v>
      </c>
      <c r="F240" s="5" t="s">
        <v>201</v>
      </c>
      <c r="G240" s="5">
        <f>IF(F240&lt;&gt;"",HEX2DEC(SUBSTITUTE(SUBSTITUTE(F240,"adrEA",""),"$","")),"")</f>
        <v>361636</v>
      </c>
      <c r="H240" s="5">
        <v>1000</v>
      </c>
      <c r="I240" s="6" t="str">
        <f>IFERROR(DEC2HEX(H240),"")</f>
        <v>3E8</v>
      </c>
      <c r="K240" s="26"/>
    </row>
    <row r="241" spans="1:11" x14ac:dyDescent="0.2">
      <c r="A241" t="s">
        <v>292</v>
      </c>
      <c r="B241" t="s">
        <v>293</v>
      </c>
      <c r="E241" t="str">
        <f>IF(D241&lt;&gt;"",C241&amp;"/"&amp;D241,"")</f>
        <v/>
      </c>
      <c r="G241" s="5" t="str">
        <f>IF(F241&lt;&gt;"",HEX2DEC(SUBSTITUTE(SUBSTITUTE(F241,"adrEA",""),"$","")),"")</f>
        <v/>
      </c>
      <c r="I241" s="6" t="str">
        <f>IFERROR(DEC2HEX(H241),"")</f>
        <v>0</v>
      </c>
      <c r="K241" s="26"/>
    </row>
    <row r="242" spans="1:11" x14ac:dyDescent="0.2">
      <c r="A242" t="s">
        <v>294</v>
      </c>
      <c r="B242" t="s">
        <v>297</v>
      </c>
      <c r="E242" t="str">
        <f>IF(D242&lt;&gt;"",C242&amp;"/"&amp;D242,"")</f>
        <v/>
      </c>
      <c r="G242" s="5" t="str">
        <f>IF(F242&lt;&gt;"",HEX2DEC(SUBSTITUTE(SUBSTITUTE(F242,"adrEA",""),"$","")),"")</f>
        <v/>
      </c>
      <c r="I242" s="6" t="str">
        <f>IFERROR(DEC2HEX(H242),"")</f>
        <v>0</v>
      </c>
      <c r="K242" s="26"/>
    </row>
    <row r="243" spans="1:11" x14ac:dyDescent="0.2">
      <c r="A243" t="s">
        <v>295</v>
      </c>
      <c r="B243" t="s">
        <v>296</v>
      </c>
      <c r="E243" t="str">
        <f>IF(D243&lt;&gt;"",C243&amp;"/"&amp;D243,"")</f>
        <v/>
      </c>
      <c r="G243" s="5" t="str">
        <f>IF(F243&lt;&gt;"",HEX2DEC(SUBSTITUTE(SUBSTITUTE(F243,"adrEA",""),"$","")),"")</f>
        <v/>
      </c>
      <c r="I243" s="6" t="str">
        <f>IFERROR(DEC2HEX(H243),"")</f>
        <v>0</v>
      </c>
      <c r="K243" s="26"/>
    </row>
    <row r="244" spans="1:11" x14ac:dyDescent="0.2">
      <c r="A244" t="s">
        <v>298</v>
      </c>
      <c r="B244" t="s">
        <v>3067</v>
      </c>
      <c r="E244" t="str">
        <f>IF(D244&lt;&gt;"",C244&amp;"/"&amp;D244,"")</f>
        <v/>
      </c>
      <c r="G244" s="5" t="str">
        <f>IF(F244&lt;&gt;"",HEX2DEC(SUBSTITUTE(SUBSTITUTE(F244,"adrEA",""),"$","")),"")</f>
        <v/>
      </c>
      <c r="I244" s="6" t="str">
        <f>IFERROR(DEC2HEX(H244),"")</f>
        <v>0</v>
      </c>
      <c r="K244" s="26"/>
    </row>
    <row r="245" spans="1:11" x14ac:dyDescent="0.2">
      <c r="A245" t="s">
        <v>299</v>
      </c>
      <c r="B245" t="s">
        <v>300</v>
      </c>
      <c r="E245" t="str">
        <f>IF(D245&lt;&gt;"",C245&amp;"/"&amp;D245,"")</f>
        <v/>
      </c>
      <c r="G245" s="5" t="str">
        <f>IF(F245&lt;&gt;"",HEX2DEC(SUBSTITUTE(SUBSTITUTE(F245,"adrEA",""),"$","")),"")</f>
        <v/>
      </c>
      <c r="I245" s="6" t="str">
        <f>IFERROR(DEC2HEX(H245),"")</f>
        <v>0</v>
      </c>
      <c r="K245" s="26"/>
    </row>
    <row r="246" spans="1:11" x14ac:dyDescent="0.2">
      <c r="A246" t="s">
        <v>301</v>
      </c>
      <c r="B246" t="s">
        <v>309</v>
      </c>
      <c r="E246" t="str">
        <f>IF(D246&lt;&gt;"",C246&amp;"/"&amp;D246,"")</f>
        <v/>
      </c>
      <c r="G246" s="5" t="str">
        <f>IF(F246&lt;&gt;"",HEX2DEC(SUBSTITUTE(SUBSTITUTE(F246,"adrEA",""),"$","")),"")</f>
        <v/>
      </c>
      <c r="I246" s="6" t="str">
        <f>IFERROR(DEC2HEX(H246),"")</f>
        <v>0</v>
      </c>
      <c r="K246" s="26"/>
    </row>
    <row r="247" spans="1:11" x14ac:dyDescent="0.2">
      <c r="A247" t="s">
        <v>304</v>
      </c>
      <c r="B247" t="s">
        <v>304</v>
      </c>
      <c r="E247" t="str">
        <f>IF(D247&lt;&gt;"",C247&amp;"/"&amp;D247,"")</f>
        <v/>
      </c>
      <c r="G247" s="5" t="str">
        <f>IF(F247&lt;&gt;"",HEX2DEC(SUBSTITUTE(SUBSTITUTE(F247,"adrEA",""),"$","")),"")</f>
        <v/>
      </c>
      <c r="I247" s="6" t="str">
        <f>IFERROR(DEC2HEX(H247),"")</f>
        <v>0</v>
      </c>
    </row>
    <row r="248" spans="1:11" x14ac:dyDescent="0.2">
      <c r="A248" t="s">
        <v>305</v>
      </c>
      <c r="B248" t="s">
        <v>305</v>
      </c>
      <c r="E248" t="str">
        <f>IF(D248&lt;&gt;"",C248&amp;"/"&amp;D248,"")</f>
        <v/>
      </c>
      <c r="G248" s="5" t="str">
        <f>IF(F248&lt;&gt;"",HEX2DEC(SUBSTITUTE(SUBSTITUTE(F248,"adrEA",""),"$","")),"")</f>
        <v/>
      </c>
      <c r="I248" s="6" t="str">
        <f>IFERROR(DEC2HEX(H248),"")</f>
        <v>0</v>
      </c>
    </row>
    <row r="249" spans="1:11" x14ac:dyDescent="0.2">
      <c r="A249" t="s">
        <v>306</v>
      </c>
      <c r="B249" t="s">
        <v>306</v>
      </c>
      <c r="E249" t="str">
        <f>IF(D249&lt;&gt;"",C249&amp;"/"&amp;D249,"")</f>
        <v/>
      </c>
      <c r="G249" s="5" t="str">
        <f>IF(F249&lt;&gt;"",HEX2DEC(SUBSTITUTE(SUBSTITUTE(F249,"adrEA",""),"$","")),"")</f>
        <v/>
      </c>
      <c r="I249" s="6" t="str">
        <f>IFERROR(DEC2HEX(H249),"")</f>
        <v>0</v>
      </c>
    </row>
    <row r="250" spans="1:11" x14ac:dyDescent="0.2">
      <c r="A250" t="s">
        <v>305</v>
      </c>
      <c r="B250" t="s">
        <v>305</v>
      </c>
      <c r="E250" t="str">
        <f>IF(D250&lt;&gt;"",C250&amp;"/"&amp;D250,"")</f>
        <v/>
      </c>
      <c r="G250" s="5" t="str">
        <f>IF(F250&lt;&gt;"",HEX2DEC(SUBSTITUTE(SUBSTITUTE(F250,"adrEA",""),"$","")),"")</f>
        <v/>
      </c>
      <c r="I250" s="6" t="str">
        <f>IFERROR(DEC2HEX(H250),"")</f>
        <v>0</v>
      </c>
    </row>
    <row r="251" spans="1:11" x14ac:dyDescent="0.2">
      <c r="A251" t="s">
        <v>307</v>
      </c>
      <c r="B251" t="s">
        <v>307</v>
      </c>
      <c r="E251" t="str">
        <f>IF(D251&lt;&gt;"",C251&amp;"/"&amp;D251,"")</f>
        <v/>
      </c>
      <c r="G251" s="5" t="str">
        <f>IF(F251&lt;&gt;"",HEX2DEC(SUBSTITUTE(SUBSTITUTE(F251,"adrEA",""),"$","")),"")</f>
        <v/>
      </c>
      <c r="I251" s="6" t="str">
        <f>IFERROR(DEC2HEX(H251),"")</f>
        <v>0</v>
      </c>
    </row>
    <row r="252" spans="1:11" x14ac:dyDescent="0.2">
      <c r="A252" t="s">
        <v>308</v>
      </c>
      <c r="B252" t="s">
        <v>5065</v>
      </c>
      <c r="E252" t="str">
        <f>IF(D252&lt;&gt;"",C252&amp;"/"&amp;D252,"")</f>
        <v/>
      </c>
      <c r="G252" s="5" t="str">
        <f>IF(F252&lt;&gt;"",HEX2DEC(SUBSTITUTE(SUBSTITUTE(F252,"adrEA",""),"$","")),"")</f>
        <v/>
      </c>
      <c r="I252" s="6" t="str">
        <f>IFERROR(DEC2HEX(H252),"")</f>
        <v>0</v>
      </c>
    </row>
    <row r="253" spans="1:11" x14ac:dyDescent="0.2">
      <c r="A253" t="s">
        <v>310</v>
      </c>
      <c r="B253" t="s">
        <v>311</v>
      </c>
      <c r="E253" t="str">
        <f>IF(D253&lt;&gt;"",C253&amp;"/"&amp;D253,"")</f>
        <v/>
      </c>
      <c r="G253" s="5" t="str">
        <f>IF(F253&lt;&gt;"",HEX2DEC(SUBSTITUTE(SUBSTITUTE(F253,"adrEA",""),"$","")),"")</f>
        <v/>
      </c>
      <c r="I253" s="6" t="str">
        <f>IFERROR(DEC2HEX(H253),"")</f>
        <v>0</v>
      </c>
    </row>
    <row r="254" spans="1:11" x14ac:dyDescent="0.2">
      <c r="A254" t="s">
        <v>312</v>
      </c>
      <c r="B254" t="s">
        <v>5066</v>
      </c>
      <c r="E254" t="str">
        <f>IF(D254&lt;&gt;"",C254&amp;"/"&amp;D254,"")</f>
        <v/>
      </c>
      <c r="G254" s="5" t="str">
        <f>IF(F254&lt;&gt;"",HEX2DEC(SUBSTITUTE(SUBSTITUTE(F254,"adrEA",""),"$","")),"")</f>
        <v/>
      </c>
      <c r="I254" s="6" t="str">
        <f>IFERROR(DEC2HEX(H254),"")</f>
        <v>0</v>
      </c>
    </row>
    <row r="255" spans="1:11" x14ac:dyDescent="0.2">
      <c r="A255" t="s">
        <v>313</v>
      </c>
      <c r="B255" t="s">
        <v>5067</v>
      </c>
      <c r="E255" t="str">
        <f>IF(D255&lt;&gt;"",C255&amp;"/"&amp;D255,"")</f>
        <v/>
      </c>
      <c r="G255" s="5" t="str">
        <f>IF(F255&lt;&gt;"",HEX2DEC(SUBSTITUTE(SUBSTITUTE(F255,"adrEA",""),"$","")),"")</f>
        <v/>
      </c>
      <c r="I255" s="6" t="str">
        <f>IFERROR(DEC2HEX(H255),"")</f>
        <v>0</v>
      </c>
    </row>
    <row r="256" spans="1:11" x14ac:dyDescent="0.2">
      <c r="A256" t="s">
        <v>314</v>
      </c>
      <c r="B256" t="s">
        <v>5068</v>
      </c>
      <c r="E256" t="str">
        <f>IF(D256&lt;&gt;"",C256&amp;"/"&amp;D256,"")</f>
        <v/>
      </c>
      <c r="G256" s="5" t="str">
        <f>IF(F256&lt;&gt;"",HEX2DEC(SUBSTITUTE(SUBSTITUTE(F256,"adrEA",""),"$","")),"")</f>
        <v/>
      </c>
      <c r="I256" s="6" t="str">
        <f>IFERROR(DEC2HEX(H256),"")</f>
        <v>0</v>
      </c>
    </row>
    <row r="257" spans="1:9" x14ac:dyDescent="0.2">
      <c r="A257" t="s">
        <v>315</v>
      </c>
      <c r="B257" t="s">
        <v>5069</v>
      </c>
      <c r="E257" t="str">
        <f>IF(D257&lt;&gt;"",C257&amp;"/"&amp;D257,"")</f>
        <v/>
      </c>
      <c r="G257" s="5" t="str">
        <f>IF(F257&lt;&gt;"",HEX2DEC(SUBSTITUTE(SUBSTITUTE(F257,"adrEA",""),"$","")),"")</f>
        <v/>
      </c>
      <c r="I257" s="6" t="str">
        <f>IFERROR(DEC2HEX(H257),"")</f>
        <v>0</v>
      </c>
    </row>
    <row r="258" spans="1:9" x14ac:dyDescent="0.2">
      <c r="A258" t="s">
        <v>316</v>
      </c>
      <c r="B258" t="s">
        <v>5070</v>
      </c>
      <c r="E258" t="str">
        <f>IF(D258&lt;&gt;"",C258&amp;"/"&amp;D258,"")</f>
        <v/>
      </c>
      <c r="G258" s="5" t="str">
        <f>IF(F258&lt;&gt;"",HEX2DEC(SUBSTITUTE(SUBSTITUTE(F258,"adrEA",""),"$","")),"")</f>
        <v/>
      </c>
      <c r="I258" s="6" t="str">
        <f>IFERROR(DEC2HEX(H258),"")</f>
        <v>0</v>
      </c>
    </row>
    <row r="259" spans="1:9" x14ac:dyDescent="0.2">
      <c r="A259" t="s">
        <v>317</v>
      </c>
      <c r="B259" t="s">
        <v>5071</v>
      </c>
      <c r="E259" t="str">
        <f>IF(D259&lt;&gt;"",C259&amp;"/"&amp;D259,"")</f>
        <v/>
      </c>
      <c r="G259" s="5" t="str">
        <f>IF(F259&lt;&gt;"",HEX2DEC(SUBSTITUTE(SUBSTITUTE(F259,"adrEA",""),"$","")),"")</f>
        <v/>
      </c>
      <c r="I259" s="6" t="str">
        <f>IFERROR(DEC2HEX(H259),"")</f>
        <v>0</v>
      </c>
    </row>
    <row r="260" spans="1:9" x14ac:dyDescent="0.2">
      <c r="A260" t="s">
        <v>318</v>
      </c>
      <c r="B260" t="s">
        <v>5072</v>
      </c>
      <c r="E260" t="str">
        <f>IF(D260&lt;&gt;"",C260&amp;"/"&amp;D260,"")</f>
        <v/>
      </c>
      <c r="G260" s="5" t="str">
        <f>IF(F260&lt;&gt;"",HEX2DEC(SUBSTITUTE(SUBSTITUTE(F260,"adrEA",""),"$","")),"")</f>
        <v/>
      </c>
      <c r="I260" s="6" t="str">
        <f>IFERROR(DEC2HEX(H260),"")</f>
        <v>0</v>
      </c>
    </row>
    <row r="261" spans="1:9" x14ac:dyDescent="0.2">
      <c r="A261" t="s">
        <v>319</v>
      </c>
      <c r="B261" t="s">
        <v>320</v>
      </c>
      <c r="E261" t="str">
        <f>IF(D261&lt;&gt;"",C261&amp;"/"&amp;D261,"")</f>
        <v/>
      </c>
      <c r="G261" s="5" t="str">
        <f>IF(F261&lt;&gt;"",HEX2DEC(SUBSTITUTE(SUBSTITUTE(F261,"adrEA",""),"$","")),"")</f>
        <v/>
      </c>
      <c r="I261" s="6" t="str">
        <f>IFERROR(DEC2HEX(H261),"")</f>
        <v>0</v>
      </c>
    </row>
    <row r="262" spans="1:9" x14ac:dyDescent="0.2">
      <c r="A262" t="s">
        <v>321</v>
      </c>
      <c r="B262" t="s">
        <v>322</v>
      </c>
      <c r="E262" t="str">
        <f>IF(D262&lt;&gt;"",C262&amp;"/"&amp;D262,"")</f>
        <v/>
      </c>
      <c r="G262" s="5" t="str">
        <f>IF(F262&lt;&gt;"",HEX2DEC(SUBSTITUTE(SUBSTITUTE(F262,"adrEA",""),"$","")),"")</f>
        <v/>
      </c>
      <c r="I262" s="6" t="str">
        <f>IFERROR(DEC2HEX(H262),"")</f>
        <v>0</v>
      </c>
    </row>
    <row r="263" spans="1:9" x14ac:dyDescent="0.2">
      <c r="A263" t="s">
        <v>323</v>
      </c>
      <c r="B263" t="s">
        <v>324</v>
      </c>
      <c r="E263" t="str">
        <f>IF(D263&lt;&gt;"",C263&amp;"/"&amp;D263,"")</f>
        <v/>
      </c>
      <c r="G263" s="5" t="str">
        <f>IF(F263&lt;&gt;"",HEX2DEC(SUBSTITUTE(SUBSTITUTE(F263,"adrEA",""),"$","")),"")</f>
        <v/>
      </c>
      <c r="I263" s="6" t="str">
        <f>IFERROR(DEC2HEX(H263),"")</f>
        <v>0</v>
      </c>
    </row>
    <row r="264" spans="1:9" x14ac:dyDescent="0.2">
      <c r="A264" t="s">
        <v>325</v>
      </c>
      <c r="B264" t="s">
        <v>326</v>
      </c>
      <c r="E264" t="str">
        <f>IF(D264&lt;&gt;"",C264&amp;"/"&amp;D264,"")</f>
        <v/>
      </c>
      <c r="G264" s="5" t="str">
        <f>IF(F264&lt;&gt;"",HEX2DEC(SUBSTITUTE(SUBSTITUTE(F264,"adrEA",""),"$","")),"")</f>
        <v/>
      </c>
      <c r="I264" s="6" t="str">
        <f>IFERROR(DEC2HEX(H264),"")</f>
        <v>0</v>
      </c>
    </row>
    <row r="265" spans="1:9" x14ac:dyDescent="0.2">
      <c r="A265" t="s">
        <v>327</v>
      </c>
      <c r="B265" t="s">
        <v>328</v>
      </c>
      <c r="E265" t="str">
        <f>IF(D265&lt;&gt;"",C265&amp;"/"&amp;D265,"")</f>
        <v/>
      </c>
      <c r="G265" s="5" t="str">
        <f>IF(F265&lt;&gt;"",HEX2DEC(SUBSTITUTE(SUBSTITUTE(F265,"adrEA",""),"$","")),"")</f>
        <v/>
      </c>
      <c r="I265" s="6" t="str">
        <f>IFERROR(DEC2HEX(H265),"")</f>
        <v>0</v>
      </c>
    </row>
    <row r="266" spans="1:9" x14ac:dyDescent="0.2">
      <c r="A266" t="s">
        <v>329</v>
      </c>
      <c r="B266" t="s">
        <v>330</v>
      </c>
      <c r="E266" t="str">
        <f>IF(D266&lt;&gt;"",C266&amp;"/"&amp;D266,"")</f>
        <v/>
      </c>
      <c r="G266" s="5" t="str">
        <f>IF(F266&lt;&gt;"",HEX2DEC(SUBSTITUTE(SUBSTITUTE(F266,"adrEA",""),"$","")),"")</f>
        <v/>
      </c>
      <c r="I266" s="6" t="str">
        <f>IFERROR(DEC2HEX(H266),"")</f>
        <v>0</v>
      </c>
    </row>
    <row r="267" spans="1:9" x14ac:dyDescent="0.2">
      <c r="A267" t="s">
        <v>331</v>
      </c>
      <c r="B267" t="s">
        <v>332</v>
      </c>
      <c r="E267" t="str">
        <f>IF(D267&lt;&gt;"",C267&amp;"/"&amp;D267,"")</f>
        <v/>
      </c>
      <c r="G267" s="5" t="str">
        <f>IF(F267&lt;&gt;"",HEX2DEC(SUBSTITUTE(SUBSTITUTE(F267,"adrEA",""),"$","")),"")</f>
        <v/>
      </c>
      <c r="I267" s="6" t="str">
        <f>IFERROR(DEC2HEX(H267),"")</f>
        <v>0</v>
      </c>
    </row>
    <row r="268" spans="1:9" x14ac:dyDescent="0.2">
      <c r="A268" t="s">
        <v>333</v>
      </c>
      <c r="B268" t="s">
        <v>333</v>
      </c>
      <c r="E268" t="str">
        <f>IF(D268&lt;&gt;"",C268&amp;"/"&amp;D268,"")</f>
        <v/>
      </c>
      <c r="G268" s="5" t="str">
        <f>IF(F268&lt;&gt;"",HEX2DEC(SUBSTITUTE(SUBSTITUTE(F268,"adrEA",""),"$","")),"")</f>
        <v/>
      </c>
      <c r="I268" s="6" t="str">
        <f>IFERROR(DEC2HEX(H268),"")</f>
        <v>0</v>
      </c>
    </row>
    <row r="269" spans="1:9" x14ac:dyDescent="0.2">
      <c r="A269" t="s">
        <v>334</v>
      </c>
      <c r="B269" t="s">
        <v>335</v>
      </c>
      <c r="E269" t="str">
        <f>IF(D269&lt;&gt;"",C269&amp;"/"&amp;D269,"")</f>
        <v/>
      </c>
      <c r="G269" s="5" t="str">
        <f>IF(F269&lt;&gt;"",HEX2DEC(SUBSTITUTE(SUBSTITUTE(F269,"adrEA",""),"$","")),"")</f>
        <v/>
      </c>
      <c r="I269" s="6" t="str">
        <f>IFERROR(DEC2HEX(H269),"")</f>
        <v>0</v>
      </c>
    </row>
    <row r="270" spans="1:9" x14ac:dyDescent="0.2">
      <c r="A270" t="s">
        <v>336</v>
      </c>
      <c r="B270" t="s">
        <v>337</v>
      </c>
      <c r="E270" t="str">
        <f>IF(D270&lt;&gt;"",C270&amp;"/"&amp;D270,"")</f>
        <v/>
      </c>
      <c r="G270" s="5" t="str">
        <f>IF(F270&lt;&gt;"",HEX2DEC(SUBSTITUTE(SUBSTITUTE(F270,"adrEA",""),"$","")),"")</f>
        <v/>
      </c>
      <c r="I270" s="6" t="str">
        <f>IFERROR(DEC2HEX(H270),"")</f>
        <v>0</v>
      </c>
    </row>
    <row r="271" spans="1:9" x14ac:dyDescent="0.2">
      <c r="A271" t="s">
        <v>338</v>
      </c>
      <c r="B271" t="s">
        <v>334</v>
      </c>
      <c r="E271" t="str">
        <f>IF(D271&lt;&gt;"",C271&amp;"/"&amp;D271,"")</f>
        <v/>
      </c>
      <c r="G271" s="5" t="str">
        <f>IF(F271&lt;&gt;"",HEX2DEC(SUBSTITUTE(SUBSTITUTE(F271,"adrEA",""),"$","")),"")</f>
        <v/>
      </c>
      <c r="I271" s="6" t="str">
        <f>IFERROR(DEC2HEX(H271),"")</f>
        <v>0</v>
      </c>
    </row>
    <row r="272" spans="1:9" x14ac:dyDescent="0.2">
      <c r="A272" t="s">
        <v>339</v>
      </c>
      <c r="B272" t="s">
        <v>340</v>
      </c>
      <c r="E272" t="str">
        <f>IF(D272&lt;&gt;"",C272&amp;"/"&amp;D272,"")</f>
        <v/>
      </c>
      <c r="G272" s="5" t="str">
        <f>IF(F272&lt;&gt;"",HEX2DEC(SUBSTITUTE(SUBSTITUTE(F272,"adrEA",""),"$","")),"")</f>
        <v/>
      </c>
      <c r="I272" s="6" t="str">
        <f>IFERROR(DEC2HEX(H272),"")</f>
        <v>0</v>
      </c>
    </row>
    <row r="273" spans="1:11" x14ac:dyDescent="0.2">
      <c r="A273" t="s">
        <v>341</v>
      </c>
      <c r="B273" t="s">
        <v>342</v>
      </c>
      <c r="E273" t="str">
        <f>IF(D273&lt;&gt;"",C273&amp;"/"&amp;D273,"")</f>
        <v/>
      </c>
      <c r="G273" s="5" t="str">
        <f>IF(F273&lt;&gt;"",HEX2DEC(SUBSTITUTE(SUBSTITUTE(F273,"adrEA",""),"$","")),"")</f>
        <v/>
      </c>
      <c r="I273" s="6" t="str">
        <f>IFERROR(DEC2HEX(H273),"")</f>
        <v>0</v>
      </c>
    </row>
    <row r="274" spans="1:11" x14ac:dyDescent="0.2">
      <c r="A274" t="s">
        <v>343</v>
      </c>
      <c r="B274" t="s">
        <v>343</v>
      </c>
      <c r="E274" t="str">
        <f>IF(D274&lt;&gt;"",C274&amp;"/"&amp;D274,"")</f>
        <v/>
      </c>
      <c r="G274" s="5" t="str">
        <f>IF(F274&lt;&gt;"",HEX2DEC(SUBSTITUTE(SUBSTITUTE(F274,"adrEA",""),"$","")),"")</f>
        <v/>
      </c>
      <c r="I274" s="6" t="str">
        <f>IFERROR(DEC2HEX(H274),"")</f>
        <v>0</v>
      </c>
    </row>
    <row r="275" spans="1:11" x14ac:dyDescent="0.2">
      <c r="A275" t="s">
        <v>344</v>
      </c>
      <c r="B275" t="s">
        <v>345</v>
      </c>
      <c r="E275" t="str">
        <f>IF(D275&lt;&gt;"",C275&amp;"/"&amp;D275,"")</f>
        <v/>
      </c>
      <c r="G275" s="5" t="str">
        <f>IF(F275&lt;&gt;"",HEX2DEC(SUBSTITUTE(SUBSTITUTE(F275,"adrEA",""),"$","")),"")</f>
        <v/>
      </c>
      <c r="I275" s="6" t="str">
        <f>IFERROR(DEC2HEX(H275),"")</f>
        <v>0</v>
      </c>
    </row>
    <row r="276" spans="1:11" x14ac:dyDescent="0.2">
      <c r="A276" t="s">
        <v>346</v>
      </c>
      <c r="B276" t="s">
        <v>346</v>
      </c>
      <c r="E276" t="str">
        <f>IF(D276&lt;&gt;"",C276&amp;"/"&amp;D276,"")</f>
        <v/>
      </c>
      <c r="G276" s="5" t="str">
        <f>IF(F276&lt;&gt;"",HEX2DEC(SUBSTITUTE(SUBSTITUTE(F276,"adrEA",""),"$","")),"")</f>
        <v/>
      </c>
      <c r="I276" s="6" t="str">
        <f>IFERROR(DEC2HEX(H276),"")</f>
        <v>0</v>
      </c>
    </row>
    <row r="277" spans="1:11" x14ac:dyDescent="0.2">
      <c r="A277" t="s">
        <v>347</v>
      </c>
      <c r="B277" t="s">
        <v>347</v>
      </c>
      <c r="E277" t="str">
        <f>IF(D277&lt;&gt;"",C277&amp;"/"&amp;D277,"")</f>
        <v/>
      </c>
      <c r="G277" s="5" t="str">
        <f>IF(F277&lt;&gt;"",HEX2DEC(SUBSTITUTE(SUBSTITUTE(F277,"adrEA",""),"$","")),"")</f>
        <v/>
      </c>
      <c r="I277" s="6" t="str">
        <f>IFERROR(DEC2HEX(H277),"")</f>
        <v>0</v>
      </c>
    </row>
    <row r="278" spans="1:11" x14ac:dyDescent="0.2">
      <c r="A278" t="s">
        <v>348</v>
      </c>
      <c r="B278" t="s">
        <v>348</v>
      </c>
      <c r="E278" t="str">
        <f>IF(D278&lt;&gt;"",C278&amp;"/"&amp;D278,"")</f>
        <v/>
      </c>
      <c r="G278" s="5" t="str">
        <f>IF(F278&lt;&gt;"",HEX2DEC(SUBSTITUTE(SUBSTITUTE(F278,"adrEA",""),"$","")),"")</f>
        <v/>
      </c>
      <c r="I278" s="6" t="str">
        <f>IFERROR(DEC2HEX(H278),"")</f>
        <v>0</v>
      </c>
    </row>
    <row r="279" spans="1:11" x14ac:dyDescent="0.2">
      <c r="A279" t="s">
        <v>349</v>
      </c>
      <c r="B279" t="s">
        <v>349</v>
      </c>
      <c r="E279" t="str">
        <f>IF(D279&lt;&gt;"",C279&amp;"/"&amp;D279,"")</f>
        <v/>
      </c>
      <c r="G279" s="5" t="str">
        <f>IF(F279&lt;&gt;"",HEX2DEC(SUBSTITUTE(SUBSTITUTE(F279,"adrEA",""),"$","")),"")</f>
        <v/>
      </c>
      <c r="I279" s="6" t="str">
        <f>IFERROR(DEC2HEX(H279),"")</f>
        <v>0</v>
      </c>
    </row>
    <row r="280" spans="1:11" x14ac:dyDescent="0.2">
      <c r="A280" t="s">
        <v>350</v>
      </c>
      <c r="B280" t="s">
        <v>350</v>
      </c>
      <c r="E280" t="str">
        <f>IF(D280&lt;&gt;"",C280&amp;"/"&amp;D280,"")</f>
        <v/>
      </c>
      <c r="G280" s="5" t="str">
        <f>IF(F280&lt;&gt;"",HEX2DEC(SUBSTITUTE(SUBSTITUTE(F280,"adrEA",""),"$","")),"")</f>
        <v/>
      </c>
      <c r="I280" s="6" t="str">
        <f>IFERROR(DEC2HEX(H280),"")</f>
        <v>0</v>
      </c>
    </row>
    <row r="281" spans="1:11" x14ac:dyDescent="0.2">
      <c r="A281" t="s">
        <v>351</v>
      </c>
      <c r="B281" t="s">
        <v>5073</v>
      </c>
      <c r="E281" t="str">
        <f>IF(D281&lt;&gt;"",C281&amp;"/"&amp;D281,"")</f>
        <v/>
      </c>
      <c r="G281" s="5" t="str">
        <f>IF(F281&lt;&gt;"",HEX2DEC(SUBSTITUTE(SUBSTITUTE(F281,"adrEA",""),"$","")),"")</f>
        <v/>
      </c>
      <c r="I281" s="6" t="str">
        <f>IFERROR(DEC2HEX(H281),"")</f>
        <v>0</v>
      </c>
    </row>
    <row r="282" spans="1:11" x14ac:dyDescent="0.2">
      <c r="A282" t="s">
        <v>352</v>
      </c>
      <c r="B282" t="s">
        <v>5074</v>
      </c>
      <c r="E282" t="str">
        <f>IF(D282&lt;&gt;"",C282&amp;"/"&amp;D282,"")</f>
        <v/>
      </c>
      <c r="G282" s="5" t="str">
        <f>IF(F282&lt;&gt;"",HEX2DEC(SUBSTITUTE(SUBSTITUTE(F282,"adrEA",""),"$","")),"")</f>
        <v/>
      </c>
      <c r="I282" s="6" t="str">
        <f>IFERROR(DEC2HEX(H282),"")</f>
        <v>0</v>
      </c>
    </row>
    <row r="283" spans="1:11" x14ac:dyDescent="0.2">
      <c r="A283" t="s">
        <v>353</v>
      </c>
      <c r="B283" t="s">
        <v>5075</v>
      </c>
      <c r="E283" t="str">
        <f>IF(D283&lt;&gt;"",C283&amp;"/"&amp;D283,"")</f>
        <v/>
      </c>
      <c r="G283" s="5" t="str">
        <f>IF(F283&lt;&gt;"",HEX2DEC(SUBSTITUTE(SUBSTITUTE(F283,"adrEA",""),"$","")),"")</f>
        <v/>
      </c>
      <c r="I283" s="6" t="str">
        <f>IFERROR(DEC2HEX(H283),"")</f>
        <v>0</v>
      </c>
    </row>
    <row r="284" spans="1:11" x14ac:dyDescent="0.2">
      <c r="A284" t="s">
        <v>354</v>
      </c>
      <c r="B284" t="s">
        <v>5076</v>
      </c>
      <c r="E284" t="str">
        <f>IF(D284&lt;&gt;"",C284&amp;"/"&amp;D284,"")</f>
        <v/>
      </c>
      <c r="G284" s="5" t="str">
        <f>IF(F284&lt;&gt;"",HEX2DEC(SUBSTITUTE(SUBSTITUTE(F284,"adrEA",""),"$","")),"")</f>
        <v/>
      </c>
      <c r="I284" s="6" t="str">
        <f>IFERROR(DEC2HEX(H284),"")</f>
        <v>0</v>
      </c>
    </row>
    <row r="285" spans="1:11" x14ac:dyDescent="0.2">
      <c r="A285" t="s">
        <v>366</v>
      </c>
      <c r="B285" t="s">
        <v>5077</v>
      </c>
      <c r="E285" t="str">
        <f>IF(D285&lt;&gt;"",C285&amp;"/"&amp;D285,"")</f>
        <v/>
      </c>
      <c r="G285" s="5" t="str">
        <f>IF(F285&lt;&gt;"",HEX2DEC(SUBSTITUTE(SUBSTITUTE(F285,"adrEA",""),"$","")),"")</f>
        <v/>
      </c>
      <c r="I285" s="6" t="str">
        <f>IFERROR(DEC2HEX(H285),"")</f>
        <v>0</v>
      </c>
    </row>
    <row r="286" spans="1:11" x14ac:dyDescent="0.2">
      <c r="A286" t="s">
        <v>367</v>
      </c>
      <c r="B286" t="s">
        <v>5078</v>
      </c>
      <c r="E286" t="str">
        <f>IF(D286&lt;&gt;"",C286&amp;"/"&amp;D286,"")</f>
        <v/>
      </c>
      <c r="G286" s="5" t="str">
        <f>IF(F286&lt;&gt;"",HEX2DEC(SUBSTITUTE(SUBSTITUTE(F286,"adrEA",""),"$","")),"")</f>
        <v/>
      </c>
      <c r="I286" s="6" t="str">
        <f>IFERROR(DEC2HEX(H286),"")</f>
        <v>0</v>
      </c>
    </row>
    <row r="287" spans="1:11" x14ac:dyDescent="0.2">
      <c r="A287" t="s">
        <v>368</v>
      </c>
      <c r="B287" t="s">
        <v>5079</v>
      </c>
      <c r="E287" t="str">
        <f>IF(D287&lt;&gt;"",C287&amp;"/"&amp;D287,"")</f>
        <v/>
      </c>
      <c r="G287" s="5" t="str">
        <f>IF(F287&lt;&gt;"",HEX2DEC(SUBSTITUTE(SUBSTITUTE(F287,"adrEA",""),"$","")),"")</f>
        <v/>
      </c>
      <c r="I287" s="6" t="str">
        <f>IFERROR(DEC2HEX(H287),"")</f>
        <v>0</v>
      </c>
    </row>
    <row r="288" spans="1:11" ht="20" customHeight="1" x14ac:dyDescent="0.2">
      <c r="A288" t="s">
        <v>388</v>
      </c>
      <c r="B288" t="s">
        <v>4460</v>
      </c>
      <c r="G288" s="5" t="str">
        <f>IF(F288&lt;&gt;"",HEX2DEC(SUBSTITUTE(SUBSTITUTE(F288,"adrEA",""),"$","")),"")</f>
        <v/>
      </c>
      <c r="I288" s="6" t="str">
        <f>IFERROR(DEC2HEX(H288),"")</f>
        <v>0</v>
      </c>
      <c r="K288" s="27" t="s">
        <v>4571</v>
      </c>
    </row>
    <row r="289" spans="1:11" x14ac:dyDescent="0.2">
      <c r="A289" t="s">
        <v>389</v>
      </c>
      <c r="B289" t="s">
        <v>4827</v>
      </c>
      <c r="G289" s="5" t="str">
        <f>IF(F289&lt;&gt;"",HEX2DEC(SUBSTITUTE(SUBSTITUTE(F289,"adrEA",""),"$","")),"")</f>
        <v/>
      </c>
      <c r="I289" s="6" t="str">
        <f>IFERROR(DEC2HEX(H289),"")</f>
        <v>0</v>
      </c>
      <c r="K289" s="21" t="s">
        <v>4828</v>
      </c>
    </row>
    <row r="290" spans="1:11" x14ac:dyDescent="0.2">
      <c r="A290" t="s">
        <v>390</v>
      </c>
      <c r="B290" t="s">
        <v>4829</v>
      </c>
      <c r="G290" s="5" t="str">
        <f>IF(F290&lt;&gt;"",HEX2DEC(SUBSTITUTE(SUBSTITUTE(F290,"adrEA",""),"$","")),"")</f>
        <v/>
      </c>
      <c r="I290" s="6" t="str">
        <f>IFERROR(DEC2HEX(H290),"")</f>
        <v>0</v>
      </c>
      <c r="K290" s="21" t="s">
        <v>4830</v>
      </c>
    </row>
    <row r="291" spans="1:11" x14ac:dyDescent="0.2">
      <c r="A291" t="s">
        <v>391</v>
      </c>
      <c r="B291" t="s">
        <v>4831</v>
      </c>
      <c r="G291" s="5" t="str">
        <f>IF(F291&lt;&gt;"",HEX2DEC(SUBSTITUTE(SUBSTITUTE(F291,"adrEA",""),"$","")),"")</f>
        <v/>
      </c>
      <c r="I291" s="6" t="str">
        <f>IFERROR(DEC2HEX(H291),"")</f>
        <v>0</v>
      </c>
      <c r="K291" s="21" t="s">
        <v>4832</v>
      </c>
    </row>
    <row r="292" spans="1:11" x14ac:dyDescent="0.2">
      <c r="A292" t="s">
        <v>392</v>
      </c>
      <c r="B292" t="s">
        <v>4833</v>
      </c>
      <c r="G292" s="5" t="str">
        <f>IF(F292&lt;&gt;"",HEX2DEC(SUBSTITUTE(SUBSTITUTE(F292,"adrEA",""),"$","")),"")</f>
        <v/>
      </c>
      <c r="I292" s="6" t="str">
        <f>IFERROR(DEC2HEX(H292),"")</f>
        <v>0</v>
      </c>
      <c r="K292" s="21" t="s">
        <v>4834</v>
      </c>
    </row>
    <row r="293" spans="1:11" x14ac:dyDescent="0.2">
      <c r="A293" t="s">
        <v>393</v>
      </c>
      <c r="B293" t="s">
        <v>5080</v>
      </c>
      <c r="E293" t="str">
        <f>IF(D293&lt;&gt;"",C293&amp;"/"&amp;D293,"")</f>
        <v/>
      </c>
      <c r="G293" s="5" t="str">
        <f>IF(F293&lt;&gt;"",HEX2DEC(SUBSTITUTE(SUBSTITUTE(F293,"adrEA",""),"$","")),"")</f>
        <v/>
      </c>
      <c r="I293" s="6" t="str">
        <f>IFERROR(DEC2HEX(H293),"")</f>
        <v>0</v>
      </c>
    </row>
    <row r="294" spans="1:11" x14ac:dyDescent="0.2">
      <c r="A294" t="s">
        <v>394</v>
      </c>
      <c r="B294" t="s">
        <v>5081</v>
      </c>
      <c r="E294" t="str">
        <f>IF(D294&lt;&gt;"",C294&amp;"/"&amp;D294,"")</f>
        <v/>
      </c>
      <c r="G294" s="5" t="str">
        <f>IF(F294&lt;&gt;"",HEX2DEC(SUBSTITUTE(SUBSTITUTE(F294,"adrEA",""),"$","")),"")</f>
        <v/>
      </c>
      <c r="I294" s="6" t="str">
        <f>IFERROR(DEC2HEX(H294),"")</f>
        <v>0</v>
      </c>
    </row>
    <row r="295" spans="1:11" x14ac:dyDescent="0.2">
      <c r="A295" t="s">
        <v>395</v>
      </c>
      <c r="B295" t="s">
        <v>5082</v>
      </c>
      <c r="E295" t="str">
        <f>IF(D295&lt;&gt;"",C295&amp;"/"&amp;D295,"")</f>
        <v/>
      </c>
      <c r="G295" s="5" t="str">
        <f>IF(F295&lt;&gt;"",HEX2DEC(SUBSTITUTE(SUBSTITUTE(F295,"adrEA",""),"$","")),"")</f>
        <v/>
      </c>
      <c r="I295" s="6" t="str">
        <f>IFERROR(DEC2HEX(H295),"")</f>
        <v>0</v>
      </c>
    </row>
    <row r="296" spans="1:11" x14ac:dyDescent="0.2">
      <c r="A296" t="s">
        <v>396</v>
      </c>
      <c r="B296" t="s">
        <v>309</v>
      </c>
      <c r="E296" t="str">
        <f>IF(D296&lt;&gt;"",C296&amp;"/"&amp;D296,"")</f>
        <v/>
      </c>
      <c r="G296" s="5" t="str">
        <f>IF(F296&lt;&gt;"",HEX2DEC(SUBSTITUTE(SUBSTITUTE(F296,"adrEA",""),"$","")),"")</f>
        <v/>
      </c>
      <c r="I296" s="6" t="str">
        <f>IFERROR(DEC2HEX(H296),"")</f>
        <v>0</v>
      </c>
    </row>
    <row r="297" spans="1:11" x14ac:dyDescent="0.2">
      <c r="A297" t="s">
        <v>397</v>
      </c>
      <c r="B297" t="s">
        <v>309</v>
      </c>
      <c r="E297" t="str">
        <f>IF(D297&lt;&gt;"",C297&amp;"/"&amp;D297,"")</f>
        <v/>
      </c>
      <c r="G297" s="5" t="str">
        <f>IF(F297&lt;&gt;"",HEX2DEC(SUBSTITUTE(SUBSTITUTE(F297,"adrEA",""),"$","")),"")</f>
        <v/>
      </c>
      <c r="I297" s="6" t="str">
        <f>IFERROR(DEC2HEX(H297),"")</f>
        <v>0</v>
      </c>
    </row>
    <row r="298" spans="1:11" x14ac:dyDescent="0.2">
      <c r="A298" t="s">
        <v>398</v>
      </c>
      <c r="B298" t="s">
        <v>5083</v>
      </c>
      <c r="E298" t="str">
        <f>IF(D298&lt;&gt;"",C298&amp;"/"&amp;D298,"")</f>
        <v/>
      </c>
      <c r="G298" s="5" t="str">
        <f>IF(F298&lt;&gt;"",HEX2DEC(SUBSTITUTE(SUBSTITUTE(F298,"adrEA",""),"$","")),"")</f>
        <v/>
      </c>
      <c r="I298" s="6" t="str">
        <f>IFERROR(DEC2HEX(H298),"")</f>
        <v>0</v>
      </c>
    </row>
    <row r="299" spans="1:11" x14ac:dyDescent="0.2">
      <c r="A299" t="s">
        <v>399</v>
      </c>
      <c r="B299" t="s">
        <v>400</v>
      </c>
      <c r="E299" t="str">
        <f>IF(D299&lt;&gt;"",C299&amp;"/"&amp;D299,"")</f>
        <v/>
      </c>
      <c r="G299" s="5" t="str">
        <f>IF(F299&lt;&gt;"",HEX2DEC(SUBSTITUTE(SUBSTITUTE(F299,"adrEA",""),"$","")),"")</f>
        <v/>
      </c>
      <c r="I299" s="6" t="str">
        <f>IFERROR(DEC2HEX(H299),"")</f>
        <v>0</v>
      </c>
    </row>
    <row r="300" spans="1:11" x14ac:dyDescent="0.2">
      <c r="A300" t="s">
        <v>401</v>
      </c>
      <c r="B300" t="s">
        <v>402</v>
      </c>
      <c r="E300" t="str">
        <f>IF(D300&lt;&gt;"",C300&amp;"/"&amp;D300,"")</f>
        <v/>
      </c>
      <c r="G300" s="5" t="str">
        <f>IF(F300&lt;&gt;"",HEX2DEC(SUBSTITUTE(SUBSTITUTE(F300,"adrEA",""),"$","")),"")</f>
        <v/>
      </c>
      <c r="I300" s="6" t="str">
        <f>IFERROR(DEC2HEX(H300),"")</f>
        <v>0</v>
      </c>
    </row>
    <row r="301" spans="1:11" x14ac:dyDescent="0.2">
      <c r="A301" t="s">
        <v>403</v>
      </c>
      <c r="B301" t="s">
        <v>5084</v>
      </c>
      <c r="E301" t="str">
        <f>IF(D301&lt;&gt;"",C301&amp;"/"&amp;D301,"")</f>
        <v/>
      </c>
      <c r="G301" s="5" t="str">
        <f>IF(F301&lt;&gt;"",HEX2DEC(SUBSTITUTE(SUBSTITUTE(F301,"adrEA",""),"$","")),"")</f>
        <v/>
      </c>
      <c r="I301" s="6" t="str">
        <f>IFERROR(DEC2HEX(H301),"")</f>
        <v>0</v>
      </c>
    </row>
    <row r="302" spans="1:11" x14ac:dyDescent="0.2">
      <c r="A302" t="s">
        <v>404</v>
      </c>
      <c r="B302" t="s">
        <v>5085</v>
      </c>
      <c r="E302" t="str">
        <f>IF(D302&lt;&gt;"",C302&amp;"/"&amp;D302,"")</f>
        <v/>
      </c>
      <c r="G302" s="5" t="str">
        <f>IF(F302&lt;&gt;"",HEX2DEC(SUBSTITUTE(SUBSTITUTE(F302,"adrEA",""),"$","")),"")</f>
        <v/>
      </c>
      <c r="I302" s="6" t="str">
        <f>IFERROR(DEC2HEX(H302),"")</f>
        <v>0</v>
      </c>
    </row>
    <row r="303" spans="1:11" x14ac:dyDescent="0.2">
      <c r="A303" t="s">
        <v>405</v>
      </c>
      <c r="B303" t="s">
        <v>5086</v>
      </c>
      <c r="E303" t="str">
        <f>IF(D303&lt;&gt;"",C303&amp;"/"&amp;D303,"")</f>
        <v/>
      </c>
      <c r="G303" s="5" t="str">
        <f>IF(F303&lt;&gt;"",HEX2DEC(SUBSTITUTE(SUBSTITUTE(F303,"adrEA",""),"$","")),"")</f>
        <v/>
      </c>
      <c r="I303" s="6" t="str">
        <f>IFERROR(DEC2HEX(H303),"")</f>
        <v>0</v>
      </c>
    </row>
    <row r="304" spans="1:11" x14ac:dyDescent="0.2">
      <c r="A304" t="s">
        <v>406</v>
      </c>
      <c r="B304" t="s">
        <v>5087</v>
      </c>
      <c r="E304" t="str">
        <f>IF(D304&lt;&gt;"",C304&amp;"/"&amp;D304,"")</f>
        <v/>
      </c>
      <c r="G304" s="5" t="str">
        <f>IF(F304&lt;&gt;"",HEX2DEC(SUBSTITUTE(SUBSTITUTE(F304,"adrEA",""),"$","")),"")</f>
        <v/>
      </c>
      <c r="I304" s="6" t="str">
        <f>IFERROR(DEC2HEX(H304),"")</f>
        <v>0</v>
      </c>
    </row>
    <row r="305" spans="1:9" x14ac:dyDescent="0.2">
      <c r="A305" t="s">
        <v>407</v>
      </c>
      <c r="B305" t="s">
        <v>5088</v>
      </c>
      <c r="E305" t="str">
        <f>IF(D305&lt;&gt;"",C305&amp;"/"&amp;D305,"")</f>
        <v/>
      </c>
      <c r="G305" s="5" t="str">
        <f>IF(F305&lt;&gt;"",HEX2DEC(SUBSTITUTE(SUBSTITUTE(F305,"adrEA",""),"$","")),"")</f>
        <v/>
      </c>
      <c r="I305" s="6" t="str">
        <f>IFERROR(DEC2HEX(H305),"")</f>
        <v>0</v>
      </c>
    </row>
    <row r="306" spans="1:9" x14ac:dyDescent="0.2">
      <c r="A306" t="s">
        <v>408</v>
      </c>
      <c r="B306" t="s">
        <v>5089</v>
      </c>
      <c r="E306" t="str">
        <f>IF(D306&lt;&gt;"",C306&amp;"/"&amp;D306,"")</f>
        <v/>
      </c>
      <c r="G306" s="5" t="str">
        <f>IF(F306&lt;&gt;"",HEX2DEC(SUBSTITUTE(SUBSTITUTE(F306,"adrEA",""),"$","")),"")</f>
        <v/>
      </c>
      <c r="I306" s="6" t="str">
        <f>IFERROR(DEC2HEX(H306),"")</f>
        <v>0</v>
      </c>
    </row>
    <row r="307" spans="1:9" x14ac:dyDescent="0.2">
      <c r="A307" t="s">
        <v>409</v>
      </c>
      <c r="B307" t="s">
        <v>309</v>
      </c>
      <c r="E307" t="str">
        <f>IF(D307&lt;&gt;"",C307&amp;"/"&amp;D307,"")</f>
        <v/>
      </c>
      <c r="G307" s="5" t="str">
        <f>IF(F307&lt;&gt;"",HEX2DEC(SUBSTITUTE(SUBSTITUTE(F307,"adrEA",""),"$","")),"")</f>
        <v/>
      </c>
      <c r="I307" s="6" t="str">
        <f>IFERROR(DEC2HEX(H307),"")</f>
        <v>0</v>
      </c>
    </row>
    <row r="308" spans="1:9" x14ac:dyDescent="0.2">
      <c r="A308" t="s">
        <v>410</v>
      </c>
      <c r="B308" t="s">
        <v>309</v>
      </c>
      <c r="E308" t="str">
        <f>IF(D308&lt;&gt;"",C308&amp;"/"&amp;D308,"")</f>
        <v/>
      </c>
      <c r="G308" s="5" t="str">
        <f>IF(F308&lt;&gt;"",HEX2DEC(SUBSTITUTE(SUBSTITUTE(F308,"adrEA",""),"$","")),"")</f>
        <v/>
      </c>
      <c r="I308" s="6" t="str">
        <f>IFERROR(DEC2HEX(H308),"")</f>
        <v>0</v>
      </c>
    </row>
    <row r="309" spans="1:9" x14ac:dyDescent="0.2">
      <c r="A309" t="s">
        <v>411</v>
      </c>
      <c r="B309" t="s">
        <v>309</v>
      </c>
      <c r="E309" t="str">
        <f>IF(D309&lt;&gt;"",C309&amp;"/"&amp;D309,"")</f>
        <v/>
      </c>
      <c r="G309" s="5" t="str">
        <f>IF(F309&lt;&gt;"",HEX2DEC(SUBSTITUTE(SUBSTITUTE(F309,"adrEA",""),"$","")),"")</f>
        <v/>
      </c>
      <c r="I309" s="6" t="str">
        <f>IFERROR(DEC2HEX(H309),"")</f>
        <v>0</v>
      </c>
    </row>
    <row r="310" spans="1:9" x14ac:dyDescent="0.2">
      <c r="A310" t="s">
        <v>412</v>
      </c>
      <c r="B310" t="s">
        <v>309</v>
      </c>
      <c r="E310" t="str">
        <f>IF(D310&lt;&gt;"",C310&amp;"/"&amp;D310,"")</f>
        <v/>
      </c>
      <c r="G310" s="5" t="str">
        <f>IF(F310&lt;&gt;"",HEX2DEC(SUBSTITUTE(SUBSTITUTE(F310,"adrEA",""),"$","")),"")</f>
        <v/>
      </c>
      <c r="I310" s="6" t="str">
        <f>IFERROR(DEC2HEX(H310),"")</f>
        <v>0</v>
      </c>
    </row>
    <row r="311" spans="1:9" x14ac:dyDescent="0.2">
      <c r="A311" t="s">
        <v>413</v>
      </c>
      <c r="B311" t="s">
        <v>309</v>
      </c>
      <c r="E311" t="str">
        <f>IF(D311&lt;&gt;"",C311&amp;"/"&amp;D311,"")</f>
        <v/>
      </c>
      <c r="G311" s="5" t="str">
        <f>IF(F311&lt;&gt;"",HEX2DEC(SUBSTITUTE(SUBSTITUTE(F311,"adrEA",""),"$","")),"")</f>
        <v/>
      </c>
      <c r="I311" s="6" t="str">
        <f>IFERROR(DEC2HEX(H311),"")</f>
        <v>0</v>
      </c>
    </row>
    <row r="312" spans="1:9" x14ac:dyDescent="0.2">
      <c r="A312" t="s">
        <v>414</v>
      </c>
      <c r="B312" t="s">
        <v>309</v>
      </c>
      <c r="E312" t="str">
        <f>IF(D312&lt;&gt;"",C312&amp;"/"&amp;D312,"")</f>
        <v/>
      </c>
      <c r="G312" s="5" t="str">
        <f>IF(F312&lt;&gt;"",HEX2DEC(SUBSTITUTE(SUBSTITUTE(F312,"adrEA",""),"$","")),"")</f>
        <v/>
      </c>
      <c r="I312" s="6" t="str">
        <f>IFERROR(DEC2HEX(H312),"")</f>
        <v>0</v>
      </c>
    </row>
    <row r="313" spans="1:9" x14ac:dyDescent="0.2">
      <c r="A313" t="s">
        <v>415</v>
      </c>
      <c r="B313" t="s">
        <v>309</v>
      </c>
      <c r="E313" t="str">
        <f>IF(D313&lt;&gt;"",C313&amp;"/"&amp;D313,"")</f>
        <v/>
      </c>
      <c r="G313" s="5" t="str">
        <f>IF(F313&lt;&gt;"",HEX2DEC(SUBSTITUTE(SUBSTITUTE(F313,"adrEA",""),"$","")),"")</f>
        <v/>
      </c>
      <c r="I313" s="6" t="str">
        <f>IFERROR(DEC2HEX(H313),"")</f>
        <v>0</v>
      </c>
    </row>
    <row r="314" spans="1:9" x14ac:dyDescent="0.2">
      <c r="A314" t="s">
        <v>416</v>
      </c>
      <c r="B314" t="s">
        <v>5090</v>
      </c>
      <c r="E314" t="str">
        <f>IF(D314&lt;&gt;"",C314&amp;"/"&amp;D314,"")</f>
        <v/>
      </c>
      <c r="G314" s="5" t="str">
        <f>IF(F314&lt;&gt;"",HEX2DEC(SUBSTITUTE(SUBSTITUTE(F314,"adrEA",""),"$","")),"")</f>
        <v/>
      </c>
      <c r="I314" s="6" t="str">
        <f>IFERROR(DEC2HEX(H314),"")</f>
        <v>0</v>
      </c>
    </row>
    <row r="315" spans="1:9" x14ac:dyDescent="0.2">
      <c r="A315" t="s">
        <v>417</v>
      </c>
      <c r="B315" t="s">
        <v>5091</v>
      </c>
      <c r="E315" t="str">
        <f>IF(D315&lt;&gt;"",C315&amp;"/"&amp;D315,"")</f>
        <v/>
      </c>
      <c r="G315" s="5" t="str">
        <f>IF(F315&lt;&gt;"",HEX2DEC(SUBSTITUTE(SUBSTITUTE(F315,"adrEA",""),"$","")),"")</f>
        <v/>
      </c>
      <c r="I315" s="6" t="str">
        <f>IFERROR(DEC2HEX(H315),"")</f>
        <v>0</v>
      </c>
    </row>
    <row r="316" spans="1:9" x14ac:dyDescent="0.2">
      <c r="A316" t="s">
        <v>418</v>
      </c>
      <c r="B316" t="s">
        <v>5092</v>
      </c>
      <c r="E316" t="str">
        <f>IF(D316&lt;&gt;"",C316&amp;"/"&amp;D316,"")</f>
        <v/>
      </c>
      <c r="G316" s="5" t="str">
        <f>IF(F316&lt;&gt;"",HEX2DEC(SUBSTITUTE(SUBSTITUTE(F316,"adrEA",""),"$","")),"")</f>
        <v/>
      </c>
      <c r="I316" s="6" t="str">
        <f>IFERROR(DEC2HEX(H316),"")</f>
        <v>0</v>
      </c>
    </row>
    <row r="317" spans="1:9" x14ac:dyDescent="0.2">
      <c r="A317" t="s">
        <v>419</v>
      </c>
      <c r="B317" t="s">
        <v>309</v>
      </c>
      <c r="E317" t="str">
        <f>IF(D317&lt;&gt;"",C317&amp;"/"&amp;D317,"")</f>
        <v/>
      </c>
      <c r="G317" s="5" t="str">
        <f>IF(F317&lt;&gt;"",HEX2DEC(SUBSTITUTE(SUBSTITUTE(F317,"adrEA",""),"$","")),"")</f>
        <v/>
      </c>
      <c r="I317" s="6" t="str">
        <f>IFERROR(DEC2HEX(H317),"")</f>
        <v>0</v>
      </c>
    </row>
    <row r="318" spans="1:9" x14ac:dyDescent="0.2">
      <c r="A318" t="s">
        <v>420</v>
      </c>
      <c r="B318" t="s">
        <v>309</v>
      </c>
      <c r="E318" t="str">
        <f>IF(D318&lt;&gt;"",C318&amp;"/"&amp;D318,"")</f>
        <v/>
      </c>
      <c r="G318" s="5" t="str">
        <f>IF(F318&lt;&gt;"",HEX2DEC(SUBSTITUTE(SUBSTITUTE(F318,"adrEA",""),"$","")),"")</f>
        <v/>
      </c>
      <c r="I318" s="6" t="str">
        <f>IFERROR(DEC2HEX(H318),"")</f>
        <v>0</v>
      </c>
    </row>
    <row r="319" spans="1:9" x14ac:dyDescent="0.2">
      <c r="A319" t="s">
        <v>421</v>
      </c>
      <c r="B319" t="s">
        <v>309</v>
      </c>
      <c r="E319" t="str">
        <f>IF(D319&lt;&gt;"",C319&amp;"/"&amp;D319,"")</f>
        <v/>
      </c>
      <c r="G319" s="5" t="str">
        <f>IF(F319&lt;&gt;"",HEX2DEC(SUBSTITUTE(SUBSTITUTE(F319,"adrEA",""),"$","")),"")</f>
        <v/>
      </c>
      <c r="I319" s="6" t="str">
        <f>IFERROR(DEC2HEX(H319),"")</f>
        <v>0</v>
      </c>
    </row>
    <row r="320" spans="1:9" x14ac:dyDescent="0.2">
      <c r="A320" t="s">
        <v>422</v>
      </c>
      <c r="B320" t="s">
        <v>5093</v>
      </c>
      <c r="E320" t="str">
        <f>IF(D320&lt;&gt;"",C320&amp;"/"&amp;D320,"")</f>
        <v/>
      </c>
      <c r="G320" s="5" t="str">
        <f>IF(F320&lt;&gt;"",HEX2DEC(SUBSTITUTE(SUBSTITUTE(F320,"adrEA",""),"$","")),"")</f>
        <v/>
      </c>
      <c r="I320" s="6" t="str">
        <f>IFERROR(DEC2HEX(H320),"")</f>
        <v>0</v>
      </c>
    </row>
    <row r="321" spans="1:9" x14ac:dyDescent="0.2">
      <c r="A321" t="s">
        <v>423</v>
      </c>
      <c r="B321" t="s">
        <v>309</v>
      </c>
      <c r="E321" t="str">
        <f>IF(D321&lt;&gt;"",C321&amp;"/"&amp;D321,"")</f>
        <v/>
      </c>
      <c r="G321" s="5" t="str">
        <f>IF(F321&lt;&gt;"",HEX2DEC(SUBSTITUTE(SUBSTITUTE(F321,"adrEA",""),"$","")),"")</f>
        <v/>
      </c>
      <c r="I321" s="6" t="str">
        <f>IFERROR(DEC2HEX(H321),"")</f>
        <v>0</v>
      </c>
    </row>
    <row r="322" spans="1:9" x14ac:dyDescent="0.2">
      <c r="A322" t="s">
        <v>424</v>
      </c>
      <c r="B322" t="s">
        <v>5094</v>
      </c>
      <c r="E322" t="str">
        <f>IF(D322&lt;&gt;"",C322&amp;"/"&amp;D322,"")</f>
        <v/>
      </c>
      <c r="G322" s="5" t="str">
        <f>IF(F322&lt;&gt;"",HEX2DEC(SUBSTITUTE(SUBSTITUTE(F322,"adrEA",""),"$","")),"")</f>
        <v/>
      </c>
      <c r="I322" s="6" t="str">
        <f>IFERROR(DEC2HEX(H322),"")</f>
        <v>0</v>
      </c>
    </row>
    <row r="323" spans="1:9" x14ac:dyDescent="0.2">
      <c r="A323" t="s">
        <v>425</v>
      </c>
      <c r="B323" t="s">
        <v>309</v>
      </c>
      <c r="E323" t="str">
        <f>IF(D323&lt;&gt;"",C323&amp;"/"&amp;D323,"")</f>
        <v/>
      </c>
      <c r="G323" s="5" t="str">
        <f>IF(F323&lt;&gt;"",HEX2DEC(SUBSTITUTE(SUBSTITUTE(F323,"adrEA",""),"$","")),"")</f>
        <v/>
      </c>
      <c r="I323" s="6" t="str">
        <f>IFERROR(DEC2HEX(H323),"")</f>
        <v>0</v>
      </c>
    </row>
    <row r="324" spans="1:9" x14ac:dyDescent="0.2">
      <c r="A324" t="s">
        <v>426</v>
      </c>
      <c r="B324" t="s">
        <v>309</v>
      </c>
      <c r="E324" t="str">
        <f>IF(D324&lt;&gt;"",C324&amp;"/"&amp;D324,"")</f>
        <v/>
      </c>
      <c r="G324" s="5" t="str">
        <f>IF(F324&lt;&gt;"",HEX2DEC(SUBSTITUTE(SUBSTITUTE(F324,"adrEA",""),"$","")),"")</f>
        <v/>
      </c>
      <c r="I324" s="6" t="str">
        <f>IFERROR(DEC2HEX(H324),"")</f>
        <v>0</v>
      </c>
    </row>
    <row r="325" spans="1:9" x14ac:dyDescent="0.2">
      <c r="A325" t="s">
        <v>427</v>
      </c>
      <c r="B325" t="s">
        <v>309</v>
      </c>
      <c r="E325" t="str">
        <f>IF(D325&lt;&gt;"",C325&amp;"/"&amp;D325,"")</f>
        <v/>
      </c>
      <c r="G325" s="5" t="str">
        <f>IF(F325&lt;&gt;"",HEX2DEC(SUBSTITUTE(SUBSTITUTE(F325,"adrEA",""),"$","")),"")</f>
        <v/>
      </c>
      <c r="I325" s="6" t="str">
        <f>IFERROR(DEC2HEX(H325),"")</f>
        <v>0</v>
      </c>
    </row>
    <row r="326" spans="1:9" x14ac:dyDescent="0.2">
      <c r="A326" t="s">
        <v>428</v>
      </c>
      <c r="B326" t="s">
        <v>5095</v>
      </c>
      <c r="E326" t="str">
        <f>IF(D326&lt;&gt;"",C326&amp;"/"&amp;D326,"")</f>
        <v/>
      </c>
      <c r="G326" s="5" t="str">
        <f>IF(F326&lt;&gt;"",HEX2DEC(SUBSTITUTE(SUBSTITUTE(F326,"adrEA",""),"$","")),"")</f>
        <v/>
      </c>
      <c r="I326" s="6" t="str">
        <f>IFERROR(DEC2HEX(H326),"")</f>
        <v>0</v>
      </c>
    </row>
    <row r="327" spans="1:9" x14ac:dyDescent="0.2">
      <c r="A327" t="s">
        <v>429</v>
      </c>
      <c r="B327" t="s">
        <v>309</v>
      </c>
      <c r="E327" t="str">
        <f>IF(D327&lt;&gt;"",C327&amp;"/"&amp;D327,"")</f>
        <v/>
      </c>
      <c r="G327" s="5" t="str">
        <f>IF(F327&lt;&gt;"",HEX2DEC(SUBSTITUTE(SUBSTITUTE(F327,"adrEA",""),"$","")),"")</f>
        <v/>
      </c>
      <c r="I327" s="6" t="str">
        <f>IFERROR(DEC2HEX(H327),"")</f>
        <v>0</v>
      </c>
    </row>
    <row r="328" spans="1:9" x14ac:dyDescent="0.2">
      <c r="A328" t="s">
        <v>430</v>
      </c>
      <c r="B328" t="s">
        <v>5096</v>
      </c>
      <c r="E328" t="str">
        <f>IF(D328&lt;&gt;"",C328&amp;"/"&amp;D328,"")</f>
        <v/>
      </c>
      <c r="G328" s="5" t="str">
        <f>IF(F328&lt;&gt;"",HEX2DEC(SUBSTITUTE(SUBSTITUTE(F328,"adrEA",""),"$","")),"")</f>
        <v/>
      </c>
      <c r="I328" s="6" t="str">
        <f>IFERROR(DEC2HEX(H328),"")</f>
        <v>0</v>
      </c>
    </row>
    <row r="329" spans="1:9" x14ac:dyDescent="0.2">
      <c r="A329" t="s">
        <v>431</v>
      </c>
      <c r="B329" t="s">
        <v>5097</v>
      </c>
      <c r="E329" t="str">
        <f>IF(D329&lt;&gt;"",C329&amp;"/"&amp;D329,"")</f>
        <v/>
      </c>
      <c r="G329" s="5" t="str">
        <f>IF(F329&lt;&gt;"",HEX2DEC(SUBSTITUTE(SUBSTITUTE(F329,"adrEA",""),"$","")),"")</f>
        <v/>
      </c>
      <c r="I329" s="6" t="str">
        <f>IFERROR(DEC2HEX(H329),"")</f>
        <v>0</v>
      </c>
    </row>
    <row r="330" spans="1:9" x14ac:dyDescent="0.2">
      <c r="A330" t="s">
        <v>432</v>
      </c>
      <c r="B330" t="s">
        <v>309</v>
      </c>
      <c r="E330" t="str">
        <f>IF(D330&lt;&gt;"",C330&amp;"/"&amp;D330,"")</f>
        <v/>
      </c>
      <c r="G330" s="5" t="str">
        <f>IF(F330&lt;&gt;"",HEX2DEC(SUBSTITUTE(SUBSTITUTE(F330,"adrEA",""),"$","")),"")</f>
        <v/>
      </c>
      <c r="I330" s="6" t="str">
        <f>IFERROR(DEC2HEX(H330),"")</f>
        <v>0</v>
      </c>
    </row>
    <row r="331" spans="1:9" x14ac:dyDescent="0.2">
      <c r="A331" t="s">
        <v>433</v>
      </c>
      <c r="B331" t="s">
        <v>5098</v>
      </c>
      <c r="E331" t="str">
        <f>IF(D331&lt;&gt;"",C331&amp;"/"&amp;D331,"")</f>
        <v/>
      </c>
      <c r="G331" s="5" t="str">
        <f>IF(F331&lt;&gt;"",HEX2DEC(SUBSTITUTE(SUBSTITUTE(F331,"adrEA",""),"$","")),"")</f>
        <v/>
      </c>
      <c r="I331" s="6" t="str">
        <f>IFERROR(DEC2HEX(H331),"")</f>
        <v>0</v>
      </c>
    </row>
    <row r="332" spans="1:9" x14ac:dyDescent="0.2">
      <c r="A332" t="s">
        <v>434</v>
      </c>
      <c r="B332" t="s">
        <v>309</v>
      </c>
      <c r="E332" t="str">
        <f>IF(D332&lt;&gt;"",C332&amp;"/"&amp;D332,"")</f>
        <v/>
      </c>
      <c r="G332" s="5" t="str">
        <f>IF(F332&lt;&gt;"",HEX2DEC(SUBSTITUTE(SUBSTITUTE(F332,"adrEA",""),"$","")),"")</f>
        <v/>
      </c>
      <c r="I332" s="6" t="str">
        <f>IFERROR(DEC2HEX(H332),"")</f>
        <v>0</v>
      </c>
    </row>
    <row r="333" spans="1:9" x14ac:dyDescent="0.2">
      <c r="A333" t="s">
        <v>435</v>
      </c>
      <c r="B333" t="s">
        <v>5099</v>
      </c>
      <c r="E333" t="str">
        <f>IF(D333&lt;&gt;"",C333&amp;"/"&amp;D333,"")</f>
        <v/>
      </c>
      <c r="G333" s="5" t="str">
        <f>IF(F333&lt;&gt;"",HEX2DEC(SUBSTITUTE(SUBSTITUTE(F333,"adrEA",""),"$","")),"")</f>
        <v/>
      </c>
      <c r="I333" s="6" t="str">
        <f>IFERROR(DEC2HEX(H333),"")</f>
        <v>0</v>
      </c>
    </row>
    <row r="334" spans="1:9" x14ac:dyDescent="0.2">
      <c r="A334" t="s">
        <v>436</v>
      </c>
      <c r="B334" t="s">
        <v>309</v>
      </c>
      <c r="E334" t="str">
        <f>IF(D334&lt;&gt;"",C334&amp;"/"&amp;D334,"")</f>
        <v/>
      </c>
      <c r="G334" s="5" t="str">
        <f>IF(F334&lt;&gt;"",HEX2DEC(SUBSTITUTE(SUBSTITUTE(F334,"adrEA",""),"$","")),"")</f>
        <v/>
      </c>
      <c r="I334" s="6" t="str">
        <f>IFERROR(DEC2HEX(H334),"")</f>
        <v>0</v>
      </c>
    </row>
    <row r="335" spans="1:9" x14ac:dyDescent="0.2">
      <c r="A335" t="s">
        <v>437</v>
      </c>
      <c r="B335" t="s">
        <v>5100</v>
      </c>
      <c r="E335" t="str">
        <f>IF(D335&lt;&gt;"",C335&amp;"/"&amp;D335,"")</f>
        <v/>
      </c>
      <c r="G335" s="5" t="str">
        <f>IF(F335&lt;&gt;"",HEX2DEC(SUBSTITUTE(SUBSTITUTE(F335,"adrEA",""),"$","")),"")</f>
        <v/>
      </c>
      <c r="I335" s="6" t="str">
        <f>IFERROR(DEC2HEX(H335),"")</f>
        <v>0</v>
      </c>
    </row>
    <row r="336" spans="1:9" x14ac:dyDescent="0.2">
      <c r="A336" t="s">
        <v>438</v>
      </c>
      <c r="B336" t="s">
        <v>5101</v>
      </c>
      <c r="E336" t="str">
        <f>IF(D336&lt;&gt;"",C336&amp;"/"&amp;D336,"")</f>
        <v/>
      </c>
      <c r="G336" s="5" t="str">
        <f>IF(F336&lt;&gt;"",HEX2DEC(SUBSTITUTE(SUBSTITUTE(F336,"adrEA",""),"$","")),"")</f>
        <v/>
      </c>
      <c r="I336" s="6" t="str">
        <f>IFERROR(DEC2HEX(H336),"")</f>
        <v>0</v>
      </c>
    </row>
    <row r="337" spans="1:9" x14ac:dyDescent="0.2">
      <c r="A337" t="s">
        <v>439</v>
      </c>
      <c r="B337" t="s">
        <v>309</v>
      </c>
      <c r="E337" t="str">
        <f>IF(D337&lt;&gt;"",C337&amp;"/"&amp;D337,"")</f>
        <v/>
      </c>
      <c r="G337" s="5" t="str">
        <f>IF(F337&lt;&gt;"",HEX2DEC(SUBSTITUTE(SUBSTITUTE(F337,"adrEA",""),"$","")),"")</f>
        <v/>
      </c>
      <c r="I337" s="6" t="str">
        <f>IFERROR(DEC2HEX(H337),"")</f>
        <v>0</v>
      </c>
    </row>
    <row r="338" spans="1:9" x14ac:dyDescent="0.2">
      <c r="A338" t="s">
        <v>440</v>
      </c>
      <c r="B338" t="s">
        <v>309</v>
      </c>
      <c r="E338" t="str">
        <f>IF(D338&lt;&gt;"",C338&amp;"/"&amp;D338,"")</f>
        <v/>
      </c>
      <c r="G338" s="5" t="str">
        <f>IF(F338&lt;&gt;"",HEX2DEC(SUBSTITUTE(SUBSTITUTE(F338,"adrEA",""),"$","")),"")</f>
        <v/>
      </c>
      <c r="I338" s="6" t="str">
        <f>IFERROR(DEC2HEX(H338),"")</f>
        <v>0</v>
      </c>
    </row>
    <row r="339" spans="1:9" x14ac:dyDescent="0.2">
      <c r="A339" t="s">
        <v>441</v>
      </c>
      <c r="B339" t="s">
        <v>309</v>
      </c>
      <c r="E339" t="str">
        <f>IF(D339&lt;&gt;"",C339&amp;"/"&amp;D339,"")</f>
        <v/>
      </c>
      <c r="G339" s="5" t="str">
        <f>IF(F339&lt;&gt;"",HEX2DEC(SUBSTITUTE(SUBSTITUTE(F339,"adrEA",""),"$","")),"")</f>
        <v/>
      </c>
      <c r="I339" s="6" t="str">
        <f>IFERROR(DEC2HEX(H339),"")</f>
        <v>0</v>
      </c>
    </row>
    <row r="340" spans="1:9" x14ac:dyDescent="0.2">
      <c r="A340" t="s">
        <v>442</v>
      </c>
      <c r="B340" t="s">
        <v>309</v>
      </c>
      <c r="E340" t="str">
        <f>IF(D340&lt;&gt;"",C340&amp;"/"&amp;D340,"")</f>
        <v/>
      </c>
      <c r="G340" s="5" t="str">
        <f>IF(F340&lt;&gt;"",HEX2DEC(SUBSTITUTE(SUBSTITUTE(F340,"adrEA",""),"$","")),"")</f>
        <v/>
      </c>
      <c r="I340" s="6" t="str">
        <f>IFERROR(DEC2HEX(H340),"")</f>
        <v>0</v>
      </c>
    </row>
    <row r="341" spans="1:9" x14ac:dyDescent="0.2">
      <c r="A341" t="s">
        <v>443</v>
      </c>
      <c r="B341" t="s">
        <v>309</v>
      </c>
      <c r="E341" t="str">
        <f>IF(D341&lt;&gt;"",C341&amp;"/"&amp;D341,"")</f>
        <v/>
      </c>
      <c r="G341" s="5" t="str">
        <f>IF(F341&lt;&gt;"",HEX2DEC(SUBSTITUTE(SUBSTITUTE(F341,"adrEA",""),"$","")),"")</f>
        <v/>
      </c>
      <c r="I341" s="6" t="str">
        <f>IFERROR(DEC2HEX(H341),"")</f>
        <v>0</v>
      </c>
    </row>
    <row r="342" spans="1:9" x14ac:dyDescent="0.2">
      <c r="A342" t="s">
        <v>444</v>
      </c>
      <c r="B342" t="s">
        <v>309</v>
      </c>
      <c r="E342" t="str">
        <f>IF(D342&lt;&gt;"",C342&amp;"/"&amp;D342,"")</f>
        <v/>
      </c>
      <c r="G342" s="5" t="str">
        <f>IF(F342&lt;&gt;"",HEX2DEC(SUBSTITUTE(SUBSTITUTE(F342,"adrEA",""),"$","")),"")</f>
        <v/>
      </c>
      <c r="I342" s="6" t="str">
        <f>IFERROR(DEC2HEX(H342),"")</f>
        <v>0</v>
      </c>
    </row>
    <row r="343" spans="1:9" x14ac:dyDescent="0.2">
      <c r="A343" t="s">
        <v>445</v>
      </c>
      <c r="B343" t="s">
        <v>309</v>
      </c>
      <c r="E343" t="str">
        <f>IF(D343&lt;&gt;"",C343&amp;"/"&amp;D343,"")</f>
        <v/>
      </c>
      <c r="G343" s="5" t="str">
        <f>IF(F343&lt;&gt;"",HEX2DEC(SUBSTITUTE(SUBSTITUTE(F343,"adrEA",""),"$","")),"")</f>
        <v/>
      </c>
      <c r="I343" s="6" t="str">
        <f>IFERROR(DEC2HEX(H343),"")</f>
        <v>0</v>
      </c>
    </row>
    <row r="344" spans="1:9" x14ac:dyDescent="0.2">
      <c r="A344" t="s">
        <v>446</v>
      </c>
      <c r="B344" t="s">
        <v>309</v>
      </c>
      <c r="E344" t="str">
        <f>IF(D344&lt;&gt;"",C344&amp;"/"&amp;D344,"")</f>
        <v/>
      </c>
      <c r="G344" s="5" t="str">
        <f>IF(F344&lt;&gt;"",HEX2DEC(SUBSTITUTE(SUBSTITUTE(F344,"adrEA",""),"$","")),"")</f>
        <v/>
      </c>
      <c r="I344" s="6" t="str">
        <f>IFERROR(DEC2HEX(H344),"")</f>
        <v>0</v>
      </c>
    </row>
    <row r="345" spans="1:9" x14ac:dyDescent="0.2">
      <c r="A345" t="s">
        <v>447</v>
      </c>
      <c r="B345" t="s">
        <v>309</v>
      </c>
      <c r="E345" t="str">
        <f>IF(D345&lt;&gt;"",C345&amp;"/"&amp;D345,"")</f>
        <v/>
      </c>
      <c r="G345" s="5" t="str">
        <f>IF(F345&lt;&gt;"",HEX2DEC(SUBSTITUTE(SUBSTITUTE(F345,"adrEA",""),"$","")),"")</f>
        <v/>
      </c>
      <c r="I345" s="6" t="str">
        <f>IFERROR(DEC2HEX(H345),"")</f>
        <v>0</v>
      </c>
    </row>
    <row r="346" spans="1:9" x14ac:dyDescent="0.2">
      <c r="A346" t="s">
        <v>448</v>
      </c>
      <c r="B346" t="s">
        <v>309</v>
      </c>
      <c r="E346" t="str">
        <f>IF(D346&lt;&gt;"",C346&amp;"/"&amp;D346,"")</f>
        <v/>
      </c>
      <c r="G346" s="5" t="str">
        <f>IF(F346&lt;&gt;"",HEX2DEC(SUBSTITUTE(SUBSTITUTE(F346,"adrEA",""),"$","")),"")</f>
        <v/>
      </c>
      <c r="I346" s="6" t="str">
        <f>IFERROR(DEC2HEX(H346),"")</f>
        <v>0</v>
      </c>
    </row>
    <row r="347" spans="1:9" x14ac:dyDescent="0.2">
      <c r="A347" t="s">
        <v>449</v>
      </c>
      <c r="B347" t="s">
        <v>309</v>
      </c>
      <c r="E347" t="str">
        <f>IF(D347&lt;&gt;"",C347&amp;"/"&amp;D347,"")</f>
        <v/>
      </c>
      <c r="G347" s="5" t="str">
        <f>IF(F347&lt;&gt;"",HEX2DEC(SUBSTITUTE(SUBSTITUTE(F347,"adrEA",""),"$","")),"")</f>
        <v/>
      </c>
      <c r="I347" s="6" t="str">
        <f>IFERROR(DEC2HEX(H347),"")</f>
        <v>0</v>
      </c>
    </row>
    <row r="348" spans="1:9" x14ac:dyDescent="0.2">
      <c r="A348" t="s">
        <v>450</v>
      </c>
      <c r="B348" t="s">
        <v>309</v>
      </c>
      <c r="E348" t="str">
        <f>IF(D348&lt;&gt;"",C348&amp;"/"&amp;D348,"")</f>
        <v/>
      </c>
      <c r="G348" s="5" t="str">
        <f>IF(F348&lt;&gt;"",HEX2DEC(SUBSTITUTE(SUBSTITUTE(F348,"adrEA",""),"$","")),"")</f>
        <v/>
      </c>
      <c r="I348" s="6" t="str">
        <f>IFERROR(DEC2HEX(H348),"")</f>
        <v>0</v>
      </c>
    </row>
    <row r="349" spans="1:9" x14ac:dyDescent="0.2">
      <c r="A349" t="s">
        <v>451</v>
      </c>
      <c r="B349" t="s">
        <v>309</v>
      </c>
      <c r="E349" t="str">
        <f>IF(D349&lt;&gt;"",C349&amp;"/"&amp;D349,"")</f>
        <v/>
      </c>
      <c r="G349" s="5" t="str">
        <f>IF(F349&lt;&gt;"",HEX2DEC(SUBSTITUTE(SUBSTITUTE(F349,"adrEA",""),"$","")),"")</f>
        <v/>
      </c>
      <c r="I349" s="6" t="str">
        <f>IFERROR(DEC2HEX(H349),"")</f>
        <v>0</v>
      </c>
    </row>
    <row r="350" spans="1:9" x14ac:dyDescent="0.2">
      <c r="A350" t="s">
        <v>452</v>
      </c>
      <c r="B350" t="s">
        <v>309</v>
      </c>
      <c r="E350" t="str">
        <f>IF(D350&lt;&gt;"",C350&amp;"/"&amp;D350,"")</f>
        <v/>
      </c>
      <c r="G350" s="5" t="str">
        <f>IF(F350&lt;&gt;"",HEX2DEC(SUBSTITUTE(SUBSTITUTE(F350,"adrEA",""),"$","")),"")</f>
        <v/>
      </c>
      <c r="I350" s="6" t="str">
        <f>IFERROR(DEC2HEX(H350),"")</f>
        <v>0</v>
      </c>
    </row>
    <row r="351" spans="1:9" x14ac:dyDescent="0.2">
      <c r="A351" t="s">
        <v>453</v>
      </c>
      <c r="B351" t="s">
        <v>309</v>
      </c>
      <c r="E351" t="str">
        <f>IF(D351&lt;&gt;"",C351&amp;"/"&amp;D351,"")</f>
        <v/>
      </c>
      <c r="G351" s="5" t="str">
        <f>IF(F351&lt;&gt;"",HEX2DEC(SUBSTITUTE(SUBSTITUTE(F351,"adrEA",""),"$","")),"")</f>
        <v/>
      </c>
      <c r="I351" s="6" t="str">
        <f>IFERROR(DEC2HEX(H351),"")</f>
        <v>0</v>
      </c>
    </row>
    <row r="352" spans="1:9" x14ac:dyDescent="0.2">
      <c r="A352" t="s">
        <v>454</v>
      </c>
      <c r="B352" t="s">
        <v>309</v>
      </c>
      <c r="E352" t="str">
        <f>IF(D352&lt;&gt;"",C352&amp;"/"&amp;D352,"")</f>
        <v/>
      </c>
      <c r="G352" s="5" t="str">
        <f>IF(F352&lt;&gt;"",HEX2DEC(SUBSTITUTE(SUBSTITUTE(F352,"adrEA",""),"$","")),"")</f>
        <v/>
      </c>
      <c r="I352" s="6" t="str">
        <f>IFERROR(DEC2HEX(H352),"")</f>
        <v>0</v>
      </c>
    </row>
    <row r="353" spans="1:9" x14ac:dyDescent="0.2">
      <c r="A353" t="s">
        <v>455</v>
      </c>
      <c r="B353" t="s">
        <v>309</v>
      </c>
      <c r="E353" t="str">
        <f>IF(D353&lt;&gt;"",C353&amp;"/"&amp;D353,"")</f>
        <v/>
      </c>
      <c r="G353" s="5" t="str">
        <f>IF(F353&lt;&gt;"",HEX2DEC(SUBSTITUTE(SUBSTITUTE(F353,"adrEA",""),"$","")),"")</f>
        <v/>
      </c>
      <c r="I353" s="6" t="str">
        <f>IFERROR(DEC2HEX(H353),"")</f>
        <v>0</v>
      </c>
    </row>
    <row r="354" spans="1:9" x14ac:dyDescent="0.2">
      <c r="A354" t="s">
        <v>456</v>
      </c>
      <c r="B354" t="s">
        <v>309</v>
      </c>
      <c r="E354" t="str">
        <f>IF(D354&lt;&gt;"",C354&amp;"/"&amp;D354,"")</f>
        <v/>
      </c>
      <c r="G354" s="5" t="str">
        <f>IF(F354&lt;&gt;"",HEX2DEC(SUBSTITUTE(SUBSTITUTE(F354,"adrEA",""),"$","")),"")</f>
        <v/>
      </c>
      <c r="I354" s="6" t="str">
        <f>IFERROR(DEC2HEX(H354),"")</f>
        <v>0</v>
      </c>
    </row>
    <row r="355" spans="1:9" x14ac:dyDescent="0.2">
      <c r="A355" t="s">
        <v>457</v>
      </c>
      <c r="B355" t="s">
        <v>309</v>
      </c>
      <c r="E355" t="str">
        <f>IF(D355&lt;&gt;"",C355&amp;"/"&amp;D355,"")</f>
        <v/>
      </c>
      <c r="G355" s="5" t="str">
        <f>IF(F355&lt;&gt;"",HEX2DEC(SUBSTITUTE(SUBSTITUTE(F355,"adrEA",""),"$","")),"")</f>
        <v/>
      </c>
      <c r="I355" s="6" t="str">
        <f>IFERROR(DEC2HEX(H355),"")</f>
        <v>0</v>
      </c>
    </row>
    <row r="356" spans="1:9" x14ac:dyDescent="0.2">
      <c r="A356" t="s">
        <v>458</v>
      </c>
      <c r="B356" t="s">
        <v>309</v>
      </c>
      <c r="E356" t="str">
        <f>IF(D356&lt;&gt;"",C356&amp;"/"&amp;D356,"")</f>
        <v/>
      </c>
      <c r="G356" s="5" t="str">
        <f>IF(F356&lt;&gt;"",HEX2DEC(SUBSTITUTE(SUBSTITUTE(F356,"adrEA",""),"$","")),"")</f>
        <v/>
      </c>
      <c r="I356" s="6" t="str">
        <f>IFERROR(DEC2HEX(H356),"")</f>
        <v>0</v>
      </c>
    </row>
    <row r="357" spans="1:9" x14ac:dyDescent="0.2">
      <c r="A357" t="s">
        <v>459</v>
      </c>
      <c r="B357" t="s">
        <v>309</v>
      </c>
      <c r="E357" t="str">
        <f>IF(D357&lt;&gt;"",C357&amp;"/"&amp;D357,"")</f>
        <v/>
      </c>
      <c r="G357" s="5" t="str">
        <f>IF(F357&lt;&gt;"",HEX2DEC(SUBSTITUTE(SUBSTITUTE(F357,"adrEA",""),"$","")),"")</f>
        <v/>
      </c>
      <c r="I357" s="6" t="str">
        <f>IFERROR(DEC2HEX(H357),"")</f>
        <v>0</v>
      </c>
    </row>
    <row r="358" spans="1:9" x14ac:dyDescent="0.2">
      <c r="A358" t="s">
        <v>460</v>
      </c>
      <c r="B358" t="s">
        <v>309</v>
      </c>
      <c r="E358" t="str">
        <f>IF(D358&lt;&gt;"",C358&amp;"/"&amp;D358,"")</f>
        <v/>
      </c>
      <c r="G358" s="5" t="str">
        <f>IF(F358&lt;&gt;"",HEX2DEC(SUBSTITUTE(SUBSTITUTE(F358,"adrEA",""),"$","")),"")</f>
        <v/>
      </c>
      <c r="I358" s="6" t="str">
        <f>IFERROR(DEC2HEX(H358),"")</f>
        <v>0</v>
      </c>
    </row>
    <row r="359" spans="1:9" x14ac:dyDescent="0.2">
      <c r="A359" t="s">
        <v>461</v>
      </c>
      <c r="B359" t="s">
        <v>309</v>
      </c>
      <c r="E359" t="str">
        <f>IF(D359&lt;&gt;"",C359&amp;"/"&amp;D359,"")</f>
        <v/>
      </c>
      <c r="G359" s="5" t="str">
        <f>IF(F359&lt;&gt;"",HEX2DEC(SUBSTITUTE(SUBSTITUTE(F359,"adrEA",""),"$","")),"")</f>
        <v/>
      </c>
      <c r="I359" s="6" t="str">
        <f>IFERROR(DEC2HEX(H359),"")</f>
        <v>0</v>
      </c>
    </row>
    <row r="360" spans="1:9" x14ac:dyDescent="0.2">
      <c r="A360" t="s">
        <v>462</v>
      </c>
      <c r="B360" t="s">
        <v>309</v>
      </c>
      <c r="E360" t="str">
        <f>IF(D360&lt;&gt;"",C360&amp;"/"&amp;D360,"")</f>
        <v/>
      </c>
      <c r="G360" s="5" t="str">
        <f>IF(F360&lt;&gt;"",HEX2DEC(SUBSTITUTE(SUBSTITUTE(F360,"adrEA",""),"$","")),"")</f>
        <v/>
      </c>
      <c r="I360" s="6" t="str">
        <f>IFERROR(DEC2HEX(H360),"")</f>
        <v>0</v>
      </c>
    </row>
    <row r="361" spans="1:9" x14ac:dyDescent="0.2">
      <c r="A361" t="s">
        <v>463</v>
      </c>
      <c r="B361" t="s">
        <v>309</v>
      </c>
      <c r="E361" t="str">
        <f>IF(D361&lt;&gt;"",C361&amp;"/"&amp;D361,"")</f>
        <v/>
      </c>
      <c r="G361" s="5" t="str">
        <f>IF(F361&lt;&gt;"",HEX2DEC(SUBSTITUTE(SUBSTITUTE(F361,"adrEA",""),"$","")),"")</f>
        <v/>
      </c>
      <c r="I361" s="6" t="str">
        <f>IFERROR(DEC2HEX(H361),"")</f>
        <v>0</v>
      </c>
    </row>
    <row r="362" spans="1:9" x14ac:dyDescent="0.2">
      <c r="A362" t="s">
        <v>464</v>
      </c>
      <c r="B362" t="s">
        <v>309</v>
      </c>
      <c r="E362" t="str">
        <f>IF(D362&lt;&gt;"",C362&amp;"/"&amp;D362,"")</f>
        <v/>
      </c>
      <c r="G362" s="5" t="str">
        <f>IF(F362&lt;&gt;"",HEX2DEC(SUBSTITUTE(SUBSTITUTE(F362,"adrEA",""),"$","")),"")</f>
        <v/>
      </c>
      <c r="I362" s="6" t="str">
        <f>IFERROR(DEC2HEX(H362),"")</f>
        <v>0</v>
      </c>
    </row>
    <row r="363" spans="1:9" x14ac:dyDescent="0.2">
      <c r="A363" t="s">
        <v>465</v>
      </c>
      <c r="B363" t="s">
        <v>309</v>
      </c>
      <c r="E363" t="str">
        <f>IF(D363&lt;&gt;"",C363&amp;"/"&amp;D363,"")</f>
        <v/>
      </c>
      <c r="G363" s="5" t="str">
        <f>IF(F363&lt;&gt;"",HEX2DEC(SUBSTITUTE(SUBSTITUTE(F363,"adrEA",""),"$","")),"")</f>
        <v/>
      </c>
      <c r="I363" s="6" t="str">
        <f>IFERROR(DEC2HEX(H363),"")</f>
        <v>0</v>
      </c>
    </row>
    <row r="364" spans="1:9" x14ac:dyDescent="0.2">
      <c r="A364" t="s">
        <v>466</v>
      </c>
      <c r="B364" t="s">
        <v>309</v>
      </c>
      <c r="E364" t="str">
        <f>IF(D364&lt;&gt;"",C364&amp;"/"&amp;D364,"")</f>
        <v/>
      </c>
      <c r="G364" s="5" t="str">
        <f>IF(F364&lt;&gt;"",HEX2DEC(SUBSTITUTE(SUBSTITUTE(F364,"adrEA",""),"$","")),"")</f>
        <v/>
      </c>
      <c r="I364" s="6" t="str">
        <f>IFERROR(DEC2HEX(H364),"")</f>
        <v>0</v>
      </c>
    </row>
    <row r="365" spans="1:9" x14ac:dyDescent="0.2">
      <c r="A365" t="s">
        <v>467</v>
      </c>
      <c r="B365" t="s">
        <v>309</v>
      </c>
      <c r="E365" t="str">
        <f>IF(D365&lt;&gt;"",C365&amp;"/"&amp;D365,"")</f>
        <v/>
      </c>
      <c r="G365" s="5" t="str">
        <f>IF(F365&lt;&gt;"",HEX2DEC(SUBSTITUTE(SUBSTITUTE(F365,"adrEA",""),"$","")),"")</f>
        <v/>
      </c>
      <c r="I365" s="6" t="str">
        <f>IFERROR(DEC2HEX(H365),"")</f>
        <v>0</v>
      </c>
    </row>
    <row r="366" spans="1:9" x14ac:dyDescent="0.2">
      <c r="A366" t="s">
        <v>468</v>
      </c>
      <c r="B366" t="s">
        <v>309</v>
      </c>
      <c r="E366" t="str">
        <f>IF(D366&lt;&gt;"",C366&amp;"/"&amp;D366,"")</f>
        <v/>
      </c>
      <c r="G366" s="5" t="str">
        <f>IF(F366&lt;&gt;"",HEX2DEC(SUBSTITUTE(SUBSTITUTE(F366,"adrEA",""),"$","")),"")</f>
        <v/>
      </c>
      <c r="I366" s="6" t="str">
        <f>IFERROR(DEC2HEX(H366),"")</f>
        <v>0</v>
      </c>
    </row>
    <row r="367" spans="1:9" x14ac:dyDescent="0.2">
      <c r="A367" t="s">
        <v>469</v>
      </c>
      <c r="B367" t="s">
        <v>309</v>
      </c>
      <c r="E367" t="str">
        <f>IF(D367&lt;&gt;"",C367&amp;"/"&amp;D367,"")</f>
        <v/>
      </c>
      <c r="G367" s="5" t="str">
        <f>IF(F367&lt;&gt;"",HEX2DEC(SUBSTITUTE(SUBSTITUTE(F367,"adrEA",""),"$","")),"")</f>
        <v/>
      </c>
      <c r="I367" s="6" t="str">
        <f>IFERROR(DEC2HEX(H367),"")</f>
        <v>0</v>
      </c>
    </row>
    <row r="368" spans="1:9" x14ac:dyDescent="0.2">
      <c r="A368" t="s">
        <v>470</v>
      </c>
      <c r="B368" t="s">
        <v>309</v>
      </c>
      <c r="E368" t="str">
        <f>IF(D368&lt;&gt;"",C368&amp;"/"&amp;D368,"")</f>
        <v/>
      </c>
      <c r="G368" s="5" t="str">
        <f>IF(F368&lt;&gt;"",HEX2DEC(SUBSTITUTE(SUBSTITUTE(F368,"adrEA",""),"$","")),"")</f>
        <v/>
      </c>
      <c r="I368" s="6" t="str">
        <f>IFERROR(DEC2HEX(H368),"")</f>
        <v>0</v>
      </c>
    </row>
    <row r="369" spans="1:9" x14ac:dyDescent="0.2">
      <c r="A369" t="s">
        <v>471</v>
      </c>
      <c r="B369" t="s">
        <v>309</v>
      </c>
      <c r="E369" t="str">
        <f>IF(D369&lt;&gt;"",C369&amp;"/"&amp;D369,"")</f>
        <v/>
      </c>
      <c r="G369" s="5" t="str">
        <f>IF(F369&lt;&gt;"",HEX2DEC(SUBSTITUTE(SUBSTITUTE(F369,"adrEA",""),"$","")),"")</f>
        <v/>
      </c>
      <c r="I369" s="6" t="str">
        <f>IFERROR(DEC2HEX(H369),"")</f>
        <v>0</v>
      </c>
    </row>
    <row r="370" spans="1:9" x14ac:dyDescent="0.2">
      <c r="A370" t="s">
        <v>472</v>
      </c>
      <c r="B370" t="s">
        <v>309</v>
      </c>
      <c r="E370" t="str">
        <f>IF(D370&lt;&gt;"",C370&amp;"/"&amp;D370,"")</f>
        <v/>
      </c>
      <c r="G370" s="5" t="str">
        <f>IF(F370&lt;&gt;"",HEX2DEC(SUBSTITUTE(SUBSTITUTE(F370,"adrEA",""),"$","")),"")</f>
        <v/>
      </c>
      <c r="I370" s="6" t="str">
        <f>IFERROR(DEC2HEX(H370),"")</f>
        <v>0</v>
      </c>
    </row>
    <row r="371" spans="1:9" x14ac:dyDescent="0.2">
      <c r="A371" t="s">
        <v>473</v>
      </c>
      <c r="B371" t="s">
        <v>309</v>
      </c>
      <c r="E371" t="str">
        <f>IF(D371&lt;&gt;"",C371&amp;"/"&amp;D371,"")</f>
        <v/>
      </c>
      <c r="G371" s="5" t="str">
        <f>IF(F371&lt;&gt;"",HEX2DEC(SUBSTITUTE(SUBSTITUTE(F371,"adrEA",""),"$","")),"")</f>
        <v/>
      </c>
      <c r="I371" s="6" t="str">
        <f>IFERROR(DEC2HEX(H371),"")</f>
        <v>0</v>
      </c>
    </row>
    <row r="372" spans="1:9" x14ac:dyDescent="0.2">
      <c r="A372" t="s">
        <v>474</v>
      </c>
      <c r="B372" t="s">
        <v>309</v>
      </c>
      <c r="E372" t="str">
        <f>IF(D372&lt;&gt;"",C372&amp;"/"&amp;D372,"")</f>
        <v/>
      </c>
      <c r="G372" s="5" t="str">
        <f>IF(F372&lt;&gt;"",HEX2DEC(SUBSTITUTE(SUBSTITUTE(F372,"adrEA",""),"$","")),"")</f>
        <v/>
      </c>
      <c r="I372" s="6" t="str">
        <f>IFERROR(DEC2HEX(H372),"")</f>
        <v>0</v>
      </c>
    </row>
    <row r="373" spans="1:9" x14ac:dyDescent="0.2">
      <c r="A373" t="s">
        <v>475</v>
      </c>
      <c r="B373" t="s">
        <v>309</v>
      </c>
      <c r="E373" t="str">
        <f>IF(D373&lt;&gt;"",C373&amp;"/"&amp;D373,"")</f>
        <v/>
      </c>
      <c r="G373" s="5" t="str">
        <f>IF(F373&lt;&gt;"",HEX2DEC(SUBSTITUTE(SUBSTITUTE(F373,"adrEA",""),"$","")),"")</f>
        <v/>
      </c>
      <c r="I373" s="6" t="str">
        <f>IFERROR(DEC2HEX(H373),"")</f>
        <v>0</v>
      </c>
    </row>
    <row r="374" spans="1:9" x14ac:dyDescent="0.2">
      <c r="A374" t="s">
        <v>476</v>
      </c>
      <c r="B374" t="s">
        <v>309</v>
      </c>
      <c r="E374" t="str">
        <f>IF(D374&lt;&gt;"",C374&amp;"/"&amp;D374,"")</f>
        <v/>
      </c>
      <c r="G374" s="5" t="str">
        <f>IF(F374&lt;&gt;"",HEX2DEC(SUBSTITUTE(SUBSTITUTE(F374,"adrEA",""),"$","")),"")</f>
        <v/>
      </c>
      <c r="I374" s="6" t="str">
        <f>IFERROR(DEC2HEX(H374),"")</f>
        <v>0</v>
      </c>
    </row>
    <row r="375" spans="1:9" x14ac:dyDescent="0.2">
      <c r="A375" t="s">
        <v>477</v>
      </c>
      <c r="B375" t="s">
        <v>309</v>
      </c>
      <c r="E375" t="str">
        <f>IF(D375&lt;&gt;"",C375&amp;"/"&amp;D375,"")</f>
        <v/>
      </c>
      <c r="G375" s="5" t="str">
        <f>IF(F375&lt;&gt;"",HEX2DEC(SUBSTITUTE(SUBSTITUTE(F375,"adrEA",""),"$","")),"")</f>
        <v/>
      </c>
      <c r="I375" s="6" t="str">
        <f>IFERROR(DEC2HEX(H375),"")</f>
        <v>0</v>
      </c>
    </row>
    <row r="376" spans="1:9" x14ac:dyDescent="0.2">
      <c r="A376" t="s">
        <v>478</v>
      </c>
      <c r="B376" t="s">
        <v>309</v>
      </c>
      <c r="E376" t="str">
        <f>IF(D376&lt;&gt;"",C376&amp;"/"&amp;D376,"")</f>
        <v/>
      </c>
      <c r="G376" s="5" t="str">
        <f>IF(F376&lt;&gt;"",HEX2DEC(SUBSTITUTE(SUBSTITUTE(F376,"adrEA",""),"$","")),"")</f>
        <v/>
      </c>
      <c r="I376" s="6" t="str">
        <f>IFERROR(DEC2HEX(H376),"")</f>
        <v>0</v>
      </c>
    </row>
    <row r="377" spans="1:9" x14ac:dyDescent="0.2">
      <c r="A377" t="s">
        <v>479</v>
      </c>
      <c r="B377" t="s">
        <v>309</v>
      </c>
      <c r="E377" t="str">
        <f>IF(D377&lt;&gt;"",C377&amp;"/"&amp;D377,"")</f>
        <v/>
      </c>
      <c r="G377" s="5" t="str">
        <f>IF(F377&lt;&gt;"",HEX2DEC(SUBSTITUTE(SUBSTITUTE(F377,"adrEA",""),"$","")),"")</f>
        <v/>
      </c>
      <c r="I377" s="6" t="str">
        <f>IFERROR(DEC2HEX(H377),"")</f>
        <v>0</v>
      </c>
    </row>
    <row r="378" spans="1:9" x14ac:dyDescent="0.2">
      <c r="A378" t="s">
        <v>480</v>
      </c>
      <c r="B378" t="s">
        <v>309</v>
      </c>
      <c r="E378" t="str">
        <f>IF(D378&lt;&gt;"",C378&amp;"/"&amp;D378,"")</f>
        <v/>
      </c>
      <c r="G378" s="5" t="str">
        <f>IF(F378&lt;&gt;"",HEX2DEC(SUBSTITUTE(SUBSTITUTE(F378,"adrEA",""),"$","")),"")</f>
        <v/>
      </c>
      <c r="I378" s="6" t="str">
        <f>IFERROR(DEC2HEX(H378),"")</f>
        <v>0</v>
      </c>
    </row>
    <row r="379" spans="1:9" x14ac:dyDescent="0.2">
      <c r="A379" t="s">
        <v>481</v>
      </c>
      <c r="B379" t="s">
        <v>309</v>
      </c>
      <c r="E379" t="str">
        <f>IF(D379&lt;&gt;"",C379&amp;"/"&amp;D379,"")</f>
        <v/>
      </c>
      <c r="G379" s="5" t="str">
        <f>IF(F379&lt;&gt;"",HEX2DEC(SUBSTITUTE(SUBSTITUTE(F379,"adrEA",""),"$","")),"")</f>
        <v/>
      </c>
      <c r="I379" s="6" t="str">
        <f>IFERROR(DEC2HEX(H379),"")</f>
        <v>0</v>
      </c>
    </row>
    <row r="380" spans="1:9" x14ac:dyDescent="0.2">
      <c r="A380" t="s">
        <v>482</v>
      </c>
      <c r="B380" t="s">
        <v>309</v>
      </c>
      <c r="E380" t="str">
        <f>IF(D380&lt;&gt;"",C380&amp;"/"&amp;D380,"")</f>
        <v/>
      </c>
      <c r="G380" s="5" t="str">
        <f>IF(F380&lt;&gt;"",HEX2DEC(SUBSTITUTE(SUBSTITUTE(F380,"adrEA",""),"$","")),"")</f>
        <v/>
      </c>
      <c r="I380" s="6" t="str">
        <f>IFERROR(DEC2HEX(H380),"")</f>
        <v>0</v>
      </c>
    </row>
    <row r="381" spans="1:9" x14ac:dyDescent="0.2">
      <c r="A381" t="s">
        <v>483</v>
      </c>
      <c r="B381" t="s">
        <v>309</v>
      </c>
      <c r="E381" t="str">
        <f>IF(D381&lt;&gt;"",C381&amp;"/"&amp;D381,"")</f>
        <v/>
      </c>
      <c r="G381" s="5" t="str">
        <f>IF(F381&lt;&gt;"",HEX2DEC(SUBSTITUTE(SUBSTITUTE(F381,"adrEA",""),"$","")),"")</f>
        <v/>
      </c>
      <c r="I381" s="6" t="str">
        <f>IFERROR(DEC2HEX(H381),"")</f>
        <v>0</v>
      </c>
    </row>
    <row r="382" spans="1:9" x14ac:dyDescent="0.2">
      <c r="A382" t="s">
        <v>484</v>
      </c>
      <c r="B382" t="s">
        <v>309</v>
      </c>
      <c r="E382" t="str">
        <f>IF(D382&lt;&gt;"",C382&amp;"/"&amp;D382,"")</f>
        <v/>
      </c>
      <c r="G382" s="5" t="str">
        <f>IF(F382&lt;&gt;"",HEX2DEC(SUBSTITUTE(SUBSTITUTE(F382,"adrEA",""),"$","")),"")</f>
        <v/>
      </c>
      <c r="I382" s="6" t="str">
        <f>IFERROR(DEC2HEX(H382),"")</f>
        <v>0</v>
      </c>
    </row>
    <row r="383" spans="1:9" x14ac:dyDescent="0.2">
      <c r="A383" t="s">
        <v>485</v>
      </c>
      <c r="B383" t="s">
        <v>309</v>
      </c>
      <c r="E383" t="str">
        <f>IF(D383&lt;&gt;"",C383&amp;"/"&amp;D383,"")</f>
        <v/>
      </c>
      <c r="G383" s="5" t="str">
        <f>IF(F383&lt;&gt;"",HEX2DEC(SUBSTITUTE(SUBSTITUTE(F383,"adrEA",""),"$","")),"")</f>
        <v/>
      </c>
      <c r="I383" s="6" t="str">
        <f>IFERROR(DEC2HEX(H383),"")</f>
        <v>0</v>
      </c>
    </row>
    <row r="384" spans="1:9" x14ac:dyDescent="0.2">
      <c r="A384" t="s">
        <v>486</v>
      </c>
      <c r="B384" t="s">
        <v>309</v>
      </c>
      <c r="E384" t="str">
        <f>IF(D384&lt;&gt;"",C384&amp;"/"&amp;D384,"")</f>
        <v/>
      </c>
      <c r="G384" s="5" t="str">
        <f>IF(F384&lt;&gt;"",HEX2DEC(SUBSTITUTE(SUBSTITUTE(F384,"adrEA",""),"$","")),"")</f>
        <v/>
      </c>
      <c r="I384" s="6" t="str">
        <f>IFERROR(DEC2HEX(H384),"")</f>
        <v>0</v>
      </c>
    </row>
    <row r="385" spans="1:9" x14ac:dyDescent="0.2">
      <c r="A385" t="s">
        <v>487</v>
      </c>
      <c r="B385" t="s">
        <v>309</v>
      </c>
      <c r="E385" t="str">
        <f>IF(D385&lt;&gt;"",C385&amp;"/"&amp;D385,"")</f>
        <v/>
      </c>
      <c r="G385" s="5" t="str">
        <f>IF(F385&lt;&gt;"",HEX2DEC(SUBSTITUTE(SUBSTITUTE(F385,"adrEA",""),"$","")),"")</f>
        <v/>
      </c>
      <c r="I385" s="6" t="str">
        <f>IFERROR(DEC2HEX(H385),"")</f>
        <v>0</v>
      </c>
    </row>
    <row r="386" spans="1:9" x14ac:dyDescent="0.2">
      <c r="A386" t="s">
        <v>488</v>
      </c>
      <c r="B386" t="s">
        <v>309</v>
      </c>
      <c r="E386" t="str">
        <f>IF(D386&lt;&gt;"",C386&amp;"/"&amp;D386,"")</f>
        <v/>
      </c>
      <c r="G386" s="5" t="str">
        <f>IF(F386&lt;&gt;"",HEX2DEC(SUBSTITUTE(SUBSTITUTE(F386,"adrEA",""),"$","")),"")</f>
        <v/>
      </c>
      <c r="I386" s="6" t="str">
        <f>IFERROR(DEC2HEX(H386),"")</f>
        <v>0</v>
      </c>
    </row>
    <row r="387" spans="1:9" x14ac:dyDescent="0.2">
      <c r="A387" t="s">
        <v>489</v>
      </c>
      <c r="B387" t="s">
        <v>309</v>
      </c>
      <c r="E387" t="str">
        <f>IF(D387&lt;&gt;"",C387&amp;"/"&amp;D387,"")</f>
        <v/>
      </c>
      <c r="G387" s="5" t="str">
        <f>IF(F387&lt;&gt;"",HEX2DEC(SUBSTITUTE(SUBSTITUTE(F387,"adrEA",""),"$","")),"")</f>
        <v/>
      </c>
      <c r="I387" s="6" t="str">
        <f>IFERROR(DEC2HEX(H387),"")</f>
        <v>0</v>
      </c>
    </row>
    <row r="388" spans="1:9" x14ac:dyDescent="0.2">
      <c r="A388" t="s">
        <v>490</v>
      </c>
      <c r="B388" t="s">
        <v>309</v>
      </c>
      <c r="E388" t="str">
        <f>IF(D388&lt;&gt;"",C388&amp;"/"&amp;D388,"")</f>
        <v/>
      </c>
      <c r="G388" s="5" t="str">
        <f>IF(F388&lt;&gt;"",HEX2DEC(SUBSTITUTE(SUBSTITUTE(F388,"adrEA",""),"$","")),"")</f>
        <v/>
      </c>
      <c r="I388" s="6" t="str">
        <f>IFERROR(DEC2HEX(H388),"")</f>
        <v>0</v>
      </c>
    </row>
    <row r="389" spans="1:9" x14ac:dyDescent="0.2">
      <c r="A389" t="s">
        <v>491</v>
      </c>
      <c r="B389" t="s">
        <v>309</v>
      </c>
      <c r="E389" t="str">
        <f>IF(D389&lt;&gt;"",C389&amp;"/"&amp;D389,"")</f>
        <v/>
      </c>
      <c r="G389" s="5" t="str">
        <f>IF(F389&lt;&gt;"",HEX2DEC(SUBSTITUTE(SUBSTITUTE(F389,"adrEA",""),"$","")),"")</f>
        <v/>
      </c>
      <c r="I389" s="6" t="str">
        <f>IFERROR(DEC2HEX(H389),"")</f>
        <v>0</v>
      </c>
    </row>
    <row r="390" spans="1:9" x14ac:dyDescent="0.2">
      <c r="A390" t="s">
        <v>492</v>
      </c>
      <c r="B390" t="s">
        <v>309</v>
      </c>
      <c r="E390" t="str">
        <f>IF(D390&lt;&gt;"",C390&amp;"/"&amp;D390,"")</f>
        <v/>
      </c>
      <c r="G390" s="5" t="str">
        <f>IF(F390&lt;&gt;"",HEX2DEC(SUBSTITUTE(SUBSTITUTE(F390,"adrEA",""),"$","")),"")</f>
        <v/>
      </c>
      <c r="I390" s="6" t="str">
        <f>IFERROR(DEC2HEX(H390),"")</f>
        <v>0</v>
      </c>
    </row>
    <row r="391" spans="1:9" x14ac:dyDescent="0.2">
      <c r="A391" t="s">
        <v>493</v>
      </c>
      <c r="B391" t="s">
        <v>309</v>
      </c>
      <c r="E391" t="str">
        <f>IF(D391&lt;&gt;"",C391&amp;"/"&amp;D391,"")</f>
        <v/>
      </c>
      <c r="G391" s="5" t="str">
        <f>IF(F391&lt;&gt;"",HEX2DEC(SUBSTITUTE(SUBSTITUTE(F391,"adrEA",""),"$","")),"")</f>
        <v/>
      </c>
      <c r="I391" s="6" t="str">
        <f>IFERROR(DEC2HEX(H391),"")</f>
        <v>0</v>
      </c>
    </row>
    <row r="392" spans="1:9" x14ac:dyDescent="0.2">
      <c r="A392" t="s">
        <v>494</v>
      </c>
      <c r="B392" t="s">
        <v>309</v>
      </c>
      <c r="E392" t="str">
        <f>IF(D392&lt;&gt;"",C392&amp;"/"&amp;D392,"")</f>
        <v/>
      </c>
      <c r="G392" s="5" t="str">
        <f>IF(F392&lt;&gt;"",HEX2DEC(SUBSTITUTE(SUBSTITUTE(F392,"adrEA",""),"$","")),"")</f>
        <v/>
      </c>
      <c r="I392" s="6" t="str">
        <f>IFERROR(DEC2HEX(H392),"")</f>
        <v>0</v>
      </c>
    </row>
    <row r="393" spans="1:9" x14ac:dyDescent="0.2">
      <c r="A393" t="s">
        <v>495</v>
      </c>
      <c r="B393" t="s">
        <v>309</v>
      </c>
      <c r="E393" t="str">
        <f>IF(D393&lt;&gt;"",C393&amp;"/"&amp;D393,"")</f>
        <v/>
      </c>
      <c r="G393" s="5" t="str">
        <f>IF(F393&lt;&gt;"",HEX2DEC(SUBSTITUTE(SUBSTITUTE(F393,"adrEA",""),"$","")),"")</f>
        <v/>
      </c>
      <c r="I393" s="6" t="str">
        <f>IFERROR(DEC2HEX(H393),"")</f>
        <v>0</v>
      </c>
    </row>
    <row r="394" spans="1:9" x14ac:dyDescent="0.2">
      <c r="A394" t="s">
        <v>496</v>
      </c>
      <c r="B394" t="s">
        <v>309</v>
      </c>
      <c r="E394" t="str">
        <f>IF(D394&lt;&gt;"",C394&amp;"/"&amp;D394,"")</f>
        <v/>
      </c>
      <c r="G394" s="5" t="str">
        <f>IF(F394&lt;&gt;"",HEX2DEC(SUBSTITUTE(SUBSTITUTE(F394,"adrEA",""),"$","")),"")</f>
        <v/>
      </c>
      <c r="I394" s="6" t="str">
        <f>IFERROR(DEC2HEX(H394),"")</f>
        <v>0</v>
      </c>
    </row>
    <row r="395" spans="1:9" x14ac:dyDescent="0.2">
      <c r="A395" t="s">
        <v>497</v>
      </c>
      <c r="B395" t="s">
        <v>309</v>
      </c>
      <c r="E395" t="str">
        <f>IF(D395&lt;&gt;"",C395&amp;"/"&amp;D395,"")</f>
        <v/>
      </c>
      <c r="G395" s="5" t="str">
        <f>IF(F395&lt;&gt;"",HEX2DEC(SUBSTITUTE(SUBSTITUTE(F395,"adrEA",""),"$","")),"")</f>
        <v/>
      </c>
      <c r="I395" s="6" t="str">
        <f>IFERROR(DEC2HEX(H395),"")</f>
        <v>0</v>
      </c>
    </row>
    <row r="396" spans="1:9" x14ac:dyDescent="0.2">
      <c r="A396" t="s">
        <v>498</v>
      </c>
      <c r="B396" t="s">
        <v>309</v>
      </c>
      <c r="E396" t="str">
        <f>IF(D396&lt;&gt;"",C396&amp;"/"&amp;D396,"")</f>
        <v/>
      </c>
      <c r="G396" s="5" t="str">
        <f>IF(F396&lt;&gt;"",HEX2DEC(SUBSTITUTE(SUBSTITUTE(F396,"adrEA",""),"$","")),"")</f>
        <v/>
      </c>
      <c r="I396" s="6" t="str">
        <f>IFERROR(DEC2HEX(H396),"")</f>
        <v>0</v>
      </c>
    </row>
    <row r="397" spans="1:9" x14ac:dyDescent="0.2">
      <c r="A397" t="s">
        <v>499</v>
      </c>
      <c r="B397" t="s">
        <v>309</v>
      </c>
      <c r="E397" t="str">
        <f>IF(D397&lt;&gt;"",C397&amp;"/"&amp;D397,"")</f>
        <v/>
      </c>
      <c r="G397" s="5" t="str">
        <f>IF(F397&lt;&gt;"",HEX2DEC(SUBSTITUTE(SUBSTITUTE(F397,"adrEA",""),"$","")),"")</f>
        <v/>
      </c>
      <c r="I397" s="6" t="str">
        <f>IFERROR(DEC2HEX(H397),"")</f>
        <v>0</v>
      </c>
    </row>
    <row r="398" spans="1:9" x14ac:dyDescent="0.2">
      <c r="A398" t="s">
        <v>500</v>
      </c>
      <c r="B398" t="s">
        <v>309</v>
      </c>
      <c r="E398" t="str">
        <f>IF(D398&lt;&gt;"",C398&amp;"/"&amp;D398,"")</f>
        <v/>
      </c>
      <c r="G398" s="5" t="str">
        <f>IF(F398&lt;&gt;"",HEX2DEC(SUBSTITUTE(SUBSTITUTE(F398,"adrEA",""),"$","")),"")</f>
        <v/>
      </c>
      <c r="I398" s="6" t="str">
        <f>IFERROR(DEC2HEX(H398),"")</f>
        <v>0</v>
      </c>
    </row>
    <row r="399" spans="1:9" x14ac:dyDescent="0.2">
      <c r="A399" t="s">
        <v>501</v>
      </c>
      <c r="B399" t="s">
        <v>309</v>
      </c>
      <c r="E399" t="str">
        <f>IF(D399&lt;&gt;"",C399&amp;"/"&amp;D399,"")</f>
        <v/>
      </c>
      <c r="G399" s="5" t="str">
        <f>IF(F399&lt;&gt;"",HEX2DEC(SUBSTITUTE(SUBSTITUTE(F399,"adrEA",""),"$","")),"")</f>
        <v/>
      </c>
      <c r="I399" s="6" t="str">
        <f>IFERROR(DEC2HEX(H399),"")</f>
        <v>0</v>
      </c>
    </row>
    <row r="400" spans="1:9" x14ac:dyDescent="0.2">
      <c r="A400" t="s">
        <v>502</v>
      </c>
      <c r="B400" t="s">
        <v>309</v>
      </c>
      <c r="E400" t="str">
        <f>IF(D400&lt;&gt;"",C400&amp;"/"&amp;D400,"")</f>
        <v/>
      </c>
      <c r="G400" s="5" t="str">
        <f>IF(F400&lt;&gt;"",HEX2DEC(SUBSTITUTE(SUBSTITUTE(F400,"adrEA",""),"$","")),"")</f>
        <v/>
      </c>
      <c r="I400" s="6" t="str">
        <f>IFERROR(DEC2HEX(H400),"")</f>
        <v>0</v>
      </c>
    </row>
    <row r="401" spans="1:9" x14ac:dyDescent="0.2">
      <c r="A401" t="s">
        <v>503</v>
      </c>
      <c r="B401" t="s">
        <v>309</v>
      </c>
      <c r="E401" t="str">
        <f>IF(D401&lt;&gt;"",C401&amp;"/"&amp;D401,"")</f>
        <v/>
      </c>
      <c r="G401" s="5" t="str">
        <f>IF(F401&lt;&gt;"",HEX2DEC(SUBSTITUTE(SUBSTITUTE(F401,"adrEA",""),"$","")),"")</f>
        <v/>
      </c>
      <c r="I401" s="6" t="str">
        <f>IFERROR(DEC2HEX(H401),"")</f>
        <v>0</v>
      </c>
    </row>
    <row r="402" spans="1:9" x14ac:dyDescent="0.2">
      <c r="A402" t="s">
        <v>504</v>
      </c>
      <c r="B402" t="s">
        <v>309</v>
      </c>
      <c r="E402" t="str">
        <f>IF(D402&lt;&gt;"",C402&amp;"/"&amp;D402,"")</f>
        <v/>
      </c>
      <c r="G402" s="5" t="str">
        <f>IF(F402&lt;&gt;"",HEX2DEC(SUBSTITUTE(SUBSTITUTE(F402,"adrEA",""),"$","")),"")</f>
        <v/>
      </c>
      <c r="I402" s="6" t="str">
        <f>IFERROR(DEC2HEX(H402),"")</f>
        <v>0</v>
      </c>
    </row>
    <row r="403" spans="1:9" x14ac:dyDescent="0.2">
      <c r="A403" t="s">
        <v>505</v>
      </c>
      <c r="B403" t="s">
        <v>309</v>
      </c>
      <c r="E403" t="str">
        <f>IF(D403&lt;&gt;"",C403&amp;"/"&amp;D403,"")</f>
        <v/>
      </c>
      <c r="G403" s="5" t="str">
        <f>IF(F403&lt;&gt;"",HEX2DEC(SUBSTITUTE(SUBSTITUTE(F403,"adrEA",""),"$","")),"")</f>
        <v/>
      </c>
      <c r="I403" s="6" t="str">
        <f>IFERROR(DEC2HEX(H403),"")</f>
        <v>0</v>
      </c>
    </row>
    <row r="404" spans="1:9" x14ac:dyDescent="0.2">
      <c r="A404" t="s">
        <v>506</v>
      </c>
      <c r="B404" t="s">
        <v>309</v>
      </c>
      <c r="E404" t="str">
        <f>IF(D404&lt;&gt;"",C404&amp;"/"&amp;D404,"")</f>
        <v/>
      </c>
      <c r="G404" s="5" t="str">
        <f>IF(F404&lt;&gt;"",HEX2DEC(SUBSTITUTE(SUBSTITUTE(F404,"adrEA",""),"$","")),"")</f>
        <v/>
      </c>
      <c r="I404" s="6" t="str">
        <f>IFERROR(DEC2HEX(H404),"")</f>
        <v>0</v>
      </c>
    </row>
    <row r="405" spans="1:9" x14ac:dyDescent="0.2">
      <c r="A405" t="s">
        <v>507</v>
      </c>
      <c r="B405" t="s">
        <v>309</v>
      </c>
      <c r="E405" t="str">
        <f>IF(D405&lt;&gt;"",C405&amp;"/"&amp;D405,"")</f>
        <v/>
      </c>
      <c r="G405" s="5" t="str">
        <f>IF(F405&lt;&gt;"",HEX2DEC(SUBSTITUTE(SUBSTITUTE(F405,"adrEA",""),"$","")),"")</f>
        <v/>
      </c>
      <c r="I405" s="6" t="str">
        <f>IFERROR(DEC2HEX(H405),"")</f>
        <v>0</v>
      </c>
    </row>
    <row r="406" spans="1:9" x14ac:dyDescent="0.2">
      <c r="A406" t="s">
        <v>508</v>
      </c>
      <c r="B406" t="s">
        <v>309</v>
      </c>
      <c r="E406" t="str">
        <f>IF(D406&lt;&gt;"",C406&amp;"/"&amp;D406,"")</f>
        <v/>
      </c>
      <c r="G406" s="5" t="str">
        <f>IF(F406&lt;&gt;"",HEX2DEC(SUBSTITUTE(SUBSTITUTE(F406,"adrEA",""),"$","")),"")</f>
        <v/>
      </c>
      <c r="I406" s="6" t="str">
        <f>IFERROR(DEC2HEX(H406),"")</f>
        <v>0</v>
      </c>
    </row>
    <row r="407" spans="1:9" x14ac:dyDescent="0.2">
      <c r="A407" t="s">
        <v>509</v>
      </c>
      <c r="B407" t="s">
        <v>309</v>
      </c>
      <c r="E407" t="str">
        <f>IF(D407&lt;&gt;"",C407&amp;"/"&amp;D407,"")</f>
        <v/>
      </c>
      <c r="G407" s="5" t="str">
        <f>IF(F407&lt;&gt;"",HEX2DEC(SUBSTITUTE(SUBSTITUTE(F407,"adrEA",""),"$","")),"")</f>
        <v/>
      </c>
      <c r="I407" s="6" t="str">
        <f>IFERROR(DEC2HEX(H407),"")</f>
        <v>0</v>
      </c>
    </row>
    <row r="408" spans="1:9" x14ac:dyDescent="0.2">
      <c r="A408" t="s">
        <v>510</v>
      </c>
      <c r="B408" t="s">
        <v>309</v>
      </c>
      <c r="E408" t="str">
        <f>IF(D408&lt;&gt;"",C408&amp;"/"&amp;D408,"")</f>
        <v/>
      </c>
      <c r="G408" s="5" t="str">
        <f>IF(F408&lt;&gt;"",HEX2DEC(SUBSTITUTE(SUBSTITUTE(F408,"adrEA",""),"$","")),"")</f>
        <v/>
      </c>
      <c r="I408" s="6" t="str">
        <f>IFERROR(DEC2HEX(H408),"")</f>
        <v>0</v>
      </c>
    </row>
    <row r="409" spans="1:9" x14ac:dyDescent="0.2">
      <c r="A409" t="s">
        <v>511</v>
      </c>
      <c r="B409" t="s">
        <v>309</v>
      </c>
      <c r="E409" t="str">
        <f>IF(D409&lt;&gt;"",C409&amp;"/"&amp;D409,"")</f>
        <v/>
      </c>
      <c r="G409" s="5" t="str">
        <f>IF(F409&lt;&gt;"",HEX2DEC(SUBSTITUTE(SUBSTITUTE(F409,"adrEA",""),"$","")),"")</f>
        <v/>
      </c>
      <c r="I409" s="6" t="str">
        <f>IFERROR(DEC2HEX(H409),"")</f>
        <v>0</v>
      </c>
    </row>
    <row r="410" spans="1:9" x14ac:dyDescent="0.2">
      <c r="A410" t="s">
        <v>512</v>
      </c>
      <c r="B410" t="s">
        <v>309</v>
      </c>
      <c r="E410" t="str">
        <f>IF(D410&lt;&gt;"",C410&amp;"/"&amp;D410,"")</f>
        <v/>
      </c>
      <c r="G410" s="5" t="str">
        <f>IF(F410&lt;&gt;"",HEX2DEC(SUBSTITUTE(SUBSTITUTE(F410,"adrEA",""),"$","")),"")</f>
        <v/>
      </c>
      <c r="I410" s="6" t="str">
        <f>IFERROR(DEC2HEX(H410),"")</f>
        <v>0</v>
      </c>
    </row>
    <row r="411" spans="1:9" x14ac:dyDescent="0.2">
      <c r="A411" t="s">
        <v>513</v>
      </c>
      <c r="B411" t="s">
        <v>309</v>
      </c>
      <c r="E411" t="str">
        <f>IF(D411&lt;&gt;"",C411&amp;"/"&amp;D411,"")</f>
        <v/>
      </c>
      <c r="G411" s="5" t="str">
        <f>IF(F411&lt;&gt;"",HEX2DEC(SUBSTITUTE(SUBSTITUTE(F411,"adrEA",""),"$","")),"")</f>
        <v/>
      </c>
      <c r="I411" s="6" t="str">
        <f>IFERROR(DEC2HEX(H411),"")</f>
        <v>0</v>
      </c>
    </row>
    <row r="412" spans="1:9" x14ac:dyDescent="0.2">
      <c r="A412" t="s">
        <v>514</v>
      </c>
      <c r="B412" t="s">
        <v>309</v>
      </c>
      <c r="E412" t="str">
        <f>IF(D412&lt;&gt;"",C412&amp;"/"&amp;D412,"")</f>
        <v/>
      </c>
      <c r="G412" s="5" t="str">
        <f>IF(F412&lt;&gt;"",HEX2DEC(SUBSTITUTE(SUBSTITUTE(F412,"adrEA",""),"$","")),"")</f>
        <v/>
      </c>
      <c r="I412" s="6" t="str">
        <f>IFERROR(DEC2HEX(H412),"")</f>
        <v>0</v>
      </c>
    </row>
    <row r="413" spans="1:9" x14ac:dyDescent="0.2">
      <c r="A413" t="s">
        <v>515</v>
      </c>
      <c r="B413" t="s">
        <v>3297</v>
      </c>
      <c r="E413" t="str">
        <f>IF(D413&lt;&gt;"",C413&amp;"/"&amp;D413,"")</f>
        <v/>
      </c>
      <c r="G413" s="5" t="str">
        <f>IF(F413&lt;&gt;"",HEX2DEC(SUBSTITUTE(SUBSTITUTE(F413,"adrEA",""),"$","")),"")</f>
        <v/>
      </c>
      <c r="I413" s="6" t="str">
        <f>IFERROR(DEC2HEX(H413),"")</f>
        <v>0</v>
      </c>
    </row>
    <row r="414" spans="1:9" x14ac:dyDescent="0.2">
      <c r="A414" t="s">
        <v>516</v>
      </c>
      <c r="B414" t="s">
        <v>3301</v>
      </c>
      <c r="E414" t="str">
        <f>IF(D414&lt;&gt;"",C414&amp;"/"&amp;D414,"")</f>
        <v/>
      </c>
      <c r="G414" s="5" t="str">
        <f>IF(F414&lt;&gt;"",HEX2DEC(SUBSTITUTE(SUBSTITUTE(F414,"adrEA",""),"$","")),"")</f>
        <v/>
      </c>
      <c r="I414" s="6" t="str">
        <f>IFERROR(DEC2HEX(H414),"")</f>
        <v>0</v>
      </c>
    </row>
    <row r="415" spans="1:9" x14ac:dyDescent="0.2">
      <c r="A415" t="s">
        <v>517</v>
      </c>
      <c r="B415" t="s">
        <v>3272</v>
      </c>
      <c r="C415" s="5" t="s">
        <v>48</v>
      </c>
      <c r="D415" t="s">
        <v>3274</v>
      </c>
      <c r="E415" t="str">
        <f>IF(D415&lt;&gt;"",C415&amp;"/"&amp;D415,"")</f>
        <v>data/monsters.spellbook.block</v>
      </c>
      <c r="F415" s="5" t="s">
        <v>3273</v>
      </c>
      <c r="G415" s="5">
        <f>IF(F415&lt;&gt;"",HEX2DEC(SUBSTITUTE(SUBSTITUTE(F415,"adrEA",""),"$","")),"")</f>
        <v>4674</v>
      </c>
      <c r="H415" s="5">
        <v>16</v>
      </c>
      <c r="I415" s="6" t="str">
        <f>IFERROR(DEC2HEX(H415),"")</f>
        <v>10</v>
      </c>
    </row>
    <row r="416" spans="1:9" x14ac:dyDescent="0.2">
      <c r="A416" t="s">
        <v>518</v>
      </c>
      <c r="B416" t="s">
        <v>3299</v>
      </c>
      <c r="E416" t="str">
        <f>IF(D416&lt;&gt;"",C416&amp;"/"&amp;D416,"")</f>
        <v/>
      </c>
      <c r="G416" s="5" t="str">
        <f>IF(F416&lt;&gt;"",HEX2DEC(SUBSTITUTE(SUBSTITUTE(F416,"adrEA",""),"$","")),"")</f>
        <v/>
      </c>
      <c r="I416" s="6" t="str">
        <f>IFERROR(DEC2HEX(H416),"")</f>
        <v>0</v>
      </c>
    </row>
    <row r="417" spans="1:9" x14ac:dyDescent="0.2">
      <c r="A417" t="s">
        <v>519</v>
      </c>
      <c r="B417" t="s">
        <v>309</v>
      </c>
      <c r="E417" t="str">
        <f>IF(D417&lt;&gt;"",C417&amp;"/"&amp;D417,"")</f>
        <v/>
      </c>
      <c r="G417" s="5" t="str">
        <f>IF(F417&lt;&gt;"",HEX2DEC(SUBSTITUTE(SUBSTITUTE(F417,"adrEA",""),"$","")),"")</f>
        <v/>
      </c>
      <c r="I417" s="6" t="str">
        <f>IFERROR(DEC2HEX(H417),"")</f>
        <v>0</v>
      </c>
    </row>
    <row r="418" spans="1:9" x14ac:dyDescent="0.2">
      <c r="A418" t="s">
        <v>520</v>
      </c>
      <c r="B418" t="s">
        <v>309</v>
      </c>
      <c r="E418" t="str">
        <f>IF(D418&lt;&gt;"",C418&amp;"/"&amp;D418,"")</f>
        <v/>
      </c>
      <c r="G418" s="5" t="str">
        <f>IF(F418&lt;&gt;"",HEX2DEC(SUBSTITUTE(SUBSTITUTE(F418,"adrEA",""),"$","")),"")</f>
        <v/>
      </c>
      <c r="I418" s="6" t="str">
        <f>IFERROR(DEC2HEX(H418),"")</f>
        <v>0</v>
      </c>
    </row>
    <row r="419" spans="1:9" x14ac:dyDescent="0.2">
      <c r="A419" t="s">
        <v>521</v>
      </c>
      <c r="B419" t="s">
        <v>309</v>
      </c>
      <c r="E419" t="str">
        <f>IF(D419&lt;&gt;"",C419&amp;"/"&amp;D419,"")</f>
        <v/>
      </c>
      <c r="G419" s="5" t="str">
        <f>IF(F419&lt;&gt;"",HEX2DEC(SUBSTITUTE(SUBSTITUTE(F419,"adrEA",""),"$","")),"")</f>
        <v/>
      </c>
      <c r="I419" s="6" t="str">
        <f>IFERROR(DEC2HEX(H419),"")</f>
        <v>0</v>
      </c>
    </row>
    <row r="420" spans="1:9" x14ac:dyDescent="0.2">
      <c r="A420" t="s">
        <v>522</v>
      </c>
      <c r="B420" t="s">
        <v>309</v>
      </c>
      <c r="E420" t="str">
        <f>IF(D420&lt;&gt;"",C420&amp;"/"&amp;D420,"")</f>
        <v/>
      </c>
      <c r="G420" s="5" t="str">
        <f>IF(F420&lt;&gt;"",HEX2DEC(SUBSTITUTE(SUBSTITUTE(F420,"adrEA",""),"$","")),"")</f>
        <v/>
      </c>
      <c r="I420" s="6" t="str">
        <f>IFERROR(DEC2HEX(H420),"")</f>
        <v>0</v>
      </c>
    </row>
    <row r="421" spans="1:9" x14ac:dyDescent="0.2">
      <c r="A421" t="s">
        <v>523</v>
      </c>
      <c r="B421" t="s">
        <v>3298</v>
      </c>
      <c r="E421" t="str">
        <f>IF(D421&lt;&gt;"",C421&amp;"/"&amp;D421,"")</f>
        <v/>
      </c>
      <c r="G421" s="5" t="str">
        <f>IF(F421&lt;&gt;"",HEX2DEC(SUBSTITUTE(SUBSTITUTE(F421,"adrEA",""),"$","")),"")</f>
        <v/>
      </c>
      <c r="I421" s="6" t="str">
        <f>IFERROR(DEC2HEX(H421),"")</f>
        <v>0</v>
      </c>
    </row>
    <row r="422" spans="1:9" x14ac:dyDescent="0.2">
      <c r="A422" t="s">
        <v>524</v>
      </c>
      <c r="B422" t="s">
        <v>3302</v>
      </c>
      <c r="E422" t="str">
        <f>IF(D422&lt;&gt;"",C422&amp;"/"&amp;D422,"")</f>
        <v/>
      </c>
      <c r="G422" s="5" t="str">
        <f>IF(F422&lt;&gt;"",HEX2DEC(SUBSTITUTE(SUBSTITUTE(F422,"adrEA",""),"$","")),"")</f>
        <v/>
      </c>
      <c r="I422" s="6" t="str">
        <f>IFERROR(DEC2HEX(H422),"")</f>
        <v>0</v>
      </c>
    </row>
    <row r="423" spans="1:9" x14ac:dyDescent="0.2">
      <c r="A423" t="s">
        <v>525</v>
      </c>
      <c r="B423" t="s">
        <v>309</v>
      </c>
      <c r="E423" t="str">
        <f>IF(D423&lt;&gt;"",C423&amp;"/"&amp;D423,"")</f>
        <v/>
      </c>
      <c r="G423" s="5" t="str">
        <f>IF(F423&lt;&gt;"",HEX2DEC(SUBSTITUTE(SUBSTITUTE(F423,"adrEA",""),"$","")),"")</f>
        <v/>
      </c>
      <c r="I423" s="6" t="str">
        <f>IFERROR(DEC2HEX(H423),"")</f>
        <v>0</v>
      </c>
    </row>
    <row r="424" spans="1:9" x14ac:dyDescent="0.2">
      <c r="A424" t="s">
        <v>526</v>
      </c>
      <c r="B424" t="s">
        <v>309</v>
      </c>
      <c r="E424" t="str">
        <f>IF(D424&lt;&gt;"",C424&amp;"/"&amp;D424,"")</f>
        <v/>
      </c>
      <c r="G424" s="5" t="str">
        <f>IF(F424&lt;&gt;"",HEX2DEC(SUBSTITUTE(SUBSTITUTE(F424,"adrEA",""),"$","")),"")</f>
        <v/>
      </c>
      <c r="I424" s="6" t="str">
        <f>IFERROR(DEC2HEX(H424),"")</f>
        <v>0</v>
      </c>
    </row>
    <row r="425" spans="1:9" x14ac:dyDescent="0.2">
      <c r="A425" t="s">
        <v>527</v>
      </c>
      <c r="B425" t="s">
        <v>309</v>
      </c>
      <c r="E425" t="str">
        <f>IF(D425&lt;&gt;"",C425&amp;"/"&amp;D425,"")</f>
        <v/>
      </c>
      <c r="G425" s="5" t="str">
        <f>IF(F425&lt;&gt;"",HEX2DEC(SUBSTITUTE(SUBSTITUTE(F425,"adrEA",""),"$","")),"")</f>
        <v/>
      </c>
      <c r="I425" s="6" t="str">
        <f>IFERROR(DEC2HEX(H425),"")</f>
        <v>0</v>
      </c>
    </row>
    <row r="426" spans="1:9" x14ac:dyDescent="0.2">
      <c r="A426" t="s">
        <v>528</v>
      </c>
      <c r="B426" t="s">
        <v>309</v>
      </c>
      <c r="E426" t="str">
        <f>IF(D426&lt;&gt;"",C426&amp;"/"&amp;D426,"")</f>
        <v/>
      </c>
      <c r="G426" s="5" t="str">
        <f>IF(F426&lt;&gt;"",HEX2DEC(SUBSTITUTE(SUBSTITUTE(F426,"adrEA",""),"$","")),"")</f>
        <v/>
      </c>
      <c r="I426" s="6" t="str">
        <f>IFERROR(DEC2HEX(H426),"")</f>
        <v>0</v>
      </c>
    </row>
    <row r="427" spans="1:9" x14ac:dyDescent="0.2">
      <c r="A427" t="s">
        <v>529</v>
      </c>
      <c r="B427" t="s">
        <v>309</v>
      </c>
      <c r="E427" t="str">
        <f>IF(D427&lt;&gt;"",C427&amp;"/"&amp;D427,"")</f>
        <v/>
      </c>
      <c r="G427" s="5" t="str">
        <f>IF(F427&lt;&gt;"",HEX2DEC(SUBSTITUTE(SUBSTITUTE(F427,"adrEA",""),"$","")),"")</f>
        <v/>
      </c>
      <c r="I427" s="6" t="str">
        <f>IFERROR(DEC2HEX(H427),"")</f>
        <v>0</v>
      </c>
    </row>
    <row r="428" spans="1:9" x14ac:dyDescent="0.2">
      <c r="A428" t="s">
        <v>530</v>
      </c>
      <c r="B428" t="s">
        <v>309</v>
      </c>
      <c r="E428" t="str">
        <f>IF(D428&lt;&gt;"",C428&amp;"/"&amp;D428,"")</f>
        <v/>
      </c>
      <c r="G428" s="5" t="str">
        <f>IF(F428&lt;&gt;"",HEX2DEC(SUBSTITUTE(SUBSTITUTE(F428,"adrEA",""),"$","")),"")</f>
        <v/>
      </c>
      <c r="I428" s="6" t="str">
        <f>IFERROR(DEC2HEX(H428),"")</f>
        <v>0</v>
      </c>
    </row>
    <row r="429" spans="1:9" x14ac:dyDescent="0.2">
      <c r="A429" t="s">
        <v>531</v>
      </c>
      <c r="B429" t="s">
        <v>309</v>
      </c>
      <c r="E429" t="str">
        <f>IF(D429&lt;&gt;"",C429&amp;"/"&amp;D429,"")</f>
        <v/>
      </c>
      <c r="G429" s="5" t="str">
        <f>IF(F429&lt;&gt;"",HEX2DEC(SUBSTITUTE(SUBSTITUTE(F429,"adrEA",""),"$","")),"")</f>
        <v/>
      </c>
      <c r="I429" s="6" t="str">
        <f>IFERROR(DEC2HEX(H429),"")</f>
        <v>0</v>
      </c>
    </row>
    <row r="430" spans="1:9" x14ac:dyDescent="0.2">
      <c r="A430" t="s">
        <v>532</v>
      </c>
      <c r="B430" t="s">
        <v>3300</v>
      </c>
      <c r="E430" t="str">
        <f>IF(D430&lt;&gt;"",C430&amp;"/"&amp;D430,"")</f>
        <v/>
      </c>
      <c r="G430" s="5" t="str">
        <f>IF(F430&lt;&gt;"",HEX2DEC(SUBSTITUTE(SUBSTITUTE(F430,"adrEA",""),"$","")),"")</f>
        <v/>
      </c>
      <c r="I430" s="6" t="str">
        <f>IFERROR(DEC2HEX(H430),"")</f>
        <v>0</v>
      </c>
    </row>
    <row r="431" spans="1:9" x14ac:dyDescent="0.2">
      <c r="A431" t="s">
        <v>533</v>
      </c>
      <c r="B431" t="s">
        <v>309</v>
      </c>
      <c r="E431" t="str">
        <f>IF(D431&lt;&gt;"",C431&amp;"/"&amp;D431,"")</f>
        <v/>
      </c>
      <c r="G431" s="5" t="str">
        <f>IF(F431&lt;&gt;"",HEX2DEC(SUBSTITUTE(SUBSTITUTE(F431,"adrEA",""),"$","")),"")</f>
        <v/>
      </c>
      <c r="I431" s="6" t="str">
        <f>IFERROR(DEC2HEX(H431),"")</f>
        <v>0</v>
      </c>
    </row>
    <row r="432" spans="1:9" x14ac:dyDescent="0.2">
      <c r="A432" t="s">
        <v>534</v>
      </c>
      <c r="B432" t="s">
        <v>309</v>
      </c>
      <c r="E432" t="str">
        <f>IF(D432&lt;&gt;"",C432&amp;"/"&amp;D432,"")</f>
        <v/>
      </c>
      <c r="G432" s="5" t="str">
        <f>IF(F432&lt;&gt;"",HEX2DEC(SUBSTITUTE(SUBSTITUTE(F432,"adrEA",""),"$","")),"")</f>
        <v/>
      </c>
      <c r="I432" s="6" t="str">
        <f>IFERROR(DEC2HEX(H432),"")</f>
        <v>0</v>
      </c>
    </row>
    <row r="433" spans="1:11" x14ac:dyDescent="0.2">
      <c r="A433" t="s">
        <v>535</v>
      </c>
      <c r="B433" t="s">
        <v>309</v>
      </c>
      <c r="E433" t="str">
        <f>IF(D433&lt;&gt;"",C433&amp;"/"&amp;D433,"")</f>
        <v/>
      </c>
      <c r="G433" s="5" t="str">
        <f>IF(F433&lt;&gt;"",HEX2DEC(SUBSTITUTE(SUBSTITUTE(F433,"adrEA",""),"$","")),"")</f>
        <v/>
      </c>
      <c r="I433" s="6" t="str">
        <f>IFERROR(DEC2HEX(H433),"")</f>
        <v>0</v>
      </c>
    </row>
    <row r="434" spans="1:11" x14ac:dyDescent="0.2">
      <c r="A434" t="s">
        <v>536</v>
      </c>
      <c r="B434" t="s">
        <v>309</v>
      </c>
      <c r="E434" t="str">
        <f>IF(D434&lt;&gt;"",C434&amp;"/"&amp;D434,"")</f>
        <v/>
      </c>
      <c r="G434" s="5" t="str">
        <f>IF(F434&lt;&gt;"",HEX2DEC(SUBSTITUTE(SUBSTITUTE(F434,"adrEA",""),"$","")),"")</f>
        <v/>
      </c>
      <c r="I434" s="6" t="str">
        <f>IFERROR(DEC2HEX(H434),"")</f>
        <v>0</v>
      </c>
    </row>
    <row r="435" spans="1:11" x14ac:dyDescent="0.2">
      <c r="A435" t="s">
        <v>537</v>
      </c>
      <c r="B435" t="s">
        <v>309</v>
      </c>
      <c r="E435" t="str">
        <f>IF(D435&lt;&gt;"",C435&amp;"/"&amp;D435,"")</f>
        <v/>
      </c>
      <c r="G435" s="5" t="str">
        <f>IF(F435&lt;&gt;"",HEX2DEC(SUBSTITUTE(SUBSTITUTE(F435,"adrEA",""),"$","")),"")</f>
        <v/>
      </c>
      <c r="I435" s="6" t="str">
        <f>IFERROR(DEC2HEX(H435),"")</f>
        <v>0</v>
      </c>
    </row>
    <row r="436" spans="1:11" x14ac:dyDescent="0.2">
      <c r="A436" t="s">
        <v>538</v>
      </c>
      <c r="B436" t="s">
        <v>309</v>
      </c>
      <c r="E436" t="str">
        <f>IF(D436&lt;&gt;"",C436&amp;"/"&amp;D436,"")</f>
        <v/>
      </c>
      <c r="G436" s="5" t="str">
        <f>IF(F436&lt;&gt;"",HEX2DEC(SUBSTITUTE(SUBSTITUTE(F436,"adrEA",""),"$","")),"")</f>
        <v/>
      </c>
      <c r="I436" s="6" t="str">
        <f>IFERROR(DEC2HEX(H436),"")</f>
        <v>0</v>
      </c>
    </row>
    <row r="437" spans="1:11" x14ac:dyDescent="0.2">
      <c r="A437" t="s">
        <v>539</v>
      </c>
      <c r="B437" t="s">
        <v>309</v>
      </c>
      <c r="E437" t="str">
        <f>IF(D437&lt;&gt;"",C437&amp;"/"&amp;D437,"")</f>
        <v/>
      </c>
      <c r="G437" s="5" t="str">
        <f>IF(F437&lt;&gt;"",HEX2DEC(SUBSTITUTE(SUBSTITUTE(F437,"adrEA",""),"$","")),"")</f>
        <v/>
      </c>
      <c r="I437" s="6" t="str">
        <f>IFERROR(DEC2HEX(H437),"")</f>
        <v>0</v>
      </c>
    </row>
    <row r="438" spans="1:11" x14ac:dyDescent="0.2">
      <c r="A438" t="s">
        <v>540</v>
      </c>
      <c r="B438" t="s">
        <v>3303</v>
      </c>
      <c r="E438" t="str">
        <f>IF(D438&lt;&gt;"",C438&amp;"/"&amp;D438,"")</f>
        <v/>
      </c>
      <c r="G438" s="5" t="str">
        <f>IF(F438&lt;&gt;"",HEX2DEC(SUBSTITUTE(SUBSTITUTE(F438,"adrEA",""),"$","")),"")</f>
        <v/>
      </c>
      <c r="I438" s="6" t="str">
        <f>IFERROR(DEC2HEX(H438),"")</f>
        <v>0</v>
      </c>
    </row>
    <row r="439" spans="1:11" x14ac:dyDescent="0.2">
      <c r="A439" t="s">
        <v>541</v>
      </c>
      <c r="B439" t="s">
        <v>309</v>
      </c>
      <c r="E439" t="str">
        <f>IF(D439&lt;&gt;"",C439&amp;"/"&amp;D439,"")</f>
        <v/>
      </c>
      <c r="G439" s="5" t="str">
        <f>IF(F439&lt;&gt;"",HEX2DEC(SUBSTITUTE(SUBSTITUTE(F439,"adrEA",""),"$","")),"")</f>
        <v/>
      </c>
      <c r="I439" s="6" t="str">
        <f>IFERROR(DEC2HEX(H439),"")</f>
        <v>0</v>
      </c>
    </row>
    <row r="440" spans="1:11" x14ac:dyDescent="0.2">
      <c r="A440" t="s">
        <v>542</v>
      </c>
      <c r="B440" t="s">
        <v>309</v>
      </c>
      <c r="E440" t="str">
        <f>IF(D440&lt;&gt;"",C440&amp;"/"&amp;D440,"")</f>
        <v/>
      </c>
      <c r="G440" s="5" t="str">
        <f>IF(F440&lt;&gt;"",HEX2DEC(SUBSTITUTE(SUBSTITUTE(F440,"adrEA",""),"$","")),"")</f>
        <v/>
      </c>
      <c r="I440" s="6" t="str">
        <f>IFERROR(DEC2HEX(H440),"")</f>
        <v>0</v>
      </c>
    </row>
    <row r="441" spans="1:11" x14ac:dyDescent="0.2">
      <c r="A441" t="s">
        <v>543</v>
      </c>
      <c r="B441" t="s">
        <v>309</v>
      </c>
      <c r="E441" t="str">
        <f>IF(D441&lt;&gt;"",C441&amp;"/"&amp;D441,"")</f>
        <v/>
      </c>
      <c r="G441" s="5" t="str">
        <f>IF(F441&lt;&gt;"",HEX2DEC(SUBSTITUTE(SUBSTITUTE(F441,"adrEA",""),"$","")),"")</f>
        <v/>
      </c>
      <c r="I441" s="6" t="str">
        <f>IFERROR(DEC2HEX(H441),"")</f>
        <v>0</v>
      </c>
    </row>
    <row r="442" spans="1:11" x14ac:dyDescent="0.2">
      <c r="A442" t="s">
        <v>544</v>
      </c>
      <c r="B442" t="s">
        <v>309</v>
      </c>
      <c r="E442" t="str">
        <f>IF(D442&lt;&gt;"",C442&amp;"/"&amp;D442,"")</f>
        <v/>
      </c>
      <c r="G442" s="5" t="str">
        <f>IF(F442&lt;&gt;"",HEX2DEC(SUBSTITUTE(SUBSTITUTE(F442,"adrEA",""),"$","")),"")</f>
        <v/>
      </c>
      <c r="I442" s="6" t="str">
        <f>IFERROR(DEC2HEX(H442),"")</f>
        <v>0</v>
      </c>
    </row>
    <row r="443" spans="1:11" x14ac:dyDescent="0.2">
      <c r="A443" t="s">
        <v>545</v>
      </c>
      <c r="B443" t="s">
        <v>309</v>
      </c>
      <c r="E443" t="str">
        <f>IF(D443&lt;&gt;"",C443&amp;"/"&amp;D443,"")</f>
        <v/>
      </c>
      <c r="G443" s="5" t="str">
        <f>IF(F443&lt;&gt;"",HEX2DEC(SUBSTITUTE(SUBSTITUTE(F443,"adrEA",""),"$","")),"")</f>
        <v/>
      </c>
      <c r="I443" s="6" t="str">
        <f>IFERROR(DEC2HEX(H443),"")</f>
        <v>0</v>
      </c>
    </row>
    <row r="444" spans="1:11" x14ac:dyDescent="0.2">
      <c r="A444" t="s">
        <v>546</v>
      </c>
      <c r="B444" t="s">
        <v>309</v>
      </c>
      <c r="E444" t="str">
        <f>IF(D444&lt;&gt;"",C444&amp;"/"&amp;D444,"")</f>
        <v/>
      </c>
      <c r="G444" s="5" t="str">
        <f>IF(F444&lt;&gt;"",HEX2DEC(SUBSTITUTE(SUBSTITUTE(F444,"adrEA",""),"$","")),"")</f>
        <v/>
      </c>
      <c r="I444" s="6" t="str">
        <f>IFERROR(DEC2HEX(H444),"")</f>
        <v>0</v>
      </c>
    </row>
    <row r="445" spans="1:11" x14ac:dyDescent="0.2">
      <c r="A445" t="s">
        <v>547</v>
      </c>
      <c r="B445" t="s">
        <v>309</v>
      </c>
      <c r="E445" t="str">
        <f>IF(D445&lt;&gt;"",C445&amp;"/"&amp;D445,"")</f>
        <v/>
      </c>
      <c r="G445" s="5" t="str">
        <f>IF(F445&lt;&gt;"",HEX2DEC(SUBSTITUTE(SUBSTITUTE(F445,"adrEA",""),"$","")),"")</f>
        <v/>
      </c>
      <c r="I445" s="6" t="str">
        <f>IFERROR(DEC2HEX(H445),"")</f>
        <v>0</v>
      </c>
    </row>
    <row r="446" spans="1:11" x14ac:dyDescent="0.2">
      <c r="A446" t="s">
        <v>548</v>
      </c>
      <c r="B446" t="s">
        <v>4837</v>
      </c>
      <c r="G446" s="5" t="str">
        <f>IF(F446&lt;&gt;"",HEX2DEC(SUBSTITUTE(SUBSTITUTE(F446,"adrEA",""),"$","")),"")</f>
        <v/>
      </c>
      <c r="I446" s="6" t="str">
        <f>IFERROR(DEC2HEX(H446),"")</f>
        <v>0</v>
      </c>
      <c r="K446" s="21" t="s">
        <v>4838</v>
      </c>
    </row>
    <row r="447" spans="1:11" x14ac:dyDescent="0.2">
      <c r="A447" t="s">
        <v>549</v>
      </c>
      <c r="B447" t="s">
        <v>4839</v>
      </c>
      <c r="G447" s="5" t="str">
        <f>IF(F447&lt;&gt;"",HEX2DEC(SUBSTITUTE(SUBSTITUTE(F447,"adrEA",""),"$","")),"")</f>
        <v/>
      </c>
      <c r="I447" s="6" t="str">
        <f>IFERROR(DEC2HEX(H447),"")</f>
        <v>0</v>
      </c>
      <c r="K447" s="21" t="s">
        <v>4840</v>
      </c>
    </row>
    <row r="448" spans="1:11" x14ac:dyDescent="0.2">
      <c r="A448" t="s">
        <v>550</v>
      </c>
      <c r="B448" t="s">
        <v>309</v>
      </c>
      <c r="E448" t="str">
        <f>IF(D448&lt;&gt;"",C448&amp;"/"&amp;D448,"")</f>
        <v/>
      </c>
      <c r="G448" s="5" t="str">
        <f>IF(F448&lt;&gt;"",HEX2DEC(SUBSTITUTE(SUBSTITUTE(F448,"adrEA",""),"$","")),"")</f>
        <v/>
      </c>
      <c r="I448" s="6" t="str">
        <f>IFERROR(DEC2HEX(H448),"")</f>
        <v>0</v>
      </c>
    </row>
    <row r="449" spans="1:9" x14ac:dyDescent="0.2">
      <c r="A449" t="s">
        <v>551</v>
      </c>
      <c r="B449" t="s">
        <v>309</v>
      </c>
      <c r="E449" t="str">
        <f>IF(D449&lt;&gt;"",C449&amp;"/"&amp;D449,"")</f>
        <v/>
      </c>
      <c r="G449" s="5" t="str">
        <f>IF(F449&lt;&gt;"",HEX2DEC(SUBSTITUTE(SUBSTITUTE(F449,"adrEA",""),"$","")),"")</f>
        <v/>
      </c>
      <c r="I449" s="6" t="str">
        <f>IFERROR(DEC2HEX(H449),"")</f>
        <v>0</v>
      </c>
    </row>
    <row r="450" spans="1:9" x14ac:dyDescent="0.2">
      <c r="A450" t="s">
        <v>552</v>
      </c>
      <c r="B450" t="s">
        <v>309</v>
      </c>
      <c r="E450" t="str">
        <f>IF(D450&lt;&gt;"",C450&amp;"/"&amp;D450,"")</f>
        <v/>
      </c>
      <c r="G450" s="5" t="str">
        <f>IF(F450&lt;&gt;"",HEX2DEC(SUBSTITUTE(SUBSTITUTE(F450,"adrEA",""),"$","")),"")</f>
        <v/>
      </c>
      <c r="I450" s="6" t="str">
        <f>IFERROR(DEC2HEX(H450),"")</f>
        <v>0</v>
      </c>
    </row>
    <row r="451" spans="1:9" x14ac:dyDescent="0.2">
      <c r="A451" t="s">
        <v>553</v>
      </c>
      <c r="B451" t="s">
        <v>309</v>
      </c>
      <c r="E451" t="str">
        <f>IF(D451&lt;&gt;"",C451&amp;"/"&amp;D451,"")</f>
        <v/>
      </c>
      <c r="G451" s="5" t="str">
        <f>IF(F451&lt;&gt;"",HEX2DEC(SUBSTITUTE(SUBSTITUTE(F451,"adrEA",""),"$","")),"")</f>
        <v/>
      </c>
      <c r="I451" s="6" t="str">
        <f>IFERROR(DEC2HEX(H451),"")</f>
        <v>0</v>
      </c>
    </row>
    <row r="452" spans="1:9" x14ac:dyDescent="0.2">
      <c r="A452" t="s">
        <v>554</v>
      </c>
      <c r="B452" t="s">
        <v>309</v>
      </c>
      <c r="E452" t="str">
        <f>IF(D452&lt;&gt;"",C452&amp;"/"&amp;D452,"")</f>
        <v/>
      </c>
      <c r="G452" s="5" t="str">
        <f>IF(F452&lt;&gt;"",HEX2DEC(SUBSTITUTE(SUBSTITUTE(F452,"adrEA",""),"$","")),"")</f>
        <v/>
      </c>
      <c r="I452" s="6" t="str">
        <f>IFERROR(DEC2HEX(H452),"")</f>
        <v>0</v>
      </c>
    </row>
    <row r="453" spans="1:9" x14ac:dyDescent="0.2">
      <c r="A453" t="s">
        <v>555</v>
      </c>
      <c r="B453" t="s">
        <v>309</v>
      </c>
      <c r="E453" t="str">
        <f>IF(D453&lt;&gt;"",C453&amp;"/"&amp;D453,"")</f>
        <v/>
      </c>
      <c r="G453" s="5" t="str">
        <f>IF(F453&lt;&gt;"",HEX2DEC(SUBSTITUTE(SUBSTITUTE(F453,"adrEA",""),"$","")),"")</f>
        <v/>
      </c>
      <c r="I453" s="6" t="str">
        <f>IFERROR(DEC2HEX(H453),"")</f>
        <v>0</v>
      </c>
    </row>
    <row r="454" spans="1:9" x14ac:dyDescent="0.2">
      <c r="A454" t="s">
        <v>556</v>
      </c>
      <c r="B454" t="s">
        <v>309</v>
      </c>
      <c r="E454" t="str">
        <f>IF(D454&lt;&gt;"",C454&amp;"/"&amp;D454,"")</f>
        <v/>
      </c>
      <c r="G454" s="5" t="str">
        <f>IF(F454&lt;&gt;"",HEX2DEC(SUBSTITUTE(SUBSTITUTE(F454,"adrEA",""),"$","")),"")</f>
        <v/>
      </c>
      <c r="I454" s="6" t="str">
        <f>IFERROR(DEC2HEX(H454),"")</f>
        <v>0</v>
      </c>
    </row>
    <row r="455" spans="1:9" x14ac:dyDescent="0.2">
      <c r="A455" t="s">
        <v>557</v>
      </c>
      <c r="B455" t="s">
        <v>309</v>
      </c>
      <c r="E455" t="str">
        <f>IF(D455&lt;&gt;"",C455&amp;"/"&amp;D455,"")</f>
        <v/>
      </c>
      <c r="G455" s="5" t="str">
        <f>IF(F455&lt;&gt;"",HEX2DEC(SUBSTITUTE(SUBSTITUTE(F455,"adrEA",""),"$","")),"")</f>
        <v/>
      </c>
      <c r="I455" s="6" t="str">
        <f>IFERROR(DEC2HEX(H455),"")</f>
        <v>0</v>
      </c>
    </row>
    <row r="456" spans="1:9" x14ac:dyDescent="0.2">
      <c r="A456" t="s">
        <v>558</v>
      </c>
      <c r="B456" t="s">
        <v>309</v>
      </c>
      <c r="E456" t="str">
        <f>IF(D456&lt;&gt;"",C456&amp;"/"&amp;D456,"")</f>
        <v/>
      </c>
      <c r="G456" s="5" t="str">
        <f>IF(F456&lt;&gt;"",HEX2DEC(SUBSTITUTE(SUBSTITUTE(F456,"adrEA",""),"$","")),"")</f>
        <v/>
      </c>
      <c r="I456" s="6" t="str">
        <f>IFERROR(DEC2HEX(H456),"")</f>
        <v>0</v>
      </c>
    </row>
    <row r="457" spans="1:9" x14ac:dyDescent="0.2">
      <c r="A457" t="s">
        <v>559</v>
      </c>
      <c r="B457" t="s">
        <v>309</v>
      </c>
      <c r="E457" t="str">
        <f>IF(D457&lt;&gt;"",C457&amp;"/"&amp;D457,"")</f>
        <v/>
      </c>
      <c r="G457" s="5" t="str">
        <f>IF(F457&lt;&gt;"",HEX2DEC(SUBSTITUTE(SUBSTITUTE(F457,"adrEA",""),"$","")),"")</f>
        <v/>
      </c>
      <c r="I457" s="6" t="str">
        <f>IFERROR(DEC2HEX(H457),"")</f>
        <v>0</v>
      </c>
    </row>
    <row r="458" spans="1:9" x14ac:dyDescent="0.2">
      <c r="A458" t="s">
        <v>560</v>
      </c>
      <c r="B458" t="s">
        <v>309</v>
      </c>
      <c r="E458" t="str">
        <f>IF(D458&lt;&gt;"",C458&amp;"/"&amp;D458,"")</f>
        <v/>
      </c>
      <c r="G458" s="5" t="str">
        <f>IF(F458&lt;&gt;"",HEX2DEC(SUBSTITUTE(SUBSTITUTE(F458,"adrEA",""),"$","")),"")</f>
        <v/>
      </c>
      <c r="I458" s="6" t="str">
        <f>IFERROR(DEC2HEX(H458),"")</f>
        <v>0</v>
      </c>
    </row>
    <row r="459" spans="1:9" x14ac:dyDescent="0.2">
      <c r="A459" t="s">
        <v>561</v>
      </c>
      <c r="B459" t="s">
        <v>309</v>
      </c>
      <c r="E459" t="str">
        <f>IF(D459&lt;&gt;"",C459&amp;"/"&amp;D459,"")</f>
        <v/>
      </c>
      <c r="G459" s="5" t="str">
        <f>IF(F459&lt;&gt;"",HEX2DEC(SUBSTITUTE(SUBSTITUTE(F459,"adrEA",""),"$","")),"")</f>
        <v/>
      </c>
      <c r="I459" s="6" t="str">
        <f>IFERROR(DEC2HEX(H459),"")</f>
        <v>0</v>
      </c>
    </row>
    <row r="460" spans="1:9" x14ac:dyDescent="0.2">
      <c r="A460" t="s">
        <v>562</v>
      </c>
      <c r="B460" t="s">
        <v>309</v>
      </c>
      <c r="E460" t="str">
        <f>IF(D460&lt;&gt;"",C460&amp;"/"&amp;D460,"")</f>
        <v/>
      </c>
      <c r="G460" s="5" t="str">
        <f>IF(F460&lt;&gt;"",HEX2DEC(SUBSTITUTE(SUBSTITUTE(F460,"adrEA",""),"$","")),"")</f>
        <v/>
      </c>
      <c r="I460" s="6" t="str">
        <f>IFERROR(DEC2HEX(H460),"")</f>
        <v>0</v>
      </c>
    </row>
    <row r="461" spans="1:9" x14ac:dyDescent="0.2">
      <c r="A461" t="s">
        <v>563</v>
      </c>
      <c r="B461" t="s">
        <v>309</v>
      </c>
      <c r="E461" t="str">
        <f>IF(D461&lt;&gt;"",C461&amp;"/"&amp;D461,"")</f>
        <v/>
      </c>
      <c r="G461" s="5" t="str">
        <f>IF(F461&lt;&gt;"",HEX2DEC(SUBSTITUTE(SUBSTITUTE(F461,"adrEA",""),"$","")),"")</f>
        <v/>
      </c>
      <c r="I461" s="6" t="str">
        <f>IFERROR(DEC2HEX(H461),"")</f>
        <v>0</v>
      </c>
    </row>
    <row r="462" spans="1:9" x14ac:dyDescent="0.2">
      <c r="A462" t="s">
        <v>564</v>
      </c>
      <c r="B462" t="s">
        <v>309</v>
      </c>
      <c r="E462" t="str">
        <f>IF(D462&lt;&gt;"",C462&amp;"/"&amp;D462,"")</f>
        <v/>
      </c>
      <c r="G462" s="5" t="str">
        <f>IF(F462&lt;&gt;"",HEX2DEC(SUBSTITUTE(SUBSTITUTE(F462,"adrEA",""),"$","")),"")</f>
        <v/>
      </c>
      <c r="I462" s="6" t="str">
        <f>IFERROR(DEC2HEX(H462),"")</f>
        <v>0</v>
      </c>
    </row>
    <row r="463" spans="1:9" x14ac:dyDescent="0.2">
      <c r="A463" t="s">
        <v>565</v>
      </c>
      <c r="B463" t="s">
        <v>309</v>
      </c>
      <c r="E463" t="str">
        <f>IF(D463&lt;&gt;"",C463&amp;"/"&amp;D463,"")</f>
        <v/>
      </c>
      <c r="G463" s="5" t="str">
        <f>IF(F463&lt;&gt;"",HEX2DEC(SUBSTITUTE(SUBSTITUTE(F463,"adrEA",""),"$","")),"")</f>
        <v/>
      </c>
      <c r="I463" s="6" t="str">
        <f>IFERROR(DEC2HEX(H463),"")</f>
        <v>0</v>
      </c>
    </row>
    <row r="464" spans="1:9" x14ac:dyDescent="0.2">
      <c r="A464" t="s">
        <v>566</v>
      </c>
      <c r="B464" t="s">
        <v>309</v>
      </c>
      <c r="E464" t="str">
        <f>IF(D464&lt;&gt;"",C464&amp;"/"&amp;D464,"")</f>
        <v/>
      </c>
      <c r="G464" s="5" t="str">
        <f>IF(F464&lt;&gt;"",HEX2DEC(SUBSTITUTE(SUBSTITUTE(F464,"adrEA",""),"$","")),"")</f>
        <v/>
      </c>
      <c r="I464" s="6" t="str">
        <f>IFERROR(DEC2HEX(H464),"")</f>
        <v>0</v>
      </c>
    </row>
    <row r="465" spans="1:9" x14ac:dyDescent="0.2">
      <c r="A465" t="s">
        <v>567</v>
      </c>
      <c r="B465" t="s">
        <v>309</v>
      </c>
      <c r="E465" t="str">
        <f>IF(D465&lt;&gt;"",C465&amp;"/"&amp;D465,"")</f>
        <v/>
      </c>
      <c r="G465" s="5" t="str">
        <f>IF(F465&lt;&gt;"",HEX2DEC(SUBSTITUTE(SUBSTITUTE(F465,"adrEA",""),"$","")),"")</f>
        <v/>
      </c>
      <c r="I465" s="6" t="str">
        <f>IFERROR(DEC2HEX(H465),"")</f>
        <v>0</v>
      </c>
    </row>
    <row r="466" spans="1:9" x14ac:dyDescent="0.2">
      <c r="A466" t="s">
        <v>568</v>
      </c>
      <c r="B466" t="s">
        <v>309</v>
      </c>
      <c r="E466" t="str">
        <f>IF(D466&lt;&gt;"",C466&amp;"/"&amp;D466,"")</f>
        <v/>
      </c>
      <c r="G466" s="5" t="str">
        <f>IF(F466&lt;&gt;"",HEX2DEC(SUBSTITUTE(SUBSTITUTE(F466,"adrEA",""),"$","")),"")</f>
        <v/>
      </c>
      <c r="I466" s="6" t="str">
        <f>IFERROR(DEC2HEX(H466),"")</f>
        <v>0</v>
      </c>
    </row>
    <row r="467" spans="1:9" x14ac:dyDescent="0.2">
      <c r="A467" t="s">
        <v>569</v>
      </c>
      <c r="B467" t="s">
        <v>309</v>
      </c>
      <c r="E467" t="str">
        <f>IF(D467&lt;&gt;"",C467&amp;"/"&amp;D467,"")</f>
        <v/>
      </c>
      <c r="G467" s="5" t="str">
        <f>IF(F467&lt;&gt;"",HEX2DEC(SUBSTITUTE(SUBSTITUTE(F467,"adrEA",""),"$","")),"")</f>
        <v/>
      </c>
      <c r="I467" s="6" t="str">
        <f>IFERROR(DEC2HEX(H467),"")</f>
        <v>0</v>
      </c>
    </row>
    <row r="468" spans="1:9" x14ac:dyDescent="0.2">
      <c r="A468" t="s">
        <v>570</v>
      </c>
      <c r="B468" t="s">
        <v>309</v>
      </c>
      <c r="E468" t="str">
        <f>IF(D468&lt;&gt;"",C468&amp;"/"&amp;D468,"")</f>
        <v/>
      </c>
      <c r="G468" s="5" t="str">
        <f>IF(F468&lt;&gt;"",HEX2DEC(SUBSTITUTE(SUBSTITUTE(F468,"adrEA",""),"$","")),"")</f>
        <v/>
      </c>
      <c r="I468" s="6" t="str">
        <f>IFERROR(DEC2HEX(H468),"")</f>
        <v>0</v>
      </c>
    </row>
    <row r="469" spans="1:9" x14ac:dyDescent="0.2">
      <c r="A469" t="s">
        <v>571</v>
      </c>
      <c r="B469" t="s">
        <v>309</v>
      </c>
      <c r="E469" t="str">
        <f>IF(D469&lt;&gt;"",C469&amp;"/"&amp;D469,"")</f>
        <v/>
      </c>
      <c r="G469" s="5" t="str">
        <f>IF(F469&lt;&gt;"",HEX2DEC(SUBSTITUTE(SUBSTITUTE(F469,"adrEA",""),"$","")),"")</f>
        <v/>
      </c>
      <c r="I469" s="6" t="str">
        <f>IFERROR(DEC2HEX(H469),"")</f>
        <v>0</v>
      </c>
    </row>
    <row r="470" spans="1:9" x14ac:dyDescent="0.2">
      <c r="A470" t="s">
        <v>572</v>
      </c>
      <c r="B470" t="s">
        <v>309</v>
      </c>
      <c r="E470" t="str">
        <f>IF(D470&lt;&gt;"",C470&amp;"/"&amp;D470,"")</f>
        <v/>
      </c>
      <c r="G470" s="5" t="str">
        <f>IF(F470&lt;&gt;"",HEX2DEC(SUBSTITUTE(SUBSTITUTE(F470,"adrEA",""),"$","")),"")</f>
        <v/>
      </c>
      <c r="I470" s="6" t="str">
        <f>IFERROR(DEC2HEX(H470),"")</f>
        <v>0</v>
      </c>
    </row>
    <row r="471" spans="1:9" x14ac:dyDescent="0.2">
      <c r="A471" t="s">
        <v>573</v>
      </c>
      <c r="B471" t="s">
        <v>309</v>
      </c>
      <c r="E471" t="str">
        <f>IF(D471&lt;&gt;"",C471&amp;"/"&amp;D471,"")</f>
        <v/>
      </c>
      <c r="G471" s="5" t="str">
        <f>IF(F471&lt;&gt;"",HEX2DEC(SUBSTITUTE(SUBSTITUTE(F471,"adrEA",""),"$","")),"")</f>
        <v/>
      </c>
      <c r="I471" s="6" t="str">
        <f>IFERROR(DEC2HEX(H471),"")</f>
        <v>0</v>
      </c>
    </row>
    <row r="472" spans="1:9" x14ac:dyDescent="0.2">
      <c r="A472" t="s">
        <v>574</v>
      </c>
      <c r="B472" t="s">
        <v>309</v>
      </c>
      <c r="E472" t="str">
        <f>IF(D472&lt;&gt;"",C472&amp;"/"&amp;D472,"")</f>
        <v/>
      </c>
      <c r="G472" s="5" t="str">
        <f>IF(F472&lt;&gt;"",HEX2DEC(SUBSTITUTE(SUBSTITUTE(F472,"adrEA",""),"$","")),"")</f>
        <v/>
      </c>
      <c r="I472" s="6" t="str">
        <f>IFERROR(DEC2HEX(H472),"")</f>
        <v>0</v>
      </c>
    </row>
    <row r="473" spans="1:9" x14ac:dyDescent="0.2">
      <c r="A473" t="s">
        <v>575</v>
      </c>
      <c r="B473" t="s">
        <v>309</v>
      </c>
      <c r="E473" t="str">
        <f>IF(D473&lt;&gt;"",C473&amp;"/"&amp;D473,"")</f>
        <v/>
      </c>
      <c r="G473" s="5" t="str">
        <f>IF(F473&lt;&gt;"",HEX2DEC(SUBSTITUTE(SUBSTITUTE(F473,"adrEA",""),"$","")),"")</f>
        <v/>
      </c>
      <c r="I473" s="6" t="str">
        <f>IFERROR(DEC2HEX(H473),"")</f>
        <v>0</v>
      </c>
    </row>
    <row r="474" spans="1:9" x14ac:dyDescent="0.2">
      <c r="A474" t="s">
        <v>576</v>
      </c>
      <c r="B474" t="s">
        <v>309</v>
      </c>
      <c r="E474" t="str">
        <f>IF(D474&lt;&gt;"",C474&amp;"/"&amp;D474,"")</f>
        <v/>
      </c>
      <c r="G474" s="5" t="str">
        <f>IF(F474&lt;&gt;"",HEX2DEC(SUBSTITUTE(SUBSTITUTE(F474,"adrEA",""),"$","")),"")</f>
        <v/>
      </c>
      <c r="I474" s="6" t="str">
        <f>IFERROR(DEC2HEX(H474),"")</f>
        <v>0</v>
      </c>
    </row>
    <row r="475" spans="1:9" x14ac:dyDescent="0.2">
      <c r="A475" t="s">
        <v>577</v>
      </c>
      <c r="B475" t="s">
        <v>309</v>
      </c>
      <c r="E475" t="str">
        <f>IF(D475&lt;&gt;"",C475&amp;"/"&amp;D475,"")</f>
        <v/>
      </c>
      <c r="G475" s="5" t="str">
        <f>IF(F475&lt;&gt;"",HEX2DEC(SUBSTITUTE(SUBSTITUTE(F475,"adrEA",""),"$","")),"")</f>
        <v/>
      </c>
      <c r="I475" s="6" t="str">
        <f>IFERROR(DEC2HEX(H475),"")</f>
        <v>0</v>
      </c>
    </row>
    <row r="476" spans="1:9" x14ac:dyDescent="0.2">
      <c r="A476" t="s">
        <v>578</v>
      </c>
      <c r="B476" t="s">
        <v>5102</v>
      </c>
      <c r="E476" t="str">
        <f>IF(D476&lt;&gt;"",C476&amp;"/"&amp;D476,"")</f>
        <v/>
      </c>
      <c r="G476" s="5" t="str">
        <f>IF(F476&lt;&gt;"",HEX2DEC(SUBSTITUTE(SUBSTITUTE(F476,"adrEA",""),"$","")),"")</f>
        <v/>
      </c>
      <c r="I476" s="6" t="str">
        <f>IFERROR(DEC2HEX(H476),"")</f>
        <v>0</v>
      </c>
    </row>
    <row r="477" spans="1:9" x14ac:dyDescent="0.2">
      <c r="A477" t="s">
        <v>579</v>
      </c>
      <c r="B477" t="s">
        <v>5103</v>
      </c>
      <c r="E477" t="str">
        <f>IF(D477&lt;&gt;"",C477&amp;"/"&amp;D477,"")</f>
        <v/>
      </c>
      <c r="G477" s="5" t="str">
        <f>IF(F477&lt;&gt;"",HEX2DEC(SUBSTITUTE(SUBSTITUTE(F477,"adrEA",""),"$","")),"")</f>
        <v/>
      </c>
      <c r="I477" s="6" t="str">
        <f>IFERROR(DEC2HEX(H477),"")</f>
        <v>0</v>
      </c>
    </row>
    <row r="478" spans="1:9" x14ac:dyDescent="0.2">
      <c r="A478" t="s">
        <v>580</v>
      </c>
      <c r="B478" t="s">
        <v>5104</v>
      </c>
      <c r="E478" t="str">
        <f>IF(D478&lt;&gt;"",C478&amp;"/"&amp;D478,"")</f>
        <v/>
      </c>
      <c r="G478" s="5" t="str">
        <f>IF(F478&lt;&gt;"",HEX2DEC(SUBSTITUTE(SUBSTITUTE(F478,"adrEA",""),"$","")),"")</f>
        <v/>
      </c>
      <c r="I478" s="6" t="str">
        <f>IFERROR(DEC2HEX(H478),"")</f>
        <v>0</v>
      </c>
    </row>
    <row r="479" spans="1:9" x14ac:dyDescent="0.2">
      <c r="A479" t="s">
        <v>581</v>
      </c>
      <c r="B479" t="s">
        <v>5105</v>
      </c>
      <c r="E479" t="str">
        <f>IF(D479&lt;&gt;"",C479&amp;"/"&amp;D479,"")</f>
        <v/>
      </c>
      <c r="G479" s="5" t="str">
        <f>IF(F479&lt;&gt;"",HEX2DEC(SUBSTITUTE(SUBSTITUTE(F479,"adrEA",""),"$","")),"")</f>
        <v/>
      </c>
      <c r="I479" s="6" t="str">
        <f>IFERROR(DEC2HEX(H479),"")</f>
        <v>0</v>
      </c>
    </row>
    <row r="480" spans="1:9" x14ac:dyDescent="0.2">
      <c r="A480" t="s">
        <v>582</v>
      </c>
      <c r="B480" t="s">
        <v>5106</v>
      </c>
      <c r="E480" t="str">
        <f>IF(D480&lt;&gt;"",C480&amp;"/"&amp;D480,"")</f>
        <v/>
      </c>
      <c r="G480" s="5" t="str">
        <f>IF(F480&lt;&gt;"",HEX2DEC(SUBSTITUTE(SUBSTITUTE(F480,"adrEA",""),"$","")),"")</f>
        <v/>
      </c>
      <c r="I480" s="6" t="str">
        <f>IFERROR(DEC2HEX(H480),"")</f>
        <v>0</v>
      </c>
    </row>
    <row r="481" spans="1:9" x14ac:dyDescent="0.2">
      <c r="A481" t="s">
        <v>583</v>
      </c>
      <c r="B481" t="s">
        <v>5107</v>
      </c>
      <c r="E481" t="str">
        <f>IF(D481&lt;&gt;"",C481&amp;"/"&amp;D481,"")</f>
        <v/>
      </c>
      <c r="G481" s="5" t="str">
        <f>IF(F481&lt;&gt;"",HEX2DEC(SUBSTITUTE(SUBSTITUTE(F481,"adrEA",""),"$","")),"")</f>
        <v/>
      </c>
      <c r="I481" s="6" t="str">
        <f>IFERROR(DEC2HEX(H481),"")</f>
        <v>0</v>
      </c>
    </row>
    <row r="482" spans="1:9" x14ac:dyDescent="0.2">
      <c r="A482" t="s">
        <v>584</v>
      </c>
      <c r="B482" t="s">
        <v>5108</v>
      </c>
      <c r="E482" t="str">
        <f>IF(D482&lt;&gt;"",C482&amp;"/"&amp;D482,"")</f>
        <v/>
      </c>
      <c r="G482" s="5" t="str">
        <f>IF(F482&lt;&gt;"",HEX2DEC(SUBSTITUTE(SUBSTITUTE(F482,"adrEA",""),"$","")),"")</f>
        <v/>
      </c>
      <c r="I482" s="6" t="str">
        <f>IFERROR(DEC2HEX(H482),"")</f>
        <v>0</v>
      </c>
    </row>
    <row r="483" spans="1:9" x14ac:dyDescent="0.2">
      <c r="A483" t="s">
        <v>585</v>
      </c>
      <c r="B483" t="s">
        <v>5109</v>
      </c>
      <c r="E483" t="str">
        <f>IF(D483&lt;&gt;"",C483&amp;"/"&amp;D483,"")</f>
        <v/>
      </c>
      <c r="G483" s="5" t="str">
        <f>IF(F483&lt;&gt;"",HEX2DEC(SUBSTITUTE(SUBSTITUTE(F483,"adrEA",""),"$","")),"")</f>
        <v/>
      </c>
      <c r="I483" s="6" t="str">
        <f>IFERROR(DEC2HEX(H483),"")</f>
        <v>0</v>
      </c>
    </row>
    <row r="484" spans="1:9" x14ac:dyDescent="0.2">
      <c r="A484" t="s">
        <v>586</v>
      </c>
      <c r="B484" t="s">
        <v>5110</v>
      </c>
      <c r="E484" t="str">
        <f>IF(D484&lt;&gt;"",C484&amp;"/"&amp;D484,"")</f>
        <v/>
      </c>
      <c r="G484" s="5" t="str">
        <f>IF(F484&lt;&gt;"",HEX2DEC(SUBSTITUTE(SUBSTITUTE(F484,"adrEA",""),"$","")),"")</f>
        <v/>
      </c>
      <c r="I484" s="6" t="str">
        <f>IFERROR(DEC2HEX(H484),"")</f>
        <v>0</v>
      </c>
    </row>
    <row r="485" spans="1:9" x14ac:dyDescent="0.2">
      <c r="A485" t="s">
        <v>587</v>
      </c>
      <c r="B485" t="s">
        <v>5111</v>
      </c>
      <c r="E485" t="str">
        <f>IF(D485&lt;&gt;"",C485&amp;"/"&amp;D485,"")</f>
        <v/>
      </c>
      <c r="G485" s="5" t="str">
        <f>IF(F485&lt;&gt;"",HEX2DEC(SUBSTITUTE(SUBSTITUTE(F485,"adrEA",""),"$","")),"")</f>
        <v/>
      </c>
      <c r="I485" s="6" t="str">
        <f>IFERROR(DEC2HEX(H485),"")</f>
        <v>0</v>
      </c>
    </row>
    <row r="486" spans="1:9" x14ac:dyDescent="0.2">
      <c r="A486" t="s">
        <v>588</v>
      </c>
      <c r="B486" t="s">
        <v>309</v>
      </c>
      <c r="E486" t="str">
        <f>IF(D486&lt;&gt;"",C486&amp;"/"&amp;D486,"")</f>
        <v/>
      </c>
      <c r="G486" s="5" t="str">
        <f>IF(F486&lt;&gt;"",HEX2DEC(SUBSTITUTE(SUBSTITUTE(F486,"adrEA",""),"$","")),"")</f>
        <v/>
      </c>
      <c r="I486" s="6" t="str">
        <f>IFERROR(DEC2HEX(H486),"")</f>
        <v>0</v>
      </c>
    </row>
    <row r="487" spans="1:9" x14ac:dyDescent="0.2">
      <c r="A487" t="s">
        <v>589</v>
      </c>
      <c r="B487" t="s">
        <v>309</v>
      </c>
      <c r="E487" t="str">
        <f>IF(D487&lt;&gt;"",C487&amp;"/"&amp;D487,"")</f>
        <v/>
      </c>
      <c r="G487" s="5" t="str">
        <f>IF(F487&lt;&gt;"",HEX2DEC(SUBSTITUTE(SUBSTITUTE(F487,"adrEA",""),"$","")),"")</f>
        <v/>
      </c>
      <c r="I487" s="6" t="str">
        <f>IFERROR(DEC2HEX(H487),"")</f>
        <v>0</v>
      </c>
    </row>
    <row r="488" spans="1:9" x14ac:dyDescent="0.2">
      <c r="A488" t="s">
        <v>590</v>
      </c>
      <c r="B488" t="s">
        <v>309</v>
      </c>
      <c r="E488" t="str">
        <f>IF(D488&lt;&gt;"",C488&amp;"/"&amp;D488,"")</f>
        <v/>
      </c>
      <c r="G488" s="5" t="str">
        <f>IF(F488&lt;&gt;"",HEX2DEC(SUBSTITUTE(SUBSTITUTE(F488,"adrEA",""),"$","")),"")</f>
        <v/>
      </c>
      <c r="I488" s="6" t="str">
        <f>IFERROR(DEC2HEX(H488),"")</f>
        <v>0</v>
      </c>
    </row>
    <row r="489" spans="1:9" x14ac:dyDescent="0.2">
      <c r="A489" t="s">
        <v>591</v>
      </c>
      <c r="B489" t="s">
        <v>309</v>
      </c>
      <c r="E489" t="str">
        <f>IF(D489&lt;&gt;"",C489&amp;"/"&amp;D489,"")</f>
        <v/>
      </c>
      <c r="G489" s="5" t="str">
        <f>IF(F489&lt;&gt;"",HEX2DEC(SUBSTITUTE(SUBSTITUTE(F489,"adrEA",""),"$","")),"")</f>
        <v/>
      </c>
      <c r="I489" s="6" t="str">
        <f>IFERROR(DEC2HEX(H489),"")</f>
        <v>0</v>
      </c>
    </row>
    <row r="490" spans="1:9" x14ac:dyDescent="0.2">
      <c r="A490" t="s">
        <v>592</v>
      </c>
      <c r="B490" t="s">
        <v>309</v>
      </c>
      <c r="E490" t="str">
        <f>IF(D490&lt;&gt;"",C490&amp;"/"&amp;D490,"")</f>
        <v/>
      </c>
      <c r="G490" s="5" t="str">
        <f>IF(F490&lt;&gt;"",HEX2DEC(SUBSTITUTE(SUBSTITUTE(F490,"adrEA",""),"$","")),"")</f>
        <v/>
      </c>
      <c r="I490" s="6" t="str">
        <f>IFERROR(DEC2HEX(H490),"")</f>
        <v>0</v>
      </c>
    </row>
    <row r="491" spans="1:9" x14ac:dyDescent="0.2">
      <c r="A491" t="s">
        <v>593</v>
      </c>
      <c r="B491" t="s">
        <v>309</v>
      </c>
      <c r="E491" t="str">
        <f>IF(D491&lt;&gt;"",C491&amp;"/"&amp;D491,"")</f>
        <v/>
      </c>
      <c r="G491" s="5" t="str">
        <f>IF(F491&lt;&gt;"",HEX2DEC(SUBSTITUTE(SUBSTITUTE(F491,"adrEA",""),"$","")),"")</f>
        <v/>
      </c>
      <c r="I491" s="6" t="str">
        <f>IFERROR(DEC2HEX(H491),"")</f>
        <v>0</v>
      </c>
    </row>
    <row r="492" spans="1:9" x14ac:dyDescent="0.2">
      <c r="A492" t="s">
        <v>594</v>
      </c>
      <c r="B492" t="s">
        <v>309</v>
      </c>
      <c r="E492" t="str">
        <f>IF(D492&lt;&gt;"",C492&amp;"/"&amp;D492,"")</f>
        <v/>
      </c>
      <c r="G492" s="5" t="str">
        <f>IF(F492&lt;&gt;"",HEX2DEC(SUBSTITUTE(SUBSTITUTE(F492,"adrEA",""),"$","")),"")</f>
        <v/>
      </c>
      <c r="I492" s="6" t="str">
        <f>IFERROR(DEC2HEX(H492),"")</f>
        <v>0</v>
      </c>
    </row>
    <row r="493" spans="1:9" x14ac:dyDescent="0.2">
      <c r="A493" t="s">
        <v>595</v>
      </c>
      <c r="B493" t="s">
        <v>309</v>
      </c>
      <c r="E493" t="str">
        <f>IF(D493&lt;&gt;"",C493&amp;"/"&amp;D493,"")</f>
        <v/>
      </c>
      <c r="G493" s="5" t="str">
        <f>IF(F493&lt;&gt;"",HEX2DEC(SUBSTITUTE(SUBSTITUTE(F493,"adrEA",""),"$","")),"")</f>
        <v/>
      </c>
      <c r="I493" s="6" t="str">
        <f>IFERROR(DEC2HEX(H493),"")</f>
        <v>0</v>
      </c>
    </row>
    <row r="494" spans="1:9" x14ac:dyDescent="0.2">
      <c r="A494" t="s">
        <v>596</v>
      </c>
      <c r="B494" t="s">
        <v>309</v>
      </c>
      <c r="E494" t="str">
        <f>IF(D494&lt;&gt;"",C494&amp;"/"&amp;D494,"")</f>
        <v/>
      </c>
      <c r="G494" s="5" t="str">
        <f>IF(F494&lt;&gt;"",HEX2DEC(SUBSTITUTE(SUBSTITUTE(F494,"adrEA",""),"$","")),"")</f>
        <v/>
      </c>
      <c r="I494" s="6" t="str">
        <f>IFERROR(DEC2HEX(H494),"")</f>
        <v>0</v>
      </c>
    </row>
    <row r="495" spans="1:9" x14ac:dyDescent="0.2">
      <c r="A495" t="s">
        <v>597</v>
      </c>
      <c r="B495" t="s">
        <v>309</v>
      </c>
      <c r="E495" t="str">
        <f>IF(D495&lt;&gt;"",C495&amp;"/"&amp;D495,"")</f>
        <v/>
      </c>
      <c r="G495" s="5" t="str">
        <f>IF(F495&lt;&gt;"",HEX2DEC(SUBSTITUTE(SUBSTITUTE(F495,"adrEA",""),"$","")),"")</f>
        <v/>
      </c>
      <c r="I495" s="6" t="str">
        <f>IFERROR(DEC2HEX(H495),"")</f>
        <v>0</v>
      </c>
    </row>
    <row r="496" spans="1:9" x14ac:dyDescent="0.2">
      <c r="A496" t="s">
        <v>598</v>
      </c>
      <c r="B496" t="s">
        <v>309</v>
      </c>
      <c r="E496" t="str">
        <f>IF(D496&lt;&gt;"",C496&amp;"/"&amp;D496,"")</f>
        <v/>
      </c>
      <c r="G496" s="5" t="str">
        <f>IF(F496&lt;&gt;"",HEX2DEC(SUBSTITUTE(SUBSTITUTE(F496,"adrEA",""),"$","")),"")</f>
        <v/>
      </c>
      <c r="I496" s="6" t="str">
        <f>IFERROR(DEC2HEX(H496),"")</f>
        <v>0</v>
      </c>
    </row>
    <row r="497" spans="1:9" x14ac:dyDescent="0.2">
      <c r="A497" t="s">
        <v>599</v>
      </c>
      <c r="B497" t="s">
        <v>309</v>
      </c>
      <c r="E497" t="str">
        <f>IF(D497&lt;&gt;"",C497&amp;"/"&amp;D497,"")</f>
        <v/>
      </c>
      <c r="G497" s="5" t="str">
        <f>IF(F497&lt;&gt;"",HEX2DEC(SUBSTITUTE(SUBSTITUTE(F497,"adrEA",""),"$","")),"")</f>
        <v/>
      </c>
      <c r="I497" s="6" t="str">
        <f>IFERROR(DEC2HEX(H497),"")</f>
        <v>0</v>
      </c>
    </row>
    <row r="498" spans="1:9" x14ac:dyDescent="0.2">
      <c r="A498" t="s">
        <v>600</v>
      </c>
      <c r="B498" t="s">
        <v>309</v>
      </c>
      <c r="E498" t="str">
        <f>IF(D498&lt;&gt;"",C498&amp;"/"&amp;D498,"")</f>
        <v/>
      </c>
      <c r="G498" s="5" t="str">
        <f>IF(F498&lt;&gt;"",HEX2DEC(SUBSTITUTE(SUBSTITUTE(F498,"adrEA",""),"$","")),"")</f>
        <v/>
      </c>
      <c r="I498" s="6" t="str">
        <f>IFERROR(DEC2HEX(H498),"")</f>
        <v>0</v>
      </c>
    </row>
    <row r="499" spans="1:9" x14ac:dyDescent="0.2">
      <c r="A499" t="s">
        <v>601</v>
      </c>
      <c r="B499" t="s">
        <v>309</v>
      </c>
      <c r="E499" t="str">
        <f>IF(D499&lt;&gt;"",C499&amp;"/"&amp;D499,"")</f>
        <v/>
      </c>
      <c r="G499" s="5" t="str">
        <f>IF(F499&lt;&gt;"",HEX2DEC(SUBSTITUTE(SUBSTITUTE(F499,"adrEA",""),"$","")),"")</f>
        <v/>
      </c>
      <c r="I499" s="6" t="str">
        <f>IFERROR(DEC2HEX(H499),"")</f>
        <v>0</v>
      </c>
    </row>
    <row r="500" spans="1:9" x14ac:dyDescent="0.2">
      <c r="A500" t="s">
        <v>602</v>
      </c>
      <c r="B500" t="s">
        <v>309</v>
      </c>
      <c r="E500" t="str">
        <f>IF(D500&lt;&gt;"",C500&amp;"/"&amp;D500,"")</f>
        <v/>
      </c>
      <c r="G500" s="5" t="str">
        <f>IF(F500&lt;&gt;"",HEX2DEC(SUBSTITUTE(SUBSTITUTE(F500,"adrEA",""),"$","")),"")</f>
        <v/>
      </c>
      <c r="I500" s="6" t="str">
        <f>IFERROR(DEC2HEX(H500),"")</f>
        <v>0</v>
      </c>
    </row>
    <row r="501" spans="1:9" x14ac:dyDescent="0.2">
      <c r="A501" t="s">
        <v>603</v>
      </c>
      <c r="B501" t="s">
        <v>309</v>
      </c>
      <c r="E501" t="str">
        <f>IF(D501&lt;&gt;"",C501&amp;"/"&amp;D501,"")</f>
        <v/>
      </c>
      <c r="G501" s="5" t="str">
        <f>IF(F501&lt;&gt;"",HEX2DEC(SUBSTITUTE(SUBSTITUTE(F501,"adrEA",""),"$","")),"")</f>
        <v/>
      </c>
      <c r="I501" s="6" t="str">
        <f>IFERROR(DEC2HEX(H501),"")</f>
        <v>0</v>
      </c>
    </row>
    <row r="502" spans="1:9" x14ac:dyDescent="0.2">
      <c r="A502" t="s">
        <v>604</v>
      </c>
      <c r="B502" t="s">
        <v>309</v>
      </c>
      <c r="E502" t="str">
        <f>IF(D502&lt;&gt;"",C502&amp;"/"&amp;D502,"")</f>
        <v/>
      </c>
      <c r="G502" s="5" t="str">
        <f>IF(F502&lt;&gt;"",HEX2DEC(SUBSTITUTE(SUBSTITUTE(F502,"adrEA",""),"$","")),"")</f>
        <v/>
      </c>
      <c r="I502" s="6" t="str">
        <f>IFERROR(DEC2HEX(H502),"")</f>
        <v>0</v>
      </c>
    </row>
    <row r="503" spans="1:9" x14ac:dyDescent="0.2">
      <c r="A503" t="s">
        <v>605</v>
      </c>
      <c r="B503" t="s">
        <v>309</v>
      </c>
      <c r="E503" t="str">
        <f>IF(D503&lt;&gt;"",C503&amp;"/"&amp;D503,"")</f>
        <v/>
      </c>
      <c r="G503" s="5" t="str">
        <f>IF(F503&lt;&gt;"",HEX2DEC(SUBSTITUTE(SUBSTITUTE(F503,"adrEA",""),"$","")),"")</f>
        <v/>
      </c>
      <c r="I503" s="6" t="str">
        <f>IFERROR(DEC2HEX(H503),"")</f>
        <v>0</v>
      </c>
    </row>
    <row r="504" spans="1:9" x14ac:dyDescent="0.2">
      <c r="A504" t="s">
        <v>606</v>
      </c>
      <c r="B504" t="s">
        <v>309</v>
      </c>
      <c r="E504" t="str">
        <f>IF(D504&lt;&gt;"",C504&amp;"/"&amp;D504,"")</f>
        <v/>
      </c>
      <c r="G504" s="5" t="str">
        <f>IF(F504&lt;&gt;"",HEX2DEC(SUBSTITUTE(SUBSTITUTE(F504,"adrEA",""),"$","")),"")</f>
        <v/>
      </c>
      <c r="I504" s="6" t="str">
        <f>IFERROR(DEC2HEX(H504),"")</f>
        <v>0</v>
      </c>
    </row>
    <row r="505" spans="1:9" x14ac:dyDescent="0.2">
      <c r="A505" t="s">
        <v>607</v>
      </c>
      <c r="B505" t="s">
        <v>309</v>
      </c>
      <c r="E505" t="str">
        <f>IF(D505&lt;&gt;"",C505&amp;"/"&amp;D505,"")</f>
        <v/>
      </c>
      <c r="G505" s="5" t="str">
        <f>IF(F505&lt;&gt;"",HEX2DEC(SUBSTITUTE(SUBSTITUTE(F505,"adrEA",""),"$","")),"")</f>
        <v/>
      </c>
      <c r="I505" s="6" t="str">
        <f>IFERROR(DEC2HEX(H505),"")</f>
        <v>0</v>
      </c>
    </row>
    <row r="506" spans="1:9" x14ac:dyDescent="0.2">
      <c r="A506" t="s">
        <v>608</v>
      </c>
      <c r="B506" t="s">
        <v>309</v>
      </c>
      <c r="E506" t="str">
        <f>IF(D506&lt;&gt;"",C506&amp;"/"&amp;D506,"")</f>
        <v/>
      </c>
      <c r="G506" s="5" t="str">
        <f>IF(F506&lt;&gt;"",HEX2DEC(SUBSTITUTE(SUBSTITUTE(F506,"adrEA",""),"$","")),"")</f>
        <v/>
      </c>
      <c r="I506" s="6" t="str">
        <f>IFERROR(DEC2HEX(H506),"")</f>
        <v>0</v>
      </c>
    </row>
    <row r="507" spans="1:9" x14ac:dyDescent="0.2">
      <c r="A507" t="s">
        <v>609</v>
      </c>
      <c r="B507" t="s">
        <v>309</v>
      </c>
      <c r="E507" t="str">
        <f>IF(D507&lt;&gt;"",C507&amp;"/"&amp;D507,"")</f>
        <v/>
      </c>
      <c r="G507" s="5" t="str">
        <f>IF(F507&lt;&gt;"",HEX2DEC(SUBSTITUTE(SUBSTITUTE(F507,"adrEA",""),"$","")),"")</f>
        <v/>
      </c>
      <c r="I507" s="6" t="str">
        <f>IFERROR(DEC2HEX(H507),"")</f>
        <v>0</v>
      </c>
    </row>
    <row r="508" spans="1:9" x14ac:dyDescent="0.2">
      <c r="A508" t="s">
        <v>610</v>
      </c>
      <c r="B508" t="s">
        <v>309</v>
      </c>
      <c r="E508" t="str">
        <f>IF(D508&lt;&gt;"",C508&amp;"/"&amp;D508,"")</f>
        <v/>
      </c>
      <c r="G508" s="5" t="str">
        <f>IF(F508&lt;&gt;"",HEX2DEC(SUBSTITUTE(SUBSTITUTE(F508,"adrEA",""),"$","")),"")</f>
        <v/>
      </c>
      <c r="I508" s="6" t="str">
        <f>IFERROR(DEC2HEX(H508),"")</f>
        <v>0</v>
      </c>
    </row>
    <row r="509" spans="1:9" x14ac:dyDescent="0.2">
      <c r="A509" t="s">
        <v>611</v>
      </c>
      <c r="B509" t="s">
        <v>309</v>
      </c>
      <c r="E509" t="str">
        <f>IF(D509&lt;&gt;"",C509&amp;"/"&amp;D509,"")</f>
        <v/>
      </c>
      <c r="G509" s="5" t="str">
        <f>IF(F509&lt;&gt;"",HEX2DEC(SUBSTITUTE(SUBSTITUTE(F509,"adrEA",""),"$","")),"")</f>
        <v/>
      </c>
      <c r="I509" s="6" t="str">
        <f>IFERROR(DEC2HEX(H509),"")</f>
        <v>0</v>
      </c>
    </row>
    <row r="510" spans="1:9" x14ac:dyDescent="0.2">
      <c r="A510" t="s">
        <v>612</v>
      </c>
      <c r="B510" t="s">
        <v>309</v>
      </c>
      <c r="E510" t="str">
        <f>IF(D510&lt;&gt;"",C510&amp;"/"&amp;D510,"")</f>
        <v/>
      </c>
      <c r="G510" s="5" t="str">
        <f>IF(F510&lt;&gt;"",HEX2DEC(SUBSTITUTE(SUBSTITUTE(F510,"adrEA",""),"$","")),"")</f>
        <v/>
      </c>
      <c r="I510" s="6" t="str">
        <f>IFERROR(DEC2HEX(H510),"")</f>
        <v>0</v>
      </c>
    </row>
    <row r="511" spans="1:9" x14ac:dyDescent="0.2">
      <c r="A511" t="s">
        <v>613</v>
      </c>
      <c r="B511" t="s">
        <v>309</v>
      </c>
      <c r="E511" t="str">
        <f>IF(D511&lt;&gt;"",C511&amp;"/"&amp;D511,"")</f>
        <v/>
      </c>
      <c r="G511" s="5" t="str">
        <f>IF(F511&lt;&gt;"",HEX2DEC(SUBSTITUTE(SUBSTITUTE(F511,"adrEA",""),"$","")),"")</f>
        <v/>
      </c>
      <c r="I511" s="6" t="str">
        <f>IFERROR(DEC2HEX(H511),"")</f>
        <v>0</v>
      </c>
    </row>
    <row r="512" spans="1:9" x14ac:dyDescent="0.2">
      <c r="A512" t="s">
        <v>614</v>
      </c>
      <c r="B512" t="s">
        <v>309</v>
      </c>
      <c r="E512" t="str">
        <f>IF(D512&lt;&gt;"",C512&amp;"/"&amp;D512,"")</f>
        <v/>
      </c>
      <c r="G512" s="5" t="str">
        <f>IF(F512&lt;&gt;"",HEX2DEC(SUBSTITUTE(SUBSTITUTE(F512,"adrEA",""),"$","")),"")</f>
        <v/>
      </c>
      <c r="I512" s="6" t="str">
        <f>IFERROR(DEC2HEX(H512),"")</f>
        <v>0</v>
      </c>
    </row>
    <row r="513" spans="1:9" x14ac:dyDescent="0.2">
      <c r="A513" t="s">
        <v>615</v>
      </c>
      <c r="B513" t="s">
        <v>309</v>
      </c>
      <c r="E513" t="str">
        <f>IF(D513&lt;&gt;"",C513&amp;"/"&amp;D513,"")</f>
        <v/>
      </c>
      <c r="G513" s="5" t="str">
        <f>IF(F513&lt;&gt;"",HEX2DEC(SUBSTITUTE(SUBSTITUTE(F513,"adrEA",""),"$","")),"")</f>
        <v/>
      </c>
      <c r="I513" s="6" t="str">
        <f>IFERROR(DEC2HEX(H513),"")</f>
        <v>0</v>
      </c>
    </row>
    <row r="514" spans="1:9" x14ac:dyDescent="0.2">
      <c r="A514" t="s">
        <v>616</v>
      </c>
      <c r="B514" t="s">
        <v>309</v>
      </c>
      <c r="E514" t="str">
        <f>IF(D514&lt;&gt;"",C514&amp;"/"&amp;D514,"")</f>
        <v/>
      </c>
      <c r="G514" s="5" t="str">
        <f>IF(F514&lt;&gt;"",HEX2DEC(SUBSTITUTE(SUBSTITUTE(F514,"adrEA",""),"$","")),"")</f>
        <v/>
      </c>
      <c r="I514" s="6" t="str">
        <f>IFERROR(DEC2HEX(H514),"")</f>
        <v>0</v>
      </c>
    </row>
    <row r="515" spans="1:9" x14ac:dyDescent="0.2">
      <c r="A515" t="s">
        <v>617</v>
      </c>
      <c r="B515" t="s">
        <v>309</v>
      </c>
      <c r="E515" t="str">
        <f>IF(D515&lt;&gt;"",C515&amp;"/"&amp;D515,"")</f>
        <v/>
      </c>
      <c r="G515" s="5" t="str">
        <f>IF(F515&lt;&gt;"",HEX2DEC(SUBSTITUTE(SUBSTITUTE(F515,"adrEA",""),"$","")),"")</f>
        <v/>
      </c>
      <c r="I515" s="6" t="str">
        <f>IFERROR(DEC2HEX(H515),"")</f>
        <v>0</v>
      </c>
    </row>
    <row r="516" spans="1:9" x14ac:dyDescent="0.2">
      <c r="A516" t="s">
        <v>618</v>
      </c>
      <c r="B516" t="s">
        <v>309</v>
      </c>
      <c r="E516" t="str">
        <f>IF(D516&lt;&gt;"",C516&amp;"/"&amp;D516,"")</f>
        <v/>
      </c>
      <c r="G516" s="5" t="str">
        <f>IF(F516&lt;&gt;"",HEX2DEC(SUBSTITUTE(SUBSTITUTE(F516,"adrEA",""),"$","")),"")</f>
        <v/>
      </c>
      <c r="I516" s="6" t="str">
        <f>IFERROR(DEC2HEX(H516),"")</f>
        <v>0</v>
      </c>
    </row>
    <row r="517" spans="1:9" x14ac:dyDescent="0.2">
      <c r="A517" t="s">
        <v>619</v>
      </c>
      <c r="B517" t="s">
        <v>309</v>
      </c>
      <c r="E517" t="str">
        <f>IF(D517&lt;&gt;"",C517&amp;"/"&amp;D517,"")</f>
        <v/>
      </c>
      <c r="G517" s="5" t="str">
        <f>IF(F517&lt;&gt;"",HEX2DEC(SUBSTITUTE(SUBSTITUTE(F517,"adrEA",""),"$","")),"")</f>
        <v/>
      </c>
      <c r="I517" s="6" t="str">
        <f>IFERROR(DEC2HEX(H517),"")</f>
        <v>0</v>
      </c>
    </row>
    <row r="518" spans="1:9" x14ac:dyDescent="0.2">
      <c r="A518" t="s">
        <v>620</v>
      </c>
      <c r="B518" t="s">
        <v>309</v>
      </c>
      <c r="E518" t="str">
        <f>IF(D518&lt;&gt;"",C518&amp;"/"&amp;D518,"")</f>
        <v/>
      </c>
      <c r="G518" s="5" t="str">
        <f>IF(F518&lt;&gt;"",HEX2DEC(SUBSTITUTE(SUBSTITUTE(F518,"adrEA",""),"$","")),"")</f>
        <v/>
      </c>
      <c r="I518" s="6" t="str">
        <f>IFERROR(DEC2HEX(H518),"")</f>
        <v>0</v>
      </c>
    </row>
    <row r="519" spans="1:9" x14ac:dyDescent="0.2">
      <c r="A519" t="s">
        <v>621</v>
      </c>
      <c r="B519" t="s">
        <v>309</v>
      </c>
      <c r="E519" t="str">
        <f>IF(D519&lt;&gt;"",C519&amp;"/"&amp;D519,"")</f>
        <v/>
      </c>
      <c r="G519" s="5" t="str">
        <f>IF(F519&lt;&gt;"",HEX2DEC(SUBSTITUTE(SUBSTITUTE(F519,"adrEA",""),"$","")),"")</f>
        <v/>
      </c>
      <c r="I519" s="6" t="str">
        <f>IFERROR(DEC2HEX(H519),"")</f>
        <v>0</v>
      </c>
    </row>
    <row r="520" spans="1:9" x14ac:dyDescent="0.2">
      <c r="A520" t="s">
        <v>622</v>
      </c>
      <c r="B520" t="s">
        <v>309</v>
      </c>
      <c r="E520" t="str">
        <f>IF(D520&lt;&gt;"",C520&amp;"/"&amp;D520,"")</f>
        <v/>
      </c>
      <c r="G520" s="5" t="str">
        <f>IF(F520&lt;&gt;"",HEX2DEC(SUBSTITUTE(SUBSTITUTE(F520,"adrEA",""),"$","")),"")</f>
        <v/>
      </c>
      <c r="I520" s="6" t="str">
        <f>IFERROR(DEC2HEX(H520),"")</f>
        <v>0</v>
      </c>
    </row>
    <row r="521" spans="1:9" x14ac:dyDescent="0.2">
      <c r="A521" t="s">
        <v>623</v>
      </c>
      <c r="B521" t="s">
        <v>309</v>
      </c>
      <c r="E521" t="str">
        <f>IF(D521&lt;&gt;"",C521&amp;"/"&amp;D521,"")</f>
        <v/>
      </c>
      <c r="G521" s="5" t="str">
        <f>IF(F521&lt;&gt;"",HEX2DEC(SUBSTITUTE(SUBSTITUTE(F521,"adrEA",""),"$","")),"")</f>
        <v/>
      </c>
      <c r="I521" s="6" t="str">
        <f>IFERROR(DEC2HEX(H521),"")</f>
        <v>0</v>
      </c>
    </row>
    <row r="522" spans="1:9" x14ac:dyDescent="0.2">
      <c r="A522" t="s">
        <v>624</v>
      </c>
      <c r="B522" t="s">
        <v>309</v>
      </c>
      <c r="E522" t="str">
        <f>IF(D522&lt;&gt;"",C522&amp;"/"&amp;D522,"")</f>
        <v/>
      </c>
      <c r="G522" s="5" t="str">
        <f>IF(F522&lt;&gt;"",HEX2DEC(SUBSTITUTE(SUBSTITUTE(F522,"adrEA",""),"$","")),"")</f>
        <v/>
      </c>
      <c r="I522" s="6" t="str">
        <f>IFERROR(DEC2HEX(H522),"")</f>
        <v>0</v>
      </c>
    </row>
    <row r="523" spans="1:9" x14ac:dyDescent="0.2">
      <c r="A523" t="s">
        <v>625</v>
      </c>
      <c r="B523" t="s">
        <v>309</v>
      </c>
      <c r="E523" t="str">
        <f>IF(D523&lt;&gt;"",C523&amp;"/"&amp;D523,"")</f>
        <v/>
      </c>
      <c r="G523" s="5" t="str">
        <f>IF(F523&lt;&gt;"",HEX2DEC(SUBSTITUTE(SUBSTITUTE(F523,"adrEA",""),"$","")),"")</f>
        <v/>
      </c>
      <c r="I523" s="6" t="str">
        <f>IFERROR(DEC2HEX(H523),"")</f>
        <v>0</v>
      </c>
    </row>
    <row r="524" spans="1:9" x14ac:dyDescent="0.2">
      <c r="A524" t="s">
        <v>626</v>
      </c>
      <c r="B524" t="s">
        <v>309</v>
      </c>
      <c r="E524" t="str">
        <f>IF(D524&lt;&gt;"",C524&amp;"/"&amp;D524,"")</f>
        <v/>
      </c>
      <c r="G524" s="5" t="str">
        <f>IF(F524&lt;&gt;"",HEX2DEC(SUBSTITUTE(SUBSTITUTE(F524,"adrEA",""),"$","")),"")</f>
        <v/>
      </c>
      <c r="I524" s="6" t="str">
        <f>IFERROR(DEC2HEX(H524),"")</f>
        <v>0</v>
      </c>
    </row>
    <row r="525" spans="1:9" x14ac:dyDescent="0.2">
      <c r="A525" t="s">
        <v>627</v>
      </c>
      <c r="B525" t="s">
        <v>309</v>
      </c>
      <c r="E525" t="str">
        <f>IF(D525&lt;&gt;"",C525&amp;"/"&amp;D525,"")</f>
        <v/>
      </c>
      <c r="G525" s="5" t="str">
        <f>IF(F525&lt;&gt;"",HEX2DEC(SUBSTITUTE(SUBSTITUTE(F525,"adrEA",""),"$","")),"")</f>
        <v/>
      </c>
      <c r="I525" s="6" t="str">
        <f>IFERROR(DEC2HEX(H525),"")</f>
        <v>0</v>
      </c>
    </row>
    <row r="526" spans="1:9" x14ac:dyDescent="0.2">
      <c r="A526" t="s">
        <v>628</v>
      </c>
      <c r="B526" t="s">
        <v>309</v>
      </c>
      <c r="E526" t="str">
        <f>IF(D526&lt;&gt;"",C526&amp;"/"&amp;D526,"")</f>
        <v/>
      </c>
      <c r="G526" s="5" t="str">
        <f>IF(F526&lt;&gt;"",HEX2DEC(SUBSTITUTE(SUBSTITUTE(F526,"adrEA",""),"$","")),"")</f>
        <v/>
      </c>
      <c r="I526" s="6" t="str">
        <f>IFERROR(DEC2HEX(H526),"")</f>
        <v>0</v>
      </c>
    </row>
    <row r="527" spans="1:9" x14ac:dyDescent="0.2">
      <c r="A527" t="s">
        <v>629</v>
      </c>
      <c r="B527" t="s">
        <v>309</v>
      </c>
      <c r="E527" t="str">
        <f>IF(D527&lt;&gt;"",C527&amp;"/"&amp;D527,"")</f>
        <v/>
      </c>
      <c r="G527" s="5" t="str">
        <f>IF(F527&lt;&gt;"",HEX2DEC(SUBSTITUTE(SUBSTITUTE(F527,"adrEA",""),"$","")),"")</f>
        <v/>
      </c>
      <c r="I527" s="6" t="str">
        <f>IFERROR(DEC2HEX(H527),"")</f>
        <v>0</v>
      </c>
    </row>
    <row r="528" spans="1:9" x14ac:dyDescent="0.2">
      <c r="A528" t="s">
        <v>630</v>
      </c>
      <c r="B528" t="s">
        <v>309</v>
      </c>
      <c r="E528" t="str">
        <f>IF(D528&lt;&gt;"",C528&amp;"/"&amp;D528,"")</f>
        <v/>
      </c>
      <c r="G528" s="5" t="str">
        <f>IF(F528&lt;&gt;"",HEX2DEC(SUBSTITUTE(SUBSTITUTE(F528,"adrEA",""),"$","")),"")</f>
        <v/>
      </c>
      <c r="I528" s="6" t="str">
        <f>IFERROR(DEC2HEX(H528),"")</f>
        <v>0</v>
      </c>
    </row>
    <row r="529" spans="1:9" x14ac:dyDescent="0.2">
      <c r="A529" t="s">
        <v>631</v>
      </c>
      <c r="B529" t="s">
        <v>309</v>
      </c>
      <c r="E529" t="str">
        <f>IF(D529&lt;&gt;"",C529&amp;"/"&amp;D529,"")</f>
        <v/>
      </c>
      <c r="G529" s="5" t="str">
        <f>IF(F529&lt;&gt;"",HEX2DEC(SUBSTITUTE(SUBSTITUTE(F529,"adrEA",""),"$","")),"")</f>
        <v/>
      </c>
      <c r="I529" s="6" t="str">
        <f>IFERROR(DEC2HEX(H529),"")</f>
        <v>0</v>
      </c>
    </row>
    <row r="530" spans="1:9" x14ac:dyDescent="0.2">
      <c r="A530" t="s">
        <v>632</v>
      </c>
      <c r="B530" t="s">
        <v>309</v>
      </c>
      <c r="E530" t="str">
        <f>IF(D530&lt;&gt;"",C530&amp;"/"&amp;D530,"")</f>
        <v/>
      </c>
      <c r="G530" s="5" t="str">
        <f>IF(F530&lt;&gt;"",HEX2DEC(SUBSTITUTE(SUBSTITUTE(F530,"adrEA",""),"$","")),"")</f>
        <v/>
      </c>
      <c r="I530" s="6" t="str">
        <f>IFERROR(DEC2HEX(H530),"")</f>
        <v>0</v>
      </c>
    </row>
    <row r="531" spans="1:9" x14ac:dyDescent="0.2">
      <c r="A531" t="s">
        <v>633</v>
      </c>
      <c r="B531" t="s">
        <v>309</v>
      </c>
      <c r="E531" t="str">
        <f>IF(D531&lt;&gt;"",C531&amp;"/"&amp;D531,"")</f>
        <v/>
      </c>
      <c r="G531" s="5" t="str">
        <f>IF(F531&lt;&gt;"",HEX2DEC(SUBSTITUTE(SUBSTITUTE(F531,"adrEA",""),"$","")),"")</f>
        <v/>
      </c>
      <c r="I531" s="6" t="str">
        <f>IFERROR(DEC2HEX(H531),"")</f>
        <v>0</v>
      </c>
    </row>
    <row r="532" spans="1:9" x14ac:dyDescent="0.2">
      <c r="A532" t="s">
        <v>634</v>
      </c>
      <c r="B532" t="s">
        <v>309</v>
      </c>
      <c r="E532" t="str">
        <f>IF(D532&lt;&gt;"",C532&amp;"/"&amp;D532,"")</f>
        <v/>
      </c>
      <c r="G532" s="5" t="str">
        <f>IF(F532&lt;&gt;"",HEX2DEC(SUBSTITUTE(SUBSTITUTE(F532,"adrEA",""),"$","")),"")</f>
        <v/>
      </c>
      <c r="I532" s="6" t="str">
        <f>IFERROR(DEC2HEX(H532),"")</f>
        <v>0</v>
      </c>
    </row>
    <row r="533" spans="1:9" x14ac:dyDescent="0.2">
      <c r="A533" t="s">
        <v>635</v>
      </c>
      <c r="B533" t="s">
        <v>309</v>
      </c>
      <c r="E533" t="str">
        <f>IF(D533&lt;&gt;"",C533&amp;"/"&amp;D533,"")</f>
        <v/>
      </c>
      <c r="G533" s="5" t="str">
        <f>IF(F533&lt;&gt;"",HEX2DEC(SUBSTITUTE(SUBSTITUTE(F533,"adrEA",""),"$","")),"")</f>
        <v/>
      </c>
      <c r="I533" s="6" t="str">
        <f>IFERROR(DEC2HEX(H533),"")</f>
        <v>0</v>
      </c>
    </row>
    <row r="534" spans="1:9" x14ac:dyDescent="0.2">
      <c r="A534" t="s">
        <v>636</v>
      </c>
      <c r="B534" t="s">
        <v>309</v>
      </c>
      <c r="E534" t="str">
        <f>IF(D534&lt;&gt;"",C534&amp;"/"&amp;D534,"")</f>
        <v/>
      </c>
      <c r="G534" s="5" t="str">
        <f>IF(F534&lt;&gt;"",HEX2DEC(SUBSTITUTE(SUBSTITUTE(F534,"adrEA",""),"$","")),"")</f>
        <v/>
      </c>
      <c r="I534" s="6" t="str">
        <f>IFERROR(DEC2HEX(H534),"")</f>
        <v>0</v>
      </c>
    </row>
    <row r="535" spans="1:9" x14ac:dyDescent="0.2">
      <c r="A535" t="s">
        <v>637</v>
      </c>
      <c r="B535" t="s">
        <v>309</v>
      </c>
      <c r="E535" t="str">
        <f>IF(D535&lt;&gt;"",C535&amp;"/"&amp;D535,"")</f>
        <v/>
      </c>
      <c r="G535" s="5" t="str">
        <f>IF(F535&lt;&gt;"",HEX2DEC(SUBSTITUTE(SUBSTITUTE(F535,"adrEA",""),"$","")),"")</f>
        <v/>
      </c>
      <c r="I535" s="6" t="str">
        <f>IFERROR(DEC2HEX(H535),"")</f>
        <v>0</v>
      </c>
    </row>
    <row r="536" spans="1:9" x14ac:dyDescent="0.2">
      <c r="A536" t="s">
        <v>638</v>
      </c>
      <c r="B536" t="s">
        <v>309</v>
      </c>
      <c r="E536" t="str">
        <f>IF(D536&lt;&gt;"",C536&amp;"/"&amp;D536,"")</f>
        <v/>
      </c>
      <c r="G536" s="5" t="str">
        <f>IF(F536&lt;&gt;"",HEX2DEC(SUBSTITUTE(SUBSTITUTE(F536,"adrEA",""),"$","")),"")</f>
        <v/>
      </c>
      <c r="I536" s="6" t="str">
        <f>IFERROR(DEC2HEX(H536),"")</f>
        <v>0</v>
      </c>
    </row>
    <row r="537" spans="1:9" x14ac:dyDescent="0.2">
      <c r="A537" t="s">
        <v>639</v>
      </c>
      <c r="B537" t="s">
        <v>309</v>
      </c>
      <c r="E537" t="str">
        <f>IF(D537&lt;&gt;"",C537&amp;"/"&amp;D537,"")</f>
        <v/>
      </c>
      <c r="G537" s="5" t="str">
        <f>IF(F537&lt;&gt;"",HEX2DEC(SUBSTITUTE(SUBSTITUTE(F537,"adrEA",""),"$","")),"")</f>
        <v/>
      </c>
      <c r="I537" s="6" t="str">
        <f>IFERROR(DEC2HEX(H537),"")</f>
        <v>0</v>
      </c>
    </row>
    <row r="538" spans="1:9" x14ac:dyDescent="0.2">
      <c r="A538" t="s">
        <v>640</v>
      </c>
      <c r="B538" t="s">
        <v>309</v>
      </c>
      <c r="E538" t="str">
        <f>IF(D538&lt;&gt;"",C538&amp;"/"&amp;D538,"")</f>
        <v/>
      </c>
      <c r="G538" s="5" t="str">
        <f>IF(F538&lt;&gt;"",HEX2DEC(SUBSTITUTE(SUBSTITUTE(F538,"adrEA",""),"$","")),"")</f>
        <v/>
      </c>
      <c r="I538" s="6" t="str">
        <f>IFERROR(DEC2HEX(H538),"")</f>
        <v>0</v>
      </c>
    </row>
    <row r="539" spans="1:9" x14ac:dyDescent="0.2">
      <c r="A539" t="s">
        <v>641</v>
      </c>
      <c r="B539" t="s">
        <v>309</v>
      </c>
      <c r="E539" t="str">
        <f>IF(D539&lt;&gt;"",C539&amp;"/"&amp;D539,"")</f>
        <v/>
      </c>
      <c r="G539" s="5" t="str">
        <f>IF(F539&lt;&gt;"",HEX2DEC(SUBSTITUTE(SUBSTITUTE(F539,"adrEA",""),"$","")),"")</f>
        <v/>
      </c>
      <c r="I539" s="6" t="str">
        <f>IFERROR(DEC2HEX(H539),"")</f>
        <v>0</v>
      </c>
    </row>
    <row r="540" spans="1:9" x14ac:dyDescent="0.2">
      <c r="A540" t="s">
        <v>642</v>
      </c>
      <c r="B540" t="s">
        <v>309</v>
      </c>
      <c r="E540" t="str">
        <f>IF(D540&lt;&gt;"",C540&amp;"/"&amp;D540,"")</f>
        <v/>
      </c>
      <c r="G540" s="5" t="str">
        <f>IF(F540&lt;&gt;"",HEX2DEC(SUBSTITUTE(SUBSTITUTE(F540,"adrEA",""),"$","")),"")</f>
        <v/>
      </c>
      <c r="I540" s="6" t="str">
        <f>IFERROR(DEC2HEX(H540),"")</f>
        <v>0</v>
      </c>
    </row>
    <row r="541" spans="1:9" x14ac:dyDescent="0.2">
      <c r="A541" t="s">
        <v>643</v>
      </c>
      <c r="B541" t="s">
        <v>309</v>
      </c>
      <c r="E541" t="str">
        <f>IF(D541&lt;&gt;"",C541&amp;"/"&amp;D541,"")</f>
        <v/>
      </c>
      <c r="G541" s="5" t="str">
        <f>IF(F541&lt;&gt;"",HEX2DEC(SUBSTITUTE(SUBSTITUTE(F541,"adrEA",""),"$","")),"")</f>
        <v/>
      </c>
      <c r="I541" s="6" t="str">
        <f>IFERROR(DEC2HEX(H541),"")</f>
        <v>0</v>
      </c>
    </row>
    <row r="542" spans="1:9" x14ac:dyDescent="0.2">
      <c r="A542" t="s">
        <v>644</v>
      </c>
      <c r="B542" t="s">
        <v>309</v>
      </c>
      <c r="E542" t="str">
        <f>IF(D542&lt;&gt;"",C542&amp;"/"&amp;D542,"")</f>
        <v/>
      </c>
      <c r="G542" s="5" t="str">
        <f>IF(F542&lt;&gt;"",HEX2DEC(SUBSTITUTE(SUBSTITUTE(F542,"adrEA",""),"$","")),"")</f>
        <v/>
      </c>
      <c r="I542" s="6" t="str">
        <f>IFERROR(DEC2HEX(H542),"")</f>
        <v>0</v>
      </c>
    </row>
    <row r="543" spans="1:9" x14ac:dyDescent="0.2">
      <c r="A543" t="s">
        <v>645</v>
      </c>
      <c r="B543" t="s">
        <v>309</v>
      </c>
      <c r="E543" t="str">
        <f>IF(D543&lt;&gt;"",C543&amp;"/"&amp;D543,"")</f>
        <v/>
      </c>
      <c r="G543" s="5" t="str">
        <f>IF(F543&lt;&gt;"",HEX2DEC(SUBSTITUTE(SUBSTITUTE(F543,"adrEA",""),"$","")),"")</f>
        <v/>
      </c>
      <c r="I543" s="6" t="str">
        <f>IFERROR(DEC2HEX(H543),"")</f>
        <v>0</v>
      </c>
    </row>
    <row r="544" spans="1:9" x14ac:dyDescent="0.2">
      <c r="A544" t="s">
        <v>646</v>
      </c>
      <c r="B544" t="s">
        <v>309</v>
      </c>
      <c r="E544" t="str">
        <f>IF(D544&lt;&gt;"",C544&amp;"/"&amp;D544,"")</f>
        <v/>
      </c>
      <c r="G544" s="5" t="str">
        <f>IF(F544&lt;&gt;"",HEX2DEC(SUBSTITUTE(SUBSTITUTE(F544,"adrEA",""),"$","")),"")</f>
        <v/>
      </c>
      <c r="I544" s="6" t="str">
        <f>IFERROR(DEC2HEX(H544),"")</f>
        <v>0</v>
      </c>
    </row>
    <row r="545" spans="1:9" x14ac:dyDescent="0.2">
      <c r="A545" t="s">
        <v>647</v>
      </c>
      <c r="B545" t="s">
        <v>309</v>
      </c>
      <c r="E545" t="str">
        <f>IF(D545&lt;&gt;"",C545&amp;"/"&amp;D545,"")</f>
        <v/>
      </c>
      <c r="G545" s="5" t="str">
        <f>IF(F545&lt;&gt;"",HEX2DEC(SUBSTITUTE(SUBSTITUTE(F545,"adrEA",""),"$","")),"")</f>
        <v/>
      </c>
      <c r="I545" s="6" t="str">
        <f>IFERROR(DEC2HEX(H545),"")</f>
        <v>0</v>
      </c>
    </row>
    <row r="546" spans="1:9" x14ac:dyDescent="0.2">
      <c r="A546" t="s">
        <v>648</v>
      </c>
      <c r="B546" t="s">
        <v>309</v>
      </c>
      <c r="E546" t="str">
        <f>IF(D546&lt;&gt;"",C546&amp;"/"&amp;D546,"")</f>
        <v/>
      </c>
      <c r="G546" s="5" t="str">
        <f>IF(F546&lt;&gt;"",HEX2DEC(SUBSTITUTE(SUBSTITUTE(F546,"adrEA",""),"$","")),"")</f>
        <v/>
      </c>
      <c r="I546" s="6" t="str">
        <f>IFERROR(DEC2HEX(H546),"")</f>
        <v>0</v>
      </c>
    </row>
    <row r="547" spans="1:9" x14ac:dyDescent="0.2">
      <c r="A547" t="s">
        <v>649</v>
      </c>
      <c r="B547" t="s">
        <v>309</v>
      </c>
      <c r="E547" t="str">
        <f>IF(D547&lt;&gt;"",C547&amp;"/"&amp;D547,"")</f>
        <v/>
      </c>
      <c r="G547" s="5" t="str">
        <f>IF(F547&lt;&gt;"",HEX2DEC(SUBSTITUTE(SUBSTITUTE(F547,"adrEA",""),"$","")),"")</f>
        <v/>
      </c>
      <c r="I547" s="6" t="str">
        <f>IFERROR(DEC2HEX(H547),"")</f>
        <v>0</v>
      </c>
    </row>
    <row r="548" spans="1:9" x14ac:dyDescent="0.2">
      <c r="A548" t="s">
        <v>650</v>
      </c>
      <c r="B548" t="s">
        <v>309</v>
      </c>
      <c r="E548" t="str">
        <f>IF(D548&lt;&gt;"",C548&amp;"/"&amp;D548,"")</f>
        <v/>
      </c>
      <c r="G548" s="5" t="str">
        <f>IF(F548&lt;&gt;"",HEX2DEC(SUBSTITUTE(SUBSTITUTE(F548,"adrEA",""),"$","")),"")</f>
        <v/>
      </c>
      <c r="I548" s="6" t="str">
        <f>IFERROR(DEC2HEX(H548),"")</f>
        <v>0</v>
      </c>
    </row>
    <row r="549" spans="1:9" x14ac:dyDescent="0.2">
      <c r="A549" t="s">
        <v>651</v>
      </c>
      <c r="B549" t="s">
        <v>309</v>
      </c>
      <c r="E549" t="str">
        <f>IF(D549&lt;&gt;"",C549&amp;"/"&amp;D549,"")</f>
        <v/>
      </c>
      <c r="G549" s="5" t="str">
        <f>IF(F549&lt;&gt;"",HEX2DEC(SUBSTITUTE(SUBSTITUTE(F549,"adrEA",""),"$","")),"")</f>
        <v/>
      </c>
      <c r="I549" s="6" t="str">
        <f>IFERROR(DEC2HEX(H549),"")</f>
        <v>0</v>
      </c>
    </row>
    <row r="550" spans="1:9" x14ac:dyDescent="0.2">
      <c r="A550" t="s">
        <v>652</v>
      </c>
      <c r="B550" t="s">
        <v>309</v>
      </c>
      <c r="E550" t="str">
        <f>IF(D550&lt;&gt;"",C550&amp;"/"&amp;D550,"")</f>
        <v/>
      </c>
      <c r="G550" s="5" t="str">
        <f>IF(F550&lt;&gt;"",HEX2DEC(SUBSTITUTE(SUBSTITUTE(F550,"adrEA",""),"$","")),"")</f>
        <v/>
      </c>
      <c r="I550" s="6" t="str">
        <f>IFERROR(DEC2HEX(H550),"")</f>
        <v>0</v>
      </c>
    </row>
    <row r="551" spans="1:9" x14ac:dyDescent="0.2">
      <c r="A551" t="s">
        <v>653</v>
      </c>
      <c r="B551" t="s">
        <v>309</v>
      </c>
      <c r="E551" t="str">
        <f>IF(D551&lt;&gt;"",C551&amp;"/"&amp;D551,"")</f>
        <v/>
      </c>
      <c r="G551" s="5" t="str">
        <f>IF(F551&lt;&gt;"",HEX2DEC(SUBSTITUTE(SUBSTITUTE(F551,"adrEA",""),"$","")),"")</f>
        <v/>
      </c>
      <c r="I551" s="6" t="str">
        <f>IFERROR(DEC2HEX(H551),"")</f>
        <v>0</v>
      </c>
    </row>
    <row r="552" spans="1:9" x14ac:dyDescent="0.2">
      <c r="A552" t="s">
        <v>654</v>
      </c>
      <c r="B552" t="s">
        <v>309</v>
      </c>
      <c r="E552" t="str">
        <f>IF(D552&lt;&gt;"",C552&amp;"/"&amp;D552,"")</f>
        <v/>
      </c>
      <c r="G552" s="5" t="str">
        <f>IF(F552&lt;&gt;"",HEX2DEC(SUBSTITUTE(SUBSTITUTE(F552,"adrEA",""),"$","")),"")</f>
        <v/>
      </c>
      <c r="I552" s="6" t="str">
        <f>IFERROR(DEC2HEX(H552),"")</f>
        <v>0</v>
      </c>
    </row>
    <row r="553" spans="1:9" x14ac:dyDescent="0.2">
      <c r="A553" t="s">
        <v>655</v>
      </c>
      <c r="B553" t="s">
        <v>309</v>
      </c>
      <c r="E553" t="str">
        <f>IF(D553&lt;&gt;"",C553&amp;"/"&amp;D553,"")</f>
        <v/>
      </c>
      <c r="G553" s="5" t="str">
        <f>IF(F553&lt;&gt;"",HEX2DEC(SUBSTITUTE(SUBSTITUTE(F553,"adrEA",""),"$","")),"")</f>
        <v/>
      </c>
      <c r="I553" s="6" t="str">
        <f>IFERROR(DEC2HEX(H553),"")</f>
        <v>0</v>
      </c>
    </row>
    <row r="554" spans="1:9" x14ac:dyDescent="0.2">
      <c r="A554" t="s">
        <v>656</v>
      </c>
      <c r="B554" t="s">
        <v>309</v>
      </c>
      <c r="E554" t="str">
        <f>IF(D554&lt;&gt;"",C554&amp;"/"&amp;D554,"")</f>
        <v/>
      </c>
      <c r="G554" s="5" t="str">
        <f>IF(F554&lt;&gt;"",HEX2DEC(SUBSTITUTE(SUBSTITUTE(F554,"adrEA",""),"$","")),"")</f>
        <v/>
      </c>
      <c r="I554" s="6" t="str">
        <f>IFERROR(DEC2HEX(H554),"")</f>
        <v>0</v>
      </c>
    </row>
    <row r="555" spans="1:9" x14ac:dyDescent="0.2">
      <c r="A555" t="s">
        <v>657</v>
      </c>
      <c r="B555" t="s">
        <v>309</v>
      </c>
      <c r="E555" t="str">
        <f>IF(D555&lt;&gt;"",C555&amp;"/"&amp;D555,"")</f>
        <v/>
      </c>
      <c r="G555" s="5" t="str">
        <f>IF(F555&lt;&gt;"",HEX2DEC(SUBSTITUTE(SUBSTITUTE(F555,"adrEA",""),"$","")),"")</f>
        <v/>
      </c>
      <c r="I555" s="6" t="str">
        <f>IFERROR(DEC2HEX(H555),"")</f>
        <v>0</v>
      </c>
    </row>
    <row r="556" spans="1:9" x14ac:dyDescent="0.2">
      <c r="A556" t="s">
        <v>658</v>
      </c>
      <c r="B556" t="s">
        <v>309</v>
      </c>
      <c r="E556" t="str">
        <f>IF(D556&lt;&gt;"",C556&amp;"/"&amp;D556,"")</f>
        <v/>
      </c>
      <c r="G556" s="5" t="str">
        <f>IF(F556&lt;&gt;"",HEX2DEC(SUBSTITUTE(SUBSTITUTE(F556,"adrEA",""),"$","")),"")</f>
        <v/>
      </c>
      <c r="I556" s="6" t="str">
        <f>IFERROR(DEC2HEX(H556),"")</f>
        <v>0</v>
      </c>
    </row>
    <row r="557" spans="1:9" x14ac:dyDescent="0.2">
      <c r="A557" t="s">
        <v>659</v>
      </c>
      <c r="B557" t="s">
        <v>309</v>
      </c>
      <c r="E557" t="str">
        <f>IF(D557&lt;&gt;"",C557&amp;"/"&amp;D557,"")</f>
        <v/>
      </c>
      <c r="G557" s="5" t="str">
        <f>IF(F557&lt;&gt;"",HEX2DEC(SUBSTITUTE(SUBSTITUTE(F557,"adrEA",""),"$","")),"")</f>
        <v/>
      </c>
      <c r="I557" s="6" t="str">
        <f>IFERROR(DEC2HEX(H557),"")</f>
        <v>0</v>
      </c>
    </row>
    <row r="558" spans="1:9" x14ac:dyDescent="0.2">
      <c r="A558" t="s">
        <v>660</v>
      </c>
      <c r="B558" t="s">
        <v>309</v>
      </c>
      <c r="E558" t="str">
        <f>IF(D558&lt;&gt;"",C558&amp;"/"&amp;D558,"")</f>
        <v/>
      </c>
      <c r="G558" s="5" t="str">
        <f>IF(F558&lt;&gt;"",HEX2DEC(SUBSTITUTE(SUBSTITUTE(F558,"adrEA",""),"$","")),"")</f>
        <v/>
      </c>
      <c r="I558" s="6" t="str">
        <f>IFERROR(DEC2HEX(H558),"")</f>
        <v>0</v>
      </c>
    </row>
    <row r="559" spans="1:9" x14ac:dyDescent="0.2">
      <c r="A559" t="s">
        <v>661</v>
      </c>
      <c r="B559" t="s">
        <v>309</v>
      </c>
      <c r="E559" t="str">
        <f>IF(D559&lt;&gt;"",C559&amp;"/"&amp;D559,"")</f>
        <v/>
      </c>
      <c r="G559" s="5" t="str">
        <f>IF(F559&lt;&gt;"",HEX2DEC(SUBSTITUTE(SUBSTITUTE(F559,"adrEA",""),"$","")),"")</f>
        <v/>
      </c>
      <c r="I559" s="6" t="str">
        <f>IFERROR(DEC2HEX(H559),"")</f>
        <v>0</v>
      </c>
    </row>
    <row r="560" spans="1:9" x14ac:dyDescent="0.2">
      <c r="A560" t="s">
        <v>662</v>
      </c>
      <c r="B560" t="s">
        <v>309</v>
      </c>
      <c r="E560" t="str">
        <f>IF(D560&lt;&gt;"",C560&amp;"/"&amp;D560,"")</f>
        <v/>
      </c>
      <c r="G560" s="5" t="str">
        <f>IF(F560&lt;&gt;"",HEX2DEC(SUBSTITUTE(SUBSTITUTE(F560,"adrEA",""),"$","")),"")</f>
        <v/>
      </c>
      <c r="I560" s="6" t="str">
        <f>IFERROR(DEC2HEX(H560),"")</f>
        <v>0</v>
      </c>
    </row>
    <row r="561" spans="1:9" x14ac:dyDescent="0.2">
      <c r="A561" t="s">
        <v>663</v>
      </c>
      <c r="B561" t="s">
        <v>309</v>
      </c>
      <c r="E561" t="str">
        <f>IF(D561&lt;&gt;"",C561&amp;"/"&amp;D561,"")</f>
        <v/>
      </c>
      <c r="G561" s="5" t="str">
        <f>IF(F561&lt;&gt;"",HEX2DEC(SUBSTITUTE(SUBSTITUTE(F561,"adrEA",""),"$","")),"")</f>
        <v/>
      </c>
      <c r="I561" s="6" t="str">
        <f>IFERROR(DEC2HEX(H561),"")</f>
        <v>0</v>
      </c>
    </row>
    <row r="562" spans="1:9" x14ac:dyDescent="0.2">
      <c r="A562" t="s">
        <v>664</v>
      </c>
      <c r="B562" t="s">
        <v>309</v>
      </c>
      <c r="E562" t="str">
        <f>IF(D562&lt;&gt;"",C562&amp;"/"&amp;D562,"")</f>
        <v/>
      </c>
      <c r="G562" s="5" t="str">
        <f>IF(F562&lt;&gt;"",HEX2DEC(SUBSTITUTE(SUBSTITUTE(F562,"adrEA",""),"$","")),"")</f>
        <v/>
      </c>
      <c r="I562" s="6" t="str">
        <f>IFERROR(DEC2HEX(H562),"")</f>
        <v>0</v>
      </c>
    </row>
    <row r="563" spans="1:9" x14ac:dyDescent="0.2">
      <c r="A563" t="s">
        <v>665</v>
      </c>
      <c r="B563" t="s">
        <v>309</v>
      </c>
      <c r="E563" t="str">
        <f>IF(D563&lt;&gt;"",C563&amp;"/"&amp;D563,"")</f>
        <v/>
      </c>
      <c r="G563" s="5" t="str">
        <f>IF(F563&lt;&gt;"",HEX2DEC(SUBSTITUTE(SUBSTITUTE(F563,"adrEA",""),"$","")),"")</f>
        <v/>
      </c>
      <c r="I563" s="6" t="str">
        <f>IFERROR(DEC2HEX(H563),"")</f>
        <v>0</v>
      </c>
    </row>
    <row r="564" spans="1:9" x14ac:dyDescent="0.2">
      <c r="A564" t="s">
        <v>666</v>
      </c>
      <c r="B564" t="s">
        <v>309</v>
      </c>
      <c r="E564" t="str">
        <f>IF(D564&lt;&gt;"",C564&amp;"/"&amp;D564,"")</f>
        <v/>
      </c>
      <c r="G564" s="5" t="str">
        <f>IF(F564&lt;&gt;"",HEX2DEC(SUBSTITUTE(SUBSTITUTE(F564,"adrEA",""),"$","")),"")</f>
        <v/>
      </c>
      <c r="I564" s="6" t="str">
        <f>IFERROR(DEC2HEX(H564),"")</f>
        <v>0</v>
      </c>
    </row>
    <row r="565" spans="1:9" x14ac:dyDescent="0.2">
      <c r="A565" t="s">
        <v>667</v>
      </c>
      <c r="B565" t="s">
        <v>309</v>
      </c>
      <c r="E565" t="str">
        <f>IF(D565&lt;&gt;"",C565&amp;"/"&amp;D565,"")</f>
        <v/>
      </c>
      <c r="G565" s="5" t="str">
        <f>IF(F565&lt;&gt;"",HEX2DEC(SUBSTITUTE(SUBSTITUTE(F565,"adrEA",""),"$","")),"")</f>
        <v/>
      </c>
      <c r="I565" s="6" t="str">
        <f>IFERROR(DEC2HEX(H565),"")</f>
        <v>0</v>
      </c>
    </row>
    <row r="566" spans="1:9" x14ac:dyDescent="0.2">
      <c r="A566" t="s">
        <v>668</v>
      </c>
      <c r="B566" t="s">
        <v>309</v>
      </c>
      <c r="E566" t="str">
        <f>IF(D566&lt;&gt;"",C566&amp;"/"&amp;D566,"")</f>
        <v/>
      </c>
      <c r="G566" s="5" t="str">
        <f>IF(F566&lt;&gt;"",HEX2DEC(SUBSTITUTE(SUBSTITUTE(F566,"adrEA",""),"$","")),"")</f>
        <v/>
      </c>
      <c r="I566" s="6" t="str">
        <f>IFERROR(DEC2HEX(H566),"")</f>
        <v>0</v>
      </c>
    </row>
    <row r="567" spans="1:9" x14ac:dyDescent="0.2">
      <c r="A567" t="s">
        <v>669</v>
      </c>
      <c r="B567" t="s">
        <v>309</v>
      </c>
      <c r="E567" t="str">
        <f>IF(D567&lt;&gt;"",C567&amp;"/"&amp;D567,"")</f>
        <v/>
      </c>
      <c r="G567" s="5" t="str">
        <f>IF(F567&lt;&gt;"",HEX2DEC(SUBSTITUTE(SUBSTITUTE(F567,"adrEA",""),"$","")),"")</f>
        <v/>
      </c>
      <c r="I567" s="6" t="str">
        <f>IFERROR(DEC2HEX(H567),"")</f>
        <v>0</v>
      </c>
    </row>
    <row r="568" spans="1:9" x14ac:dyDescent="0.2">
      <c r="A568" t="s">
        <v>670</v>
      </c>
      <c r="B568" t="s">
        <v>309</v>
      </c>
      <c r="E568" t="str">
        <f>IF(D568&lt;&gt;"",C568&amp;"/"&amp;D568,"")</f>
        <v/>
      </c>
      <c r="G568" s="5" t="str">
        <f>IF(F568&lt;&gt;"",HEX2DEC(SUBSTITUTE(SUBSTITUTE(F568,"adrEA",""),"$","")),"")</f>
        <v/>
      </c>
      <c r="I568" s="6" t="str">
        <f>IFERROR(DEC2HEX(H568),"")</f>
        <v>0</v>
      </c>
    </row>
    <row r="569" spans="1:9" x14ac:dyDescent="0.2">
      <c r="A569" t="s">
        <v>671</v>
      </c>
      <c r="B569" t="s">
        <v>309</v>
      </c>
      <c r="E569" t="str">
        <f>IF(D569&lt;&gt;"",C569&amp;"/"&amp;D569,"")</f>
        <v/>
      </c>
      <c r="G569" s="5" t="str">
        <f>IF(F569&lt;&gt;"",HEX2DEC(SUBSTITUTE(SUBSTITUTE(F569,"adrEA",""),"$","")),"")</f>
        <v/>
      </c>
      <c r="I569" s="6" t="str">
        <f>IFERROR(DEC2HEX(H569),"")</f>
        <v>0</v>
      </c>
    </row>
    <row r="570" spans="1:9" x14ac:dyDescent="0.2">
      <c r="A570" t="s">
        <v>672</v>
      </c>
      <c r="B570" t="s">
        <v>309</v>
      </c>
      <c r="E570" t="str">
        <f>IF(D570&lt;&gt;"",C570&amp;"/"&amp;D570,"")</f>
        <v/>
      </c>
      <c r="G570" s="5" t="str">
        <f>IF(F570&lt;&gt;"",HEX2DEC(SUBSTITUTE(SUBSTITUTE(F570,"adrEA",""),"$","")),"")</f>
        <v/>
      </c>
      <c r="I570" s="6" t="str">
        <f>IFERROR(DEC2HEX(H570),"")</f>
        <v>0</v>
      </c>
    </row>
    <row r="571" spans="1:9" x14ac:dyDescent="0.2">
      <c r="A571" t="s">
        <v>673</v>
      </c>
      <c r="B571" t="s">
        <v>309</v>
      </c>
      <c r="E571" t="str">
        <f>IF(D571&lt;&gt;"",C571&amp;"/"&amp;D571,"")</f>
        <v/>
      </c>
      <c r="G571" s="5" t="str">
        <f>IF(F571&lt;&gt;"",HEX2DEC(SUBSTITUTE(SUBSTITUTE(F571,"adrEA",""),"$","")),"")</f>
        <v/>
      </c>
      <c r="I571" s="6" t="str">
        <f>IFERROR(DEC2HEX(H571),"")</f>
        <v>0</v>
      </c>
    </row>
    <row r="572" spans="1:9" x14ac:dyDescent="0.2">
      <c r="A572" t="s">
        <v>674</v>
      </c>
      <c r="B572" t="s">
        <v>309</v>
      </c>
      <c r="E572" t="str">
        <f>IF(D572&lt;&gt;"",C572&amp;"/"&amp;D572,"")</f>
        <v/>
      </c>
      <c r="G572" s="5" t="str">
        <f>IF(F572&lt;&gt;"",HEX2DEC(SUBSTITUTE(SUBSTITUTE(F572,"adrEA",""),"$","")),"")</f>
        <v/>
      </c>
      <c r="I572" s="6" t="str">
        <f>IFERROR(DEC2HEX(H572),"")</f>
        <v>0</v>
      </c>
    </row>
    <row r="573" spans="1:9" x14ac:dyDescent="0.2">
      <c r="A573" t="s">
        <v>675</v>
      </c>
      <c r="B573" t="s">
        <v>3473</v>
      </c>
      <c r="E573" t="str">
        <f>IF(D573&lt;&gt;"",C573&amp;"/"&amp;D573,"")</f>
        <v/>
      </c>
      <c r="G573" s="5" t="str">
        <f>IF(F573&lt;&gt;"",HEX2DEC(SUBSTITUTE(SUBSTITUTE(F573,"adrEA",""),"$","")),"")</f>
        <v/>
      </c>
      <c r="I573" s="6" t="str">
        <f>IFERROR(DEC2HEX(H573),"")</f>
        <v>0</v>
      </c>
    </row>
    <row r="574" spans="1:9" x14ac:dyDescent="0.2">
      <c r="A574" t="s">
        <v>676</v>
      </c>
      <c r="B574" t="s">
        <v>3304</v>
      </c>
      <c r="E574" t="str">
        <f>IF(D574&lt;&gt;"",C574&amp;"/"&amp;D574,"")</f>
        <v/>
      </c>
      <c r="G574" s="5" t="str">
        <f>IF(F574&lt;&gt;"",HEX2DEC(SUBSTITUTE(SUBSTITUTE(F574,"adrEA",""),"$","")),"")</f>
        <v/>
      </c>
      <c r="I574" s="6" t="str">
        <f>IFERROR(DEC2HEX(H574),"")</f>
        <v>0</v>
      </c>
    </row>
    <row r="575" spans="1:9" x14ac:dyDescent="0.2">
      <c r="A575" t="s">
        <v>677</v>
      </c>
      <c r="B575" t="s">
        <v>309</v>
      </c>
      <c r="E575" t="str">
        <f>IF(D575&lt;&gt;"",C575&amp;"/"&amp;D575,"")</f>
        <v/>
      </c>
      <c r="G575" s="5" t="str">
        <f>IF(F575&lt;&gt;"",HEX2DEC(SUBSTITUTE(SUBSTITUTE(F575,"adrEA",""),"$","")),"")</f>
        <v/>
      </c>
      <c r="I575" s="6" t="str">
        <f>IFERROR(DEC2HEX(H575),"")</f>
        <v>0</v>
      </c>
    </row>
    <row r="576" spans="1:9" x14ac:dyDescent="0.2">
      <c r="A576" t="s">
        <v>678</v>
      </c>
      <c r="B576" t="s">
        <v>309</v>
      </c>
      <c r="E576" t="str">
        <f>IF(D576&lt;&gt;"",C576&amp;"/"&amp;D576,"")</f>
        <v/>
      </c>
      <c r="G576" s="5" t="str">
        <f>IF(F576&lt;&gt;"",HEX2DEC(SUBSTITUTE(SUBSTITUTE(F576,"adrEA",""),"$","")),"")</f>
        <v/>
      </c>
      <c r="I576" s="6" t="str">
        <f>IFERROR(DEC2HEX(H576),"")</f>
        <v>0</v>
      </c>
    </row>
    <row r="577" spans="1:9" x14ac:dyDescent="0.2">
      <c r="A577" t="s">
        <v>679</v>
      </c>
      <c r="B577" t="s">
        <v>309</v>
      </c>
      <c r="E577" t="str">
        <f>IF(D577&lt;&gt;"",C577&amp;"/"&amp;D577,"")</f>
        <v/>
      </c>
      <c r="G577" s="5" t="str">
        <f>IF(F577&lt;&gt;"",HEX2DEC(SUBSTITUTE(SUBSTITUTE(F577,"adrEA",""),"$","")),"")</f>
        <v/>
      </c>
      <c r="I577" s="6" t="str">
        <f>IFERROR(DEC2HEX(H577),"")</f>
        <v>0</v>
      </c>
    </row>
    <row r="578" spans="1:9" x14ac:dyDescent="0.2">
      <c r="A578" t="s">
        <v>680</v>
      </c>
      <c r="B578" t="s">
        <v>309</v>
      </c>
      <c r="E578" t="str">
        <f>IF(D578&lt;&gt;"",C578&amp;"/"&amp;D578,"")</f>
        <v/>
      </c>
      <c r="G578" s="5" t="str">
        <f>IF(F578&lt;&gt;"",HEX2DEC(SUBSTITUTE(SUBSTITUTE(F578,"adrEA",""),"$","")),"")</f>
        <v/>
      </c>
      <c r="I578" s="6" t="str">
        <f>IFERROR(DEC2HEX(H578),"")</f>
        <v>0</v>
      </c>
    </row>
    <row r="579" spans="1:9" x14ac:dyDescent="0.2">
      <c r="A579" t="s">
        <v>681</v>
      </c>
      <c r="B579" t="s">
        <v>309</v>
      </c>
      <c r="E579" t="str">
        <f>IF(D579&lt;&gt;"",C579&amp;"/"&amp;D579,"")</f>
        <v/>
      </c>
      <c r="G579" s="5" t="str">
        <f>IF(F579&lt;&gt;"",HEX2DEC(SUBSTITUTE(SUBSTITUTE(F579,"adrEA",""),"$","")),"")</f>
        <v/>
      </c>
      <c r="I579" s="6" t="str">
        <f>IFERROR(DEC2HEX(H579),"")</f>
        <v>0</v>
      </c>
    </row>
    <row r="580" spans="1:9" x14ac:dyDescent="0.2">
      <c r="A580" t="s">
        <v>682</v>
      </c>
      <c r="B580" t="s">
        <v>309</v>
      </c>
      <c r="E580" t="str">
        <f>IF(D580&lt;&gt;"",C580&amp;"/"&amp;D580,"")</f>
        <v/>
      </c>
      <c r="G580" s="5" t="str">
        <f>IF(F580&lt;&gt;"",HEX2DEC(SUBSTITUTE(SUBSTITUTE(F580,"adrEA",""),"$","")),"")</f>
        <v/>
      </c>
      <c r="I580" s="6" t="str">
        <f>IFERROR(DEC2HEX(H580),"")</f>
        <v>0</v>
      </c>
    </row>
    <row r="581" spans="1:9" x14ac:dyDescent="0.2">
      <c r="A581" t="s">
        <v>683</v>
      </c>
      <c r="B581" t="s">
        <v>309</v>
      </c>
      <c r="E581" t="str">
        <f>IF(D581&lt;&gt;"",C581&amp;"/"&amp;D581,"")</f>
        <v/>
      </c>
      <c r="G581" s="5" t="str">
        <f>IF(F581&lt;&gt;"",HEX2DEC(SUBSTITUTE(SUBSTITUTE(F581,"adrEA",""),"$","")),"")</f>
        <v/>
      </c>
      <c r="I581" s="6" t="str">
        <f>IFERROR(DEC2HEX(H581),"")</f>
        <v>0</v>
      </c>
    </row>
    <row r="582" spans="1:9" x14ac:dyDescent="0.2">
      <c r="A582" t="s">
        <v>684</v>
      </c>
      <c r="B582" t="s">
        <v>309</v>
      </c>
      <c r="E582" t="str">
        <f>IF(D582&lt;&gt;"",C582&amp;"/"&amp;D582,"")</f>
        <v/>
      </c>
      <c r="G582" s="5" t="str">
        <f>IF(F582&lt;&gt;"",HEX2DEC(SUBSTITUTE(SUBSTITUTE(F582,"adrEA",""),"$","")),"")</f>
        <v/>
      </c>
      <c r="I582" s="6" t="str">
        <f>IFERROR(DEC2HEX(H582),"")</f>
        <v>0</v>
      </c>
    </row>
    <row r="583" spans="1:9" x14ac:dyDescent="0.2">
      <c r="A583" t="s">
        <v>685</v>
      </c>
      <c r="B583" t="s">
        <v>309</v>
      </c>
      <c r="E583" t="str">
        <f>IF(D583&lt;&gt;"",C583&amp;"/"&amp;D583,"")</f>
        <v/>
      </c>
      <c r="G583" s="5" t="str">
        <f>IF(F583&lt;&gt;"",HEX2DEC(SUBSTITUTE(SUBSTITUTE(F583,"adrEA",""),"$","")),"")</f>
        <v/>
      </c>
      <c r="I583" s="6" t="str">
        <f>IFERROR(DEC2HEX(H583),"")</f>
        <v>0</v>
      </c>
    </row>
    <row r="584" spans="1:9" x14ac:dyDescent="0.2">
      <c r="A584" t="s">
        <v>686</v>
      </c>
      <c r="B584" t="s">
        <v>309</v>
      </c>
      <c r="E584" t="str">
        <f>IF(D584&lt;&gt;"",C584&amp;"/"&amp;D584,"")</f>
        <v/>
      </c>
      <c r="G584" s="5" t="str">
        <f>IF(F584&lt;&gt;"",HEX2DEC(SUBSTITUTE(SUBSTITUTE(F584,"adrEA",""),"$","")),"")</f>
        <v/>
      </c>
      <c r="I584" s="6" t="str">
        <f>IFERROR(DEC2HEX(H584),"")</f>
        <v>0</v>
      </c>
    </row>
    <row r="585" spans="1:9" x14ac:dyDescent="0.2">
      <c r="A585" t="s">
        <v>687</v>
      </c>
      <c r="B585" t="s">
        <v>309</v>
      </c>
      <c r="E585" t="str">
        <f>IF(D585&lt;&gt;"",C585&amp;"/"&amp;D585,"")</f>
        <v/>
      </c>
      <c r="G585" s="5" t="str">
        <f>IF(F585&lt;&gt;"",HEX2DEC(SUBSTITUTE(SUBSTITUTE(F585,"adrEA",""),"$","")),"")</f>
        <v/>
      </c>
      <c r="I585" s="6" t="str">
        <f>IFERROR(DEC2HEX(H585),"")</f>
        <v>0</v>
      </c>
    </row>
    <row r="586" spans="1:9" x14ac:dyDescent="0.2">
      <c r="A586" t="s">
        <v>688</v>
      </c>
      <c r="B586" t="s">
        <v>309</v>
      </c>
      <c r="E586" t="str">
        <f>IF(D586&lt;&gt;"",C586&amp;"/"&amp;D586,"")</f>
        <v/>
      </c>
      <c r="G586" s="5" t="str">
        <f>IF(F586&lt;&gt;"",HEX2DEC(SUBSTITUTE(SUBSTITUTE(F586,"adrEA",""),"$","")),"")</f>
        <v/>
      </c>
      <c r="I586" s="6" t="str">
        <f>IFERROR(DEC2HEX(H586),"")</f>
        <v>0</v>
      </c>
    </row>
    <row r="587" spans="1:9" x14ac:dyDescent="0.2">
      <c r="A587" t="s">
        <v>689</v>
      </c>
      <c r="B587" t="s">
        <v>5112</v>
      </c>
      <c r="E587" t="str">
        <f>IF(D587&lt;&gt;"",C587&amp;"/"&amp;D587,"")</f>
        <v/>
      </c>
      <c r="G587" s="5" t="str">
        <f>IF(F587&lt;&gt;"",HEX2DEC(SUBSTITUTE(SUBSTITUTE(F587,"adrEA",""),"$","")),"")</f>
        <v/>
      </c>
      <c r="I587" s="6" t="str">
        <f>IFERROR(DEC2HEX(H587),"")</f>
        <v>0</v>
      </c>
    </row>
    <row r="588" spans="1:9" x14ac:dyDescent="0.2">
      <c r="A588" t="s">
        <v>690</v>
      </c>
      <c r="B588" t="s">
        <v>5113</v>
      </c>
      <c r="E588" t="str">
        <f>IF(D588&lt;&gt;"",C588&amp;"/"&amp;D588,"")</f>
        <v/>
      </c>
      <c r="G588" s="5" t="str">
        <f>IF(F588&lt;&gt;"",HEX2DEC(SUBSTITUTE(SUBSTITUTE(F588,"adrEA",""),"$","")),"")</f>
        <v/>
      </c>
      <c r="I588" s="6" t="str">
        <f>IFERROR(DEC2HEX(H588),"")</f>
        <v>0</v>
      </c>
    </row>
    <row r="589" spans="1:9" x14ac:dyDescent="0.2">
      <c r="A589" t="s">
        <v>691</v>
      </c>
      <c r="B589" t="s">
        <v>5114</v>
      </c>
      <c r="E589" t="str">
        <f>IF(D589&lt;&gt;"",C589&amp;"/"&amp;D589,"")</f>
        <v/>
      </c>
      <c r="G589" s="5" t="str">
        <f>IF(F589&lt;&gt;"",HEX2DEC(SUBSTITUTE(SUBSTITUTE(F589,"adrEA",""),"$","")),"")</f>
        <v/>
      </c>
      <c r="I589" s="6" t="str">
        <f>IFERROR(DEC2HEX(H589),"")</f>
        <v>0</v>
      </c>
    </row>
    <row r="590" spans="1:9" x14ac:dyDescent="0.2">
      <c r="A590" t="s">
        <v>692</v>
      </c>
      <c r="B590" t="s">
        <v>5115</v>
      </c>
      <c r="E590" t="str">
        <f>IF(D590&lt;&gt;"",C590&amp;"/"&amp;D590,"")</f>
        <v/>
      </c>
      <c r="G590" s="5" t="str">
        <f>IF(F590&lt;&gt;"",HEX2DEC(SUBSTITUTE(SUBSTITUTE(F590,"adrEA",""),"$","")),"")</f>
        <v/>
      </c>
      <c r="I590" s="6" t="str">
        <f>IFERROR(DEC2HEX(H590),"")</f>
        <v>0</v>
      </c>
    </row>
    <row r="591" spans="1:9" x14ac:dyDescent="0.2">
      <c r="A591" t="s">
        <v>693</v>
      </c>
      <c r="B591" t="s">
        <v>5116</v>
      </c>
      <c r="E591" t="str">
        <f>IF(D591&lt;&gt;"",C591&amp;"/"&amp;D591,"")</f>
        <v/>
      </c>
      <c r="G591" s="5" t="str">
        <f>IF(F591&lt;&gt;"",HEX2DEC(SUBSTITUTE(SUBSTITUTE(F591,"adrEA",""),"$","")),"")</f>
        <v/>
      </c>
      <c r="I591" s="6" t="str">
        <f>IFERROR(DEC2HEX(H591),"")</f>
        <v>0</v>
      </c>
    </row>
    <row r="592" spans="1:9" x14ac:dyDescent="0.2">
      <c r="A592" t="s">
        <v>694</v>
      </c>
      <c r="B592" t="s">
        <v>309</v>
      </c>
      <c r="E592" t="str">
        <f>IF(D592&lt;&gt;"",C592&amp;"/"&amp;D592,"")</f>
        <v/>
      </c>
      <c r="G592" s="5" t="str">
        <f>IF(F592&lt;&gt;"",HEX2DEC(SUBSTITUTE(SUBSTITUTE(F592,"adrEA",""),"$","")),"")</f>
        <v/>
      </c>
      <c r="I592" s="6" t="str">
        <f>IFERROR(DEC2HEX(H592),"")</f>
        <v>0</v>
      </c>
    </row>
    <row r="593" spans="1:9" x14ac:dyDescent="0.2">
      <c r="A593" t="s">
        <v>695</v>
      </c>
      <c r="B593" t="s">
        <v>5117</v>
      </c>
      <c r="E593" t="str">
        <f>IF(D593&lt;&gt;"",C593&amp;"/"&amp;D593,"")</f>
        <v/>
      </c>
      <c r="G593" s="5" t="str">
        <f t="shared" ref="G593:G656" si="6">IF(F593&lt;&gt;"",HEX2DEC(SUBSTITUTE(SUBSTITUTE(F593,"adrEA",""),"$","")),"")</f>
        <v/>
      </c>
      <c r="I593" s="6" t="str">
        <f t="shared" ref="I593:I656" si="7">IFERROR(DEC2HEX(H593),"")</f>
        <v>0</v>
      </c>
    </row>
    <row r="594" spans="1:9" x14ac:dyDescent="0.2">
      <c r="A594" t="s">
        <v>696</v>
      </c>
      <c r="B594" t="s">
        <v>5118</v>
      </c>
      <c r="E594" t="str">
        <f>IF(D594&lt;&gt;"",C594&amp;"/"&amp;D594,"")</f>
        <v/>
      </c>
      <c r="G594" s="5" t="str">
        <f t="shared" si="6"/>
        <v/>
      </c>
      <c r="I594" s="6" t="str">
        <f t="shared" si="7"/>
        <v>0</v>
      </c>
    </row>
    <row r="595" spans="1:9" x14ac:dyDescent="0.2">
      <c r="A595" t="s">
        <v>697</v>
      </c>
      <c r="B595" t="s">
        <v>5119</v>
      </c>
      <c r="E595" t="str">
        <f>IF(D595&lt;&gt;"",C595&amp;"/"&amp;D595,"")</f>
        <v/>
      </c>
      <c r="G595" s="5" t="str">
        <f t="shared" si="6"/>
        <v/>
      </c>
      <c r="I595" s="6" t="str">
        <f t="shared" si="7"/>
        <v>0</v>
      </c>
    </row>
    <row r="596" spans="1:9" x14ac:dyDescent="0.2">
      <c r="A596" t="s">
        <v>698</v>
      </c>
      <c r="B596" t="s">
        <v>5120</v>
      </c>
      <c r="E596" t="str">
        <f>IF(D596&lt;&gt;"",C596&amp;"/"&amp;D596,"")</f>
        <v/>
      </c>
      <c r="G596" s="5" t="str">
        <f t="shared" si="6"/>
        <v/>
      </c>
      <c r="I596" s="6" t="str">
        <f t="shared" si="7"/>
        <v>0</v>
      </c>
    </row>
    <row r="597" spans="1:9" x14ac:dyDescent="0.2">
      <c r="A597" t="s">
        <v>699</v>
      </c>
      <c r="B597" t="s">
        <v>5121</v>
      </c>
      <c r="E597" t="str">
        <f>IF(D597&lt;&gt;"",C597&amp;"/"&amp;D597,"")</f>
        <v/>
      </c>
      <c r="G597" s="5" t="str">
        <f t="shared" si="6"/>
        <v/>
      </c>
      <c r="I597" s="6" t="str">
        <f t="shared" si="7"/>
        <v>0</v>
      </c>
    </row>
    <row r="598" spans="1:9" x14ac:dyDescent="0.2">
      <c r="A598" t="s">
        <v>700</v>
      </c>
      <c r="B598" t="s">
        <v>5122</v>
      </c>
      <c r="E598" t="str">
        <f>IF(D598&lt;&gt;"",C598&amp;"/"&amp;D598,"")</f>
        <v/>
      </c>
      <c r="G598" s="5" t="str">
        <f t="shared" si="6"/>
        <v/>
      </c>
      <c r="I598" s="6" t="str">
        <f t="shared" si="7"/>
        <v>0</v>
      </c>
    </row>
    <row r="599" spans="1:9" x14ac:dyDescent="0.2">
      <c r="A599" t="s">
        <v>701</v>
      </c>
      <c r="B599" t="s">
        <v>309</v>
      </c>
      <c r="E599" t="str">
        <f>IF(D599&lt;&gt;"",C599&amp;"/"&amp;D599,"")</f>
        <v/>
      </c>
      <c r="G599" s="5" t="str">
        <f t="shared" si="6"/>
        <v/>
      </c>
      <c r="I599" s="6" t="str">
        <f t="shared" si="7"/>
        <v>0</v>
      </c>
    </row>
    <row r="600" spans="1:9" x14ac:dyDescent="0.2">
      <c r="A600" t="s">
        <v>702</v>
      </c>
      <c r="B600" t="s">
        <v>5123</v>
      </c>
      <c r="E600" t="str">
        <f>IF(D600&lt;&gt;"",C600&amp;"/"&amp;D600,"")</f>
        <v/>
      </c>
      <c r="G600" s="5" t="str">
        <f t="shared" si="6"/>
        <v/>
      </c>
      <c r="I600" s="6" t="str">
        <f t="shared" si="7"/>
        <v>0</v>
      </c>
    </row>
    <row r="601" spans="1:9" x14ac:dyDescent="0.2">
      <c r="A601" t="s">
        <v>703</v>
      </c>
      <c r="B601" t="s">
        <v>5124</v>
      </c>
      <c r="E601" t="str">
        <f>IF(D601&lt;&gt;"",C601&amp;"/"&amp;D601,"")</f>
        <v/>
      </c>
      <c r="G601" s="5" t="str">
        <f t="shared" si="6"/>
        <v/>
      </c>
      <c r="I601" s="6" t="str">
        <f t="shared" si="7"/>
        <v>0</v>
      </c>
    </row>
    <row r="602" spans="1:9" x14ac:dyDescent="0.2">
      <c r="A602" t="s">
        <v>704</v>
      </c>
      <c r="B602" t="s">
        <v>309</v>
      </c>
      <c r="E602" t="str">
        <f>IF(D602&lt;&gt;"",C602&amp;"/"&amp;D602,"")</f>
        <v/>
      </c>
      <c r="G602" s="5" t="str">
        <f t="shared" si="6"/>
        <v/>
      </c>
      <c r="I602" s="6" t="str">
        <f t="shared" si="7"/>
        <v>0</v>
      </c>
    </row>
    <row r="603" spans="1:9" x14ac:dyDescent="0.2">
      <c r="A603" t="s">
        <v>705</v>
      </c>
      <c r="B603" t="s">
        <v>5125</v>
      </c>
      <c r="E603" t="str">
        <f>IF(D603&lt;&gt;"",C603&amp;"/"&amp;D603,"")</f>
        <v/>
      </c>
      <c r="G603" s="5" t="str">
        <f t="shared" si="6"/>
        <v/>
      </c>
      <c r="I603" s="6" t="str">
        <f t="shared" si="7"/>
        <v>0</v>
      </c>
    </row>
    <row r="604" spans="1:9" x14ac:dyDescent="0.2">
      <c r="A604" t="s">
        <v>706</v>
      </c>
      <c r="B604" t="s">
        <v>309</v>
      </c>
      <c r="E604" t="str">
        <f>IF(D604&lt;&gt;"",C604&amp;"/"&amp;D604,"")</f>
        <v/>
      </c>
      <c r="G604" s="5" t="str">
        <f t="shared" si="6"/>
        <v/>
      </c>
      <c r="I604" s="6" t="str">
        <f t="shared" si="7"/>
        <v>0</v>
      </c>
    </row>
    <row r="605" spans="1:9" x14ac:dyDescent="0.2">
      <c r="A605" t="s">
        <v>707</v>
      </c>
      <c r="B605" t="s">
        <v>5126</v>
      </c>
      <c r="E605" t="str">
        <f>IF(D605&lt;&gt;"",C605&amp;"/"&amp;D605,"")</f>
        <v/>
      </c>
      <c r="G605" s="5" t="str">
        <f t="shared" si="6"/>
        <v/>
      </c>
      <c r="I605" s="6" t="str">
        <f t="shared" si="7"/>
        <v>0</v>
      </c>
    </row>
    <row r="606" spans="1:9" x14ac:dyDescent="0.2">
      <c r="A606" t="s">
        <v>708</v>
      </c>
      <c r="B606" t="s">
        <v>309</v>
      </c>
      <c r="E606" t="str">
        <f>IF(D606&lt;&gt;"",C606&amp;"/"&amp;D606,"")</f>
        <v/>
      </c>
      <c r="G606" s="5" t="str">
        <f t="shared" si="6"/>
        <v/>
      </c>
      <c r="I606" s="6" t="str">
        <f t="shared" si="7"/>
        <v>0</v>
      </c>
    </row>
    <row r="607" spans="1:9" x14ac:dyDescent="0.2">
      <c r="A607" t="s">
        <v>709</v>
      </c>
      <c r="B607" t="s">
        <v>309</v>
      </c>
      <c r="E607" t="str">
        <f>IF(D607&lt;&gt;"",C607&amp;"/"&amp;D607,"")</f>
        <v/>
      </c>
      <c r="G607" s="5" t="str">
        <f t="shared" si="6"/>
        <v/>
      </c>
      <c r="I607" s="6" t="str">
        <f t="shared" si="7"/>
        <v>0</v>
      </c>
    </row>
    <row r="608" spans="1:9" x14ac:dyDescent="0.2">
      <c r="A608" t="s">
        <v>710</v>
      </c>
      <c r="B608" t="s">
        <v>309</v>
      </c>
      <c r="E608" t="str">
        <f>IF(D608&lt;&gt;"",C608&amp;"/"&amp;D608,"")</f>
        <v/>
      </c>
      <c r="G608" s="5" t="str">
        <f t="shared" si="6"/>
        <v/>
      </c>
      <c r="I608" s="6" t="str">
        <f t="shared" si="7"/>
        <v>0</v>
      </c>
    </row>
    <row r="609" spans="1:9" x14ac:dyDescent="0.2">
      <c r="A609" t="s">
        <v>711</v>
      </c>
      <c r="B609" t="s">
        <v>309</v>
      </c>
      <c r="E609" t="str">
        <f>IF(D609&lt;&gt;"",C609&amp;"/"&amp;D609,"")</f>
        <v/>
      </c>
      <c r="G609" s="5" t="str">
        <f t="shared" si="6"/>
        <v/>
      </c>
      <c r="I609" s="6" t="str">
        <f t="shared" si="7"/>
        <v>0</v>
      </c>
    </row>
    <row r="610" spans="1:9" x14ac:dyDescent="0.2">
      <c r="A610" t="s">
        <v>712</v>
      </c>
      <c r="B610" t="s">
        <v>309</v>
      </c>
      <c r="E610" t="str">
        <f>IF(D610&lt;&gt;"",C610&amp;"/"&amp;D610,"")</f>
        <v/>
      </c>
      <c r="G610" s="5" t="str">
        <f t="shared" si="6"/>
        <v/>
      </c>
      <c r="I610" s="6" t="str">
        <f t="shared" si="7"/>
        <v>0</v>
      </c>
    </row>
    <row r="611" spans="1:9" x14ac:dyDescent="0.2">
      <c r="A611" t="s">
        <v>713</v>
      </c>
      <c r="B611" t="s">
        <v>714</v>
      </c>
      <c r="E611" t="str">
        <f>IF(D611&lt;&gt;"",C611&amp;"/"&amp;D611,"")</f>
        <v/>
      </c>
      <c r="G611" s="5" t="str">
        <f t="shared" si="6"/>
        <v/>
      </c>
      <c r="I611" s="6" t="str">
        <f t="shared" si="7"/>
        <v>0</v>
      </c>
    </row>
    <row r="612" spans="1:9" x14ac:dyDescent="0.2">
      <c r="A612" t="s">
        <v>715</v>
      </c>
      <c r="B612" t="s">
        <v>309</v>
      </c>
      <c r="E612" t="str">
        <f>IF(D612&lt;&gt;"",C612&amp;"/"&amp;D612,"")</f>
        <v/>
      </c>
      <c r="G612" s="5" t="str">
        <f t="shared" si="6"/>
        <v/>
      </c>
      <c r="I612" s="6" t="str">
        <f t="shared" si="7"/>
        <v>0</v>
      </c>
    </row>
    <row r="613" spans="1:9" x14ac:dyDescent="0.2">
      <c r="A613" t="s">
        <v>716</v>
      </c>
      <c r="B613" t="s">
        <v>309</v>
      </c>
      <c r="E613" t="str">
        <f>IF(D613&lt;&gt;"",C613&amp;"/"&amp;D613,"")</f>
        <v/>
      </c>
      <c r="G613" s="5" t="str">
        <f t="shared" si="6"/>
        <v/>
      </c>
      <c r="I613" s="6" t="str">
        <f t="shared" si="7"/>
        <v>0</v>
      </c>
    </row>
    <row r="614" spans="1:9" x14ac:dyDescent="0.2">
      <c r="A614" t="s">
        <v>717</v>
      </c>
      <c r="B614" t="s">
        <v>309</v>
      </c>
      <c r="E614" t="str">
        <f>IF(D614&lt;&gt;"",C614&amp;"/"&amp;D614,"")</f>
        <v/>
      </c>
      <c r="G614" s="5" t="str">
        <f t="shared" si="6"/>
        <v/>
      </c>
      <c r="I614" s="6" t="str">
        <f t="shared" si="7"/>
        <v>0</v>
      </c>
    </row>
    <row r="615" spans="1:9" x14ac:dyDescent="0.2">
      <c r="A615" t="s">
        <v>718</v>
      </c>
      <c r="B615" t="s">
        <v>309</v>
      </c>
      <c r="E615" t="str">
        <f>IF(D615&lt;&gt;"",C615&amp;"/"&amp;D615,"")</f>
        <v/>
      </c>
      <c r="G615" s="5" t="str">
        <f t="shared" si="6"/>
        <v/>
      </c>
      <c r="I615" s="6" t="str">
        <f t="shared" si="7"/>
        <v>0</v>
      </c>
    </row>
    <row r="616" spans="1:9" x14ac:dyDescent="0.2">
      <c r="A616" t="s">
        <v>719</v>
      </c>
      <c r="B616" t="s">
        <v>309</v>
      </c>
      <c r="E616" t="str">
        <f>IF(D616&lt;&gt;"",C616&amp;"/"&amp;D616,"")</f>
        <v/>
      </c>
      <c r="G616" s="5" t="str">
        <f t="shared" si="6"/>
        <v/>
      </c>
      <c r="I616" s="6" t="str">
        <f t="shared" si="7"/>
        <v>0</v>
      </c>
    </row>
    <row r="617" spans="1:9" x14ac:dyDescent="0.2">
      <c r="A617" t="s">
        <v>720</v>
      </c>
      <c r="B617" t="s">
        <v>309</v>
      </c>
      <c r="E617" t="str">
        <f>IF(D617&lt;&gt;"",C617&amp;"/"&amp;D617,"")</f>
        <v/>
      </c>
      <c r="G617" s="5" t="str">
        <f t="shared" si="6"/>
        <v/>
      </c>
      <c r="I617" s="6" t="str">
        <f t="shared" si="7"/>
        <v>0</v>
      </c>
    </row>
    <row r="618" spans="1:9" x14ac:dyDescent="0.2">
      <c r="A618" t="s">
        <v>721</v>
      </c>
      <c r="B618" t="s">
        <v>309</v>
      </c>
      <c r="E618" t="str">
        <f>IF(D618&lt;&gt;"",C618&amp;"/"&amp;D618,"")</f>
        <v/>
      </c>
      <c r="G618" s="5" t="str">
        <f t="shared" si="6"/>
        <v/>
      </c>
      <c r="I618" s="6" t="str">
        <f t="shared" si="7"/>
        <v>0</v>
      </c>
    </row>
    <row r="619" spans="1:9" x14ac:dyDescent="0.2">
      <c r="A619" t="s">
        <v>722</v>
      </c>
      <c r="B619" t="s">
        <v>309</v>
      </c>
      <c r="E619" t="str">
        <f>IF(D619&lt;&gt;"",C619&amp;"/"&amp;D619,"")</f>
        <v/>
      </c>
      <c r="G619" s="5" t="str">
        <f t="shared" si="6"/>
        <v/>
      </c>
      <c r="I619" s="6" t="str">
        <f t="shared" si="7"/>
        <v>0</v>
      </c>
    </row>
    <row r="620" spans="1:9" x14ac:dyDescent="0.2">
      <c r="A620" t="s">
        <v>723</v>
      </c>
      <c r="B620" t="s">
        <v>309</v>
      </c>
      <c r="E620" t="str">
        <f>IF(D620&lt;&gt;"",C620&amp;"/"&amp;D620,"")</f>
        <v/>
      </c>
      <c r="G620" s="5" t="str">
        <f t="shared" si="6"/>
        <v/>
      </c>
      <c r="I620" s="6" t="str">
        <f t="shared" si="7"/>
        <v>0</v>
      </c>
    </row>
    <row r="621" spans="1:9" x14ac:dyDescent="0.2">
      <c r="A621" t="s">
        <v>724</v>
      </c>
      <c r="B621" t="s">
        <v>309</v>
      </c>
      <c r="E621" t="str">
        <f>IF(D621&lt;&gt;"",C621&amp;"/"&amp;D621,"")</f>
        <v/>
      </c>
      <c r="G621" s="5" t="str">
        <f t="shared" si="6"/>
        <v/>
      </c>
      <c r="I621" s="6" t="str">
        <f t="shared" si="7"/>
        <v>0</v>
      </c>
    </row>
    <row r="622" spans="1:9" x14ac:dyDescent="0.2">
      <c r="A622" t="s">
        <v>725</v>
      </c>
      <c r="B622" t="s">
        <v>309</v>
      </c>
      <c r="E622" t="str">
        <f>IF(D622&lt;&gt;"",C622&amp;"/"&amp;D622,"")</f>
        <v/>
      </c>
      <c r="G622" s="5" t="str">
        <f t="shared" si="6"/>
        <v/>
      </c>
      <c r="I622" s="6" t="str">
        <f t="shared" si="7"/>
        <v>0</v>
      </c>
    </row>
    <row r="623" spans="1:9" x14ac:dyDescent="0.2">
      <c r="A623" t="s">
        <v>726</v>
      </c>
      <c r="B623" t="s">
        <v>309</v>
      </c>
      <c r="E623" t="str">
        <f>IF(D623&lt;&gt;"",C623&amp;"/"&amp;D623,"")</f>
        <v/>
      </c>
      <c r="G623" s="5" t="str">
        <f t="shared" si="6"/>
        <v/>
      </c>
      <c r="I623" s="6" t="str">
        <f t="shared" si="7"/>
        <v>0</v>
      </c>
    </row>
    <row r="624" spans="1:9" x14ac:dyDescent="0.2">
      <c r="A624" t="s">
        <v>727</v>
      </c>
      <c r="B624" t="s">
        <v>309</v>
      </c>
      <c r="E624" t="str">
        <f>IF(D624&lt;&gt;"",C624&amp;"/"&amp;D624,"")</f>
        <v/>
      </c>
      <c r="G624" s="5" t="str">
        <f t="shared" si="6"/>
        <v/>
      </c>
      <c r="I624" s="6" t="str">
        <f t="shared" si="7"/>
        <v>0</v>
      </c>
    </row>
    <row r="625" spans="1:9" x14ac:dyDescent="0.2">
      <c r="A625" t="s">
        <v>728</v>
      </c>
      <c r="B625" t="s">
        <v>309</v>
      </c>
      <c r="E625" t="str">
        <f>IF(D625&lt;&gt;"",C625&amp;"/"&amp;D625,"")</f>
        <v/>
      </c>
      <c r="G625" s="5" t="str">
        <f t="shared" si="6"/>
        <v/>
      </c>
      <c r="I625" s="6" t="str">
        <f t="shared" si="7"/>
        <v>0</v>
      </c>
    </row>
    <row r="626" spans="1:9" x14ac:dyDescent="0.2">
      <c r="A626" t="s">
        <v>729</v>
      </c>
      <c r="B626" t="s">
        <v>309</v>
      </c>
      <c r="E626" t="str">
        <f>IF(D626&lt;&gt;"",C626&amp;"/"&amp;D626,"")</f>
        <v/>
      </c>
      <c r="G626" s="5" t="str">
        <f t="shared" si="6"/>
        <v/>
      </c>
      <c r="I626" s="6" t="str">
        <f t="shared" si="7"/>
        <v>0</v>
      </c>
    </row>
    <row r="627" spans="1:9" x14ac:dyDescent="0.2">
      <c r="A627" t="s">
        <v>730</v>
      </c>
      <c r="B627" t="s">
        <v>309</v>
      </c>
      <c r="E627" t="str">
        <f>IF(D627&lt;&gt;"",C627&amp;"/"&amp;D627,"")</f>
        <v/>
      </c>
      <c r="G627" s="5" t="str">
        <f t="shared" si="6"/>
        <v/>
      </c>
      <c r="I627" s="6" t="str">
        <f t="shared" si="7"/>
        <v>0</v>
      </c>
    </row>
    <row r="628" spans="1:9" x14ac:dyDescent="0.2">
      <c r="A628" t="s">
        <v>731</v>
      </c>
      <c r="B628" t="s">
        <v>309</v>
      </c>
      <c r="E628" t="str">
        <f>IF(D628&lt;&gt;"",C628&amp;"/"&amp;D628,"")</f>
        <v/>
      </c>
      <c r="G628" s="5" t="str">
        <f t="shared" si="6"/>
        <v/>
      </c>
      <c r="I628" s="6" t="str">
        <f t="shared" si="7"/>
        <v>0</v>
      </c>
    </row>
    <row r="629" spans="1:9" x14ac:dyDescent="0.2">
      <c r="A629" t="s">
        <v>732</v>
      </c>
      <c r="B629" t="s">
        <v>309</v>
      </c>
      <c r="E629" t="str">
        <f>IF(D629&lt;&gt;"",C629&amp;"/"&amp;D629,"")</f>
        <v/>
      </c>
      <c r="G629" s="5" t="str">
        <f t="shared" si="6"/>
        <v/>
      </c>
      <c r="I629" s="6" t="str">
        <f t="shared" si="7"/>
        <v>0</v>
      </c>
    </row>
    <row r="630" spans="1:9" x14ac:dyDescent="0.2">
      <c r="A630" t="s">
        <v>733</v>
      </c>
      <c r="B630" t="s">
        <v>309</v>
      </c>
      <c r="E630" t="str">
        <f>IF(D630&lt;&gt;"",C630&amp;"/"&amp;D630,"")</f>
        <v/>
      </c>
      <c r="G630" s="5" t="str">
        <f t="shared" si="6"/>
        <v/>
      </c>
      <c r="I630" s="6" t="str">
        <f t="shared" si="7"/>
        <v>0</v>
      </c>
    </row>
    <row r="631" spans="1:9" x14ac:dyDescent="0.2">
      <c r="A631" t="s">
        <v>734</v>
      </c>
      <c r="B631" t="s">
        <v>309</v>
      </c>
      <c r="E631" t="str">
        <f>IF(D631&lt;&gt;"",C631&amp;"/"&amp;D631,"")</f>
        <v/>
      </c>
      <c r="G631" s="5" t="str">
        <f t="shared" si="6"/>
        <v/>
      </c>
      <c r="I631" s="6" t="str">
        <f t="shared" si="7"/>
        <v>0</v>
      </c>
    </row>
    <row r="632" spans="1:9" x14ac:dyDescent="0.2">
      <c r="A632" t="s">
        <v>735</v>
      </c>
      <c r="B632" t="s">
        <v>309</v>
      </c>
      <c r="E632" t="str">
        <f>IF(D632&lt;&gt;"",C632&amp;"/"&amp;D632,"")</f>
        <v/>
      </c>
      <c r="G632" s="5" t="str">
        <f t="shared" si="6"/>
        <v/>
      </c>
      <c r="I632" s="6" t="str">
        <f t="shared" si="7"/>
        <v>0</v>
      </c>
    </row>
    <row r="633" spans="1:9" x14ac:dyDescent="0.2">
      <c r="A633" t="s">
        <v>736</v>
      </c>
      <c r="B633" t="s">
        <v>309</v>
      </c>
      <c r="E633" t="str">
        <f>IF(D633&lt;&gt;"",C633&amp;"/"&amp;D633,"")</f>
        <v/>
      </c>
      <c r="G633" s="5" t="str">
        <f t="shared" si="6"/>
        <v/>
      </c>
      <c r="I633" s="6" t="str">
        <f t="shared" si="7"/>
        <v>0</v>
      </c>
    </row>
    <row r="634" spans="1:9" x14ac:dyDescent="0.2">
      <c r="A634" t="s">
        <v>737</v>
      </c>
      <c r="B634" t="s">
        <v>309</v>
      </c>
      <c r="E634" t="str">
        <f>IF(D634&lt;&gt;"",C634&amp;"/"&amp;D634,"")</f>
        <v/>
      </c>
      <c r="G634" s="5" t="str">
        <f t="shared" si="6"/>
        <v/>
      </c>
      <c r="I634" s="6" t="str">
        <f t="shared" si="7"/>
        <v>0</v>
      </c>
    </row>
    <row r="635" spans="1:9" x14ac:dyDescent="0.2">
      <c r="A635" t="s">
        <v>738</v>
      </c>
      <c r="B635" t="s">
        <v>309</v>
      </c>
      <c r="E635" t="str">
        <f>IF(D635&lt;&gt;"",C635&amp;"/"&amp;D635,"")</f>
        <v/>
      </c>
      <c r="G635" s="5" t="str">
        <f t="shared" si="6"/>
        <v/>
      </c>
      <c r="I635" s="6" t="str">
        <f t="shared" si="7"/>
        <v>0</v>
      </c>
    </row>
    <row r="636" spans="1:9" x14ac:dyDescent="0.2">
      <c r="A636" t="s">
        <v>739</v>
      </c>
      <c r="B636" t="s">
        <v>309</v>
      </c>
      <c r="E636" t="str">
        <f>IF(D636&lt;&gt;"",C636&amp;"/"&amp;D636,"")</f>
        <v/>
      </c>
      <c r="G636" s="5" t="str">
        <f t="shared" si="6"/>
        <v/>
      </c>
      <c r="I636" s="6" t="str">
        <f t="shared" si="7"/>
        <v>0</v>
      </c>
    </row>
    <row r="637" spans="1:9" x14ac:dyDescent="0.2">
      <c r="A637" t="s">
        <v>740</v>
      </c>
      <c r="B637" t="s">
        <v>309</v>
      </c>
      <c r="E637" t="str">
        <f>IF(D637&lt;&gt;"",C637&amp;"/"&amp;D637,"")</f>
        <v/>
      </c>
      <c r="G637" s="5" t="str">
        <f t="shared" si="6"/>
        <v/>
      </c>
      <c r="I637" s="6" t="str">
        <f t="shared" si="7"/>
        <v>0</v>
      </c>
    </row>
    <row r="638" spans="1:9" x14ac:dyDescent="0.2">
      <c r="A638" t="s">
        <v>741</v>
      </c>
      <c r="B638" t="s">
        <v>309</v>
      </c>
      <c r="E638" t="str">
        <f>IF(D638&lt;&gt;"",C638&amp;"/"&amp;D638,"")</f>
        <v/>
      </c>
      <c r="G638" s="5" t="str">
        <f t="shared" si="6"/>
        <v/>
      </c>
      <c r="I638" s="6" t="str">
        <f t="shared" si="7"/>
        <v>0</v>
      </c>
    </row>
    <row r="639" spans="1:9" x14ac:dyDescent="0.2">
      <c r="A639" t="s">
        <v>742</v>
      </c>
      <c r="B639" t="s">
        <v>309</v>
      </c>
      <c r="E639" t="str">
        <f>IF(D639&lt;&gt;"",C639&amp;"/"&amp;D639,"")</f>
        <v/>
      </c>
      <c r="G639" s="5" t="str">
        <f t="shared" si="6"/>
        <v/>
      </c>
      <c r="I639" s="6" t="str">
        <f t="shared" si="7"/>
        <v>0</v>
      </c>
    </row>
    <row r="640" spans="1:9" x14ac:dyDescent="0.2">
      <c r="A640" t="s">
        <v>743</v>
      </c>
      <c r="B640" t="s">
        <v>309</v>
      </c>
      <c r="E640" t="str">
        <f>IF(D640&lt;&gt;"",C640&amp;"/"&amp;D640,"")</f>
        <v/>
      </c>
      <c r="G640" s="5" t="str">
        <f t="shared" si="6"/>
        <v/>
      </c>
      <c r="I640" s="6" t="str">
        <f t="shared" si="7"/>
        <v>0</v>
      </c>
    </row>
    <row r="641" spans="1:12" x14ac:dyDescent="0.2">
      <c r="A641" t="s">
        <v>744</v>
      </c>
      <c r="B641" t="s">
        <v>309</v>
      </c>
      <c r="E641" t="str">
        <f>IF(D641&lt;&gt;"",C641&amp;"/"&amp;D641,"")</f>
        <v/>
      </c>
      <c r="G641" s="5" t="str">
        <f t="shared" si="6"/>
        <v/>
      </c>
      <c r="I641" s="6" t="str">
        <f t="shared" si="7"/>
        <v>0</v>
      </c>
    </row>
    <row r="642" spans="1:12" x14ac:dyDescent="0.2">
      <c r="A642" t="s">
        <v>745</v>
      </c>
      <c r="B642" t="s">
        <v>3985</v>
      </c>
      <c r="G642" s="5" t="str">
        <f t="shared" si="6"/>
        <v/>
      </c>
      <c r="I642" s="6" t="str">
        <f t="shared" si="7"/>
        <v>0</v>
      </c>
      <c r="L642" s="6" t="s">
        <v>3986</v>
      </c>
    </row>
    <row r="643" spans="1:12" x14ac:dyDescent="0.2">
      <c r="A643" t="s">
        <v>746</v>
      </c>
      <c r="B643" t="s">
        <v>309</v>
      </c>
      <c r="E643" t="str">
        <f>IF(D643&lt;&gt;"",C643&amp;"/"&amp;D643,"")</f>
        <v/>
      </c>
      <c r="G643" s="5" t="str">
        <f t="shared" si="6"/>
        <v/>
      </c>
      <c r="I643" s="6" t="str">
        <f t="shared" si="7"/>
        <v>0</v>
      </c>
    </row>
    <row r="644" spans="1:12" x14ac:dyDescent="0.2">
      <c r="A644" t="s">
        <v>747</v>
      </c>
      <c r="B644" t="s">
        <v>3987</v>
      </c>
      <c r="G644" s="5" t="str">
        <f t="shared" si="6"/>
        <v/>
      </c>
      <c r="I644" s="6" t="str">
        <f t="shared" si="7"/>
        <v>0</v>
      </c>
      <c r="L644" s="6" t="s">
        <v>3988</v>
      </c>
    </row>
    <row r="645" spans="1:12" x14ac:dyDescent="0.2">
      <c r="A645" t="s">
        <v>748</v>
      </c>
      <c r="B645" t="s">
        <v>3989</v>
      </c>
      <c r="G645" s="5" t="str">
        <f t="shared" si="6"/>
        <v/>
      </c>
      <c r="I645" s="6" t="str">
        <f t="shared" si="7"/>
        <v>0</v>
      </c>
      <c r="L645" s="6" t="s">
        <v>3990</v>
      </c>
    </row>
    <row r="646" spans="1:12" x14ac:dyDescent="0.2">
      <c r="A646" t="s">
        <v>749</v>
      </c>
      <c r="B646" t="s">
        <v>309</v>
      </c>
      <c r="E646" t="str">
        <f>IF(D646&lt;&gt;"",C646&amp;"/"&amp;D646,"")</f>
        <v/>
      </c>
      <c r="G646" s="5" t="str">
        <f t="shared" si="6"/>
        <v/>
      </c>
      <c r="I646" s="6" t="str">
        <f t="shared" si="7"/>
        <v>0</v>
      </c>
    </row>
    <row r="647" spans="1:12" x14ac:dyDescent="0.2">
      <c r="A647" t="s">
        <v>750</v>
      </c>
      <c r="B647" t="s">
        <v>5127</v>
      </c>
      <c r="E647" t="str">
        <f>IF(D647&lt;&gt;"",C647&amp;"/"&amp;D647,"")</f>
        <v/>
      </c>
      <c r="G647" s="5" t="str">
        <f t="shared" si="6"/>
        <v/>
      </c>
      <c r="I647" s="6" t="str">
        <f t="shared" si="7"/>
        <v>0</v>
      </c>
    </row>
    <row r="648" spans="1:12" x14ac:dyDescent="0.2">
      <c r="A648" t="s">
        <v>751</v>
      </c>
      <c r="B648" t="s">
        <v>309</v>
      </c>
      <c r="E648" t="str">
        <f>IF(D648&lt;&gt;"",C648&amp;"/"&amp;D648,"")</f>
        <v/>
      </c>
      <c r="G648" s="5" t="str">
        <f t="shared" si="6"/>
        <v/>
      </c>
      <c r="I648" s="6" t="str">
        <f t="shared" si="7"/>
        <v>0</v>
      </c>
    </row>
    <row r="649" spans="1:12" x14ac:dyDescent="0.2">
      <c r="A649" t="s">
        <v>752</v>
      </c>
      <c r="B649" t="s">
        <v>5128</v>
      </c>
      <c r="E649" t="str">
        <f>IF(D649&lt;&gt;"",C649&amp;"/"&amp;D649,"")</f>
        <v/>
      </c>
      <c r="G649" s="5" t="str">
        <f t="shared" si="6"/>
        <v/>
      </c>
      <c r="I649" s="6" t="str">
        <f t="shared" si="7"/>
        <v>0</v>
      </c>
    </row>
    <row r="650" spans="1:12" x14ac:dyDescent="0.2">
      <c r="A650" t="s">
        <v>753</v>
      </c>
      <c r="B650" t="s">
        <v>5129</v>
      </c>
      <c r="E650" t="str">
        <f>IF(D650&lt;&gt;"",C650&amp;"/"&amp;D650,"")</f>
        <v/>
      </c>
      <c r="G650" s="5" t="str">
        <f t="shared" si="6"/>
        <v/>
      </c>
      <c r="I650" s="6" t="str">
        <f t="shared" si="7"/>
        <v>0</v>
      </c>
    </row>
    <row r="651" spans="1:12" x14ac:dyDescent="0.2">
      <c r="A651" t="s">
        <v>754</v>
      </c>
      <c r="B651" t="s">
        <v>309</v>
      </c>
      <c r="E651" t="str">
        <f>IF(D651&lt;&gt;"",C651&amp;"/"&amp;D651,"")</f>
        <v/>
      </c>
      <c r="G651" s="5" t="str">
        <f t="shared" si="6"/>
        <v/>
      </c>
      <c r="I651" s="6" t="str">
        <f t="shared" si="7"/>
        <v>0</v>
      </c>
    </row>
    <row r="652" spans="1:12" x14ac:dyDescent="0.2">
      <c r="A652" t="s">
        <v>755</v>
      </c>
      <c r="B652" t="s">
        <v>309</v>
      </c>
      <c r="E652" t="str">
        <f>IF(D652&lt;&gt;"",C652&amp;"/"&amp;D652,"")</f>
        <v/>
      </c>
      <c r="G652" s="5" t="str">
        <f t="shared" si="6"/>
        <v/>
      </c>
      <c r="I652" s="6" t="str">
        <f t="shared" si="7"/>
        <v>0</v>
      </c>
    </row>
    <row r="653" spans="1:12" x14ac:dyDescent="0.2">
      <c r="A653" t="s">
        <v>756</v>
      </c>
      <c r="B653" t="s">
        <v>5130</v>
      </c>
      <c r="E653" t="str">
        <f>IF(D653&lt;&gt;"",C653&amp;"/"&amp;D653,"")</f>
        <v/>
      </c>
      <c r="G653" s="5" t="str">
        <f t="shared" si="6"/>
        <v/>
      </c>
      <c r="I653" s="6" t="str">
        <f t="shared" si="7"/>
        <v>0</v>
      </c>
    </row>
    <row r="654" spans="1:12" x14ac:dyDescent="0.2">
      <c r="A654" t="s">
        <v>757</v>
      </c>
      <c r="B654" t="s">
        <v>309</v>
      </c>
      <c r="E654" t="str">
        <f>IF(D654&lt;&gt;"",C654&amp;"/"&amp;D654,"")</f>
        <v/>
      </c>
      <c r="G654" s="5" t="str">
        <f t="shared" si="6"/>
        <v/>
      </c>
      <c r="I654" s="6" t="str">
        <f t="shared" si="7"/>
        <v>0</v>
      </c>
    </row>
    <row r="655" spans="1:12" x14ac:dyDescent="0.2">
      <c r="A655" t="s">
        <v>758</v>
      </c>
      <c r="B655" t="s">
        <v>5131</v>
      </c>
      <c r="E655" t="str">
        <f>IF(D655&lt;&gt;"",C655&amp;"/"&amp;D655,"")</f>
        <v/>
      </c>
      <c r="G655" s="5" t="str">
        <f t="shared" si="6"/>
        <v/>
      </c>
      <c r="I655" s="6" t="str">
        <f t="shared" si="7"/>
        <v>0</v>
      </c>
    </row>
    <row r="656" spans="1:12" x14ac:dyDescent="0.2">
      <c r="A656" t="s">
        <v>759</v>
      </c>
      <c r="B656" t="s">
        <v>5132</v>
      </c>
      <c r="E656" t="str">
        <f>IF(D656&lt;&gt;"",C656&amp;"/"&amp;D656,"")</f>
        <v/>
      </c>
      <c r="G656" s="5" t="str">
        <f t="shared" si="6"/>
        <v/>
      </c>
      <c r="I656" s="6" t="str">
        <f t="shared" si="7"/>
        <v>0</v>
      </c>
    </row>
    <row r="657" spans="1:12" x14ac:dyDescent="0.2">
      <c r="A657" t="s">
        <v>760</v>
      </c>
      <c r="B657" t="s">
        <v>5133</v>
      </c>
      <c r="E657" t="str">
        <f>IF(D657&lt;&gt;"",C657&amp;"/"&amp;D657,"")</f>
        <v/>
      </c>
      <c r="G657" s="5" t="str">
        <f t="shared" ref="G657:G720" si="8">IF(F657&lt;&gt;"",HEX2DEC(SUBSTITUTE(SUBSTITUTE(F657,"adrEA",""),"$","")),"")</f>
        <v/>
      </c>
      <c r="I657" s="6" t="str">
        <f t="shared" ref="I657:I720" si="9">IFERROR(DEC2HEX(H657),"")</f>
        <v>0</v>
      </c>
    </row>
    <row r="658" spans="1:12" x14ac:dyDescent="0.2">
      <c r="A658" t="s">
        <v>761</v>
      </c>
      <c r="B658" t="s">
        <v>5134</v>
      </c>
      <c r="E658" t="str">
        <f>IF(D658&lt;&gt;"",C658&amp;"/"&amp;D658,"")</f>
        <v/>
      </c>
      <c r="G658" s="5" t="str">
        <f t="shared" si="8"/>
        <v/>
      </c>
      <c r="I658" s="6" t="str">
        <f t="shared" si="9"/>
        <v>0</v>
      </c>
    </row>
    <row r="659" spans="1:12" x14ac:dyDescent="0.2">
      <c r="A659" t="s">
        <v>762</v>
      </c>
      <c r="B659" t="s">
        <v>3991</v>
      </c>
      <c r="G659" s="5" t="str">
        <f t="shared" si="8"/>
        <v/>
      </c>
      <c r="I659" s="6" t="str">
        <f t="shared" si="9"/>
        <v>0</v>
      </c>
      <c r="L659" s="6" t="s">
        <v>3992</v>
      </c>
    </row>
    <row r="660" spans="1:12" x14ac:dyDescent="0.2">
      <c r="A660" t="s">
        <v>763</v>
      </c>
      <c r="B660" t="s">
        <v>3993</v>
      </c>
      <c r="G660" s="5" t="str">
        <f t="shared" si="8"/>
        <v/>
      </c>
      <c r="I660" s="6" t="str">
        <f t="shared" si="9"/>
        <v>0</v>
      </c>
      <c r="L660" s="6" t="s">
        <v>3994</v>
      </c>
    </row>
    <row r="661" spans="1:12" x14ac:dyDescent="0.2">
      <c r="A661" t="s">
        <v>764</v>
      </c>
      <c r="B661" t="s">
        <v>309</v>
      </c>
      <c r="E661" t="str">
        <f>IF(D661&lt;&gt;"",C661&amp;"/"&amp;D661,"")</f>
        <v/>
      </c>
      <c r="G661" s="5" t="str">
        <f t="shared" si="8"/>
        <v/>
      </c>
      <c r="I661" s="6" t="str">
        <f t="shared" si="9"/>
        <v>0</v>
      </c>
    </row>
    <row r="662" spans="1:12" x14ac:dyDescent="0.2">
      <c r="A662" t="s">
        <v>765</v>
      </c>
      <c r="B662" t="s">
        <v>3995</v>
      </c>
      <c r="G662" s="5" t="str">
        <f t="shared" si="8"/>
        <v/>
      </c>
      <c r="I662" s="6" t="str">
        <f t="shared" si="9"/>
        <v>0</v>
      </c>
      <c r="L662" s="6" t="s">
        <v>3996</v>
      </c>
    </row>
    <row r="663" spans="1:12" x14ac:dyDescent="0.2">
      <c r="A663" t="s">
        <v>766</v>
      </c>
      <c r="B663" t="s">
        <v>3997</v>
      </c>
      <c r="G663" s="5" t="str">
        <f t="shared" si="8"/>
        <v/>
      </c>
      <c r="I663" s="6" t="str">
        <f t="shared" si="9"/>
        <v>0</v>
      </c>
      <c r="L663" s="6" t="s">
        <v>3998</v>
      </c>
    </row>
    <row r="664" spans="1:12" x14ac:dyDescent="0.2">
      <c r="A664" t="s">
        <v>767</v>
      </c>
      <c r="B664" t="s">
        <v>309</v>
      </c>
      <c r="E664" t="str">
        <f>IF(D664&lt;&gt;"",C664&amp;"/"&amp;D664,"")</f>
        <v/>
      </c>
      <c r="G664" s="5" t="str">
        <f t="shared" si="8"/>
        <v/>
      </c>
      <c r="I664" s="6" t="str">
        <f t="shared" si="9"/>
        <v>0</v>
      </c>
    </row>
    <row r="665" spans="1:12" x14ac:dyDescent="0.2">
      <c r="A665" t="s">
        <v>768</v>
      </c>
      <c r="B665" t="s">
        <v>309</v>
      </c>
      <c r="E665" t="str">
        <f>IF(D665&lt;&gt;"",C665&amp;"/"&amp;D665,"")</f>
        <v/>
      </c>
      <c r="G665" s="5" t="str">
        <f t="shared" si="8"/>
        <v/>
      </c>
      <c r="I665" s="6" t="str">
        <f t="shared" si="9"/>
        <v>0</v>
      </c>
    </row>
    <row r="666" spans="1:12" ht="17" x14ac:dyDescent="0.25">
      <c r="A666" t="s">
        <v>769</v>
      </c>
      <c r="B666" s="19" t="s">
        <v>3901</v>
      </c>
      <c r="C666" s="5" t="s">
        <v>48</v>
      </c>
      <c r="D666" s="19" t="s">
        <v>3902</v>
      </c>
      <c r="E666" t="s">
        <v>3903</v>
      </c>
      <c r="F666" s="18" t="s">
        <v>3904</v>
      </c>
      <c r="G666" s="5">
        <f t="shared" si="8"/>
        <v>10236</v>
      </c>
      <c r="H666" s="5">
        <v>3</v>
      </c>
      <c r="I666" s="6" t="str">
        <f t="shared" si="9"/>
        <v>3</v>
      </c>
      <c r="J666" s="6" t="s">
        <v>3455</v>
      </c>
      <c r="K666" s="21" t="s">
        <v>3905</v>
      </c>
    </row>
    <row r="667" spans="1:12" ht="17" x14ac:dyDescent="0.25">
      <c r="A667" t="s">
        <v>770</v>
      </c>
      <c r="B667" s="19" t="s">
        <v>3906</v>
      </c>
      <c r="C667" s="5" t="s">
        <v>48</v>
      </c>
      <c r="D667" s="19" t="s">
        <v>3907</v>
      </c>
      <c r="E667" t="s">
        <v>3908</v>
      </c>
      <c r="F667" s="18" t="s">
        <v>3909</v>
      </c>
      <c r="G667" s="5">
        <f t="shared" si="8"/>
        <v>10239</v>
      </c>
      <c r="H667" s="5">
        <v>3</v>
      </c>
      <c r="I667" s="6" t="str">
        <f t="shared" si="9"/>
        <v>3</v>
      </c>
      <c r="J667" s="6" t="s">
        <v>3460</v>
      </c>
      <c r="K667" s="21" t="s">
        <v>3910</v>
      </c>
    </row>
    <row r="668" spans="1:12" x14ac:dyDescent="0.2">
      <c r="A668" t="s">
        <v>771</v>
      </c>
      <c r="B668" t="s">
        <v>309</v>
      </c>
      <c r="E668" t="str">
        <f>IF(D668&lt;&gt;"",C668&amp;"/"&amp;D668,"")</f>
        <v/>
      </c>
      <c r="G668" s="5" t="str">
        <f t="shared" si="8"/>
        <v/>
      </c>
      <c r="I668" s="6" t="str">
        <f t="shared" si="9"/>
        <v>0</v>
      </c>
    </row>
    <row r="669" spans="1:12" x14ac:dyDescent="0.2">
      <c r="A669" t="s">
        <v>772</v>
      </c>
      <c r="B669" t="s">
        <v>309</v>
      </c>
      <c r="E669" t="str">
        <f>IF(D669&lt;&gt;"",C669&amp;"/"&amp;D669,"")</f>
        <v/>
      </c>
      <c r="G669" s="5" t="str">
        <f t="shared" si="8"/>
        <v/>
      </c>
      <c r="I669" s="6" t="str">
        <f t="shared" si="9"/>
        <v>0</v>
      </c>
    </row>
    <row r="670" spans="1:12" x14ac:dyDescent="0.2">
      <c r="A670" t="s">
        <v>773</v>
      </c>
      <c r="B670" t="s">
        <v>309</v>
      </c>
      <c r="E670" t="str">
        <f>IF(D670&lt;&gt;"",C670&amp;"/"&amp;D670,"")</f>
        <v/>
      </c>
      <c r="G670" s="5" t="str">
        <f t="shared" si="8"/>
        <v/>
      </c>
      <c r="I670" s="6" t="str">
        <f t="shared" si="9"/>
        <v>0</v>
      </c>
    </row>
    <row r="671" spans="1:12" x14ac:dyDescent="0.2">
      <c r="A671" t="s">
        <v>774</v>
      </c>
      <c r="B671" t="s">
        <v>309</v>
      </c>
      <c r="E671" t="str">
        <f>IF(D671&lt;&gt;"",C671&amp;"/"&amp;D671,"")</f>
        <v/>
      </c>
      <c r="G671" s="5" t="str">
        <f t="shared" si="8"/>
        <v/>
      </c>
      <c r="I671" s="6" t="str">
        <f t="shared" si="9"/>
        <v>0</v>
      </c>
    </row>
    <row r="672" spans="1:12" x14ac:dyDescent="0.2">
      <c r="A672" t="s">
        <v>775</v>
      </c>
      <c r="B672" t="s">
        <v>309</v>
      </c>
      <c r="E672" t="str">
        <f>IF(D672&lt;&gt;"",C672&amp;"/"&amp;D672,"")</f>
        <v/>
      </c>
      <c r="G672" s="5" t="str">
        <f t="shared" si="8"/>
        <v/>
      </c>
      <c r="I672" s="6" t="str">
        <f t="shared" si="9"/>
        <v>0</v>
      </c>
    </row>
    <row r="673" spans="1:9" x14ac:dyDescent="0.2">
      <c r="A673" t="s">
        <v>776</v>
      </c>
      <c r="B673" t="s">
        <v>309</v>
      </c>
      <c r="E673" t="str">
        <f>IF(D673&lt;&gt;"",C673&amp;"/"&amp;D673,"")</f>
        <v/>
      </c>
      <c r="G673" s="5" t="str">
        <f t="shared" si="8"/>
        <v/>
      </c>
      <c r="I673" s="6" t="str">
        <f t="shared" si="9"/>
        <v>0</v>
      </c>
    </row>
    <row r="674" spans="1:9" x14ac:dyDescent="0.2">
      <c r="A674" t="s">
        <v>777</v>
      </c>
      <c r="B674" t="s">
        <v>309</v>
      </c>
      <c r="E674" t="str">
        <f>IF(D674&lt;&gt;"",C674&amp;"/"&amp;D674,"")</f>
        <v/>
      </c>
      <c r="G674" s="5" t="str">
        <f t="shared" si="8"/>
        <v/>
      </c>
      <c r="I674" s="6" t="str">
        <f t="shared" si="9"/>
        <v>0</v>
      </c>
    </row>
    <row r="675" spans="1:9" x14ac:dyDescent="0.2">
      <c r="A675" t="s">
        <v>778</v>
      </c>
      <c r="B675" t="s">
        <v>309</v>
      </c>
      <c r="E675" t="str">
        <f>IF(D675&lt;&gt;"",C675&amp;"/"&amp;D675,"")</f>
        <v/>
      </c>
      <c r="G675" s="5" t="str">
        <f t="shared" si="8"/>
        <v/>
      </c>
      <c r="I675" s="6" t="str">
        <f t="shared" si="9"/>
        <v>0</v>
      </c>
    </row>
    <row r="676" spans="1:9" x14ac:dyDescent="0.2">
      <c r="A676" t="s">
        <v>779</v>
      </c>
      <c r="B676" t="s">
        <v>309</v>
      </c>
      <c r="E676" t="str">
        <f>IF(D676&lt;&gt;"",C676&amp;"/"&amp;D676,"")</f>
        <v/>
      </c>
      <c r="G676" s="5" t="str">
        <f t="shared" si="8"/>
        <v/>
      </c>
      <c r="I676" s="6" t="str">
        <f t="shared" si="9"/>
        <v>0</v>
      </c>
    </row>
    <row r="677" spans="1:9" x14ac:dyDescent="0.2">
      <c r="A677" t="s">
        <v>780</v>
      </c>
      <c r="B677" t="s">
        <v>309</v>
      </c>
      <c r="E677" t="str">
        <f>IF(D677&lt;&gt;"",C677&amp;"/"&amp;D677,"")</f>
        <v/>
      </c>
      <c r="G677" s="5" t="str">
        <f t="shared" si="8"/>
        <v/>
      </c>
      <c r="I677" s="6" t="str">
        <f t="shared" si="9"/>
        <v>0</v>
      </c>
    </row>
    <row r="678" spans="1:9" x14ac:dyDescent="0.2">
      <c r="A678" t="s">
        <v>781</v>
      </c>
      <c r="B678" t="s">
        <v>309</v>
      </c>
      <c r="E678" t="str">
        <f>IF(D678&lt;&gt;"",C678&amp;"/"&amp;D678,"")</f>
        <v/>
      </c>
      <c r="G678" s="5" t="str">
        <f t="shared" si="8"/>
        <v/>
      </c>
      <c r="I678" s="6" t="str">
        <f t="shared" si="9"/>
        <v>0</v>
      </c>
    </row>
    <row r="679" spans="1:9" x14ac:dyDescent="0.2">
      <c r="A679" t="s">
        <v>782</v>
      </c>
      <c r="B679" t="s">
        <v>309</v>
      </c>
      <c r="E679" t="str">
        <f>IF(D679&lt;&gt;"",C679&amp;"/"&amp;D679,"")</f>
        <v/>
      </c>
      <c r="G679" s="5" t="str">
        <f t="shared" si="8"/>
        <v/>
      </c>
      <c r="I679" s="6" t="str">
        <f t="shared" si="9"/>
        <v>0</v>
      </c>
    </row>
    <row r="680" spans="1:9" x14ac:dyDescent="0.2">
      <c r="A680" t="s">
        <v>785</v>
      </c>
      <c r="B680" t="s">
        <v>309</v>
      </c>
      <c r="E680" t="str">
        <f>IF(D680&lt;&gt;"",C680&amp;"/"&amp;D680,"")</f>
        <v/>
      </c>
      <c r="G680" s="5" t="str">
        <f t="shared" si="8"/>
        <v/>
      </c>
      <c r="I680" s="6" t="str">
        <f t="shared" si="9"/>
        <v>0</v>
      </c>
    </row>
    <row r="681" spans="1:9" x14ac:dyDescent="0.2">
      <c r="A681" t="s">
        <v>786</v>
      </c>
      <c r="B681" t="s">
        <v>309</v>
      </c>
      <c r="E681" t="str">
        <f>IF(D681&lt;&gt;"",C681&amp;"/"&amp;D681,"")</f>
        <v/>
      </c>
      <c r="G681" s="5" t="str">
        <f t="shared" si="8"/>
        <v/>
      </c>
      <c r="I681" s="6" t="str">
        <f t="shared" si="9"/>
        <v>0</v>
      </c>
    </row>
    <row r="682" spans="1:9" x14ac:dyDescent="0.2">
      <c r="A682" t="s">
        <v>787</v>
      </c>
      <c r="B682" t="s">
        <v>309</v>
      </c>
      <c r="E682" t="str">
        <f>IF(D682&lt;&gt;"",C682&amp;"/"&amp;D682,"")</f>
        <v/>
      </c>
      <c r="G682" s="5" t="str">
        <f t="shared" si="8"/>
        <v/>
      </c>
      <c r="I682" s="6" t="str">
        <f t="shared" si="9"/>
        <v>0</v>
      </c>
    </row>
    <row r="683" spans="1:9" x14ac:dyDescent="0.2">
      <c r="A683" t="s">
        <v>788</v>
      </c>
      <c r="B683" t="s">
        <v>309</v>
      </c>
      <c r="E683" t="str">
        <f>IF(D683&lt;&gt;"",C683&amp;"/"&amp;D683,"")</f>
        <v/>
      </c>
      <c r="G683" s="5" t="str">
        <f t="shared" si="8"/>
        <v/>
      </c>
      <c r="I683" s="6" t="str">
        <f t="shared" si="9"/>
        <v>0</v>
      </c>
    </row>
    <row r="684" spans="1:9" x14ac:dyDescent="0.2">
      <c r="A684" t="s">
        <v>789</v>
      </c>
      <c r="B684" t="s">
        <v>309</v>
      </c>
      <c r="E684" t="str">
        <f>IF(D684&lt;&gt;"",C684&amp;"/"&amp;D684,"")</f>
        <v/>
      </c>
      <c r="G684" s="5" t="str">
        <f t="shared" si="8"/>
        <v/>
      </c>
      <c r="I684" s="6" t="str">
        <f t="shared" si="9"/>
        <v>0</v>
      </c>
    </row>
    <row r="685" spans="1:9" x14ac:dyDescent="0.2">
      <c r="A685" t="s">
        <v>790</v>
      </c>
      <c r="B685" t="s">
        <v>309</v>
      </c>
      <c r="E685" t="str">
        <f>IF(D685&lt;&gt;"",C685&amp;"/"&amp;D685,"")</f>
        <v/>
      </c>
      <c r="G685" s="5" t="str">
        <f t="shared" si="8"/>
        <v/>
      </c>
      <c r="I685" s="6" t="str">
        <f t="shared" si="9"/>
        <v>0</v>
      </c>
    </row>
    <row r="686" spans="1:9" x14ac:dyDescent="0.2">
      <c r="A686" t="s">
        <v>791</v>
      </c>
      <c r="B686" t="s">
        <v>309</v>
      </c>
      <c r="E686" t="str">
        <f>IF(D686&lt;&gt;"",C686&amp;"/"&amp;D686,"")</f>
        <v/>
      </c>
      <c r="G686" s="5" t="str">
        <f t="shared" si="8"/>
        <v/>
      </c>
      <c r="I686" s="6" t="str">
        <f t="shared" si="9"/>
        <v>0</v>
      </c>
    </row>
    <row r="687" spans="1:9" x14ac:dyDescent="0.2">
      <c r="A687" t="s">
        <v>792</v>
      </c>
      <c r="B687" t="s">
        <v>309</v>
      </c>
      <c r="E687" t="str">
        <f>IF(D687&lt;&gt;"",C687&amp;"/"&amp;D687,"")</f>
        <v/>
      </c>
      <c r="G687" s="5" t="str">
        <f t="shared" si="8"/>
        <v/>
      </c>
      <c r="I687" s="6" t="str">
        <f t="shared" si="9"/>
        <v>0</v>
      </c>
    </row>
    <row r="688" spans="1:9" x14ac:dyDescent="0.2">
      <c r="A688" t="s">
        <v>793</v>
      </c>
      <c r="B688" t="s">
        <v>309</v>
      </c>
      <c r="E688" t="str">
        <f>IF(D688&lt;&gt;"",C688&amp;"/"&amp;D688,"")</f>
        <v/>
      </c>
      <c r="G688" s="5" t="str">
        <f t="shared" si="8"/>
        <v/>
      </c>
      <c r="I688" s="6" t="str">
        <f t="shared" si="9"/>
        <v>0</v>
      </c>
    </row>
    <row r="689" spans="1:9" x14ac:dyDescent="0.2">
      <c r="A689" t="s">
        <v>796</v>
      </c>
      <c r="B689" t="s">
        <v>796</v>
      </c>
      <c r="E689" t="str">
        <f>IF(D689&lt;&gt;"",C689&amp;"/"&amp;D689,"")</f>
        <v/>
      </c>
      <c r="G689" s="5" t="str">
        <f t="shared" si="8"/>
        <v/>
      </c>
      <c r="I689" s="6" t="str">
        <f t="shared" si="9"/>
        <v>0</v>
      </c>
    </row>
    <row r="690" spans="1:9" x14ac:dyDescent="0.2">
      <c r="A690" t="s">
        <v>797</v>
      </c>
      <c r="B690" t="s">
        <v>797</v>
      </c>
      <c r="E690" t="str">
        <f>IF(D690&lt;&gt;"",C690&amp;"/"&amp;D690,"")</f>
        <v/>
      </c>
      <c r="G690" s="5" t="str">
        <f t="shared" si="8"/>
        <v/>
      </c>
      <c r="I690" s="6" t="str">
        <f t="shared" si="9"/>
        <v>0</v>
      </c>
    </row>
    <row r="691" spans="1:9" x14ac:dyDescent="0.2">
      <c r="A691" t="s">
        <v>800</v>
      </c>
      <c r="B691" t="s">
        <v>309</v>
      </c>
      <c r="E691" t="str">
        <f>IF(D691&lt;&gt;"",C691&amp;"/"&amp;D691,"")</f>
        <v/>
      </c>
      <c r="G691" s="5" t="str">
        <f t="shared" si="8"/>
        <v/>
      </c>
      <c r="I691" s="6" t="str">
        <f t="shared" si="9"/>
        <v>0</v>
      </c>
    </row>
    <row r="692" spans="1:9" x14ac:dyDescent="0.2">
      <c r="A692" t="s">
        <v>802</v>
      </c>
      <c r="B692" t="s">
        <v>309</v>
      </c>
      <c r="E692" t="str">
        <f>IF(D692&lt;&gt;"",C692&amp;"/"&amp;D692,"")</f>
        <v/>
      </c>
      <c r="G692" s="5" t="str">
        <f t="shared" si="8"/>
        <v/>
      </c>
      <c r="I692" s="6" t="str">
        <f t="shared" si="9"/>
        <v>0</v>
      </c>
    </row>
    <row r="693" spans="1:9" x14ac:dyDescent="0.2">
      <c r="A693" t="s">
        <v>804</v>
      </c>
      <c r="B693" t="s">
        <v>309</v>
      </c>
      <c r="E693" t="str">
        <f>IF(D693&lt;&gt;"",C693&amp;"/"&amp;D693,"")</f>
        <v/>
      </c>
      <c r="G693" s="5" t="str">
        <f t="shared" si="8"/>
        <v/>
      </c>
      <c r="I693" s="6" t="str">
        <f t="shared" si="9"/>
        <v>0</v>
      </c>
    </row>
    <row r="694" spans="1:9" x14ac:dyDescent="0.2">
      <c r="A694" t="s">
        <v>806</v>
      </c>
      <c r="B694" t="s">
        <v>309</v>
      </c>
      <c r="E694" t="str">
        <f>IF(D694&lt;&gt;"",C694&amp;"/"&amp;D694,"")</f>
        <v/>
      </c>
      <c r="G694" s="5" t="str">
        <f t="shared" si="8"/>
        <v/>
      </c>
      <c r="I694" s="6" t="str">
        <f t="shared" si="9"/>
        <v>0</v>
      </c>
    </row>
    <row r="695" spans="1:9" x14ac:dyDescent="0.2">
      <c r="A695" t="s">
        <v>807</v>
      </c>
      <c r="B695" t="s">
        <v>309</v>
      </c>
      <c r="E695" t="str">
        <f>IF(D695&lt;&gt;"",C695&amp;"/"&amp;D695,"")</f>
        <v/>
      </c>
      <c r="G695" s="5" t="str">
        <f t="shared" si="8"/>
        <v/>
      </c>
      <c r="I695" s="6" t="str">
        <f t="shared" si="9"/>
        <v>0</v>
      </c>
    </row>
    <row r="696" spans="1:9" x14ac:dyDescent="0.2">
      <c r="A696" t="s">
        <v>809</v>
      </c>
      <c r="B696" t="s">
        <v>309</v>
      </c>
      <c r="E696" t="str">
        <f>IF(D696&lt;&gt;"",C696&amp;"/"&amp;D696,"")</f>
        <v/>
      </c>
      <c r="G696" s="5" t="str">
        <f t="shared" si="8"/>
        <v/>
      </c>
      <c r="I696" s="6" t="str">
        <f t="shared" si="9"/>
        <v>0</v>
      </c>
    </row>
    <row r="697" spans="1:9" x14ac:dyDescent="0.2">
      <c r="A697" t="s">
        <v>810</v>
      </c>
      <c r="B697" t="s">
        <v>309</v>
      </c>
      <c r="E697" t="str">
        <f>IF(D697&lt;&gt;"",C697&amp;"/"&amp;D697,"")</f>
        <v/>
      </c>
      <c r="G697" s="5" t="str">
        <f t="shared" si="8"/>
        <v/>
      </c>
      <c r="I697" s="6" t="str">
        <f t="shared" si="9"/>
        <v>0</v>
      </c>
    </row>
    <row r="698" spans="1:9" x14ac:dyDescent="0.2">
      <c r="A698" t="s">
        <v>811</v>
      </c>
      <c r="B698" t="s">
        <v>309</v>
      </c>
      <c r="E698" t="str">
        <f>IF(D698&lt;&gt;"",C698&amp;"/"&amp;D698,"")</f>
        <v/>
      </c>
      <c r="G698" s="5" t="str">
        <f t="shared" si="8"/>
        <v/>
      </c>
      <c r="I698" s="6" t="str">
        <f t="shared" si="9"/>
        <v>0</v>
      </c>
    </row>
    <row r="699" spans="1:9" x14ac:dyDescent="0.2">
      <c r="A699" t="s">
        <v>812</v>
      </c>
      <c r="B699" t="s">
        <v>309</v>
      </c>
      <c r="E699" t="str">
        <f>IF(D699&lt;&gt;"",C699&amp;"/"&amp;D699,"")</f>
        <v/>
      </c>
      <c r="G699" s="5" t="str">
        <f t="shared" si="8"/>
        <v/>
      </c>
      <c r="I699" s="6" t="str">
        <f t="shared" si="9"/>
        <v>0</v>
      </c>
    </row>
    <row r="700" spans="1:9" x14ac:dyDescent="0.2">
      <c r="A700" t="s">
        <v>813</v>
      </c>
      <c r="B700" t="s">
        <v>309</v>
      </c>
      <c r="E700" t="str">
        <f>IF(D700&lt;&gt;"",C700&amp;"/"&amp;D700,"")</f>
        <v/>
      </c>
      <c r="G700" s="5" t="str">
        <f t="shared" si="8"/>
        <v/>
      </c>
      <c r="I700" s="6" t="str">
        <f t="shared" si="9"/>
        <v>0</v>
      </c>
    </row>
    <row r="701" spans="1:9" x14ac:dyDescent="0.2">
      <c r="A701" t="s">
        <v>815</v>
      </c>
      <c r="B701" t="s">
        <v>309</v>
      </c>
      <c r="E701" t="str">
        <f>IF(D701&lt;&gt;"",C701&amp;"/"&amp;D701,"")</f>
        <v/>
      </c>
      <c r="G701" s="5" t="str">
        <f t="shared" si="8"/>
        <v/>
      </c>
      <c r="I701" s="6" t="str">
        <f t="shared" si="9"/>
        <v>0</v>
      </c>
    </row>
    <row r="702" spans="1:9" x14ac:dyDescent="0.2">
      <c r="A702" t="s">
        <v>816</v>
      </c>
      <c r="B702" t="s">
        <v>309</v>
      </c>
      <c r="E702" t="str">
        <f>IF(D702&lt;&gt;"",C702&amp;"/"&amp;D702,"")</f>
        <v/>
      </c>
      <c r="G702" s="5" t="str">
        <f t="shared" si="8"/>
        <v/>
      </c>
      <c r="I702" s="6" t="str">
        <f t="shared" si="9"/>
        <v>0</v>
      </c>
    </row>
    <row r="703" spans="1:9" x14ac:dyDescent="0.2">
      <c r="A703" t="s">
        <v>817</v>
      </c>
      <c r="B703" t="s">
        <v>309</v>
      </c>
      <c r="E703" t="str">
        <f>IF(D703&lt;&gt;"",C703&amp;"/"&amp;D703,"")</f>
        <v/>
      </c>
      <c r="G703" s="5" t="str">
        <f t="shared" si="8"/>
        <v/>
      </c>
      <c r="I703" s="6" t="str">
        <f t="shared" si="9"/>
        <v>0</v>
      </c>
    </row>
    <row r="704" spans="1:9" x14ac:dyDescent="0.2">
      <c r="A704" t="s">
        <v>819</v>
      </c>
      <c r="B704" t="s">
        <v>3307</v>
      </c>
      <c r="E704" t="str">
        <f>IF(D704&lt;&gt;"",C704&amp;"/"&amp;D704,"")</f>
        <v/>
      </c>
      <c r="G704" s="5" t="str">
        <f t="shared" si="8"/>
        <v/>
      </c>
      <c r="I704" s="6" t="str">
        <f t="shared" si="9"/>
        <v>0</v>
      </c>
    </row>
    <row r="705" spans="1:9" x14ac:dyDescent="0.2">
      <c r="A705" t="s">
        <v>820</v>
      </c>
      <c r="B705" t="s">
        <v>309</v>
      </c>
      <c r="E705" t="str">
        <f>IF(D705&lt;&gt;"",C705&amp;"/"&amp;D705,"")</f>
        <v/>
      </c>
      <c r="G705" s="5" t="str">
        <f t="shared" si="8"/>
        <v/>
      </c>
      <c r="I705" s="6" t="str">
        <f t="shared" si="9"/>
        <v>0</v>
      </c>
    </row>
    <row r="706" spans="1:9" x14ac:dyDescent="0.2">
      <c r="A706" t="s">
        <v>821</v>
      </c>
      <c r="B706" t="s">
        <v>309</v>
      </c>
      <c r="E706" t="str">
        <f>IF(D706&lt;&gt;"",C706&amp;"/"&amp;D706,"")</f>
        <v/>
      </c>
      <c r="G706" s="5" t="str">
        <f t="shared" si="8"/>
        <v/>
      </c>
      <c r="I706" s="6" t="str">
        <f t="shared" si="9"/>
        <v>0</v>
      </c>
    </row>
    <row r="707" spans="1:9" x14ac:dyDescent="0.2">
      <c r="A707" t="s">
        <v>822</v>
      </c>
      <c r="B707" t="s">
        <v>309</v>
      </c>
      <c r="E707" t="str">
        <f>IF(D707&lt;&gt;"",C707&amp;"/"&amp;D707,"")</f>
        <v/>
      </c>
      <c r="G707" s="5" t="str">
        <f t="shared" si="8"/>
        <v/>
      </c>
      <c r="I707" s="6" t="str">
        <f t="shared" si="9"/>
        <v>0</v>
      </c>
    </row>
    <row r="708" spans="1:9" x14ac:dyDescent="0.2">
      <c r="A708" t="s">
        <v>824</v>
      </c>
      <c r="B708" t="s">
        <v>309</v>
      </c>
      <c r="E708" t="str">
        <f>IF(D708&lt;&gt;"",C708&amp;"/"&amp;D708,"")</f>
        <v/>
      </c>
      <c r="G708" s="5" t="str">
        <f t="shared" si="8"/>
        <v/>
      </c>
      <c r="I708" s="6" t="str">
        <f t="shared" si="9"/>
        <v>0</v>
      </c>
    </row>
    <row r="709" spans="1:9" x14ac:dyDescent="0.2">
      <c r="A709" t="s">
        <v>825</v>
      </c>
      <c r="B709" t="s">
        <v>309</v>
      </c>
      <c r="E709" t="str">
        <f>IF(D709&lt;&gt;"",C709&amp;"/"&amp;D709,"")</f>
        <v/>
      </c>
      <c r="G709" s="5" t="str">
        <f t="shared" si="8"/>
        <v/>
      </c>
      <c r="I709" s="6" t="str">
        <f t="shared" si="9"/>
        <v>0</v>
      </c>
    </row>
    <row r="710" spans="1:9" x14ac:dyDescent="0.2">
      <c r="A710" t="s">
        <v>826</v>
      </c>
      <c r="B710" t="s">
        <v>309</v>
      </c>
      <c r="E710" t="str">
        <f>IF(D710&lt;&gt;"",C710&amp;"/"&amp;D710,"")</f>
        <v/>
      </c>
      <c r="G710" s="5" t="str">
        <f t="shared" si="8"/>
        <v/>
      </c>
      <c r="I710" s="6" t="str">
        <f t="shared" si="9"/>
        <v>0</v>
      </c>
    </row>
    <row r="711" spans="1:9" x14ac:dyDescent="0.2">
      <c r="A711" t="s">
        <v>827</v>
      </c>
      <c r="B711" t="s">
        <v>309</v>
      </c>
      <c r="E711" t="str">
        <f>IF(D711&lt;&gt;"",C711&amp;"/"&amp;D711,"")</f>
        <v/>
      </c>
      <c r="G711" s="5" t="str">
        <f t="shared" si="8"/>
        <v/>
      </c>
      <c r="I711" s="6" t="str">
        <f t="shared" si="9"/>
        <v>0</v>
      </c>
    </row>
    <row r="712" spans="1:9" x14ac:dyDescent="0.2">
      <c r="A712" t="s">
        <v>828</v>
      </c>
      <c r="B712" t="s">
        <v>309</v>
      </c>
      <c r="E712" t="str">
        <f>IF(D712&lt;&gt;"",C712&amp;"/"&amp;D712,"")</f>
        <v/>
      </c>
      <c r="G712" s="5" t="str">
        <f t="shared" si="8"/>
        <v/>
      </c>
      <c r="I712" s="6" t="str">
        <f t="shared" si="9"/>
        <v>0</v>
      </c>
    </row>
    <row r="713" spans="1:9" x14ac:dyDescent="0.2">
      <c r="A713" t="s">
        <v>829</v>
      </c>
      <c r="B713" t="s">
        <v>309</v>
      </c>
      <c r="E713" t="str">
        <f>IF(D713&lt;&gt;"",C713&amp;"/"&amp;D713,"")</f>
        <v/>
      </c>
      <c r="G713" s="5" t="str">
        <f t="shared" si="8"/>
        <v/>
      </c>
      <c r="I713" s="6" t="str">
        <f t="shared" si="9"/>
        <v>0</v>
      </c>
    </row>
    <row r="714" spans="1:9" x14ac:dyDescent="0.2">
      <c r="A714" t="s">
        <v>830</v>
      </c>
      <c r="B714" t="s">
        <v>309</v>
      </c>
      <c r="E714" t="str">
        <f>IF(D714&lt;&gt;"",C714&amp;"/"&amp;D714,"")</f>
        <v/>
      </c>
      <c r="G714" s="5" t="str">
        <f t="shared" si="8"/>
        <v/>
      </c>
      <c r="I714" s="6" t="str">
        <f t="shared" si="9"/>
        <v>0</v>
      </c>
    </row>
    <row r="715" spans="1:9" x14ac:dyDescent="0.2">
      <c r="A715" t="s">
        <v>831</v>
      </c>
      <c r="B715" t="s">
        <v>309</v>
      </c>
      <c r="E715" t="str">
        <f>IF(D715&lt;&gt;"",C715&amp;"/"&amp;D715,"")</f>
        <v/>
      </c>
      <c r="G715" s="5" t="str">
        <f t="shared" si="8"/>
        <v/>
      </c>
      <c r="I715" s="6" t="str">
        <f t="shared" si="9"/>
        <v>0</v>
      </c>
    </row>
    <row r="716" spans="1:9" x14ac:dyDescent="0.2">
      <c r="A716" t="s">
        <v>832</v>
      </c>
      <c r="B716" t="s">
        <v>309</v>
      </c>
      <c r="E716" t="str">
        <f>IF(D716&lt;&gt;"",C716&amp;"/"&amp;D716,"")</f>
        <v/>
      </c>
      <c r="G716" s="5" t="str">
        <f t="shared" si="8"/>
        <v/>
      </c>
      <c r="I716" s="6" t="str">
        <f t="shared" si="9"/>
        <v>0</v>
      </c>
    </row>
    <row r="717" spans="1:9" x14ac:dyDescent="0.2">
      <c r="A717" t="s">
        <v>835</v>
      </c>
      <c r="B717" t="s">
        <v>309</v>
      </c>
      <c r="E717" t="str">
        <f>IF(D717&lt;&gt;"",C717&amp;"/"&amp;D717,"")</f>
        <v/>
      </c>
      <c r="G717" s="5" t="str">
        <f t="shared" si="8"/>
        <v/>
      </c>
      <c r="I717" s="6" t="str">
        <f t="shared" si="9"/>
        <v>0</v>
      </c>
    </row>
    <row r="718" spans="1:9" x14ac:dyDescent="0.2">
      <c r="A718" t="s">
        <v>849</v>
      </c>
      <c r="B718" t="s">
        <v>3306</v>
      </c>
      <c r="E718" t="str">
        <f>IF(D718&lt;&gt;"",C718&amp;"/"&amp;D718,"")</f>
        <v/>
      </c>
      <c r="G718" s="5" t="str">
        <f t="shared" si="8"/>
        <v/>
      </c>
      <c r="I718" s="6" t="str">
        <f t="shared" si="9"/>
        <v>0</v>
      </c>
    </row>
    <row r="719" spans="1:9" x14ac:dyDescent="0.2">
      <c r="A719" t="s">
        <v>851</v>
      </c>
      <c r="B719" t="s">
        <v>3308</v>
      </c>
      <c r="E719" t="str">
        <f>IF(D719&lt;&gt;"",C719&amp;"/"&amp;D719,"")</f>
        <v/>
      </c>
      <c r="G719" s="5" t="str">
        <f t="shared" si="8"/>
        <v/>
      </c>
      <c r="I719" s="6" t="str">
        <f t="shared" si="9"/>
        <v>0</v>
      </c>
    </row>
    <row r="720" spans="1:9" x14ac:dyDescent="0.2">
      <c r="A720" t="s">
        <v>852</v>
      </c>
      <c r="B720" t="s">
        <v>309</v>
      </c>
      <c r="E720" t="str">
        <f>IF(D720&lt;&gt;"",C720&amp;"/"&amp;D720,"")</f>
        <v/>
      </c>
      <c r="G720" s="5" t="str">
        <f t="shared" si="8"/>
        <v/>
      </c>
      <c r="I720" s="6" t="str">
        <f t="shared" si="9"/>
        <v>0</v>
      </c>
    </row>
    <row r="721" spans="1:9" x14ac:dyDescent="0.2">
      <c r="A721" t="s">
        <v>853</v>
      </c>
      <c r="B721" t="s">
        <v>3305</v>
      </c>
      <c r="E721" t="str">
        <f>IF(D721&lt;&gt;"",C721&amp;"/"&amp;D721,"")</f>
        <v/>
      </c>
      <c r="G721" s="5" t="str">
        <f t="shared" ref="G721:G784" si="10">IF(F721&lt;&gt;"",HEX2DEC(SUBSTITUTE(SUBSTITUTE(F721,"adrEA",""),"$","")),"")</f>
        <v/>
      </c>
      <c r="I721" s="6" t="str">
        <f t="shared" ref="I721:I784" si="11">IFERROR(DEC2HEX(H721),"")</f>
        <v>0</v>
      </c>
    </row>
    <row r="722" spans="1:9" x14ac:dyDescent="0.2">
      <c r="A722" t="s">
        <v>854</v>
      </c>
      <c r="B722" t="s">
        <v>3309</v>
      </c>
      <c r="E722" t="str">
        <f>IF(D722&lt;&gt;"",C722&amp;"/"&amp;D722,"")</f>
        <v/>
      </c>
      <c r="G722" s="5" t="str">
        <f t="shared" si="10"/>
        <v/>
      </c>
      <c r="I722" s="6" t="str">
        <f t="shared" si="11"/>
        <v>0</v>
      </c>
    </row>
    <row r="723" spans="1:9" x14ac:dyDescent="0.2">
      <c r="A723" t="s">
        <v>855</v>
      </c>
      <c r="B723" t="s">
        <v>309</v>
      </c>
      <c r="E723" t="str">
        <f>IF(D723&lt;&gt;"",C723&amp;"/"&amp;D723,"")</f>
        <v/>
      </c>
      <c r="G723" s="5" t="str">
        <f t="shared" si="10"/>
        <v/>
      </c>
      <c r="I723" s="6" t="str">
        <f t="shared" si="11"/>
        <v>0</v>
      </c>
    </row>
    <row r="724" spans="1:9" x14ac:dyDescent="0.2">
      <c r="A724" t="s">
        <v>856</v>
      </c>
      <c r="B724" t="s">
        <v>857</v>
      </c>
      <c r="E724" t="str">
        <f>IF(D724&lt;&gt;"",C724&amp;"/"&amp;D724,"")</f>
        <v/>
      </c>
      <c r="G724" s="5" t="str">
        <f t="shared" si="10"/>
        <v/>
      </c>
      <c r="I724" s="6" t="str">
        <f t="shared" si="11"/>
        <v>0</v>
      </c>
    </row>
    <row r="725" spans="1:9" x14ac:dyDescent="0.2">
      <c r="A725" t="s">
        <v>858</v>
      </c>
      <c r="B725" t="s">
        <v>309</v>
      </c>
      <c r="E725" t="str">
        <f>IF(D725&lt;&gt;"",C725&amp;"/"&amp;D725,"")</f>
        <v/>
      </c>
      <c r="G725" s="5" t="str">
        <f t="shared" si="10"/>
        <v/>
      </c>
      <c r="I725" s="6" t="str">
        <f t="shared" si="11"/>
        <v>0</v>
      </c>
    </row>
    <row r="726" spans="1:9" x14ac:dyDescent="0.2">
      <c r="A726" t="s">
        <v>859</v>
      </c>
      <c r="B726" t="s">
        <v>309</v>
      </c>
      <c r="E726" t="str">
        <f>IF(D726&lt;&gt;"",C726&amp;"/"&amp;D726,"")</f>
        <v/>
      </c>
      <c r="G726" s="5" t="str">
        <f t="shared" si="10"/>
        <v/>
      </c>
      <c r="I726" s="6" t="str">
        <f t="shared" si="11"/>
        <v>0</v>
      </c>
    </row>
    <row r="727" spans="1:9" x14ac:dyDescent="0.2">
      <c r="A727" t="s">
        <v>860</v>
      </c>
      <c r="B727" t="s">
        <v>309</v>
      </c>
      <c r="E727" t="str">
        <f>IF(D727&lt;&gt;"",C727&amp;"/"&amp;D727,"")</f>
        <v/>
      </c>
      <c r="G727" s="5" t="str">
        <f t="shared" si="10"/>
        <v/>
      </c>
      <c r="I727" s="6" t="str">
        <f t="shared" si="11"/>
        <v>0</v>
      </c>
    </row>
    <row r="728" spans="1:9" x14ac:dyDescent="0.2">
      <c r="A728" t="s">
        <v>861</v>
      </c>
      <c r="B728" t="s">
        <v>309</v>
      </c>
      <c r="E728" t="str">
        <f>IF(D728&lt;&gt;"",C728&amp;"/"&amp;D728,"")</f>
        <v/>
      </c>
      <c r="G728" s="5" t="str">
        <f t="shared" si="10"/>
        <v/>
      </c>
      <c r="I728" s="6" t="str">
        <f t="shared" si="11"/>
        <v>0</v>
      </c>
    </row>
    <row r="729" spans="1:9" x14ac:dyDescent="0.2">
      <c r="A729" t="s">
        <v>862</v>
      </c>
      <c r="B729" t="s">
        <v>309</v>
      </c>
      <c r="E729" t="str">
        <f>IF(D729&lt;&gt;"",C729&amp;"/"&amp;D729,"")</f>
        <v/>
      </c>
      <c r="G729" s="5" t="str">
        <f t="shared" si="10"/>
        <v/>
      </c>
      <c r="I729" s="6" t="str">
        <f t="shared" si="11"/>
        <v>0</v>
      </c>
    </row>
    <row r="730" spans="1:9" x14ac:dyDescent="0.2">
      <c r="A730" t="s">
        <v>863</v>
      </c>
      <c r="B730" t="s">
        <v>309</v>
      </c>
      <c r="E730" t="str">
        <f>IF(D730&lt;&gt;"",C730&amp;"/"&amp;D730,"")</f>
        <v/>
      </c>
      <c r="G730" s="5" t="str">
        <f t="shared" si="10"/>
        <v/>
      </c>
      <c r="I730" s="6" t="str">
        <f t="shared" si="11"/>
        <v>0</v>
      </c>
    </row>
    <row r="731" spans="1:9" x14ac:dyDescent="0.2">
      <c r="A731" t="s">
        <v>864</v>
      </c>
      <c r="B731" t="s">
        <v>309</v>
      </c>
      <c r="E731" t="str">
        <f>IF(D731&lt;&gt;"",C731&amp;"/"&amp;D731,"")</f>
        <v/>
      </c>
      <c r="G731" s="5" t="str">
        <f t="shared" si="10"/>
        <v/>
      </c>
      <c r="I731" s="6" t="str">
        <f t="shared" si="11"/>
        <v>0</v>
      </c>
    </row>
    <row r="732" spans="1:9" x14ac:dyDescent="0.2">
      <c r="A732" t="s">
        <v>866</v>
      </c>
      <c r="B732" t="s">
        <v>309</v>
      </c>
      <c r="E732" t="str">
        <f>IF(D732&lt;&gt;"",C732&amp;"/"&amp;D732,"")</f>
        <v/>
      </c>
      <c r="G732" s="5" t="str">
        <f t="shared" si="10"/>
        <v/>
      </c>
      <c r="I732" s="6" t="str">
        <f t="shared" si="11"/>
        <v>0</v>
      </c>
    </row>
    <row r="733" spans="1:9" x14ac:dyDescent="0.2">
      <c r="A733" t="s">
        <v>867</v>
      </c>
      <c r="B733" t="s">
        <v>309</v>
      </c>
      <c r="E733" t="str">
        <f>IF(D733&lt;&gt;"",C733&amp;"/"&amp;D733,"")</f>
        <v/>
      </c>
      <c r="G733" s="5" t="str">
        <f t="shared" si="10"/>
        <v/>
      </c>
      <c r="I733" s="6" t="str">
        <f t="shared" si="11"/>
        <v>0</v>
      </c>
    </row>
    <row r="734" spans="1:9" x14ac:dyDescent="0.2">
      <c r="A734" t="s">
        <v>868</v>
      </c>
      <c r="B734" t="s">
        <v>309</v>
      </c>
      <c r="E734" t="str">
        <f>IF(D734&lt;&gt;"",C734&amp;"/"&amp;D734,"")</f>
        <v/>
      </c>
      <c r="G734" s="5" t="str">
        <f t="shared" si="10"/>
        <v/>
      </c>
      <c r="I734" s="6" t="str">
        <f t="shared" si="11"/>
        <v>0</v>
      </c>
    </row>
    <row r="735" spans="1:9" x14ac:dyDescent="0.2">
      <c r="A735" t="s">
        <v>873</v>
      </c>
      <c r="B735" t="s">
        <v>309</v>
      </c>
      <c r="E735" t="str">
        <f>IF(D735&lt;&gt;"",C735&amp;"/"&amp;D735,"")</f>
        <v/>
      </c>
      <c r="G735" s="5" t="str">
        <f t="shared" si="10"/>
        <v/>
      </c>
      <c r="I735" s="6" t="str">
        <f t="shared" si="11"/>
        <v>0</v>
      </c>
    </row>
    <row r="736" spans="1:9" x14ac:dyDescent="0.2">
      <c r="A736" t="s">
        <v>877</v>
      </c>
      <c r="B736" t="s">
        <v>309</v>
      </c>
      <c r="E736" t="str">
        <f>IF(D736&lt;&gt;"",C736&amp;"/"&amp;D736,"")</f>
        <v/>
      </c>
      <c r="G736" s="5" t="str">
        <f t="shared" si="10"/>
        <v/>
      </c>
      <c r="I736" s="6" t="str">
        <f t="shared" si="11"/>
        <v>0</v>
      </c>
    </row>
    <row r="737" spans="1:9" x14ac:dyDescent="0.2">
      <c r="A737" t="s">
        <v>878</v>
      </c>
      <c r="B737" t="s">
        <v>309</v>
      </c>
      <c r="E737" t="str">
        <f>IF(D737&lt;&gt;"",C737&amp;"/"&amp;D737,"")</f>
        <v/>
      </c>
      <c r="G737" s="5" t="str">
        <f t="shared" si="10"/>
        <v/>
      </c>
      <c r="I737" s="6" t="str">
        <f t="shared" si="11"/>
        <v>0</v>
      </c>
    </row>
    <row r="738" spans="1:9" x14ac:dyDescent="0.2">
      <c r="A738" t="s">
        <v>879</v>
      </c>
      <c r="B738" t="s">
        <v>309</v>
      </c>
      <c r="E738" t="str">
        <f>IF(D738&lt;&gt;"",C738&amp;"/"&amp;D738,"")</f>
        <v/>
      </c>
      <c r="G738" s="5" t="str">
        <f t="shared" si="10"/>
        <v/>
      </c>
      <c r="I738" s="6" t="str">
        <f t="shared" si="11"/>
        <v>0</v>
      </c>
    </row>
    <row r="739" spans="1:9" x14ac:dyDescent="0.2">
      <c r="A739" t="s">
        <v>880</v>
      </c>
      <c r="B739" t="s">
        <v>309</v>
      </c>
      <c r="E739" t="str">
        <f>IF(D739&lt;&gt;"",C739&amp;"/"&amp;D739,"")</f>
        <v/>
      </c>
      <c r="G739" s="5" t="str">
        <f t="shared" si="10"/>
        <v/>
      </c>
      <c r="I739" s="6" t="str">
        <f t="shared" si="11"/>
        <v>0</v>
      </c>
    </row>
    <row r="740" spans="1:9" x14ac:dyDescent="0.2">
      <c r="A740" t="s">
        <v>881</v>
      </c>
      <c r="B740" t="s">
        <v>309</v>
      </c>
      <c r="E740" t="str">
        <f>IF(D740&lt;&gt;"",C740&amp;"/"&amp;D740,"")</f>
        <v/>
      </c>
      <c r="G740" s="5" t="str">
        <f t="shared" si="10"/>
        <v/>
      </c>
      <c r="I740" s="6" t="str">
        <f t="shared" si="11"/>
        <v>0</v>
      </c>
    </row>
    <row r="741" spans="1:9" x14ac:dyDescent="0.2">
      <c r="A741" t="s">
        <v>883</v>
      </c>
      <c r="B741" t="s">
        <v>309</v>
      </c>
      <c r="E741" t="str">
        <f>IF(D741&lt;&gt;"",C741&amp;"/"&amp;D741,"")</f>
        <v/>
      </c>
      <c r="G741" s="5" t="str">
        <f t="shared" si="10"/>
        <v/>
      </c>
      <c r="I741" s="6" t="str">
        <f t="shared" si="11"/>
        <v>0</v>
      </c>
    </row>
    <row r="742" spans="1:9" x14ac:dyDescent="0.2">
      <c r="A742" t="s">
        <v>884</v>
      </c>
      <c r="B742" t="s">
        <v>309</v>
      </c>
      <c r="E742" t="str">
        <f>IF(D742&lt;&gt;"",C742&amp;"/"&amp;D742,"")</f>
        <v/>
      </c>
      <c r="G742" s="5" t="str">
        <f t="shared" si="10"/>
        <v/>
      </c>
      <c r="I742" s="6" t="str">
        <f t="shared" si="11"/>
        <v>0</v>
      </c>
    </row>
    <row r="743" spans="1:9" x14ac:dyDescent="0.2">
      <c r="A743" t="s">
        <v>885</v>
      </c>
      <c r="B743" t="s">
        <v>309</v>
      </c>
      <c r="E743" t="str">
        <f>IF(D743&lt;&gt;"",C743&amp;"/"&amp;D743,"")</f>
        <v/>
      </c>
      <c r="G743" s="5" t="str">
        <f t="shared" si="10"/>
        <v/>
      </c>
      <c r="I743" s="6" t="str">
        <f t="shared" si="11"/>
        <v>0</v>
      </c>
    </row>
    <row r="744" spans="1:9" x14ac:dyDescent="0.2">
      <c r="A744" t="s">
        <v>896</v>
      </c>
      <c r="B744" t="s">
        <v>309</v>
      </c>
      <c r="E744" t="str">
        <f>IF(D744&lt;&gt;"",C744&amp;"/"&amp;D744,"")</f>
        <v/>
      </c>
      <c r="G744" s="5" t="str">
        <f t="shared" si="10"/>
        <v/>
      </c>
      <c r="I744" s="6" t="str">
        <f t="shared" si="11"/>
        <v>0</v>
      </c>
    </row>
    <row r="745" spans="1:9" x14ac:dyDescent="0.2">
      <c r="A745" t="s">
        <v>897</v>
      </c>
      <c r="B745" t="s">
        <v>309</v>
      </c>
      <c r="E745" t="str">
        <f>IF(D745&lt;&gt;"",C745&amp;"/"&amp;D745,"")</f>
        <v/>
      </c>
      <c r="G745" s="5" t="str">
        <f t="shared" si="10"/>
        <v/>
      </c>
      <c r="I745" s="6" t="str">
        <f t="shared" si="11"/>
        <v>0</v>
      </c>
    </row>
    <row r="746" spans="1:9" x14ac:dyDescent="0.2">
      <c r="A746" t="s">
        <v>898</v>
      </c>
      <c r="B746" t="s">
        <v>309</v>
      </c>
      <c r="E746" t="str">
        <f>IF(D746&lt;&gt;"",C746&amp;"/"&amp;D746,"")</f>
        <v/>
      </c>
      <c r="G746" s="5" t="str">
        <f t="shared" si="10"/>
        <v/>
      </c>
      <c r="I746" s="6" t="str">
        <f t="shared" si="11"/>
        <v>0</v>
      </c>
    </row>
    <row r="747" spans="1:9" x14ac:dyDescent="0.2">
      <c r="A747" t="s">
        <v>899</v>
      </c>
      <c r="B747" t="s">
        <v>309</v>
      </c>
      <c r="E747" t="str">
        <f>IF(D747&lt;&gt;"",C747&amp;"/"&amp;D747,"")</f>
        <v/>
      </c>
      <c r="G747" s="5" t="str">
        <f t="shared" si="10"/>
        <v/>
      </c>
      <c r="I747" s="6" t="str">
        <f t="shared" si="11"/>
        <v>0</v>
      </c>
    </row>
    <row r="748" spans="1:9" x14ac:dyDescent="0.2">
      <c r="A748" t="s">
        <v>901</v>
      </c>
      <c r="B748" t="s">
        <v>309</v>
      </c>
      <c r="E748" t="str">
        <f>IF(D748&lt;&gt;"",C748&amp;"/"&amp;D748,"")</f>
        <v/>
      </c>
      <c r="G748" s="5" t="str">
        <f t="shared" si="10"/>
        <v/>
      </c>
      <c r="I748" s="6" t="str">
        <f t="shared" si="11"/>
        <v>0</v>
      </c>
    </row>
    <row r="749" spans="1:9" x14ac:dyDescent="0.2">
      <c r="A749" t="s">
        <v>902</v>
      </c>
      <c r="B749" t="s">
        <v>309</v>
      </c>
      <c r="E749" t="str">
        <f>IF(D749&lt;&gt;"",C749&amp;"/"&amp;D749,"")</f>
        <v/>
      </c>
      <c r="G749" s="5" t="str">
        <f t="shared" si="10"/>
        <v/>
      </c>
      <c r="I749" s="6" t="str">
        <f t="shared" si="11"/>
        <v>0</v>
      </c>
    </row>
    <row r="750" spans="1:9" x14ac:dyDescent="0.2">
      <c r="A750" t="s">
        <v>905</v>
      </c>
      <c r="B750" t="s">
        <v>309</v>
      </c>
      <c r="E750" t="str">
        <f>IF(D750&lt;&gt;"",C750&amp;"/"&amp;D750,"")</f>
        <v/>
      </c>
      <c r="G750" s="5" t="str">
        <f t="shared" si="10"/>
        <v/>
      </c>
      <c r="I750" s="6" t="str">
        <f t="shared" si="11"/>
        <v>0</v>
      </c>
    </row>
    <row r="751" spans="1:9" x14ac:dyDescent="0.2">
      <c r="A751" t="s">
        <v>906</v>
      </c>
      <c r="B751" t="s">
        <v>309</v>
      </c>
      <c r="E751" t="str">
        <f>IF(D751&lt;&gt;"",C751&amp;"/"&amp;D751,"")</f>
        <v/>
      </c>
      <c r="G751" s="5" t="str">
        <f t="shared" si="10"/>
        <v/>
      </c>
      <c r="I751" s="6" t="str">
        <f t="shared" si="11"/>
        <v>0</v>
      </c>
    </row>
    <row r="752" spans="1:9" x14ac:dyDescent="0.2">
      <c r="A752" t="s">
        <v>907</v>
      </c>
      <c r="B752" t="s">
        <v>309</v>
      </c>
      <c r="E752" t="str">
        <f>IF(D752&lt;&gt;"",C752&amp;"/"&amp;D752,"")</f>
        <v/>
      </c>
      <c r="G752" s="5" t="str">
        <f t="shared" si="10"/>
        <v/>
      </c>
      <c r="I752" s="6" t="str">
        <f t="shared" si="11"/>
        <v>0</v>
      </c>
    </row>
    <row r="753" spans="1:9" x14ac:dyDescent="0.2">
      <c r="A753" t="s">
        <v>908</v>
      </c>
      <c r="B753" t="s">
        <v>309</v>
      </c>
      <c r="E753" t="str">
        <f>IF(D753&lt;&gt;"",C753&amp;"/"&amp;D753,"")</f>
        <v/>
      </c>
      <c r="G753" s="5" t="str">
        <f t="shared" si="10"/>
        <v/>
      </c>
      <c r="I753" s="6" t="str">
        <f t="shared" si="11"/>
        <v>0</v>
      </c>
    </row>
    <row r="754" spans="1:9" x14ac:dyDescent="0.2">
      <c r="A754" t="s">
        <v>909</v>
      </c>
      <c r="B754" t="s">
        <v>309</v>
      </c>
      <c r="E754" t="str">
        <f>IF(D754&lt;&gt;"",C754&amp;"/"&amp;D754,"")</f>
        <v/>
      </c>
      <c r="G754" s="5" t="str">
        <f t="shared" si="10"/>
        <v/>
      </c>
      <c r="I754" s="6" t="str">
        <f t="shared" si="11"/>
        <v>0</v>
      </c>
    </row>
    <row r="755" spans="1:9" x14ac:dyDescent="0.2">
      <c r="A755" t="s">
        <v>910</v>
      </c>
      <c r="B755" t="s">
        <v>309</v>
      </c>
      <c r="E755" t="str">
        <f>IF(D755&lt;&gt;"",C755&amp;"/"&amp;D755,"")</f>
        <v/>
      </c>
      <c r="G755" s="5" t="str">
        <f t="shared" si="10"/>
        <v/>
      </c>
      <c r="I755" s="6" t="str">
        <f t="shared" si="11"/>
        <v>0</v>
      </c>
    </row>
    <row r="756" spans="1:9" x14ac:dyDescent="0.2">
      <c r="A756" t="s">
        <v>912</v>
      </c>
      <c r="B756" t="s">
        <v>309</v>
      </c>
      <c r="E756" t="str">
        <f>IF(D756&lt;&gt;"",C756&amp;"/"&amp;D756,"")</f>
        <v/>
      </c>
      <c r="G756" s="5" t="str">
        <f t="shared" si="10"/>
        <v/>
      </c>
      <c r="I756" s="6" t="str">
        <f t="shared" si="11"/>
        <v>0</v>
      </c>
    </row>
    <row r="757" spans="1:9" x14ac:dyDescent="0.2">
      <c r="A757" t="s">
        <v>918</v>
      </c>
      <c r="B757" t="s">
        <v>309</v>
      </c>
      <c r="E757" t="str">
        <f>IF(D757&lt;&gt;"",C757&amp;"/"&amp;D757,"")</f>
        <v/>
      </c>
      <c r="G757" s="5" t="str">
        <f t="shared" si="10"/>
        <v/>
      </c>
      <c r="I757" s="6" t="str">
        <f t="shared" si="11"/>
        <v>0</v>
      </c>
    </row>
    <row r="758" spans="1:9" x14ac:dyDescent="0.2">
      <c r="A758" t="s">
        <v>928</v>
      </c>
      <c r="B758" t="s">
        <v>309</v>
      </c>
      <c r="E758" t="str">
        <f>IF(D758&lt;&gt;"",C758&amp;"/"&amp;D758,"")</f>
        <v/>
      </c>
      <c r="G758" s="5" t="str">
        <f t="shared" si="10"/>
        <v/>
      </c>
      <c r="I758" s="6" t="str">
        <f t="shared" si="11"/>
        <v>0</v>
      </c>
    </row>
    <row r="759" spans="1:9" x14ac:dyDescent="0.2">
      <c r="A759" t="s">
        <v>929</v>
      </c>
      <c r="B759" t="s">
        <v>309</v>
      </c>
      <c r="E759" t="str">
        <f>IF(D759&lt;&gt;"",C759&amp;"/"&amp;D759,"")</f>
        <v/>
      </c>
      <c r="G759" s="5" t="str">
        <f t="shared" si="10"/>
        <v/>
      </c>
      <c r="I759" s="6" t="str">
        <f t="shared" si="11"/>
        <v>0</v>
      </c>
    </row>
    <row r="760" spans="1:9" x14ac:dyDescent="0.2">
      <c r="A760" t="s">
        <v>930</v>
      </c>
      <c r="B760" t="s">
        <v>309</v>
      </c>
      <c r="E760" t="str">
        <f>IF(D760&lt;&gt;"",C760&amp;"/"&amp;D760,"")</f>
        <v/>
      </c>
      <c r="G760" s="5" t="str">
        <f t="shared" si="10"/>
        <v/>
      </c>
      <c r="I760" s="6" t="str">
        <f t="shared" si="11"/>
        <v>0</v>
      </c>
    </row>
    <row r="761" spans="1:9" x14ac:dyDescent="0.2">
      <c r="A761" t="s">
        <v>932</v>
      </c>
      <c r="B761" t="s">
        <v>309</v>
      </c>
      <c r="E761" t="str">
        <f>IF(D761&lt;&gt;"",C761&amp;"/"&amp;D761,"")</f>
        <v/>
      </c>
      <c r="G761" s="5" t="str">
        <f t="shared" si="10"/>
        <v/>
      </c>
      <c r="I761" s="6" t="str">
        <f t="shared" si="11"/>
        <v>0</v>
      </c>
    </row>
    <row r="762" spans="1:9" x14ac:dyDescent="0.2">
      <c r="A762" t="s">
        <v>933</v>
      </c>
      <c r="B762" t="s">
        <v>309</v>
      </c>
      <c r="E762" t="str">
        <f>IF(D762&lt;&gt;"",C762&amp;"/"&amp;D762,"")</f>
        <v/>
      </c>
      <c r="G762" s="5" t="str">
        <f t="shared" si="10"/>
        <v/>
      </c>
      <c r="I762" s="6" t="str">
        <f t="shared" si="11"/>
        <v>0</v>
      </c>
    </row>
    <row r="763" spans="1:9" x14ac:dyDescent="0.2">
      <c r="A763" t="s">
        <v>936</v>
      </c>
      <c r="B763" t="s">
        <v>309</v>
      </c>
      <c r="E763" t="str">
        <f>IF(D763&lt;&gt;"",C763&amp;"/"&amp;D763,"")</f>
        <v/>
      </c>
      <c r="G763" s="5" t="str">
        <f t="shared" si="10"/>
        <v/>
      </c>
      <c r="I763" s="6" t="str">
        <f t="shared" si="11"/>
        <v>0</v>
      </c>
    </row>
    <row r="764" spans="1:9" x14ac:dyDescent="0.2">
      <c r="A764" t="s">
        <v>937</v>
      </c>
      <c r="B764" t="s">
        <v>309</v>
      </c>
      <c r="E764" t="str">
        <f>IF(D764&lt;&gt;"",C764&amp;"/"&amp;D764,"")</f>
        <v/>
      </c>
      <c r="G764" s="5" t="str">
        <f t="shared" si="10"/>
        <v/>
      </c>
      <c r="I764" s="6" t="str">
        <f t="shared" si="11"/>
        <v>0</v>
      </c>
    </row>
    <row r="765" spans="1:9" x14ac:dyDescent="0.2">
      <c r="A765" t="s">
        <v>938</v>
      </c>
      <c r="B765" t="s">
        <v>309</v>
      </c>
      <c r="E765" t="str">
        <f>IF(D765&lt;&gt;"",C765&amp;"/"&amp;D765,"")</f>
        <v/>
      </c>
      <c r="G765" s="5" t="str">
        <f t="shared" si="10"/>
        <v/>
      </c>
      <c r="I765" s="6" t="str">
        <f t="shared" si="11"/>
        <v>0</v>
      </c>
    </row>
    <row r="766" spans="1:9" x14ac:dyDescent="0.2">
      <c r="A766" t="s">
        <v>940</v>
      </c>
      <c r="B766" t="s">
        <v>309</v>
      </c>
      <c r="E766" t="str">
        <f>IF(D766&lt;&gt;"",C766&amp;"/"&amp;D766,"")</f>
        <v/>
      </c>
      <c r="G766" s="5" t="str">
        <f t="shared" si="10"/>
        <v/>
      </c>
      <c r="I766" s="6" t="str">
        <f t="shared" si="11"/>
        <v>0</v>
      </c>
    </row>
    <row r="767" spans="1:9" x14ac:dyDescent="0.2">
      <c r="A767" t="s">
        <v>943</v>
      </c>
      <c r="B767" t="s">
        <v>309</v>
      </c>
      <c r="E767" t="str">
        <f>IF(D767&lt;&gt;"",C767&amp;"/"&amp;D767,"")</f>
        <v/>
      </c>
      <c r="G767" s="5" t="str">
        <f t="shared" si="10"/>
        <v/>
      </c>
      <c r="I767" s="6" t="str">
        <f t="shared" si="11"/>
        <v>0</v>
      </c>
    </row>
    <row r="768" spans="1:9" x14ac:dyDescent="0.2">
      <c r="A768" t="s">
        <v>944</v>
      </c>
      <c r="B768" t="s">
        <v>309</v>
      </c>
      <c r="E768" t="str">
        <f>IF(D768&lt;&gt;"",C768&amp;"/"&amp;D768,"")</f>
        <v/>
      </c>
      <c r="G768" s="5" t="str">
        <f t="shared" si="10"/>
        <v/>
      </c>
      <c r="I768" s="6" t="str">
        <f t="shared" si="11"/>
        <v>0</v>
      </c>
    </row>
    <row r="769" spans="1:9" x14ac:dyDescent="0.2">
      <c r="A769" t="s">
        <v>945</v>
      </c>
      <c r="B769" t="s">
        <v>309</v>
      </c>
      <c r="E769" t="str">
        <f>IF(D769&lt;&gt;"",C769&amp;"/"&amp;D769,"")</f>
        <v/>
      </c>
      <c r="G769" s="5" t="str">
        <f t="shared" si="10"/>
        <v/>
      </c>
      <c r="I769" s="6" t="str">
        <f t="shared" si="11"/>
        <v>0</v>
      </c>
    </row>
    <row r="770" spans="1:9" x14ac:dyDescent="0.2">
      <c r="A770" t="s">
        <v>946</v>
      </c>
      <c r="B770" t="s">
        <v>309</v>
      </c>
      <c r="E770" t="str">
        <f>IF(D770&lt;&gt;"",C770&amp;"/"&amp;D770,"")</f>
        <v/>
      </c>
      <c r="G770" s="5" t="str">
        <f t="shared" si="10"/>
        <v/>
      </c>
      <c r="I770" s="6" t="str">
        <f t="shared" si="11"/>
        <v>0</v>
      </c>
    </row>
    <row r="771" spans="1:9" x14ac:dyDescent="0.2">
      <c r="A771" t="s">
        <v>948</v>
      </c>
      <c r="B771" t="s">
        <v>309</v>
      </c>
      <c r="E771" t="str">
        <f>IF(D771&lt;&gt;"",C771&amp;"/"&amp;D771,"")</f>
        <v/>
      </c>
      <c r="G771" s="5" t="str">
        <f t="shared" si="10"/>
        <v/>
      </c>
      <c r="I771" s="6" t="str">
        <f t="shared" si="11"/>
        <v>0</v>
      </c>
    </row>
    <row r="772" spans="1:9" x14ac:dyDescent="0.2">
      <c r="A772" t="s">
        <v>949</v>
      </c>
      <c r="B772" t="s">
        <v>309</v>
      </c>
      <c r="E772" t="str">
        <f>IF(D772&lt;&gt;"",C772&amp;"/"&amp;D772,"")</f>
        <v/>
      </c>
      <c r="G772" s="5" t="str">
        <f t="shared" si="10"/>
        <v/>
      </c>
      <c r="I772" s="6" t="str">
        <f t="shared" si="11"/>
        <v>0</v>
      </c>
    </row>
    <row r="773" spans="1:9" x14ac:dyDescent="0.2">
      <c r="A773" t="s">
        <v>951</v>
      </c>
      <c r="B773" t="s">
        <v>309</v>
      </c>
      <c r="E773" t="str">
        <f>IF(D773&lt;&gt;"",C773&amp;"/"&amp;D773,"")</f>
        <v/>
      </c>
      <c r="G773" s="5" t="str">
        <f t="shared" si="10"/>
        <v/>
      </c>
      <c r="I773" s="6" t="str">
        <f t="shared" si="11"/>
        <v>0</v>
      </c>
    </row>
    <row r="774" spans="1:9" x14ac:dyDescent="0.2">
      <c r="A774" t="s">
        <v>952</v>
      </c>
      <c r="B774" t="s">
        <v>309</v>
      </c>
      <c r="E774" t="str">
        <f>IF(D774&lt;&gt;"",C774&amp;"/"&amp;D774,"")</f>
        <v/>
      </c>
      <c r="G774" s="5" t="str">
        <f t="shared" si="10"/>
        <v/>
      </c>
      <c r="I774" s="6" t="str">
        <f t="shared" si="11"/>
        <v>0</v>
      </c>
    </row>
    <row r="775" spans="1:9" x14ac:dyDescent="0.2">
      <c r="A775" t="s">
        <v>953</v>
      </c>
      <c r="B775" t="s">
        <v>309</v>
      </c>
      <c r="E775" t="str">
        <f>IF(D775&lt;&gt;"",C775&amp;"/"&amp;D775,"")</f>
        <v/>
      </c>
      <c r="G775" s="5" t="str">
        <f t="shared" si="10"/>
        <v/>
      </c>
      <c r="I775" s="6" t="str">
        <f t="shared" si="11"/>
        <v>0</v>
      </c>
    </row>
    <row r="776" spans="1:9" x14ac:dyDescent="0.2">
      <c r="A776" t="s">
        <v>954</v>
      </c>
      <c r="B776" t="s">
        <v>309</v>
      </c>
      <c r="E776" t="str">
        <f>IF(D776&lt;&gt;"",C776&amp;"/"&amp;D776,"")</f>
        <v/>
      </c>
      <c r="G776" s="5" t="str">
        <f t="shared" si="10"/>
        <v/>
      </c>
      <c r="I776" s="6" t="str">
        <f t="shared" si="11"/>
        <v>0</v>
      </c>
    </row>
    <row r="777" spans="1:9" x14ac:dyDescent="0.2">
      <c r="A777" t="s">
        <v>955</v>
      </c>
      <c r="B777" t="s">
        <v>309</v>
      </c>
      <c r="E777" t="str">
        <f>IF(D777&lt;&gt;"",C777&amp;"/"&amp;D777,"")</f>
        <v/>
      </c>
      <c r="G777" s="5" t="str">
        <f t="shared" si="10"/>
        <v/>
      </c>
      <c r="I777" s="6" t="str">
        <f t="shared" si="11"/>
        <v>0</v>
      </c>
    </row>
    <row r="778" spans="1:9" x14ac:dyDescent="0.2">
      <c r="A778" t="s">
        <v>956</v>
      </c>
      <c r="B778" t="s">
        <v>309</v>
      </c>
      <c r="E778" t="str">
        <f>IF(D778&lt;&gt;"",C778&amp;"/"&amp;D778,"")</f>
        <v/>
      </c>
      <c r="G778" s="5" t="str">
        <f t="shared" si="10"/>
        <v/>
      </c>
      <c r="I778" s="6" t="str">
        <f t="shared" si="11"/>
        <v>0</v>
      </c>
    </row>
    <row r="779" spans="1:9" x14ac:dyDescent="0.2">
      <c r="A779" t="s">
        <v>957</v>
      </c>
      <c r="B779" t="s">
        <v>309</v>
      </c>
      <c r="E779" t="str">
        <f>IF(D779&lt;&gt;"",C779&amp;"/"&amp;D779,"")</f>
        <v/>
      </c>
      <c r="G779" s="5" t="str">
        <f t="shared" si="10"/>
        <v/>
      </c>
      <c r="I779" s="6" t="str">
        <f t="shared" si="11"/>
        <v>0</v>
      </c>
    </row>
    <row r="780" spans="1:9" x14ac:dyDescent="0.2">
      <c r="A780" t="s">
        <v>959</v>
      </c>
      <c r="B780" t="s">
        <v>309</v>
      </c>
      <c r="E780" t="str">
        <f>IF(D780&lt;&gt;"",C780&amp;"/"&amp;D780,"")</f>
        <v/>
      </c>
      <c r="G780" s="5" t="str">
        <f t="shared" si="10"/>
        <v/>
      </c>
      <c r="I780" s="6" t="str">
        <f t="shared" si="11"/>
        <v>0</v>
      </c>
    </row>
    <row r="781" spans="1:9" x14ac:dyDescent="0.2">
      <c r="A781" t="s">
        <v>994</v>
      </c>
      <c r="B781" t="s">
        <v>309</v>
      </c>
      <c r="E781" t="str">
        <f>IF(D781&lt;&gt;"",C781&amp;"/"&amp;D781,"")</f>
        <v/>
      </c>
      <c r="G781" s="5" t="str">
        <f t="shared" si="10"/>
        <v/>
      </c>
      <c r="I781" s="6" t="str">
        <f t="shared" si="11"/>
        <v>0</v>
      </c>
    </row>
    <row r="782" spans="1:9" x14ac:dyDescent="0.2">
      <c r="A782" t="s">
        <v>995</v>
      </c>
      <c r="B782" t="s">
        <v>309</v>
      </c>
      <c r="E782" t="str">
        <f>IF(D782&lt;&gt;"",C782&amp;"/"&amp;D782,"")</f>
        <v/>
      </c>
      <c r="G782" s="5" t="str">
        <f t="shared" si="10"/>
        <v/>
      </c>
      <c r="I782" s="6" t="str">
        <f t="shared" si="11"/>
        <v>0</v>
      </c>
    </row>
    <row r="783" spans="1:9" x14ac:dyDescent="0.2">
      <c r="A783" t="s">
        <v>996</v>
      </c>
      <c r="B783" t="s">
        <v>309</v>
      </c>
      <c r="E783" t="str">
        <f>IF(D783&lt;&gt;"",C783&amp;"/"&amp;D783,"")</f>
        <v/>
      </c>
      <c r="G783" s="5" t="str">
        <f t="shared" si="10"/>
        <v/>
      </c>
      <c r="I783" s="6" t="str">
        <f t="shared" si="11"/>
        <v>0</v>
      </c>
    </row>
    <row r="784" spans="1:9" x14ac:dyDescent="0.2">
      <c r="A784" t="s">
        <v>1015</v>
      </c>
      <c r="B784" t="s">
        <v>309</v>
      </c>
      <c r="E784" t="str">
        <f>IF(D784&lt;&gt;"",C784&amp;"/"&amp;D784,"")</f>
        <v/>
      </c>
      <c r="G784" s="5" t="str">
        <f t="shared" si="10"/>
        <v/>
      </c>
      <c r="I784" s="6" t="str">
        <f t="shared" si="11"/>
        <v>0</v>
      </c>
    </row>
    <row r="785" spans="1:9" x14ac:dyDescent="0.2">
      <c r="A785" t="s">
        <v>1016</v>
      </c>
      <c r="B785" t="s">
        <v>309</v>
      </c>
      <c r="E785" t="str">
        <f>IF(D785&lt;&gt;"",C785&amp;"/"&amp;D785,"")</f>
        <v/>
      </c>
      <c r="G785" s="5" t="str">
        <f t="shared" ref="G785:G847" si="12">IF(F785&lt;&gt;"",HEX2DEC(SUBSTITUTE(SUBSTITUTE(F785,"adrEA",""),"$","")),"")</f>
        <v/>
      </c>
      <c r="I785" s="6" t="str">
        <f t="shared" ref="I785:I847" si="13">IFERROR(DEC2HEX(H785),"")</f>
        <v>0</v>
      </c>
    </row>
    <row r="786" spans="1:9" x14ac:dyDescent="0.2">
      <c r="A786" t="s">
        <v>1017</v>
      </c>
      <c r="B786" t="s">
        <v>309</v>
      </c>
      <c r="E786" t="str">
        <f>IF(D786&lt;&gt;"",C786&amp;"/"&amp;D786,"")</f>
        <v/>
      </c>
      <c r="G786" s="5" t="str">
        <f t="shared" si="12"/>
        <v/>
      </c>
      <c r="I786" s="6" t="str">
        <f t="shared" si="13"/>
        <v>0</v>
      </c>
    </row>
    <row r="787" spans="1:9" x14ac:dyDescent="0.2">
      <c r="A787" t="s">
        <v>1018</v>
      </c>
      <c r="B787" t="s">
        <v>309</v>
      </c>
      <c r="E787" t="str">
        <f>IF(D787&lt;&gt;"",C787&amp;"/"&amp;D787,"")</f>
        <v/>
      </c>
      <c r="G787" s="5" t="str">
        <f t="shared" si="12"/>
        <v/>
      </c>
      <c r="I787" s="6" t="str">
        <f t="shared" si="13"/>
        <v>0</v>
      </c>
    </row>
    <row r="788" spans="1:9" x14ac:dyDescent="0.2">
      <c r="A788" t="s">
        <v>1019</v>
      </c>
      <c r="B788" t="s">
        <v>309</v>
      </c>
      <c r="E788" t="str">
        <f>IF(D788&lt;&gt;"",C788&amp;"/"&amp;D788,"")</f>
        <v/>
      </c>
      <c r="G788" s="5" t="str">
        <f t="shared" si="12"/>
        <v/>
      </c>
      <c r="I788" s="6" t="str">
        <f t="shared" si="13"/>
        <v>0</v>
      </c>
    </row>
    <row r="789" spans="1:9" x14ac:dyDescent="0.2">
      <c r="A789" t="s">
        <v>1020</v>
      </c>
      <c r="B789" t="s">
        <v>309</v>
      </c>
      <c r="E789" t="str">
        <f>IF(D789&lt;&gt;"",C789&amp;"/"&amp;D789,"")</f>
        <v/>
      </c>
      <c r="G789" s="5" t="str">
        <f t="shared" si="12"/>
        <v/>
      </c>
      <c r="I789" s="6" t="str">
        <f t="shared" si="13"/>
        <v>0</v>
      </c>
    </row>
    <row r="790" spans="1:9" x14ac:dyDescent="0.2">
      <c r="A790" t="s">
        <v>1025</v>
      </c>
      <c r="B790" t="s">
        <v>309</v>
      </c>
      <c r="E790" t="str">
        <f>IF(D790&lt;&gt;"",C790&amp;"/"&amp;D790,"")</f>
        <v/>
      </c>
      <c r="G790" s="5" t="str">
        <f t="shared" si="12"/>
        <v/>
      </c>
      <c r="I790" s="6" t="str">
        <f t="shared" si="13"/>
        <v>0</v>
      </c>
    </row>
    <row r="791" spans="1:9" x14ac:dyDescent="0.2">
      <c r="A791" t="s">
        <v>1027</v>
      </c>
      <c r="B791" t="s">
        <v>309</v>
      </c>
      <c r="E791" t="str">
        <f>IF(D791&lt;&gt;"",C791&amp;"/"&amp;D791,"")</f>
        <v/>
      </c>
      <c r="G791" s="5" t="str">
        <f t="shared" si="12"/>
        <v/>
      </c>
      <c r="I791" s="6" t="str">
        <f t="shared" si="13"/>
        <v>0</v>
      </c>
    </row>
    <row r="792" spans="1:9" x14ac:dyDescent="0.2">
      <c r="A792" t="s">
        <v>1028</v>
      </c>
      <c r="B792" t="s">
        <v>309</v>
      </c>
      <c r="E792" t="str">
        <f>IF(D792&lt;&gt;"",C792&amp;"/"&amp;D792,"")</f>
        <v/>
      </c>
      <c r="G792" s="5" t="str">
        <f t="shared" si="12"/>
        <v/>
      </c>
      <c r="I792" s="6" t="str">
        <f t="shared" si="13"/>
        <v>0</v>
      </c>
    </row>
    <row r="793" spans="1:9" x14ac:dyDescent="0.2">
      <c r="A793" t="s">
        <v>1029</v>
      </c>
      <c r="B793" t="s">
        <v>309</v>
      </c>
      <c r="E793" t="str">
        <f>IF(D793&lt;&gt;"",C793&amp;"/"&amp;D793,"")</f>
        <v/>
      </c>
      <c r="G793" s="5" t="str">
        <f t="shared" si="12"/>
        <v/>
      </c>
      <c r="I793" s="6" t="str">
        <f t="shared" si="13"/>
        <v>0</v>
      </c>
    </row>
    <row r="794" spans="1:9" x14ac:dyDescent="0.2">
      <c r="A794" t="s">
        <v>1030</v>
      </c>
      <c r="B794" t="s">
        <v>309</v>
      </c>
      <c r="E794" t="str">
        <f>IF(D794&lt;&gt;"",C794&amp;"/"&amp;D794,"")</f>
        <v/>
      </c>
      <c r="G794" s="5" t="str">
        <f t="shared" si="12"/>
        <v/>
      </c>
      <c r="I794" s="6" t="str">
        <f t="shared" si="13"/>
        <v>0</v>
      </c>
    </row>
    <row r="795" spans="1:9" x14ac:dyDescent="0.2">
      <c r="A795" t="s">
        <v>1031</v>
      </c>
      <c r="B795" t="s">
        <v>309</v>
      </c>
      <c r="E795" t="str">
        <f>IF(D795&lt;&gt;"",C795&amp;"/"&amp;D795,"")</f>
        <v/>
      </c>
      <c r="G795" s="5" t="str">
        <f t="shared" si="12"/>
        <v/>
      </c>
      <c r="I795" s="6" t="str">
        <f t="shared" si="13"/>
        <v>0</v>
      </c>
    </row>
    <row r="796" spans="1:9" x14ac:dyDescent="0.2">
      <c r="A796" t="s">
        <v>1032</v>
      </c>
      <c r="B796" t="s">
        <v>309</v>
      </c>
      <c r="E796" t="str">
        <f>IF(D796&lt;&gt;"",C796&amp;"/"&amp;D796,"")</f>
        <v/>
      </c>
      <c r="G796" s="5" t="str">
        <f t="shared" si="12"/>
        <v/>
      </c>
      <c r="I796" s="6" t="str">
        <f t="shared" si="13"/>
        <v>0</v>
      </c>
    </row>
    <row r="797" spans="1:9" x14ac:dyDescent="0.2">
      <c r="A797" t="s">
        <v>1033</v>
      </c>
      <c r="B797" t="s">
        <v>309</v>
      </c>
      <c r="E797" t="str">
        <f>IF(D797&lt;&gt;"",C797&amp;"/"&amp;D797,"")</f>
        <v/>
      </c>
      <c r="G797" s="5" t="str">
        <f t="shared" si="12"/>
        <v/>
      </c>
      <c r="I797" s="6" t="str">
        <f t="shared" si="13"/>
        <v>0</v>
      </c>
    </row>
    <row r="798" spans="1:9" x14ac:dyDescent="0.2">
      <c r="A798" t="s">
        <v>1034</v>
      </c>
      <c r="B798" t="s">
        <v>309</v>
      </c>
      <c r="E798" t="str">
        <f>IF(D798&lt;&gt;"",C798&amp;"/"&amp;D798,"")</f>
        <v/>
      </c>
      <c r="G798" s="5" t="str">
        <f t="shared" si="12"/>
        <v/>
      </c>
      <c r="I798" s="6" t="str">
        <f t="shared" si="13"/>
        <v>0</v>
      </c>
    </row>
    <row r="799" spans="1:9" x14ac:dyDescent="0.2">
      <c r="A799" t="s">
        <v>1035</v>
      </c>
      <c r="B799" t="s">
        <v>309</v>
      </c>
      <c r="E799" t="str">
        <f>IF(D799&lt;&gt;"",C799&amp;"/"&amp;D799,"")</f>
        <v/>
      </c>
      <c r="G799" s="5" t="str">
        <f t="shared" si="12"/>
        <v/>
      </c>
      <c r="I799" s="6" t="str">
        <f t="shared" si="13"/>
        <v>0</v>
      </c>
    </row>
    <row r="800" spans="1:9" x14ac:dyDescent="0.2">
      <c r="A800" t="s">
        <v>1036</v>
      </c>
      <c r="B800" t="s">
        <v>309</v>
      </c>
      <c r="E800" t="str">
        <f>IF(D800&lt;&gt;"",C800&amp;"/"&amp;D800,"")</f>
        <v/>
      </c>
      <c r="G800" s="5" t="str">
        <f t="shared" si="12"/>
        <v/>
      </c>
      <c r="I800" s="6" t="str">
        <f t="shared" si="13"/>
        <v>0</v>
      </c>
    </row>
    <row r="801" spans="1:12" x14ac:dyDescent="0.2">
      <c r="A801" t="s">
        <v>1037</v>
      </c>
      <c r="B801" t="s">
        <v>309</v>
      </c>
      <c r="E801" t="str">
        <f>IF(D801&lt;&gt;"",C801&amp;"/"&amp;D801,"")</f>
        <v/>
      </c>
      <c r="G801" s="5" t="str">
        <f t="shared" si="12"/>
        <v/>
      </c>
      <c r="I801" s="6" t="str">
        <f t="shared" si="13"/>
        <v>0</v>
      </c>
    </row>
    <row r="802" spans="1:12" x14ac:dyDescent="0.2">
      <c r="A802" t="s">
        <v>1038</v>
      </c>
      <c r="B802" t="s">
        <v>309</v>
      </c>
      <c r="E802" t="str">
        <f>IF(D802&lt;&gt;"",C802&amp;"/"&amp;D802,"")</f>
        <v/>
      </c>
      <c r="G802" s="5" t="str">
        <f t="shared" si="12"/>
        <v/>
      </c>
      <c r="I802" s="6" t="str">
        <f t="shared" si="13"/>
        <v>0</v>
      </c>
    </row>
    <row r="803" spans="1:12" x14ac:dyDescent="0.2">
      <c r="A803" t="s">
        <v>1039</v>
      </c>
      <c r="B803" t="s">
        <v>309</v>
      </c>
      <c r="E803" t="str">
        <f>IF(D803&lt;&gt;"",C803&amp;"/"&amp;D803,"")</f>
        <v/>
      </c>
      <c r="G803" s="5" t="str">
        <f t="shared" si="12"/>
        <v/>
      </c>
      <c r="I803" s="6" t="str">
        <f t="shared" si="13"/>
        <v>0</v>
      </c>
    </row>
    <row r="804" spans="1:12" x14ac:dyDescent="0.2">
      <c r="A804" t="s">
        <v>1040</v>
      </c>
      <c r="B804" t="s">
        <v>309</v>
      </c>
      <c r="E804" t="str">
        <f>IF(D804&lt;&gt;"",C804&amp;"/"&amp;D804,"")</f>
        <v/>
      </c>
      <c r="G804" s="5" t="str">
        <f t="shared" si="12"/>
        <v/>
      </c>
      <c r="I804" s="6" t="str">
        <f t="shared" si="13"/>
        <v>0</v>
      </c>
    </row>
    <row r="805" spans="1:12" x14ac:dyDescent="0.2">
      <c r="A805" t="s">
        <v>1041</v>
      </c>
      <c r="B805" t="s">
        <v>309</v>
      </c>
      <c r="E805" t="str">
        <f>IF(D805&lt;&gt;"",C805&amp;"/"&amp;D805,"")</f>
        <v/>
      </c>
      <c r="G805" s="5" t="str">
        <f t="shared" si="12"/>
        <v/>
      </c>
      <c r="I805" s="6" t="str">
        <f t="shared" si="13"/>
        <v>0</v>
      </c>
    </row>
    <row r="806" spans="1:12" x14ac:dyDescent="0.2">
      <c r="A806" t="s">
        <v>1044</v>
      </c>
      <c r="B806" t="s">
        <v>309</v>
      </c>
      <c r="E806" t="str">
        <f>IF(D806&lt;&gt;"",C806&amp;"/"&amp;D806,"")</f>
        <v/>
      </c>
      <c r="G806" s="5" t="str">
        <f t="shared" si="12"/>
        <v/>
      </c>
      <c r="I806" s="6" t="str">
        <f t="shared" si="13"/>
        <v>0</v>
      </c>
    </row>
    <row r="807" spans="1:12" x14ac:dyDescent="0.2">
      <c r="A807" t="s">
        <v>1048</v>
      </c>
      <c r="B807" t="s">
        <v>309</v>
      </c>
      <c r="E807" t="str">
        <f>IF(D807&lt;&gt;"",C807&amp;"/"&amp;D807,"")</f>
        <v/>
      </c>
      <c r="G807" s="5" t="str">
        <f t="shared" si="12"/>
        <v/>
      </c>
      <c r="I807" s="6" t="str">
        <f t="shared" si="13"/>
        <v>0</v>
      </c>
    </row>
    <row r="808" spans="1:12" x14ac:dyDescent="0.2">
      <c r="A808" t="s">
        <v>1049</v>
      </c>
      <c r="B808" t="s">
        <v>309</v>
      </c>
      <c r="E808" t="str">
        <f>IF(D808&lt;&gt;"",C808&amp;"/"&amp;D808,"")</f>
        <v/>
      </c>
      <c r="G808" s="5" t="str">
        <f t="shared" si="12"/>
        <v/>
      </c>
      <c r="I808" s="6" t="str">
        <f t="shared" si="13"/>
        <v>0</v>
      </c>
    </row>
    <row r="809" spans="1:12" x14ac:dyDescent="0.2">
      <c r="A809" t="s">
        <v>1070</v>
      </c>
      <c r="B809" t="s">
        <v>309</v>
      </c>
      <c r="E809" t="str">
        <f>IF(D809&lt;&gt;"",C809&amp;"/"&amp;D809,"")</f>
        <v/>
      </c>
      <c r="G809" s="5" t="str">
        <f t="shared" si="12"/>
        <v/>
      </c>
      <c r="I809" s="6" t="str">
        <f t="shared" si="13"/>
        <v>0</v>
      </c>
    </row>
    <row r="810" spans="1:12" x14ac:dyDescent="0.2">
      <c r="A810" t="s">
        <v>1071</v>
      </c>
      <c r="B810" t="s">
        <v>5299</v>
      </c>
      <c r="C810" s="5" t="s">
        <v>7</v>
      </c>
      <c r="F810" s="5" t="s">
        <v>5300</v>
      </c>
      <c r="G810" s="5">
        <f t="shared" si="12"/>
        <v>16008</v>
      </c>
      <c r="I810" s="6" t="str">
        <f t="shared" si="13"/>
        <v>0</v>
      </c>
      <c r="L810" s="6" t="s">
        <v>5301</v>
      </c>
    </row>
    <row r="811" spans="1:12" x14ac:dyDescent="0.2">
      <c r="A811" t="s">
        <v>1072</v>
      </c>
      <c r="B811" t="s">
        <v>5302</v>
      </c>
      <c r="C811" s="5" t="s">
        <v>7</v>
      </c>
      <c r="F811" s="5" t="s">
        <v>5303</v>
      </c>
      <c r="G811" s="5">
        <f t="shared" si="12"/>
        <v>16034</v>
      </c>
      <c r="I811" s="6" t="str">
        <f t="shared" si="13"/>
        <v>0</v>
      </c>
      <c r="L811" s="6" t="s">
        <v>5304</v>
      </c>
    </row>
    <row r="812" spans="1:12" x14ac:dyDescent="0.2">
      <c r="A812" t="s">
        <v>1074</v>
      </c>
      <c r="B812" t="s">
        <v>1075</v>
      </c>
      <c r="E812" t="str">
        <f>IF(D812&lt;&gt;"",C812&amp;"/"&amp;D812,"")</f>
        <v/>
      </c>
      <c r="G812" s="5" t="str">
        <f t="shared" si="12"/>
        <v/>
      </c>
      <c r="I812" s="6" t="str">
        <f t="shared" si="13"/>
        <v>0</v>
      </c>
    </row>
    <row r="813" spans="1:12" x14ac:dyDescent="0.2">
      <c r="A813" t="s">
        <v>1076</v>
      </c>
      <c r="B813" t="s">
        <v>1077</v>
      </c>
      <c r="E813" t="str">
        <f>IF(D813&lt;&gt;"",C813&amp;"/"&amp;D813,"")</f>
        <v/>
      </c>
      <c r="G813" s="5" t="str">
        <f t="shared" si="12"/>
        <v/>
      </c>
      <c r="I813" s="6" t="str">
        <f t="shared" si="13"/>
        <v>0</v>
      </c>
    </row>
    <row r="814" spans="1:12" x14ac:dyDescent="0.2">
      <c r="A814" t="s">
        <v>1078</v>
      </c>
      <c r="B814" t="s">
        <v>1079</v>
      </c>
      <c r="E814" t="str">
        <f>IF(D814&lt;&gt;"",C814&amp;"/"&amp;D814,"")</f>
        <v/>
      </c>
      <c r="G814" s="5" t="str">
        <f t="shared" si="12"/>
        <v/>
      </c>
      <c r="I814" s="6" t="str">
        <f t="shared" si="13"/>
        <v>0</v>
      </c>
    </row>
    <row r="815" spans="1:12" x14ac:dyDescent="0.2">
      <c r="A815" t="s">
        <v>1080</v>
      </c>
      <c r="B815" t="s">
        <v>309</v>
      </c>
      <c r="E815" t="str">
        <f>IF(D815&lt;&gt;"",C815&amp;"/"&amp;D815,"")</f>
        <v/>
      </c>
      <c r="G815" s="5" t="str">
        <f t="shared" si="12"/>
        <v/>
      </c>
      <c r="I815" s="6" t="str">
        <f t="shared" si="13"/>
        <v>0</v>
      </c>
    </row>
    <row r="816" spans="1:12" x14ac:dyDescent="0.2">
      <c r="A816" t="s">
        <v>1081</v>
      </c>
      <c r="B816" t="s">
        <v>309</v>
      </c>
      <c r="E816" t="str">
        <f>IF(D816&lt;&gt;"",C816&amp;"/"&amp;D816,"")</f>
        <v/>
      </c>
      <c r="G816" s="5" t="str">
        <f t="shared" si="12"/>
        <v/>
      </c>
      <c r="I816" s="6" t="str">
        <f t="shared" si="13"/>
        <v>0</v>
      </c>
    </row>
    <row r="817" spans="1:9" x14ac:dyDescent="0.2">
      <c r="A817" t="s">
        <v>1082</v>
      </c>
      <c r="B817" t="s">
        <v>309</v>
      </c>
      <c r="E817" t="str">
        <f>IF(D817&lt;&gt;"",C817&amp;"/"&amp;D817,"")</f>
        <v/>
      </c>
      <c r="G817" s="5" t="str">
        <f t="shared" si="12"/>
        <v/>
      </c>
      <c r="I817" s="6" t="str">
        <f t="shared" si="13"/>
        <v>0</v>
      </c>
    </row>
    <row r="818" spans="1:9" x14ac:dyDescent="0.2">
      <c r="A818" t="s">
        <v>1084</v>
      </c>
      <c r="B818" t="s">
        <v>1085</v>
      </c>
      <c r="E818" t="str">
        <f>IF(D818&lt;&gt;"",C818&amp;"/"&amp;D818,"")</f>
        <v/>
      </c>
      <c r="G818" s="5" t="str">
        <f t="shared" si="12"/>
        <v/>
      </c>
      <c r="I818" s="6" t="str">
        <f t="shared" si="13"/>
        <v>0</v>
      </c>
    </row>
    <row r="819" spans="1:9" x14ac:dyDescent="0.2">
      <c r="A819" t="s">
        <v>1086</v>
      </c>
      <c r="B819" t="s">
        <v>332</v>
      </c>
      <c r="E819" t="str">
        <f>IF(D819&lt;&gt;"",C819&amp;"/"&amp;D819,"")</f>
        <v/>
      </c>
      <c r="G819" s="5" t="str">
        <f t="shared" si="12"/>
        <v/>
      </c>
      <c r="I819" s="6" t="str">
        <f t="shared" si="13"/>
        <v>0</v>
      </c>
    </row>
    <row r="820" spans="1:9" x14ac:dyDescent="0.2">
      <c r="A820" t="s">
        <v>1087</v>
      </c>
      <c r="B820" t="s">
        <v>1088</v>
      </c>
      <c r="E820" t="str">
        <f>IF(D820&lt;&gt;"",C820&amp;"/"&amp;D820,"")</f>
        <v/>
      </c>
      <c r="G820" s="5" t="str">
        <f t="shared" si="12"/>
        <v/>
      </c>
      <c r="I820" s="6" t="str">
        <f t="shared" si="13"/>
        <v>0</v>
      </c>
    </row>
    <row r="821" spans="1:9" x14ac:dyDescent="0.2">
      <c r="A821" t="s">
        <v>1089</v>
      </c>
      <c r="B821" t="s">
        <v>309</v>
      </c>
      <c r="E821" t="str">
        <f>IF(D821&lt;&gt;"",C821&amp;"/"&amp;D821,"")</f>
        <v/>
      </c>
      <c r="G821" s="5" t="str">
        <f t="shared" si="12"/>
        <v/>
      </c>
      <c r="I821" s="6" t="str">
        <f t="shared" si="13"/>
        <v>0</v>
      </c>
    </row>
    <row r="822" spans="1:9" x14ac:dyDescent="0.2">
      <c r="A822" t="s">
        <v>1090</v>
      </c>
      <c r="B822" t="s">
        <v>1091</v>
      </c>
      <c r="E822" t="str">
        <f>IF(D822&lt;&gt;"",C822&amp;"/"&amp;D822,"")</f>
        <v/>
      </c>
      <c r="G822" s="5" t="str">
        <f t="shared" si="12"/>
        <v/>
      </c>
      <c r="I822" s="6" t="str">
        <f t="shared" si="13"/>
        <v>0</v>
      </c>
    </row>
    <row r="823" spans="1:9" x14ac:dyDescent="0.2">
      <c r="A823" t="s">
        <v>1092</v>
      </c>
      <c r="B823" t="s">
        <v>1093</v>
      </c>
      <c r="E823" t="str">
        <f>IF(D823&lt;&gt;"",C823&amp;"/"&amp;D823,"")</f>
        <v/>
      </c>
      <c r="G823" s="5" t="str">
        <f t="shared" si="12"/>
        <v/>
      </c>
      <c r="I823" s="6" t="str">
        <f t="shared" si="13"/>
        <v>0</v>
      </c>
    </row>
    <row r="824" spans="1:9" x14ac:dyDescent="0.2">
      <c r="A824" t="s">
        <v>1094</v>
      </c>
      <c r="B824" t="s">
        <v>1095</v>
      </c>
      <c r="E824" t="str">
        <f>IF(D824&lt;&gt;"",C824&amp;"/"&amp;D824,"")</f>
        <v/>
      </c>
      <c r="G824" s="5" t="str">
        <f t="shared" si="12"/>
        <v/>
      </c>
      <c r="I824" s="6" t="str">
        <f t="shared" si="13"/>
        <v>0</v>
      </c>
    </row>
    <row r="825" spans="1:9" x14ac:dyDescent="0.2">
      <c r="A825" t="s">
        <v>1096</v>
      </c>
      <c r="B825" t="s">
        <v>1097</v>
      </c>
      <c r="E825" t="str">
        <f>IF(D825&lt;&gt;"",C825&amp;"/"&amp;D825,"")</f>
        <v/>
      </c>
      <c r="G825" s="5" t="str">
        <f t="shared" si="12"/>
        <v/>
      </c>
      <c r="I825" s="6" t="str">
        <f t="shared" si="13"/>
        <v>0</v>
      </c>
    </row>
    <row r="826" spans="1:9" x14ac:dyDescent="0.2">
      <c r="A826" t="s">
        <v>1098</v>
      </c>
      <c r="B826" t="s">
        <v>309</v>
      </c>
      <c r="E826" t="str">
        <f>IF(D826&lt;&gt;"",C826&amp;"/"&amp;D826,"")</f>
        <v/>
      </c>
      <c r="G826" s="5" t="str">
        <f t="shared" si="12"/>
        <v/>
      </c>
      <c r="I826" s="6" t="str">
        <f t="shared" si="13"/>
        <v>0</v>
      </c>
    </row>
    <row r="827" spans="1:9" x14ac:dyDescent="0.2">
      <c r="A827" t="s">
        <v>1099</v>
      </c>
      <c r="B827" t="s">
        <v>332</v>
      </c>
      <c r="E827" t="str">
        <f>IF(D827&lt;&gt;"",C827&amp;"/"&amp;D827,"")</f>
        <v/>
      </c>
      <c r="G827" s="5" t="str">
        <f t="shared" si="12"/>
        <v/>
      </c>
      <c r="I827" s="6" t="str">
        <f t="shared" si="13"/>
        <v>0</v>
      </c>
    </row>
    <row r="828" spans="1:9" x14ac:dyDescent="0.2">
      <c r="A828" t="s">
        <v>1100</v>
      </c>
      <c r="B828" t="s">
        <v>1101</v>
      </c>
      <c r="E828" t="str">
        <f>IF(D828&lt;&gt;"",C828&amp;"/"&amp;D828,"")</f>
        <v/>
      </c>
      <c r="G828" s="5" t="str">
        <f t="shared" si="12"/>
        <v/>
      </c>
      <c r="I828" s="6" t="str">
        <f t="shared" si="13"/>
        <v>0</v>
      </c>
    </row>
    <row r="829" spans="1:9" x14ac:dyDescent="0.2">
      <c r="A829" t="s">
        <v>1102</v>
      </c>
      <c r="B829" t="s">
        <v>1103</v>
      </c>
      <c r="E829" t="str">
        <f>IF(D829&lt;&gt;"",C829&amp;"/"&amp;D829,"")</f>
        <v/>
      </c>
      <c r="G829" s="5" t="str">
        <f t="shared" si="12"/>
        <v/>
      </c>
      <c r="I829" s="6" t="str">
        <f t="shared" si="13"/>
        <v>0</v>
      </c>
    </row>
    <row r="830" spans="1:9" x14ac:dyDescent="0.2">
      <c r="A830" t="s">
        <v>1104</v>
      </c>
      <c r="B830" t="s">
        <v>309</v>
      </c>
      <c r="E830" t="str">
        <f>IF(D830&lt;&gt;"",C830&amp;"/"&amp;D830,"")</f>
        <v/>
      </c>
      <c r="G830" s="5" t="str">
        <f t="shared" si="12"/>
        <v/>
      </c>
      <c r="I830" s="6" t="str">
        <f t="shared" si="13"/>
        <v>0</v>
      </c>
    </row>
    <row r="831" spans="1:9" x14ac:dyDescent="0.2">
      <c r="A831" t="s">
        <v>1105</v>
      </c>
      <c r="B831" t="s">
        <v>309</v>
      </c>
      <c r="E831" t="str">
        <f>IF(D831&lt;&gt;"",C831&amp;"/"&amp;D831,"")</f>
        <v/>
      </c>
      <c r="G831" s="5" t="str">
        <f t="shared" si="12"/>
        <v/>
      </c>
      <c r="I831" s="6" t="str">
        <f t="shared" si="13"/>
        <v>0</v>
      </c>
    </row>
    <row r="832" spans="1:9" x14ac:dyDescent="0.2">
      <c r="A832" t="s">
        <v>1106</v>
      </c>
      <c r="B832" t="s">
        <v>309</v>
      </c>
      <c r="E832" t="str">
        <f>IF(D832&lt;&gt;"",C832&amp;"/"&amp;D832,"")</f>
        <v/>
      </c>
      <c r="G832" s="5" t="str">
        <f t="shared" si="12"/>
        <v/>
      </c>
      <c r="I832" s="6" t="str">
        <f t="shared" si="13"/>
        <v>0</v>
      </c>
    </row>
    <row r="833" spans="1:9" x14ac:dyDescent="0.2">
      <c r="A833" t="s">
        <v>1107</v>
      </c>
      <c r="B833" t="s">
        <v>309</v>
      </c>
      <c r="E833" t="str">
        <f>IF(D833&lt;&gt;"",C833&amp;"/"&amp;D833,"")</f>
        <v/>
      </c>
      <c r="G833" s="5" t="str">
        <f t="shared" si="12"/>
        <v/>
      </c>
      <c r="I833" s="6" t="str">
        <f t="shared" si="13"/>
        <v>0</v>
      </c>
    </row>
    <row r="834" spans="1:9" x14ac:dyDescent="0.2">
      <c r="A834" t="s">
        <v>1108</v>
      </c>
      <c r="B834" t="s">
        <v>309</v>
      </c>
      <c r="E834" t="str">
        <f>IF(D834&lt;&gt;"",C834&amp;"/"&amp;D834,"")</f>
        <v/>
      </c>
      <c r="G834" s="5" t="str">
        <f t="shared" si="12"/>
        <v/>
      </c>
      <c r="I834" s="6" t="str">
        <f t="shared" si="13"/>
        <v>0</v>
      </c>
    </row>
    <row r="835" spans="1:9" x14ac:dyDescent="0.2">
      <c r="A835" t="s">
        <v>1109</v>
      </c>
      <c r="B835" t="s">
        <v>4029</v>
      </c>
      <c r="E835" t="str">
        <f>IF(D835&lt;&gt;"",C835&amp;"/"&amp;D835,"")</f>
        <v/>
      </c>
      <c r="G835" s="5" t="str">
        <f t="shared" si="12"/>
        <v/>
      </c>
      <c r="I835" s="6" t="str">
        <f t="shared" si="13"/>
        <v>0</v>
      </c>
    </row>
    <row r="836" spans="1:9" x14ac:dyDescent="0.2">
      <c r="A836" t="s">
        <v>1110</v>
      </c>
      <c r="B836" t="s">
        <v>4027</v>
      </c>
      <c r="E836" t="str">
        <f>IF(D836&lt;&gt;"",C836&amp;"/"&amp;D836,"")</f>
        <v/>
      </c>
      <c r="G836" s="5" t="str">
        <f t="shared" si="12"/>
        <v/>
      </c>
      <c r="I836" s="6" t="str">
        <f t="shared" si="13"/>
        <v>0</v>
      </c>
    </row>
    <row r="837" spans="1:9" x14ac:dyDescent="0.2">
      <c r="A837" t="s">
        <v>1111</v>
      </c>
      <c r="B837" t="s">
        <v>4028</v>
      </c>
      <c r="E837" t="str">
        <f>IF(D837&lt;&gt;"",C837&amp;"/"&amp;D837,"")</f>
        <v/>
      </c>
      <c r="G837" s="5" t="str">
        <f t="shared" si="12"/>
        <v/>
      </c>
      <c r="I837" s="6" t="str">
        <f t="shared" si="13"/>
        <v>0</v>
      </c>
    </row>
    <row r="838" spans="1:9" x14ac:dyDescent="0.2">
      <c r="A838" t="s">
        <v>1112</v>
      </c>
      <c r="B838" t="s">
        <v>1113</v>
      </c>
      <c r="E838" t="str">
        <f>IF(D838&lt;&gt;"",C838&amp;"/"&amp;D838,"")</f>
        <v/>
      </c>
      <c r="G838" s="5" t="str">
        <f t="shared" si="12"/>
        <v/>
      </c>
      <c r="I838" s="6" t="str">
        <f t="shared" si="13"/>
        <v>0</v>
      </c>
    </row>
    <row r="839" spans="1:9" x14ac:dyDescent="0.2">
      <c r="A839" t="s">
        <v>1114</v>
      </c>
      <c r="B839" t="s">
        <v>309</v>
      </c>
      <c r="E839" t="str">
        <f>IF(D839&lt;&gt;"",C839&amp;"/"&amp;D839,"")</f>
        <v/>
      </c>
      <c r="G839" s="5" t="str">
        <f t="shared" si="12"/>
        <v/>
      </c>
      <c r="I839" s="6" t="str">
        <f t="shared" si="13"/>
        <v>0</v>
      </c>
    </row>
    <row r="840" spans="1:9" x14ac:dyDescent="0.2">
      <c r="A840" t="s">
        <v>1115</v>
      </c>
      <c r="B840" t="s">
        <v>309</v>
      </c>
      <c r="E840" t="str">
        <f>IF(D840&lt;&gt;"",C840&amp;"/"&amp;D840,"")</f>
        <v/>
      </c>
      <c r="G840" s="5" t="str">
        <f t="shared" si="12"/>
        <v/>
      </c>
      <c r="I840" s="6" t="str">
        <f t="shared" si="13"/>
        <v>0</v>
      </c>
    </row>
    <row r="841" spans="1:9" x14ac:dyDescent="0.2">
      <c r="A841" t="s">
        <v>1116</v>
      </c>
      <c r="B841" t="s">
        <v>309</v>
      </c>
      <c r="E841" t="str">
        <f>IF(D841&lt;&gt;"",C841&amp;"/"&amp;D841,"")</f>
        <v/>
      </c>
      <c r="G841" s="5" t="str">
        <f t="shared" si="12"/>
        <v/>
      </c>
      <c r="I841" s="6" t="str">
        <f t="shared" si="13"/>
        <v>0</v>
      </c>
    </row>
    <row r="842" spans="1:9" x14ac:dyDescent="0.2">
      <c r="A842" t="s">
        <v>1117</v>
      </c>
      <c r="B842" t="s">
        <v>309</v>
      </c>
      <c r="E842" t="str">
        <f>IF(D842&lt;&gt;"",C842&amp;"/"&amp;D842,"")</f>
        <v/>
      </c>
      <c r="G842" s="5" t="str">
        <f t="shared" si="12"/>
        <v/>
      </c>
      <c r="I842" s="6" t="str">
        <f t="shared" si="13"/>
        <v>0</v>
      </c>
    </row>
    <row r="843" spans="1:9" x14ac:dyDescent="0.2">
      <c r="A843" t="s">
        <v>1118</v>
      </c>
      <c r="B843" t="s">
        <v>1119</v>
      </c>
      <c r="E843" t="str">
        <f>IF(D843&lt;&gt;"",C843&amp;"/"&amp;D843,"")</f>
        <v/>
      </c>
      <c r="G843" s="5" t="str">
        <f t="shared" si="12"/>
        <v/>
      </c>
      <c r="I843" s="6" t="str">
        <f t="shared" si="13"/>
        <v>0</v>
      </c>
    </row>
    <row r="844" spans="1:9" x14ac:dyDescent="0.2">
      <c r="A844" t="s">
        <v>1120</v>
      </c>
      <c r="B844" t="s">
        <v>309</v>
      </c>
      <c r="E844" t="str">
        <f>IF(D844&lt;&gt;"",C844&amp;"/"&amp;D844,"")</f>
        <v/>
      </c>
      <c r="G844" s="5" t="str">
        <f t="shared" si="12"/>
        <v/>
      </c>
      <c r="I844" s="6" t="str">
        <f t="shared" si="13"/>
        <v>0</v>
      </c>
    </row>
    <row r="845" spans="1:9" x14ac:dyDescent="0.2">
      <c r="A845" t="s">
        <v>1121</v>
      </c>
      <c r="B845" t="s">
        <v>309</v>
      </c>
      <c r="E845" t="str">
        <f>IF(D845&lt;&gt;"",C845&amp;"/"&amp;D845,"")</f>
        <v/>
      </c>
      <c r="G845" s="5" t="str">
        <f t="shared" si="12"/>
        <v/>
      </c>
      <c r="I845" s="6" t="str">
        <f t="shared" si="13"/>
        <v>0</v>
      </c>
    </row>
    <row r="846" spans="1:9" x14ac:dyDescent="0.2">
      <c r="A846" t="s">
        <v>1122</v>
      </c>
      <c r="B846" t="s">
        <v>309</v>
      </c>
      <c r="E846" t="str">
        <f>IF(D846&lt;&gt;"",C846&amp;"/"&amp;D846,"")</f>
        <v/>
      </c>
      <c r="G846" s="5" t="str">
        <f t="shared" si="12"/>
        <v/>
      </c>
      <c r="I846" s="6" t="str">
        <f t="shared" si="13"/>
        <v>0</v>
      </c>
    </row>
    <row r="847" spans="1:9" x14ac:dyDescent="0.2">
      <c r="A847" t="s">
        <v>1123</v>
      </c>
      <c r="B847" t="s">
        <v>309</v>
      </c>
      <c r="E847" t="str">
        <f>IF(D847&lt;&gt;"",C847&amp;"/"&amp;D847,"")</f>
        <v/>
      </c>
      <c r="G847" s="5" t="str">
        <f t="shared" si="12"/>
        <v/>
      </c>
      <c r="I847" s="6" t="str">
        <f t="shared" si="13"/>
        <v>0</v>
      </c>
    </row>
    <row r="848" spans="1:9" x14ac:dyDescent="0.2">
      <c r="A848" t="s">
        <v>1124</v>
      </c>
      <c r="B848" t="s">
        <v>309</v>
      </c>
      <c r="E848" t="str">
        <f>IF(D848&lt;&gt;"",C848&amp;"/"&amp;D848,"")</f>
        <v/>
      </c>
      <c r="G848" s="5" t="str">
        <f t="shared" ref="G848:G911" si="14">IF(F848&lt;&gt;"",HEX2DEC(SUBSTITUTE(SUBSTITUTE(F848,"adrEA",""),"$","")),"")</f>
        <v/>
      </c>
      <c r="I848" s="6" t="str">
        <f t="shared" ref="I848:I911" si="15">IFERROR(DEC2HEX(H848),"")</f>
        <v>0</v>
      </c>
    </row>
    <row r="849" spans="1:9" x14ac:dyDescent="0.2">
      <c r="A849" t="s">
        <v>1125</v>
      </c>
      <c r="B849" t="s">
        <v>309</v>
      </c>
      <c r="E849" t="str">
        <f>IF(D849&lt;&gt;"",C849&amp;"/"&amp;D849,"")</f>
        <v/>
      </c>
      <c r="G849" s="5" t="str">
        <f t="shared" si="14"/>
        <v/>
      </c>
      <c r="I849" s="6" t="str">
        <f t="shared" si="15"/>
        <v>0</v>
      </c>
    </row>
    <row r="850" spans="1:9" x14ac:dyDescent="0.2">
      <c r="A850" t="s">
        <v>1126</v>
      </c>
      <c r="B850" t="s">
        <v>309</v>
      </c>
      <c r="E850" t="str">
        <f>IF(D850&lt;&gt;"",C850&amp;"/"&amp;D850,"")</f>
        <v/>
      </c>
      <c r="G850" s="5" t="str">
        <f t="shared" si="14"/>
        <v/>
      </c>
      <c r="I850" s="6" t="str">
        <f t="shared" si="15"/>
        <v>0</v>
      </c>
    </row>
    <row r="851" spans="1:9" x14ac:dyDescent="0.2">
      <c r="A851" t="s">
        <v>1127</v>
      </c>
      <c r="B851" t="s">
        <v>309</v>
      </c>
      <c r="E851" t="str">
        <f>IF(D851&lt;&gt;"",C851&amp;"/"&amp;D851,"")</f>
        <v/>
      </c>
      <c r="G851" s="5" t="str">
        <f t="shared" si="14"/>
        <v/>
      </c>
      <c r="I851" s="6" t="str">
        <f t="shared" si="15"/>
        <v>0</v>
      </c>
    </row>
    <row r="852" spans="1:9" x14ac:dyDescent="0.2">
      <c r="A852" t="s">
        <v>1128</v>
      </c>
      <c r="B852" t="s">
        <v>309</v>
      </c>
      <c r="E852" t="str">
        <f>IF(D852&lt;&gt;"",C852&amp;"/"&amp;D852,"")</f>
        <v/>
      </c>
      <c r="G852" s="5" t="str">
        <f t="shared" si="14"/>
        <v/>
      </c>
      <c r="I852" s="6" t="str">
        <f t="shared" si="15"/>
        <v>0</v>
      </c>
    </row>
    <row r="853" spans="1:9" x14ac:dyDescent="0.2">
      <c r="A853" t="s">
        <v>1129</v>
      </c>
      <c r="B853" t="s">
        <v>309</v>
      </c>
      <c r="E853" t="str">
        <f>IF(D853&lt;&gt;"",C853&amp;"/"&amp;D853,"")</f>
        <v/>
      </c>
      <c r="G853" s="5" t="str">
        <f t="shared" si="14"/>
        <v/>
      </c>
      <c r="I853" s="6" t="str">
        <f t="shared" si="15"/>
        <v>0</v>
      </c>
    </row>
    <row r="854" spans="1:9" x14ac:dyDescent="0.2">
      <c r="A854" t="s">
        <v>1130</v>
      </c>
      <c r="B854" t="s">
        <v>309</v>
      </c>
      <c r="E854" t="str">
        <f>IF(D854&lt;&gt;"",C854&amp;"/"&amp;D854,"")</f>
        <v/>
      </c>
      <c r="G854" s="5" t="str">
        <f t="shared" si="14"/>
        <v/>
      </c>
      <c r="I854" s="6" t="str">
        <f t="shared" si="15"/>
        <v>0</v>
      </c>
    </row>
    <row r="855" spans="1:9" x14ac:dyDescent="0.2">
      <c r="A855" t="s">
        <v>1131</v>
      </c>
      <c r="B855" t="s">
        <v>309</v>
      </c>
      <c r="E855" t="str">
        <f>IF(D855&lt;&gt;"",C855&amp;"/"&amp;D855,"")</f>
        <v/>
      </c>
      <c r="G855" s="5" t="str">
        <f t="shared" si="14"/>
        <v/>
      </c>
      <c r="I855" s="6" t="str">
        <f t="shared" si="15"/>
        <v>0</v>
      </c>
    </row>
    <row r="856" spans="1:9" x14ac:dyDescent="0.2">
      <c r="A856" t="s">
        <v>1132</v>
      </c>
      <c r="B856" t="s">
        <v>309</v>
      </c>
      <c r="E856" t="str">
        <f>IF(D856&lt;&gt;"",C856&amp;"/"&amp;D856,"")</f>
        <v/>
      </c>
      <c r="G856" s="5" t="str">
        <f t="shared" si="14"/>
        <v/>
      </c>
      <c r="I856" s="6" t="str">
        <f t="shared" si="15"/>
        <v>0</v>
      </c>
    </row>
    <row r="857" spans="1:9" x14ac:dyDescent="0.2">
      <c r="A857" t="s">
        <v>1133</v>
      </c>
      <c r="B857" t="s">
        <v>309</v>
      </c>
      <c r="E857" t="str">
        <f>IF(D857&lt;&gt;"",C857&amp;"/"&amp;D857,"")</f>
        <v/>
      </c>
      <c r="G857" s="5" t="str">
        <f t="shared" si="14"/>
        <v/>
      </c>
      <c r="I857" s="6" t="str">
        <f t="shared" si="15"/>
        <v>0</v>
      </c>
    </row>
    <row r="858" spans="1:9" x14ac:dyDescent="0.2">
      <c r="A858" t="s">
        <v>1134</v>
      </c>
      <c r="B858" t="s">
        <v>309</v>
      </c>
      <c r="E858" t="str">
        <f>IF(D858&lt;&gt;"",C858&amp;"/"&amp;D858,"")</f>
        <v/>
      </c>
      <c r="G858" s="5" t="str">
        <f t="shared" si="14"/>
        <v/>
      </c>
      <c r="I858" s="6" t="str">
        <f t="shared" si="15"/>
        <v>0</v>
      </c>
    </row>
    <row r="859" spans="1:9" x14ac:dyDescent="0.2">
      <c r="A859" t="s">
        <v>1135</v>
      </c>
      <c r="B859" t="s">
        <v>309</v>
      </c>
      <c r="E859" t="str">
        <f>IF(D859&lt;&gt;"",C859&amp;"/"&amp;D859,"")</f>
        <v/>
      </c>
      <c r="G859" s="5" t="str">
        <f t="shared" si="14"/>
        <v/>
      </c>
      <c r="I859" s="6" t="str">
        <f t="shared" si="15"/>
        <v>0</v>
      </c>
    </row>
    <row r="860" spans="1:9" x14ac:dyDescent="0.2">
      <c r="A860" t="s">
        <v>1136</v>
      </c>
      <c r="B860" t="s">
        <v>309</v>
      </c>
      <c r="E860" t="str">
        <f>IF(D860&lt;&gt;"",C860&amp;"/"&amp;D860,"")</f>
        <v/>
      </c>
      <c r="G860" s="5" t="str">
        <f t="shared" si="14"/>
        <v/>
      </c>
      <c r="I860" s="6" t="str">
        <f t="shared" si="15"/>
        <v>0</v>
      </c>
    </row>
    <row r="861" spans="1:9" x14ac:dyDescent="0.2">
      <c r="A861" t="s">
        <v>1137</v>
      </c>
      <c r="B861" t="s">
        <v>309</v>
      </c>
      <c r="E861" t="str">
        <f>IF(D861&lt;&gt;"",C861&amp;"/"&amp;D861,"")</f>
        <v/>
      </c>
      <c r="G861" s="5" t="str">
        <f t="shared" si="14"/>
        <v/>
      </c>
      <c r="I861" s="6" t="str">
        <f t="shared" si="15"/>
        <v>0</v>
      </c>
    </row>
    <row r="862" spans="1:9" x14ac:dyDescent="0.2">
      <c r="A862" t="s">
        <v>1138</v>
      </c>
      <c r="B862" t="s">
        <v>309</v>
      </c>
      <c r="E862" t="str">
        <f>IF(D862&lt;&gt;"",C862&amp;"/"&amp;D862,"")</f>
        <v/>
      </c>
      <c r="G862" s="5" t="str">
        <f t="shared" si="14"/>
        <v/>
      </c>
      <c r="I862" s="6" t="str">
        <f t="shared" si="15"/>
        <v>0</v>
      </c>
    </row>
    <row r="863" spans="1:9" x14ac:dyDescent="0.2">
      <c r="A863" t="s">
        <v>1139</v>
      </c>
      <c r="B863" t="s">
        <v>309</v>
      </c>
      <c r="E863" t="str">
        <f>IF(D863&lt;&gt;"",C863&amp;"/"&amp;D863,"")</f>
        <v/>
      </c>
      <c r="G863" s="5" t="str">
        <f t="shared" si="14"/>
        <v/>
      </c>
      <c r="I863" s="6" t="str">
        <f t="shared" si="15"/>
        <v>0</v>
      </c>
    </row>
    <row r="864" spans="1:9" x14ac:dyDescent="0.2">
      <c r="A864" t="s">
        <v>1140</v>
      </c>
      <c r="B864" t="s">
        <v>309</v>
      </c>
      <c r="E864" t="str">
        <f>IF(D864&lt;&gt;"",C864&amp;"/"&amp;D864,"")</f>
        <v/>
      </c>
      <c r="G864" s="5" t="str">
        <f t="shared" si="14"/>
        <v/>
      </c>
      <c r="I864" s="6" t="str">
        <f t="shared" si="15"/>
        <v>0</v>
      </c>
    </row>
    <row r="865" spans="1:9" x14ac:dyDescent="0.2">
      <c r="A865" t="s">
        <v>1141</v>
      </c>
      <c r="B865" t="s">
        <v>309</v>
      </c>
      <c r="E865" t="str">
        <f>IF(D865&lt;&gt;"",C865&amp;"/"&amp;D865,"")</f>
        <v/>
      </c>
      <c r="G865" s="5" t="str">
        <f t="shared" si="14"/>
        <v/>
      </c>
      <c r="I865" s="6" t="str">
        <f t="shared" si="15"/>
        <v>0</v>
      </c>
    </row>
    <row r="866" spans="1:9" x14ac:dyDescent="0.2">
      <c r="A866" t="s">
        <v>1142</v>
      </c>
      <c r="B866" t="s">
        <v>309</v>
      </c>
      <c r="E866" t="str">
        <f>IF(D866&lt;&gt;"",C866&amp;"/"&amp;D866,"")</f>
        <v/>
      </c>
      <c r="G866" s="5" t="str">
        <f t="shared" si="14"/>
        <v/>
      </c>
      <c r="I866" s="6" t="str">
        <f t="shared" si="15"/>
        <v>0</v>
      </c>
    </row>
    <row r="867" spans="1:9" x14ac:dyDescent="0.2">
      <c r="A867" t="s">
        <v>1143</v>
      </c>
      <c r="B867" t="s">
        <v>309</v>
      </c>
      <c r="E867" t="str">
        <f>IF(D867&lt;&gt;"",C867&amp;"/"&amp;D867,"")</f>
        <v/>
      </c>
      <c r="G867" s="5" t="str">
        <f t="shared" si="14"/>
        <v/>
      </c>
      <c r="I867" s="6" t="str">
        <f t="shared" si="15"/>
        <v>0</v>
      </c>
    </row>
    <row r="868" spans="1:9" x14ac:dyDescent="0.2">
      <c r="A868" t="s">
        <v>1144</v>
      </c>
      <c r="B868" t="s">
        <v>309</v>
      </c>
      <c r="E868" t="str">
        <f>IF(D868&lt;&gt;"",C868&amp;"/"&amp;D868,"")</f>
        <v/>
      </c>
      <c r="G868" s="5" t="str">
        <f t="shared" si="14"/>
        <v/>
      </c>
      <c r="I868" s="6" t="str">
        <f t="shared" si="15"/>
        <v>0</v>
      </c>
    </row>
    <row r="869" spans="1:9" x14ac:dyDescent="0.2">
      <c r="A869" t="s">
        <v>1145</v>
      </c>
      <c r="B869" t="s">
        <v>309</v>
      </c>
      <c r="E869" t="str">
        <f>IF(D869&lt;&gt;"",C869&amp;"/"&amp;D869,"")</f>
        <v/>
      </c>
      <c r="G869" s="5" t="str">
        <f t="shared" si="14"/>
        <v/>
      </c>
      <c r="I869" s="6" t="str">
        <f t="shared" si="15"/>
        <v>0</v>
      </c>
    </row>
    <row r="870" spans="1:9" x14ac:dyDescent="0.2">
      <c r="A870" t="s">
        <v>1146</v>
      </c>
      <c r="B870" t="s">
        <v>309</v>
      </c>
      <c r="E870" t="str">
        <f>IF(D870&lt;&gt;"",C870&amp;"/"&amp;D870,"")</f>
        <v/>
      </c>
      <c r="G870" s="5" t="str">
        <f t="shared" si="14"/>
        <v/>
      </c>
      <c r="I870" s="6" t="str">
        <f t="shared" si="15"/>
        <v>0</v>
      </c>
    </row>
    <row r="871" spans="1:9" x14ac:dyDescent="0.2">
      <c r="A871" t="s">
        <v>1147</v>
      </c>
      <c r="B871" t="s">
        <v>1147</v>
      </c>
      <c r="E871" t="str">
        <f>IF(D871&lt;&gt;"",C871&amp;"/"&amp;D871,"")</f>
        <v/>
      </c>
      <c r="G871" s="5" t="str">
        <f t="shared" si="14"/>
        <v/>
      </c>
      <c r="I871" s="6" t="str">
        <f t="shared" si="15"/>
        <v>0</v>
      </c>
    </row>
    <row r="872" spans="1:9" x14ac:dyDescent="0.2">
      <c r="A872" t="s">
        <v>1148</v>
      </c>
      <c r="B872" t="s">
        <v>1148</v>
      </c>
      <c r="E872" t="str">
        <f>IF(D872&lt;&gt;"",C872&amp;"/"&amp;D872,"")</f>
        <v/>
      </c>
      <c r="G872" s="5" t="str">
        <f t="shared" si="14"/>
        <v/>
      </c>
      <c r="I872" s="6" t="str">
        <f t="shared" si="15"/>
        <v>0</v>
      </c>
    </row>
    <row r="873" spans="1:9" x14ac:dyDescent="0.2">
      <c r="A873" t="s">
        <v>1149</v>
      </c>
      <c r="B873" t="s">
        <v>1149</v>
      </c>
      <c r="E873" t="str">
        <f>IF(D873&lt;&gt;"",C873&amp;"/"&amp;D873,"")</f>
        <v/>
      </c>
      <c r="G873" s="5" t="str">
        <f t="shared" si="14"/>
        <v/>
      </c>
      <c r="I873" s="6" t="str">
        <f t="shared" si="15"/>
        <v>0</v>
      </c>
    </row>
    <row r="874" spans="1:9" x14ac:dyDescent="0.2">
      <c r="A874" t="s">
        <v>1150</v>
      </c>
      <c r="B874" t="s">
        <v>1150</v>
      </c>
      <c r="E874" t="str">
        <f>IF(D874&lt;&gt;"",C874&amp;"/"&amp;D874,"")</f>
        <v/>
      </c>
      <c r="G874" s="5" t="str">
        <f t="shared" si="14"/>
        <v/>
      </c>
      <c r="I874" s="6" t="str">
        <f t="shared" si="15"/>
        <v>0</v>
      </c>
    </row>
    <row r="875" spans="1:9" x14ac:dyDescent="0.2">
      <c r="A875" t="s">
        <v>1151</v>
      </c>
      <c r="B875" t="s">
        <v>309</v>
      </c>
      <c r="E875" t="str">
        <f>IF(D875&lt;&gt;"",C875&amp;"/"&amp;D875,"")</f>
        <v/>
      </c>
      <c r="G875" s="5" t="str">
        <f t="shared" si="14"/>
        <v/>
      </c>
      <c r="I875" s="6" t="str">
        <f t="shared" si="15"/>
        <v>0</v>
      </c>
    </row>
    <row r="876" spans="1:9" x14ac:dyDescent="0.2">
      <c r="A876" t="s">
        <v>1152</v>
      </c>
      <c r="B876" t="s">
        <v>309</v>
      </c>
      <c r="E876" t="str">
        <f>IF(D876&lt;&gt;"",C876&amp;"/"&amp;D876,"")</f>
        <v/>
      </c>
      <c r="G876" s="5" t="str">
        <f t="shared" si="14"/>
        <v/>
      </c>
      <c r="I876" s="6" t="str">
        <f t="shared" si="15"/>
        <v>0</v>
      </c>
    </row>
    <row r="877" spans="1:9" x14ac:dyDescent="0.2">
      <c r="A877" t="s">
        <v>1153</v>
      </c>
      <c r="B877" t="s">
        <v>309</v>
      </c>
      <c r="E877" t="str">
        <f>IF(D877&lt;&gt;"",C877&amp;"/"&amp;D877,"")</f>
        <v/>
      </c>
      <c r="G877" s="5" t="str">
        <f t="shared" si="14"/>
        <v/>
      </c>
      <c r="I877" s="6" t="str">
        <f t="shared" si="15"/>
        <v>0</v>
      </c>
    </row>
    <row r="878" spans="1:9" x14ac:dyDescent="0.2">
      <c r="A878" t="s">
        <v>1154</v>
      </c>
      <c r="B878" t="s">
        <v>309</v>
      </c>
      <c r="E878" t="str">
        <f>IF(D878&lt;&gt;"",C878&amp;"/"&amp;D878,"")</f>
        <v/>
      </c>
      <c r="G878" s="5" t="str">
        <f t="shared" si="14"/>
        <v/>
      </c>
      <c r="I878" s="6" t="str">
        <f t="shared" si="15"/>
        <v>0</v>
      </c>
    </row>
    <row r="879" spans="1:9" x14ac:dyDescent="0.2">
      <c r="A879" t="s">
        <v>1155</v>
      </c>
      <c r="B879" t="s">
        <v>309</v>
      </c>
      <c r="E879" t="str">
        <f>IF(D879&lt;&gt;"",C879&amp;"/"&amp;D879,"")</f>
        <v/>
      </c>
      <c r="G879" s="5" t="str">
        <f t="shared" si="14"/>
        <v/>
      </c>
      <c r="I879" s="6" t="str">
        <f t="shared" si="15"/>
        <v>0</v>
      </c>
    </row>
    <row r="880" spans="1:9" x14ac:dyDescent="0.2">
      <c r="A880" t="s">
        <v>1156</v>
      </c>
      <c r="B880" t="s">
        <v>309</v>
      </c>
      <c r="E880" t="str">
        <f>IF(D880&lt;&gt;"",C880&amp;"/"&amp;D880,"")</f>
        <v/>
      </c>
      <c r="G880" s="5" t="str">
        <f t="shared" si="14"/>
        <v/>
      </c>
      <c r="I880" s="6" t="str">
        <f t="shared" si="15"/>
        <v>0</v>
      </c>
    </row>
    <row r="881" spans="1:12" x14ac:dyDescent="0.2">
      <c r="A881" t="s">
        <v>1157</v>
      </c>
      <c r="B881" t="s">
        <v>309</v>
      </c>
      <c r="E881" t="str">
        <f>IF(D881&lt;&gt;"",C881&amp;"/"&amp;D881,"")</f>
        <v/>
      </c>
      <c r="G881" s="5" t="str">
        <f t="shared" si="14"/>
        <v/>
      </c>
      <c r="I881" s="6" t="str">
        <f t="shared" si="15"/>
        <v>0</v>
      </c>
    </row>
    <row r="882" spans="1:12" x14ac:dyDescent="0.2">
      <c r="A882" t="s">
        <v>1158</v>
      </c>
      <c r="B882" t="s">
        <v>309</v>
      </c>
      <c r="E882" t="str">
        <f>IF(D882&lt;&gt;"",C882&amp;"/"&amp;D882,"")</f>
        <v/>
      </c>
      <c r="G882" s="5" t="str">
        <f t="shared" si="14"/>
        <v/>
      </c>
      <c r="I882" s="6" t="str">
        <f t="shared" si="15"/>
        <v>0</v>
      </c>
    </row>
    <row r="883" spans="1:12" x14ac:dyDescent="0.2">
      <c r="A883" t="s">
        <v>1159</v>
      </c>
      <c r="B883" t="s">
        <v>309</v>
      </c>
      <c r="E883" t="str">
        <f>IF(D883&lt;&gt;"",C883&amp;"/"&amp;D883,"")</f>
        <v/>
      </c>
      <c r="G883" s="5" t="str">
        <f t="shared" si="14"/>
        <v/>
      </c>
      <c r="I883" s="6" t="str">
        <f t="shared" si="15"/>
        <v>0</v>
      </c>
    </row>
    <row r="884" spans="1:12" x14ac:dyDescent="0.2">
      <c r="A884" t="s">
        <v>1160</v>
      </c>
      <c r="B884" t="s">
        <v>309</v>
      </c>
      <c r="E884" t="str">
        <f>IF(D884&lt;&gt;"",C884&amp;"/"&amp;D884,"")</f>
        <v/>
      </c>
      <c r="G884" s="5" t="str">
        <f t="shared" si="14"/>
        <v/>
      </c>
      <c r="I884" s="6" t="str">
        <f t="shared" si="15"/>
        <v>0</v>
      </c>
    </row>
    <row r="885" spans="1:12" x14ac:dyDescent="0.2">
      <c r="A885" t="s">
        <v>1161</v>
      </c>
      <c r="B885" t="s">
        <v>309</v>
      </c>
      <c r="E885" t="str">
        <f>IF(D885&lt;&gt;"",C885&amp;"/"&amp;D885,"")</f>
        <v/>
      </c>
      <c r="G885" s="5" t="str">
        <f t="shared" si="14"/>
        <v/>
      </c>
      <c r="I885" s="6" t="str">
        <f t="shared" si="15"/>
        <v>0</v>
      </c>
    </row>
    <row r="886" spans="1:12" x14ac:dyDescent="0.2">
      <c r="A886" t="s">
        <v>1162</v>
      </c>
      <c r="B886" t="s">
        <v>309</v>
      </c>
      <c r="E886" t="str">
        <f>IF(D886&lt;&gt;"",C886&amp;"/"&amp;D886,"")</f>
        <v/>
      </c>
      <c r="G886" s="5" t="str">
        <f t="shared" si="14"/>
        <v/>
      </c>
      <c r="I886" s="6" t="str">
        <f t="shared" si="15"/>
        <v>0</v>
      </c>
    </row>
    <row r="887" spans="1:12" x14ac:dyDescent="0.2">
      <c r="A887" t="s">
        <v>1163</v>
      </c>
      <c r="B887" t="s">
        <v>309</v>
      </c>
      <c r="E887" t="str">
        <f>IF(D887&lt;&gt;"",C887&amp;"/"&amp;D887,"")</f>
        <v/>
      </c>
      <c r="G887" s="5" t="str">
        <f t="shared" si="14"/>
        <v/>
      </c>
      <c r="I887" s="6" t="str">
        <f t="shared" si="15"/>
        <v>0</v>
      </c>
    </row>
    <row r="888" spans="1:12" x14ac:dyDescent="0.2">
      <c r="A888" t="s">
        <v>1164</v>
      </c>
      <c r="B888" t="s">
        <v>3999</v>
      </c>
      <c r="G888" s="5" t="str">
        <f t="shared" si="14"/>
        <v/>
      </c>
      <c r="I888" s="6" t="str">
        <f t="shared" si="15"/>
        <v>0</v>
      </c>
      <c r="L888" s="6" t="s">
        <v>4000</v>
      </c>
    </row>
    <row r="889" spans="1:12" x14ac:dyDescent="0.2">
      <c r="A889" t="s">
        <v>1165</v>
      </c>
      <c r="B889" t="s">
        <v>309</v>
      </c>
      <c r="E889" t="str">
        <f>IF(D889&lt;&gt;"",C889&amp;"/"&amp;D889,"")</f>
        <v/>
      </c>
      <c r="G889" s="5" t="str">
        <f t="shared" si="14"/>
        <v/>
      </c>
      <c r="I889" s="6" t="str">
        <f t="shared" si="15"/>
        <v>0</v>
      </c>
    </row>
    <row r="890" spans="1:12" x14ac:dyDescent="0.2">
      <c r="A890" t="s">
        <v>1166</v>
      </c>
      <c r="B890" t="s">
        <v>309</v>
      </c>
      <c r="E890" t="str">
        <f>IF(D890&lt;&gt;"",C890&amp;"/"&amp;D890,"")</f>
        <v/>
      </c>
      <c r="G890" s="5" t="str">
        <f t="shared" si="14"/>
        <v/>
      </c>
      <c r="I890" s="6" t="str">
        <f t="shared" si="15"/>
        <v>0</v>
      </c>
    </row>
    <row r="891" spans="1:12" x14ac:dyDescent="0.2">
      <c r="A891" t="s">
        <v>1167</v>
      </c>
      <c r="B891" t="s">
        <v>5169</v>
      </c>
      <c r="C891" s="5" t="s">
        <v>7</v>
      </c>
      <c r="F891" s="5" t="s">
        <v>5170</v>
      </c>
      <c r="G891" s="5">
        <f t="shared" si="14"/>
        <v>18572</v>
      </c>
      <c r="I891" s="6" t="str">
        <f t="shared" si="15"/>
        <v>0</v>
      </c>
      <c r="K891" s="21" t="s">
        <v>5171</v>
      </c>
    </row>
    <row r="892" spans="1:12" x14ac:dyDescent="0.2">
      <c r="A892" t="s">
        <v>1168</v>
      </c>
      <c r="B892" t="s">
        <v>309</v>
      </c>
      <c r="E892" t="str">
        <f>IF(D892&lt;&gt;"",C892&amp;"/"&amp;D892,"")</f>
        <v/>
      </c>
      <c r="G892" s="5" t="str">
        <f t="shared" si="14"/>
        <v/>
      </c>
      <c r="I892" s="6" t="str">
        <f t="shared" si="15"/>
        <v>0</v>
      </c>
    </row>
    <row r="893" spans="1:12" x14ac:dyDescent="0.2">
      <c r="A893" t="s">
        <v>1169</v>
      </c>
      <c r="B893" t="s">
        <v>309</v>
      </c>
      <c r="E893" t="str">
        <f>IF(D893&lt;&gt;"",C893&amp;"/"&amp;D893,"")</f>
        <v/>
      </c>
      <c r="G893" s="5" t="str">
        <f t="shared" si="14"/>
        <v/>
      </c>
      <c r="I893" s="6" t="str">
        <f t="shared" si="15"/>
        <v>0</v>
      </c>
    </row>
    <row r="894" spans="1:12" x14ac:dyDescent="0.2">
      <c r="A894" t="s">
        <v>1170</v>
      </c>
      <c r="B894" t="s">
        <v>309</v>
      </c>
      <c r="E894" t="str">
        <f>IF(D894&lt;&gt;"",C894&amp;"/"&amp;D894,"")</f>
        <v/>
      </c>
      <c r="G894" s="5" t="str">
        <f t="shared" si="14"/>
        <v/>
      </c>
      <c r="I894" s="6" t="str">
        <f t="shared" si="15"/>
        <v>0</v>
      </c>
    </row>
    <row r="895" spans="1:12" x14ac:dyDescent="0.2">
      <c r="A895" t="s">
        <v>1171</v>
      </c>
      <c r="B895" t="s">
        <v>309</v>
      </c>
      <c r="E895" t="str">
        <f>IF(D895&lt;&gt;"",C895&amp;"/"&amp;D895,"")</f>
        <v/>
      </c>
      <c r="G895" s="5" t="str">
        <f t="shared" si="14"/>
        <v/>
      </c>
      <c r="I895" s="6" t="str">
        <f t="shared" si="15"/>
        <v>0</v>
      </c>
    </row>
    <row r="896" spans="1:12" x14ac:dyDescent="0.2">
      <c r="A896" t="s">
        <v>1172</v>
      </c>
      <c r="B896" t="s">
        <v>309</v>
      </c>
      <c r="E896" t="str">
        <f>IF(D896&lt;&gt;"",C896&amp;"/"&amp;D896,"")</f>
        <v/>
      </c>
      <c r="G896" s="5" t="str">
        <f t="shared" si="14"/>
        <v/>
      </c>
      <c r="I896" s="6" t="str">
        <f t="shared" si="15"/>
        <v>0</v>
      </c>
    </row>
    <row r="897" spans="1:11" x14ac:dyDescent="0.2">
      <c r="A897" t="s">
        <v>1173</v>
      </c>
      <c r="B897" t="s">
        <v>309</v>
      </c>
      <c r="E897" t="str">
        <f>IF(D897&lt;&gt;"",C897&amp;"/"&amp;D897,"")</f>
        <v/>
      </c>
      <c r="G897" s="5" t="str">
        <f t="shared" si="14"/>
        <v/>
      </c>
      <c r="I897" s="6" t="str">
        <f t="shared" si="15"/>
        <v>0</v>
      </c>
    </row>
    <row r="898" spans="1:11" x14ac:dyDescent="0.2">
      <c r="A898" t="s">
        <v>1174</v>
      </c>
      <c r="B898" t="s">
        <v>309</v>
      </c>
      <c r="E898" t="str">
        <f>IF(D898&lt;&gt;"",C898&amp;"/"&amp;D898,"")</f>
        <v/>
      </c>
      <c r="G898" s="5" t="str">
        <f t="shared" si="14"/>
        <v/>
      </c>
      <c r="I898" s="6" t="str">
        <f t="shared" si="15"/>
        <v>0</v>
      </c>
    </row>
    <row r="899" spans="1:11" x14ac:dyDescent="0.2">
      <c r="A899" t="s">
        <v>1176</v>
      </c>
      <c r="B899" t="s">
        <v>309</v>
      </c>
      <c r="E899" t="str">
        <f>IF(D899&lt;&gt;"",C899&amp;"/"&amp;D899,"")</f>
        <v/>
      </c>
      <c r="G899" s="5" t="str">
        <f t="shared" si="14"/>
        <v/>
      </c>
      <c r="I899" s="6" t="str">
        <f t="shared" si="15"/>
        <v>0</v>
      </c>
    </row>
    <row r="900" spans="1:11" x14ac:dyDescent="0.2">
      <c r="A900" t="s">
        <v>1177</v>
      </c>
      <c r="B900" t="s">
        <v>309</v>
      </c>
      <c r="E900" t="str">
        <f>IF(D900&lt;&gt;"",C900&amp;"/"&amp;D900,"")</f>
        <v/>
      </c>
      <c r="G900" s="5" t="str">
        <f t="shared" si="14"/>
        <v/>
      </c>
      <c r="I900" s="6" t="str">
        <f t="shared" si="15"/>
        <v>0</v>
      </c>
    </row>
    <row r="901" spans="1:11" x14ac:dyDescent="0.2">
      <c r="A901" t="s">
        <v>1178</v>
      </c>
      <c r="B901" t="s">
        <v>309</v>
      </c>
      <c r="E901" t="str">
        <f>IF(D901&lt;&gt;"",C901&amp;"/"&amp;D901,"")</f>
        <v/>
      </c>
      <c r="G901" s="5" t="str">
        <f t="shared" si="14"/>
        <v/>
      </c>
      <c r="I901" s="6" t="str">
        <f t="shared" si="15"/>
        <v>0</v>
      </c>
    </row>
    <row r="902" spans="1:11" x14ac:dyDescent="0.2">
      <c r="A902" t="s">
        <v>1180</v>
      </c>
      <c r="B902" t="s">
        <v>309</v>
      </c>
      <c r="E902" t="str">
        <f>IF(D902&lt;&gt;"",C902&amp;"/"&amp;D902,"")</f>
        <v/>
      </c>
      <c r="G902" s="5" t="str">
        <f t="shared" si="14"/>
        <v/>
      </c>
      <c r="I902" s="6" t="str">
        <f t="shared" si="15"/>
        <v>0</v>
      </c>
    </row>
    <row r="903" spans="1:11" x14ac:dyDescent="0.2">
      <c r="A903" t="s">
        <v>1181</v>
      </c>
      <c r="B903" t="s">
        <v>309</v>
      </c>
      <c r="E903" t="str">
        <f>IF(D903&lt;&gt;"",C903&amp;"/"&amp;D903,"")</f>
        <v/>
      </c>
      <c r="G903" s="5" t="str">
        <f t="shared" si="14"/>
        <v/>
      </c>
      <c r="I903" s="6" t="str">
        <f t="shared" si="15"/>
        <v>0</v>
      </c>
    </row>
    <row r="904" spans="1:11" x14ac:dyDescent="0.2">
      <c r="A904" t="s">
        <v>1182</v>
      </c>
      <c r="B904" t="s">
        <v>309</v>
      </c>
      <c r="E904" t="str">
        <f>IF(D904&lt;&gt;"",C904&amp;"/"&amp;D904,"")</f>
        <v/>
      </c>
      <c r="G904" s="5" t="str">
        <f t="shared" si="14"/>
        <v/>
      </c>
      <c r="I904" s="6" t="str">
        <f t="shared" si="15"/>
        <v>0</v>
      </c>
    </row>
    <row r="905" spans="1:11" x14ac:dyDescent="0.2">
      <c r="A905" t="s">
        <v>1183</v>
      </c>
      <c r="B905" t="s">
        <v>309</v>
      </c>
      <c r="E905" t="str">
        <f>IF(D905&lt;&gt;"",C905&amp;"/"&amp;D905,"")</f>
        <v/>
      </c>
      <c r="G905" s="5" t="str">
        <f t="shared" si="14"/>
        <v/>
      </c>
      <c r="I905" s="6" t="str">
        <f t="shared" si="15"/>
        <v>0</v>
      </c>
    </row>
    <row r="906" spans="1:11" x14ac:dyDescent="0.2">
      <c r="A906" t="s">
        <v>1184</v>
      </c>
      <c r="B906" t="s">
        <v>5140</v>
      </c>
      <c r="C906" s="5" t="s">
        <v>7</v>
      </c>
      <c r="F906" s="5" t="s">
        <v>5141</v>
      </c>
      <c r="G906" s="5">
        <f t="shared" si="14"/>
        <v>18982</v>
      </c>
      <c r="I906" s="6" t="str">
        <f t="shared" si="15"/>
        <v>0</v>
      </c>
      <c r="K906" s="21" t="s">
        <v>5142</v>
      </c>
    </row>
    <row r="907" spans="1:11" x14ac:dyDescent="0.2">
      <c r="A907" t="s">
        <v>1186</v>
      </c>
      <c r="B907" t="s">
        <v>309</v>
      </c>
      <c r="E907" t="str">
        <f>IF(D907&lt;&gt;"",C907&amp;"/"&amp;D907,"")</f>
        <v/>
      </c>
      <c r="G907" s="5" t="str">
        <f t="shared" si="14"/>
        <v/>
      </c>
      <c r="I907" s="6" t="str">
        <f t="shared" si="15"/>
        <v>0</v>
      </c>
    </row>
    <row r="908" spans="1:11" x14ac:dyDescent="0.2">
      <c r="A908" t="s">
        <v>1187</v>
      </c>
      <c r="B908" t="s">
        <v>309</v>
      </c>
      <c r="E908" t="str">
        <f>IF(D908&lt;&gt;"",C908&amp;"/"&amp;D908,"")</f>
        <v/>
      </c>
      <c r="G908" s="5" t="str">
        <f t="shared" si="14"/>
        <v/>
      </c>
      <c r="I908" s="6" t="str">
        <f t="shared" si="15"/>
        <v>0</v>
      </c>
    </row>
    <row r="909" spans="1:11" x14ac:dyDescent="0.2">
      <c r="A909" t="s">
        <v>1189</v>
      </c>
      <c r="B909" t="s">
        <v>309</v>
      </c>
      <c r="E909" t="str">
        <f>IF(D909&lt;&gt;"",C909&amp;"/"&amp;D909,"")</f>
        <v/>
      </c>
      <c r="G909" s="5" t="str">
        <f t="shared" si="14"/>
        <v/>
      </c>
      <c r="I909" s="6" t="str">
        <f t="shared" si="15"/>
        <v>0</v>
      </c>
    </row>
    <row r="910" spans="1:11" x14ac:dyDescent="0.2">
      <c r="A910" t="s">
        <v>1190</v>
      </c>
      <c r="B910" t="s">
        <v>309</v>
      </c>
      <c r="E910" t="str">
        <f>IF(D910&lt;&gt;"",C910&amp;"/"&amp;D910,"")</f>
        <v/>
      </c>
      <c r="G910" s="5" t="str">
        <f t="shared" si="14"/>
        <v/>
      </c>
      <c r="I910" s="6" t="str">
        <f t="shared" si="15"/>
        <v>0</v>
      </c>
    </row>
    <row r="911" spans="1:11" x14ac:dyDescent="0.2">
      <c r="A911" t="s">
        <v>1192</v>
      </c>
      <c r="B911" t="s">
        <v>309</v>
      </c>
      <c r="E911" t="str">
        <f>IF(D911&lt;&gt;"",C911&amp;"/"&amp;D911,"")</f>
        <v/>
      </c>
      <c r="G911" s="5" t="str">
        <f t="shared" si="14"/>
        <v/>
      </c>
      <c r="I911" s="6" t="str">
        <f t="shared" si="15"/>
        <v>0</v>
      </c>
    </row>
    <row r="912" spans="1:11" x14ac:dyDescent="0.2">
      <c r="A912" t="s">
        <v>1193</v>
      </c>
      <c r="B912" t="s">
        <v>309</v>
      </c>
      <c r="E912" t="str">
        <f>IF(D912&lt;&gt;"",C912&amp;"/"&amp;D912,"")</f>
        <v/>
      </c>
      <c r="G912" s="5" t="str">
        <f t="shared" ref="G912:G975" si="16">IF(F912&lt;&gt;"",HEX2DEC(SUBSTITUTE(SUBSTITUTE(F912,"adrEA",""),"$","")),"")</f>
        <v/>
      </c>
      <c r="I912" s="6" t="str">
        <f t="shared" ref="I912:I975" si="17">IFERROR(DEC2HEX(H912),"")</f>
        <v>0</v>
      </c>
    </row>
    <row r="913" spans="1:11" x14ac:dyDescent="0.2">
      <c r="A913" t="s">
        <v>1194</v>
      </c>
      <c r="B913" t="s">
        <v>309</v>
      </c>
      <c r="E913" t="str">
        <f>IF(D913&lt;&gt;"",C913&amp;"/"&amp;D913,"")</f>
        <v/>
      </c>
      <c r="G913" s="5" t="str">
        <f t="shared" si="16"/>
        <v/>
      </c>
      <c r="I913" s="6" t="str">
        <f t="shared" si="17"/>
        <v>0</v>
      </c>
    </row>
    <row r="914" spans="1:11" x14ac:dyDescent="0.2">
      <c r="A914" t="s">
        <v>1195</v>
      </c>
      <c r="B914" t="s">
        <v>309</v>
      </c>
      <c r="E914" t="str">
        <f>IF(D914&lt;&gt;"",C914&amp;"/"&amp;D914,"")</f>
        <v/>
      </c>
      <c r="G914" s="5" t="str">
        <f t="shared" si="16"/>
        <v/>
      </c>
      <c r="I914" s="6" t="str">
        <f t="shared" si="17"/>
        <v>0</v>
      </c>
    </row>
    <row r="915" spans="1:11" x14ac:dyDescent="0.2">
      <c r="A915" t="s">
        <v>1196</v>
      </c>
      <c r="B915" t="s">
        <v>309</v>
      </c>
      <c r="E915" t="str">
        <f>IF(D915&lt;&gt;"",C915&amp;"/"&amp;D915,"")</f>
        <v/>
      </c>
      <c r="G915" s="5" t="str">
        <f t="shared" si="16"/>
        <v/>
      </c>
      <c r="I915" s="6" t="str">
        <f t="shared" si="17"/>
        <v>0</v>
      </c>
    </row>
    <row r="916" spans="1:11" x14ac:dyDescent="0.2">
      <c r="A916" t="s">
        <v>1197</v>
      </c>
      <c r="B916" t="s">
        <v>309</v>
      </c>
      <c r="E916" t="str">
        <f>IF(D916&lt;&gt;"",C916&amp;"/"&amp;D916,"")</f>
        <v/>
      </c>
      <c r="G916" s="5" t="str">
        <f t="shared" si="16"/>
        <v/>
      </c>
      <c r="I916" s="6" t="str">
        <f t="shared" si="17"/>
        <v>0</v>
      </c>
    </row>
    <row r="917" spans="1:11" x14ac:dyDescent="0.2">
      <c r="A917" t="s">
        <v>1198</v>
      </c>
      <c r="B917" t="s">
        <v>1199</v>
      </c>
      <c r="E917" t="str">
        <f>IF(D917&lt;&gt;"",C917&amp;"/"&amp;D917,"")</f>
        <v/>
      </c>
      <c r="G917" s="5" t="str">
        <f t="shared" si="16"/>
        <v/>
      </c>
      <c r="I917" s="6" t="str">
        <f t="shared" si="17"/>
        <v>0</v>
      </c>
    </row>
    <row r="918" spans="1:11" x14ac:dyDescent="0.2">
      <c r="A918" t="s">
        <v>1200</v>
      </c>
      <c r="B918" t="s">
        <v>309</v>
      </c>
      <c r="E918" t="str">
        <f>IF(D918&lt;&gt;"",C918&amp;"/"&amp;D918,"")</f>
        <v/>
      </c>
      <c r="G918" s="5" t="str">
        <f t="shared" si="16"/>
        <v/>
      </c>
      <c r="I918" s="6" t="str">
        <f t="shared" si="17"/>
        <v>0</v>
      </c>
    </row>
    <row r="919" spans="1:11" x14ac:dyDescent="0.2">
      <c r="A919" t="s">
        <v>1201</v>
      </c>
      <c r="B919" t="s">
        <v>309</v>
      </c>
      <c r="E919" t="str">
        <f>IF(D919&lt;&gt;"",C919&amp;"/"&amp;D919,"")</f>
        <v/>
      </c>
      <c r="G919" s="5" t="str">
        <f t="shared" si="16"/>
        <v/>
      </c>
      <c r="I919" s="6" t="str">
        <f t="shared" si="17"/>
        <v>0</v>
      </c>
    </row>
    <row r="920" spans="1:11" x14ac:dyDescent="0.2">
      <c r="A920" t="s">
        <v>1203</v>
      </c>
      <c r="B920" t="s">
        <v>4843</v>
      </c>
      <c r="C920" s="5" t="s">
        <v>7</v>
      </c>
      <c r="F920" s="5" t="s">
        <v>4844</v>
      </c>
      <c r="G920" s="5">
        <f t="shared" si="16"/>
        <v>20128</v>
      </c>
      <c r="I920" s="6" t="str">
        <f t="shared" si="17"/>
        <v>0</v>
      </c>
      <c r="K920" s="21" t="s">
        <v>4845</v>
      </c>
    </row>
    <row r="921" spans="1:11" x14ac:dyDescent="0.2">
      <c r="A921" t="s">
        <v>1204</v>
      </c>
      <c r="B921" t="s">
        <v>4846</v>
      </c>
      <c r="C921" s="5" t="s">
        <v>7</v>
      </c>
      <c r="F921" s="5" t="s">
        <v>4847</v>
      </c>
      <c r="G921" s="5">
        <f t="shared" si="16"/>
        <v>20158</v>
      </c>
      <c r="I921" s="6" t="str">
        <f t="shared" si="17"/>
        <v>0</v>
      </c>
      <c r="K921" s="21" t="s">
        <v>4848</v>
      </c>
    </row>
    <row r="922" spans="1:11" x14ac:dyDescent="0.2">
      <c r="A922" t="s">
        <v>1205</v>
      </c>
      <c r="B922" t="s">
        <v>4849</v>
      </c>
      <c r="C922" s="5" t="s">
        <v>7</v>
      </c>
      <c r="F922" s="5" t="s">
        <v>4850</v>
      </c>
      <c r="G922" s="5">
        <f t="shared" si="16"/>
        <v>20168</v>
      </c>
      <c r="I922" s="6" t="str">
        <f t="shared" si="17"/>
        <v>0</v>
      </c>
      <c r="K922" s="21" t="s">
        <v>4851</v>
      </c>
    </row>
    <row r="923" spans="1:11" x14ac:dyDescent="0.2">
      <c r="A923" t="s">
        <v>1206</v>
      </c>
      <c r="B923" t="s">
        <v>4852</v>
      </c>
      <c r="C923" s="5" t="s">
        <v>7</v>
      </c>
      <c r="F923" s="5" t="s">
        <v>4853</v>
      </c>
      <c r="G923" s="5">
        <f t="shared" si="16"/>
        <v>20218</v>
      </c>
      <c r="I923" s="6" t="str">
        <f t="shared" si="17"/>
        <v>0</v>
      </c>
      <c r="K923" s="21" t="s">
        <v>4854</v>
      </c>
    </row>
    <row r="924" spans="1:11" x14ac:dyDescent="0.2">
      <c r="A924" t="s">
        <v>1207</v>
      </c>
      <c r="B924" t="s">
        <v>4855</v>
      </c>
      <c r="C924" s="5" t="s">
        <v>7</v>
      </c>
      <c r="F924" s="5" t="s">
        <v>4856</v>
      </c>
      <c r="G924" s="5">
        <f t="shared" si="16"/>
        <v>20256</v>
      </c>
      <c r="I924" s="6" t="str">
        <f t="shared" si="17"/>
        <v>0</v>
      </c>
      <c r="K924" s="21" t="s">
        <v>4857</v>
      </c>
    </row>
    <row r="925" spans="1:11" x14ac:dyDescent="0.2">
      <c r="A925" t="s">
        <v>1208</v>
      </c>
      <c r="B925" t="s">
        <v>4858</v>
      </c>
      <c r="C925" s="5" t="s">
        <v>7</v>
      </c>
      <c r="F925" s="5" t="s">
        <v>4859</v>
      </c>
      <c r="G925" s="5">
        <f t="shared" si="16"/>
        <v>20318</v>
      </c>
      <c r="I925" s="6" t="str">
        <f t="shared" si="17"/>
        <v>0</v>
      </c>
      <c r="K925" s="21" t="s">
        <v>4860</v>
      </c>
    </row>
    <row r="926" spans="1:11" x14ac:dyDescent="0.2">
      <c r="A926" t="s">
        <v>1209</v>
      </c>
      <c r="B926" t="s">
        <v>4861</v>
      </c>
      <c r="C926" s="5" t="s">
        <v>7</v>
      </c>
      <c r="F926" s="5" t="s">
        <v>4862</v>
      </c>
      <c r="G926" s="5">
        <f t="shared" si="16"/>
        <v>20358</v>
      </c>
      <c r="I926" s="6" t="str">
        <f t="shared" si="17"/>
        <v>0</v>
      </c>
      <c r="K926" s="21" t="s">
        <v>4863</v>
      </c>
    </row>
    <row r="927" spans="1:11" x14ac:dyDescent="0.2">
      <c r="A927" t="s">
        <v>1210</v>
      </c>
      <c r="B927" t="s">
        <v>4864</v>
      </c>
      <c r="C927" s="5" t="s">
        <v>7</v>
      </c>
      <c r="F927" s="5" t="s">
        <v>4865</v>
      </c>
      <c r="G927" s="5">
        <f t="shared" si="16"/>
        <v>20366</v>
      </c>
      <c r="I927" s="6" t="str">
        <f t="shared" si="17"/>
        <v>0</v>
      </c>
      <c r="K927" s="21" t="s">
        <v>4866</v>
      </c>
    </row>
    <row r="928" spans="1:11" x14ac:dyDescent="0.2">
      <c r="A928" t="s">
        <v>1211</v>
      </c>
      <c r="B928" t="s">
        <v>4867</v>
      </c>
      <c r="C928" s="5" t="s">
        <v>7</v>
      </c>
      <c r="F928" s="5" t="s">
        <v>4868</v>
      </c>
      <c r="G928" s="5">
        <f t="shared" si="16"/>
        <v>20392</v>
      </c>
      <c r="I928" s="6" t="str">
        <f t="shared" si="17"/>
        <v>0</v>
      </c>
      <c r="K928" s="21" t="s">
        <v>4869</v>
      </c>
    </row>
    <row r="929" spans="1:11" x14ac:dyDescent="0.2">
      <c r="A929" t="s">
        <v>1212</v>
      </c>
      <c r="B929" t="s">
        <v>4870</v>
      </c>
      <c r="C929" s="5" t="s">
        <v>7</v>
      </c>
      <c r="F929" s="5" t="s">
        <v>4871</v>
      </c>
      <c r="G929" s="5">
        <f t="shared" si="16"/>
        <v>20400</v>
      </c>
      <c r="I929" s="6" t="str">
        <f t="shared" si="17"/>
        <v>0</v>
      </c>
      <c r="K929" s="21" t="s">
        <v>4872</v>
      </c>
    </row>
    <row r="930" spans="1:11" x14ac:dyDescent="0.2">
      <c r="A930" t="s">
        <v>1213</v>
      </c>
      <c r="B930" t="s">
        <v>4873</v>
      </c>
      <c r="C930" s="5" t="s">
        <v>7</v>
      </c>
      <c r="F930" s="5" t="s">
        <v>4874</v>
      </c>
      <c r="G930" s="5">
        <f t="shared" si="16"/>
        <v>20414</v>
      </c>
      <c r="I930" s="6" t="str">
        <f t="shared" si="17"/>
        <v>0</v>
      </c>
      <c r="K930" s="21" t="s">
        <v>4875</v>
      </c>
    </row>
    <row r="931" spans="1:11" x14ac:dyDescent="0.2">
      <c r="A931" t="s">
        <v>1214</v>
      </c>
      <c r="B931" t="s">
        <v>4876</v>
      </c>
      <c r="C931" s="5" t="s">
        <v>7</v>
      </c>
      <c r="F931" s="5" t="s">
        <v>4877</v>
      </c>
      <c r="G931" s="5">
        <f t="shared" si="16"/>
        <v>20436</v>
      </c>
      <c r="I931" s="6" t="str">
        <f t="shared" si="17"/>
        <v>0</v>
      </c>
      <c r="K931" s="21" t="s">
        <v>4878</v>
      </c>
    </row>
    <row r="932" spans="1:11" x14ac:dyDescent="0.2">
      <c r="A932" t="s">
        <v>1215</v>
      </c>
      <c r="B932" t="s">
        <v>4879</v>
      </c>
      <c r="C932" s="5" t="s">
        <v>7</v>
      </c>
      <c r="F932" s="5" t="s">
        <v>4880</v>
      </c>
      <c r="G932" s="5">
        <f t="shared" si="16"/>
        <v>20438</v>
      </c>
      <c r="I932" s="6" t="str">
        <f t="shared" si="17"/>
        <v>0</v>
      </c>
      <c r="K932" s="21" t="s">
        <v>4881</v>
      </c>
    </row>
    <row r="933" spans="1:11" x14ac:dyDescent="0.2">
      <c r="A933" t="s">
        <v>1216</v>
      </c>
      <c r="B933" t="s">
        <v>4882</v>
      </c>
      <c r="C933" s="5" t="s">
        <v>7</v>
      </c>
      <c r="F933" s="5" t="s">
        <v>4883</v>
      </c>
      <c r="G933" s="5">
        <f t="shared" si="16"/>
        <v>20462</v>
      </c>
      <c r="I933" s="6" t="str">
        <f t="shared" si="17"/>
        <v>0</v>
      </c>
      <c r="K933" s="21" t="s">
        <v>4884</v>
      </c>
    </row>
    <row r="934" spans="1:11" x14ac:dyDescent="0.2">
      <c r="A934" t="s">
        <v>1217</v>
      </c>
      <c r="B934" t="s">
        <v>4025</v>
      </c>
      <c r="E934" t="str">
        <f>IF(D934&lt;&gt;"",C934&amp;"/"&amp;D934,"")</f>
        <v/>
      </c>
      <c r="G934" s="5" t="str">
        <f t="shared" si="16"/>
        <v/>
      </c>
      <c r="I934" s="6" t="str">
        <f t="shared" si="17"/>
        <v>0</v>
      </c>
    </row>
    <row r="935" spans="1:11" x14ac:dyDescent="0.2">
      <c r="A935" t="s">
        <v>1218</v>
      </c>
      <c r="B935" t="s">
        <v>1219</v>
      </c>
      <c r="E935" t="str">
        <f>IF(D935&lt;&gt;"",C935&amp;"/"&amp;D935,"")</f>
        <v/>
      </c>
      <c r="G935" s="5" t="str">
        <f t="shared" si="16"/>
        <v/>
      </c>
      <c r="I935" s="6" t="str">
        <f t="shared" si="17"/>
        <v>0</v>
      </c>
    </row>
    <row r="936" spans="1:11" x14ac:dyDescent="0.2">
      <c r="A936" t="s">
        <v>1220</v>
      </c>
      <c r="B936" t="s">
        <v>4026</v>
      </c>
      <c r="E936" t="str">
        <f>IF(D936&lt;&gt;"",C936&amp;"/"&amp;D936,"")</f>
        <v/>
      </c>
      <c r="G936" s="5" t="str">
        <f t="shared" si="16"/>
        <v/>
      </c>
      <c r="I936" s="6" t="str">
        <f t="shared" si="17"/>
        <v>0</v>
      </c>
    </row>
    <row r="937" spans="1:11" x14ac:dyDescent="0.2">
      <c r="A937" t="s">
        <v>1221</v>
      </c>
      <c r="B937" t="s">
        <v>4885</v>
      </c>
      <c r="C937" s="5" t="s">
        <v>7</v>
      </c>
      <c r="F937" s="5" t="s">
        <v>4886</v>
      </c>
      <c r="G937" s="5">
        <f t="shared" si="16"/>
        <v>20570</v>
      </c>
      <c r="I937" s="6" t="str">
        <f t="shared" si="17"/>
        <v>0</v>
      </c>
      <c r="K937" s="21" t="s">
        <v>4887</v>
      </c>
    </row>
    <row r="938" spans="1:11" x14ac:dyDescent="0.2">
      <c r="A938" t="s">
        <v>1222</v>
      </c>
      <c r="B938" t="s">
        <v>4888</v>
      </c>
      <c r="C938" s="5" t="s">
        <v>7</v>
      </c>
      <c r="F938" s="5" t="s">
        <v>4889</v>
      </c>
      <c r="G938" s="5">
        <f t="shared" si="16"/>
        <v>20571</v>
      </c>
      <c r="I938" s="6" t="str">
        <f t="shared" si="17"/>
        <v>0</v>
      </c>
      <c r="K938" s="21" t="s">
        <v>4890</v>
      </c>
    </row>
    <row r="939" spans="1:11" x14ac:dyDescent="0.2">
      <c r="A939" t="s">
        <v>1223</v>
      </c>
      <c r="B939" t="s">
        <v>1224</v>
      </c>
      <c r="E939" t="str">
        <f>IF(D939&lt;&gt;"",C939&amp;"/"&amp;D939,"")</f>
        <v/>
      </c>
      <c r="G939" s="5" t="str">
        <f t="shared" si="16"/>
        <v/>
      </c>
      <c r="I939" s="6" t="str">
        <f t="shared" si="17"/>
        <v>0</v>
      </c>
    </row>
    <row r="940" spans="1:11" x14ac:dyDescent="0.2">
      <c r="A940" t="s">
        <v>1225</v>
      </c>
      <c r="B940" t="s">
        <v>4891</v>
      </c>
      <c r="C940" s="5" t="s">
        <v>7</v>
      </c>
      <c r="F940" s="5" t="s">
        <v>4892</v>
      </c>
      <c r="G940" s="5">
        <f t="shared" si="16"/>
        <v>20576</v>
      </c>
      <c r="I940" s="6" t="str">
        <f t="shared" si="17"/>
        <v>0</v>
      </c>
      <c r="K940" s="21" t="s">
        <v>4893</v>
      </c>
    </row>
    <row r="941" spans="1:11" x14ac:dyDescent="0.2">
      <c r="A941" t="s">
        <v>1226</v>
      </c>
      <c r="B941" t="s">
        <v>4894</v>
      </c>
      <c r="C941" s="5" t="s">
        <v>7</v>
      </c>
      <c r="F941" s="5" t="s">
        <v>4895</v>
      </c>
      <c r="G941" s="5">
        <f t="shared" si="16"/>
        <v>20584</v>
      </c>
      <c r="I941" s="6" t="str">
        <f t="shared" si="17"/>
        <v>0</v>
      </c>
      <c r="K941" s="21" t="s">
        <v>4896</v>
      </c>
    </row>
    <row r="942" spans="1:11" x14ac:dyDescent="0.2">
      <c r="A942" t="s">
        <v>1227</v>
      </c>
      <c r="B942" t="s">
        <v>1228</v>
      </c>
      <c r="E942" t="str">
        <f>IF(D942&lt;&gt;"",C942&amp;"/"&amp;D942,"")</f>
        <v/>
      </c>
      <c r="G942" s="5" t="str">
        <f t="shared" si="16"/>
        <v/>
      </c>
      <c r="I942" s="6" t="str">
        <f t="shared" si="17"/>
        <v>0</v>
      </c>
    </row>
    <row r="943" spans="1:11" x14ac:dyDescent="0.2">
      <c r="A943" t="s">
        <v>1229</v>
      </c>
      <c r="B943" t="s">
        <v>1230</v>
      </c>
      <c r="E943" t="str">
        <f>IF(D943&lt;&gt;"",C943&amp;"/"&amp;D943,"")</f>
        <v/>
      </c>
      <c r="G943" s="5" t="str">
        <f t="shared" si="16"/>
        <v/>
      </c>
      <c r="I943" s="6" t="str">
        <f t="shared" si="17"/>
        <v>0</v>
      </c>
    </row>
    <row r="944" spans="1:11" x14ac:dyDescent="0.2">
      <c r="A944" t="s">
        <v>1232</v>
      </c>
      <c r="B944" t="s">
        <v>4897</v>
      </c>
      <c r="C944" s="5" t="s">
        <v>7</v>
      </c>
      <c r="F944" s="5" t="s">
        <v>4898</v>
      </c>
      <c r="G944" s="5">
        <f t="shared" si="16"/>
        <v>20668</v>
      </c>
      <c r="I944" s="6" t="str">
        <f t="shared" si="17"/>
        <v>0</v>
      </c>
      <c r="K944" s="21" t="s">
        <v>4899</v>
      </c>
    </row>
    <row r="945" spans="1:11" x14ac:dyDescent="0.2">
      <c r="A945" t="s">
        <v>1233</v>
      </c>
      <c r="B945" t="s">
        <v>1234</v>
      </c>
      <c r="E945" t="str">
        <f>IF(D945&lt;&gt;"",C945&amp;"/"&amp;D945,"")</f>
        <v/>
      </c>
      <c r="G945" s="5" t="str">
        <f t="shared" si="16"/>
        <v/>
      </c>
      <c r="I945" s="6" t="str">
        <f t="shared" si="17"/>
        <v>0</v>
      </c>
    </row>
    <row r="946" spans="1:11" x14ac:dyDescent="0.2">
      <c r="A946" t="s">
        <v>1235</v>
      </c>
      <c r="B946" t="s">
        <v>1236</v>
      </c>
      <c r="E946" t="str">
        <f>IF(D946&lt;&gt;"",C946&amp;"/"&amp;D946,"")</f>
        <v/>
      </c>
      <c r="G946" s="5" t="str">
        <f t="shared" si="16"/>
        <v/>
      </c>
      <c r="I946" s="6" t="str">
        <f t="shared" si="17"/>
        <v>0</v>
      </c>
    </row>
    <row r="947" spans="1:11" x14ac:dyDescent="0.2">
      <c r="A947" t="s">
        <v>1237</v>
      </c>
      <c r="B947" t="s">
        <v>4900</v>
      </c>
      <c r="C947" s="5" t="s">
        <v>7</v>
      </c>
      <c r="F947" s="5" t="s">
        <v>4901</v>
      </c>
      <c r="G947" s="5">
        <f t="shared" si="16"/>
        <v>20712</v>
      </c>
      <c r="I947" s="6" t="str">
        <f t="shared" si="17"/>
        <v>0</v>
      </c>
      <c r="K947" s="21" t="s">
        <v>4902</v>
      </c>
    </row>
    <row r="948" spans="1:11" x14ac:dyDescent="0.2">
      <c r="A948" t="s">
        <v>1238</v>
      </c>
      <c r="B948" t="s">
        <v>4903</v>
      </c>
      <c r="C948" s="5" t="s">
        <v>7</v>
      </c>
      <c r="F948" s="5" t="s">
        <v>4904</v>
      </c>
      <c r="G948" s="5">
        <f t="shared" si="16"/>
        <v>20764</v>
      </c>
      <c r="I948" s="6" t="str">
        <f t="shared" si="17"/>
        <v>0</v>
      </c>
      <c r="K948" s="21" t="s">
        <v>4905</v>
      </c>
    </row>
    <row r="949" spans="1:11" x14ac:dyDescent="0.2">
      <c r="A949" t="s">
        <v>1239</v>
      </c>
      <c r="B949" t="s">
        <v>4906</v>
      </c>
      <c r="C949" s="5" t="s">
        <v>7</v>
      </c>
      <c r="F949" s="5" t="s">
        <v>4907</v>
      </c>
      <c r="G949" s="5">
        <f t="shared" si="16"/>
        <v>20782</v>
      </c>
      <c r="I949" s="6" t="str">
        <f t="shared" si="17"/>
        <v>0</v>
      </c>
      <c r="K949" s="21" t="s">
        <v>4908</v>
      </c>
    </row>
    <row r="950" spans="1:11" x14ac:dyDescent="0.2">
      <c r="A950" t="s">
        <v>1240</v>
      </c>
      <c r="B950" t="s">
        <v>4909</v>
      </c>
      <c r="C950" s="5" t="s">
        <v>7</v>
      </c>
      <c r="F950" s="5" t="s">
        <v>4910</v>
      </c>
      <c r="G950" s="5">
        <f t="shared" si="16"/>
        <v>20788</v>
      </c>
      <c r="I950" s="6" t="str">
        <f t="shared" si="17"/>
        <v>0</v>
      </c>
      <c r="K950" s="21" t="s">
        <v>4911</v>
      </c>
    </row>
    <row r="951" spans="1:11" x14ac:dyDescent="0.2">
      <c r="A951" t="s">
        <v>1241</v>
      </c>
      <c r="B951" t="s">
        <v>1242</v>
      </c>
      <c r="E951" t="str">
        <f>IF(D951&lt;&gt;"",C951&amp;"/"&amp;D951,"")</f>
        <v/>
      </c>
      <c r="G951" s="5" t="str">
        <f t="shared" si="16"/>
        <v/>
      </c>
      <c r="I951" s="6" t="str">
        <f t="shared" si="17"/>
        <v>0</v>
      </c>
    </row>
    <row r="952" spans="1:11" x14ac:dyDescent="0.2">
      <c r="A952" t="s">
        <v>1243</v>
      </c>
      <c r="B952" t="s">
        <v>309</v>
      </c>
      <c r="E952" t="str">
        <f>IF(D952&lt;&gt;"",C952&amp;"/"&amp;D952,"")</f>
        <v/>
      </c>
      <c r="G952" s="5" t="str">
        <f t="shared" si="16"/>
        <v/>
      </c>
      <c r="I952" s="6" t="str">
        <f t="shared" si="17"/>
        <v>0</v>
      </c>
    </row>
    <row r="953" spans="1:11" x14ac:dyDescent="0.2">
      <c r="A953" t="s">
        <v>1244</v>
      </c>
      <c r="B953" t="s">
        <v>1245</v>
      </c>
      <c r="E953" t="str">
        <f>IF(D953&lt;&gt;"",C953&amp;"/"&amp;D953,"")</f>
        <v/>
      </c>
      <c r="G953" s="5" t="str">
        <f t="shared" si="16"/>
        <v/>
      </c>
      <c r="I953" s="6" t="str">
        <f t="shared" si="17"/>
        <v>0</v>
      </c>
    </row>
    <row r="954" spans="1:11" x14ac:dyDescent="0.2">
      <c r="A954" t="s">
        <v>1246</v>
      </c>
      <c r="B954" t="s">
        <v>1247</v>
      </c>
      <c r="E954" t="str">
        <f>IF(D954&lt;&gt;"",C954&amp;"/"&amp;D954,"")</f>
        <v/>
      </c>
      <c r="G954" s="5" t="str">
        <f t="shared" si="16"/>
        <v/>
      </c>
      <c r="I954" s="6" t="str">
        <f t="shared" si="17"/>
        <v>0</v>
      </c>
    </row>
    <row r="955" spans="1:11" x14ac:dyDescent="0.2">
      <c r="A955" t="s">
        <v>1248</v>
      </c>
      <c r="B955" t="s">
        <v>1249</v>
      </c>
      <c r="E955" t="str">
        <f>IF(D955&lt;&gt;"",C955&amp;"/"&amp;D955,"")</f>
        <v/>
      </c>
      <c r="G955" s="5" t="str">
        <f t="shared" si="16"/>
        <v/>
      </c>
      <c r="I955" s="6" t="str">
        <f t="shared" si="17"/>
        <v>0</v>
      </c>
    </row>
    <row r="956" spans="1:11" x14ac:dyDescent="0.2">
      <c r="A956" t="s">
        <v>1250</v>
      </c>
      <c r="B956" t="s">
        <v>1251</v>
      </c>
      <c r="E956" t="str">
        <f>IF(D956&lt;&gt;"",C956&amp;"/"&amp;D956,"")</f>
        <v/>
      </c>
      <c r="G956" s="5" t="str">
        <f t="shared" si="16"/>
        <v/>
      </c>
      <c r="I956" s="6" t="str">
        <f t="shared" si="17"/>
        <v>0</v>
      </c>
    </row>
    <row r="957" spans="1:11" x14ac:dyDescent="0.2">
      <c r="A957" t="s">
        <v>1252</v>
      </c>
      <c r="B957" t="s">
        <v>1253</v>
      </c>
      <c r="E957" t="str">
        <f>IF(D957&lt;&gt;"",C957&amp;"/"&amp;D957,"")</f>
        <v/>
      </c>
      <c r="G957" s="5" t="str">
        <f t="shared" si="16"/>
        <v/>
      </c>
      <c r="I957" s="6" t="str">
        <f t="shared" si="17"/>
        <v>0</v>
      </c>
    </row>
    <row r="958" spans="1:11" x14ac:dyDescent="0.2">
      <c r="A958" t="s">
        <v>1254</v>
      </c>
      <c r="B958" t="s">
        <v>4912</v>
      </c>
      <c r="C958" s="5" t="s">
        <v>7</v>
      </c>
      <c r="F958" s="5" t="s">
        <v>4913</v>
      </c>
      <c r="G958" s="5">
        <f t="shared" si="16"/>
        <v>20882</v>
      </c>
      <c r="I958" s="6" t="str">
        <f t="shared" si="17"/>
        <v>0</v>
      </c>
      <c r="K958" s="21" t="s">
        <v>4914</v>
      </c>
    </row>
    <row r="959" spans="1:11" x14ac:dyDescent="0.2">
      <c r="A959" t="s">
        <v>1255</v>
      </c>
      <c r="B959" t="s">
        <v>4915</v>
      </c>
      <c r="C959" s="5" t="s">
        <v>7</v>
      </c>
      <c r="F959" s="5" t="s">
        <v>4916</v>
      </c>
      <c r="G959" s="5">
        <f t="shared" si="16"/>
        <v>20900</v>
      </c>
      <c r="I959" s="6" t="str">
        <f t="shared" si="17"/>
        <v>0</v>
      </c>
      <c r="K959" s="21" t="s">
        <v>4917</v>
      </c>
    </row>
    <row r="960" spans="1:11" x14ac:dyDescent="0.2">
      <c r="A960" t="s">
        <v>1256</v>
      </c>
      <c r="B960" t="s">
        <v>4918</v>
      </c>
      <c r="C960" s="5" t="s">
        <v>7</v>
      </c>
      <c r="F960" s="5" t="s">
        <v>4919</v>
      </c>
      <c r="G960" s="5">
        <f t="shared" si="16"/>
        <v>20914</v>
      </c>
      <c r="I960" s="6" t="str">
        <f t="shared" si="17"/>
        <v>0</v>
      </c>
      <c r="K960" s="21" t="s">
        <v>4920</v>
      </c>
    </row>
    <row r="961" spans="1:11" x14ac:dyDescent="0.2">
      <c r="A961" t="s">
        <v>1257</v>
      </c>
      <c r="B961" t="s">
        <v>4921</v>
      </c>
      <c r="C961" s="5" t="s">
        <v>7</v>
      </c>
      <c r="F961" s="5" t="s">
        <v>4922</v>
      </c>
      <c r="G961" s="5">
        <f t="shared" si="16"/>
        <v>20920</v>
      </c>
      <c r="I961" s="6" t="str">
        <f t="shared" si="17"/>
        <v>0</v>
      </c>
      <c r="K961" s="21" t="s">
        <v>4923</v>
      </c>
    </row>
    <row r="962" spans="1:11" x14ac:dyDescent="0.2">
      <c r="A962" t="s">
        <v>1258</v>
      </c>
      <c r="B962" t="s">
        <v>309</v>
      </c>
      <c r="E962" t="str">
        <f>IF(D962&lt;&gt;"",C962&amp;"/"&amp;D962,"")</f>
        <v/>
      </c>
      <c r="G962" s="5" t="str">
        <f t="shared" si="16"/>
        <v/>
      </c>
      <c r="I962" s="6" t="str">
        <f t="shared" si="17"/>
        <v>0</v>
      </c>
    </row>
    <row r="963" spans="1:11" x14ac:dyDescent="0.2">
      <c r="A963" t="s">
        <v>1259</v>
      </c>
      <c r="B963" t="s">
        <v>4924</v>
      </c>
      <c r="C963" s="5" t="s">
        <v>7</v>
      </c>
      <c r="F963" s="5" t="s">
        <v>4925</v>
      </c>
      <c r="G963" s="5">
        <f t="shared" si="16"/>
        <v>20942</v>
      </c>
      <c r="I963" s="6" t="str">
        <f t="shared" si="17"/>
        <v>0</v>
      </c>
      <c r="K963" s="21" t="s">
        <v>4926</v>
      </c>
    </row>
    <row r="964" spans="1:11" x14ac:dyDescent="0.2">
      <c r="A964" t="s">
        <v>1260</v>
      </c>
      <c r="B964" t="s">
        <v>1261</v>
      </c>
      <c r="E964" t="str">
        <f>IF(D964&lt;&gt;"",C964&amp;"/"&amp;D964,"")</f>
        <v/>
      </c>
      <c r="G964" s="5" t="str">
        <f t="shared" si="16"/>
        <v/>
      </c>
      <c r="I964" s="6" t="str">
        <f t="shared" si="17"/>
        <v>0</v>
      </c>
    </row>
    <row r="965" spans="1:11" x14ac:dyDescent="0.2">
      <c r="A965" t="s">
        <v>1262</v>
      </c>
      <c r="B965" t="s">
        <v>1263</v>
      </c>
      <c r="E965" t="str">
        <f>IF(D965&lt;&gt;"",C965&amp;"/"&amp;D965,"")</f>
        <v/>
      </c>
      <c r="G965" s="5" t="str">
        <f t="shared" si="16"/>
        <v/>
      </c>
      <c r="I965" s="6" t="str">
        <f t="shared" si="17"/>
        <v>0</v>
      </c>
    </row>
    <row r="966" spans="1:11" x14ac:dyDescent="0.2">
      <c r="A966" t="s">
        <v>1264</v>
      </c>
      <c r="B966" t="s">
        <v>1265</v>
      </c>
      <c r="E966" t="str">
        <f>IF(D966&lt;&gt;"",C966&amp;"/"&amp;D966,"")</f>
        <v/>
      </c>
      <c r="G966" s="5" t="str">
        <f t="shared" si="16"/>
        <v/>
      </c>
      <c r="I966" s="6" t="str">
        <f t="shared" si="17"/>
        <v>0</v>
      </c>
    </row>
    <row r="967" spans="1:11" x14ac:dyDescent="0.2">
      <c r="A967" t="s">
        <v>1266</v>
      </c>
      <c r="B967" t="s">
        <v>1267</v>
      </c>
      <c r="E967" t="str">
        <f>IF(D967&lt;&gt;"",C967&amp;"/"&amp;D967,"")</f>
        <v/>
      </c>
      <c r="G967" s="5" t="str">
        <f t="shared" si="16"/>
        <v/>
      </c>
      <c r="I967" s="6" t="str">
        <f t="shared" si="17"/>
        <v>0</v>
      </c>
    </row>
    <row r="968" spans="1:11" x14ac:dyDescent="0.2">
      <c r="A968" t="s">
        <v>1268</v>
      </c>
      <c r="B968" t="s">
        <v>4927</v>
      </c>
      <c r="C968" s="5" t="s">
        <v>7</v>
      </c>
      <c r="F968" s="5" t="s">
        <v>4928</v>
      </c>
      <c r="G968" s="5">
        <f t="shared" si="16"/>
        <v>20996</v>
      </c>
      <c r="I968" s="6" t="str">
        <f t="shared" si="17"/>
        <v>0</v>
      </c>
      <c r="K968" s="21" t="s">
        <v>4929</v>
      </c>
    </row>
    <row r="969" spans="1:11" x14ac:dyDescent="0.2">
      <c r="A969" t="s">
        <v>1269</v>
      </c>
      <c r="B969" t="s">
        <v>4930</v>
      </c>
      <c r="C969" s="5" t="s">
        <v>7</v>
      </c>
      <c r="F969" s="5" t="s">
        <v>4931</v>
      </c>
      <c r="G969" s="5">
        <f t="shared" si="16"/>
        <v>21012</v>
      </c>
      <c r="I969" s="6" t="str">
        <f t="shared" si="17"/>
        <v>0</v>
      </c>
      <c r="K969" s="21" t="s">
        <v>4932</v>
      </c>
    </row>
    <row r="970" spans="1:11" x14ac:dyDescent="0.2">
      <c r="A970" t="s">
        <v>1270</v>
      </c>
      <c r="B970" t="s">
        <v>4933</v>
      </c>
      <c r="C970" s="5" t="s">
        <v>7</v>
      </c>
      <c r="F970" s="5" t="s">
        <v>4934</v>
      </c>
      <c r="G970" s="5">
        <f t="shared" si="16"/>
        <v>21028</v>
      </c>
      <c r="I970" s="6" t="str">
        <f t="shared" si="17"/>
        <v>0</v>
      </c>
      <c r="K970" s="21" t="s">
        <v>4935</v>
      </c>
    </row>
    <row r="971" spans="1:11" x14ac:dyDescent="0.2">
      <c r="A971" t="s">
        <v>1271</v>
      </c>
      <c r="B971" t="s">
        <v>1272</v>
      </c>
      <c r="E971" t="str">
        <f>IF(D971&lt;&gt;"",C971&amp;"/"&amp;D971,"")</f>
        <v/>
      </c>
      <c r="G971" s="5" t="str">
        <f t="shared" si="16"/>
        <v/>
      </c>
      <c r="I971" s="6" t="str">
        <f t="shared" si="17"/>
        <v>0</v>
      </c>
    </row>
    <row r="972" spans="1:11" x14ac:dyDescent="0.2">
      <c r="A972" t="s">
        <v>1273</v>
      </c>
      <c r="B972" t="s">
        <v>1274</v>
      </c>
      <c r="E972" t="str">
        <f>IF(D972&lt;&gt;"",C972&amp;"/"&amp;D972,"")</f>
        <v/>
      </c>
      <c r="G972" s="5" t="str">
        <f t="shared" si="16"/>
        <v/>
      </c>
      <c r="I972" s="6" t="str">
        <f t="shared" si="17"/>
        <v>0</v>
      </c>
    </row>
    <row r="973" spans="1:11" x14ac:dyDescent="0.2">
      <c r="A973" t="s">
        <v>1275</v>
      </c>
      <c r="B973" t="s">
        <v>4936</v>
      </c>
      <c r="C973" s="5" t="s">
        <v>7</v>
      </c>
      <c r="F973" s="5" t="s">
        <v>4937</v>
      </c>
      <c r="G973" s="5">
        <f t="shared" si="16"/>
        <v>21046</v>
      </c>
      <c r="I973" s="6" t="str">
        <f t="shared" si="17"/>
        <v>0</v>
      </c>
      <c r="K973" s="21" t="s">
        <v>4938</v>
      </c>
    </row>
    <row r="974" spans="1:11" x14ac:dyDescent="0.2">
      <c r="A974" t="s">
        <v>1276</v>
      </c>
      <c r="B974" t="s">
        <v>4939</v>
      </c>
      <c r="C974" s="5" t="s">
        <v>7</v>
      </c>
      <c r="F974" s="5" t="s">
        <v>4940</v>
      </c>
      <c r="G974" s="5">
        <f t="shared" si="16"/>
        <v>21048</v>
      </c>
      <c r="I974" s="6" t="str">
        <f t="shared" si="17"/>
        <v>0</v>
      </c>
      <c r="K974" s="21" t="s">
        <v>4941</v>
      </c>
    </row>
    <row r="975" spans="1:11" x14ac:dyDescent="0.2">
      <c r="A975" t="s">
        <v>1277</v>
      </c>
      <c r="B975" t="s">
        <v>4942</v>
      </c>
      <c r="C975" s="5" t="s">
        <v>7</v>
      </c>
      <c r="F975" s="5" t="s">
        <v>4943</v>
      </c>
      <c r="G975" s="5">
        <f t="shared" si="16"/>
        <v>21066</v>
      </c>
      <c r="I975" s="6" t="str">
        <f t="shared" si="17"/>
        <v>0</v>
      </c>
      <c r="K975" s="21" t="s">
        <v>4944</v>
      </c>
    </row>
    <row r="976" spans="1:11" x14ac:dyDescent="0.2">
      <c r="A976" t="s">
        <v>1278</v>
      </c>
      <c r="B976" t="s">
        <v>4945</v>
      </c>
      <c r="C976" s="5" t="s">
        <v>7</v>
      </c>
      <c r="F976" s="5" t="s">
        <v>4946</v>
      </c>
      <c r="G976" s="5">
        <f t="shared" ref="G976:G1039" si="18">IF(F976&lt;&gt;"",HEX2DEC(SUBSTITUTE(SUBSTITUTE(F976,"adrEA",""),"$","")),"")</f>
        <v>21068</v>
      </c>
      <c r="I976" s="6" t="str">
        <f t="shared" ref="I976:I1039" si="19">IFERROR(DEC2HEX(H976),"")</f>
        <v>0</v>
      </c>
      <c r="K976" s="21" t="s">
        <v>4947</v>
      </c>
    </row>
    <row r="977" spans="1:11" x14ac:dyDescent="0.2">
      <c r="A977" t="s">
        <v>1279</v>
      </c>
      <c r="B977" t="s">
        <v>4948</v>
      </c>
      <c r="C977" s="5" t="s">
        <v>7</v>
      </c>
      <c r="F977" s="5" t="s">
        <v>4949</v>
      </c>
      <c r="G977" s="5">
        <f t="shared" si="18"/>
        <v>21096</v>
      </c>
      <c r="I977" s="6" t="str">
        <f t="shared" si="19"/>
        <v>0</v>
      </c>
      <c r="K977" s="21" t="s">
        <v>4950</v>
      </c>
    </row>
    <row r="978" spans="1:11" x14ac:dyDescent="0.2">
      <c r="A978" t="s">
        <v>1280</v>
      </c>
      <c r="B978" t="s">
        <v>4951</v>
      </c>
      <c r="C978" s="5" t="s">
        <v>7</v>
      </c>
      <c r="F978" s="5" t="s">
        <v>4952</v>
      </c>
      <c r="G978" s="5">
        <f t="shared" si="18"/>
        <v>21106</v>
      </c>
      <c r="I978" s="6" t="str">
        <f t="shared" si="19"/>
        <v>0</v>
      </c>
      <c r="K978" s="21" t="s">
        <v>4953</v>
      </c>
    </row>
    <row r="979" spans="1:11" x14ac:dyDescent="0.2">
      <c r="A979" t="s">
        <v>1281</v>
      </c>
      <c r="B979" t="s">
        <v>4954</v>
      </c>
      <c r="C979" s="5" t="s">
        <v>7</v>
      </c>
      <c r="F979" s="5" t="s">
        <v>4955</v>
      </c>
      <c r="G979" s="5">
        <f t="shared" si="18"/>
        <v>21110</v>
      </c>
      <c r="I979" s="6" t="str">
        <f t="shared" si="19"/>
        <v>0</v>
      </c>
      <c r="K979" s="21" t="s">
        <v>4956</v>
      </c>
    </row>
    <row r="980" spans="1:11" x14ac:dyDescent="0.2">
      <c r="A980" t="s">
        <v>1282</v>
      </c>
      <c r="B980" t="s">
        <v>1283</v>
      </c>
      <c r="E980" t="str">
        <f>IF(D980&lt;&gt;"",C980&amp;"/"&amp;D980,"")</f>
        <v/>
      </c>
      <c r="G980" s="5" t="str">
        <f t="shared" si="18"/>
        <v/>
      </c>
      <c r="I980" s="6" t="str">
        <f t="shared" si="19"/>
        <v>0</v>
      </c>
    </row>
    <row r="981" spans="1:11" x14ac:dyDescent="0.2">
      <c r="A981" t="s">
        <v>1284</v>
      </c>
      <c r="B981" t="s">
        <v>4957</v>
      </c>
      <c r="C981" s="5" t="s">
        <v>7</v>
      </c>
      <c r="F981" s="5" t="s">
        <v>4958</v>
      </c>
      <c r="G981" s="5">
        <f t="shared" si="18"/>
        <v>21150</v>
      </c>
      <c r="I981" s="6" t="str">
        <f t="shared" si="19"/>
        <v>0</v>
      </c>
      <c r="K981" s="21" t="s">
        <v>4959</v>
      </c>
    </row>
    <row r="982" spans="1:11" x14ac:dyDescent="0.2">
      <c r="A982" t="s">
        <v>1285</v>
      </c>
      <c r="B982" t="s">
        <v>4960</v>
      </c>
      <c r="C982" s="5" t="s">
        <v>7</v>
      </c>
      <c r="F982" s="5" t="s">
        <v>4961</v>
      </c>
      <c r="G982" s="5">
        <f t="shared" si="18"/>
        <v>21152</v>
      </c>
      <c r="I982" s="6" t="str">
        <f t="shared" si="19"/>
        <v>0</v>
      </c>
      <c r="K982" s="21" t="s">
        <v>4962</v>
      </c>
    </row>
    <row r="983" spans="1:11" x14ac:dyDescent="0.2">
      <c r="A983" t="s">
        <v>1286</v>
      </c>
      <c r="B983" t="s">
        <v>1287</v>
      </c>
      <c r="E983" t="str">
        <f>IF(D983&lt;&gt;"",C983&amp;"/"&amp;D983,"")</f>
        <v/>
      </c>
      <c r="G983" s="5" t="str">
        <f t="shared" si="18"/>
        <v/>
      </c>
      <c r="I983" s="6" t="str">
        <f t="shared" si="19"/>
        <v>0</v>
      </c>
    </row>
    <row r="984" spans="1:11" x14ac:dyDescent="0.2">
      <c r="A984" t="s">
        <v>1288</v>
      </c>
      <c r="B984" t="s">
        <v>4963</v>
      </c>
      <c r="C984" s="5" t="s">
        <v>7</v>
      </c>
      <c r="F984" s="5" t="s">
        <v>4964</v>
      </c>
      <c r="G984" s="5">
        <f t="shared" si="18"/>
        <v>21202</v>
      </c>
      <c r="I984" s="6" t="str">
        <f t="shared" si="19"/>
        <v>0</v>
      </c>
      <c r="K984" s="21" t="s">
        <v>4965</v>
      </c>
    </row>
    <row r="985" spans="1:11" x14ac:dyDescent="0.2">
      <c r="A985" t="s">
        <v>1289</v>
      </c>
      <c r="B985" t="s">
        <v>4966</v>
      </c>
      <c r="C985" s="5" t="s">
        <v>7</v>
      </c>
      <c r="F985" s="5" t="s">
        <v>4967</v>
      </c>
      <c r="G985" s="5">
        <f t="shared" si="18"/>
        <v>21208</v>
      </c>
      <c r="I985" s="6" t="str">
        <f t="shared" si="19"/>
        <v>0</v>
      </c>
      <c r="K985" s="21" t="s">
        <v>4968</v>
      </c>
    </row>
    <row r="986" spans="1:11" x14ac:dyDescent="0.2">
      <c r="A986" t="s">
        <v>1290</v>
      </c>
      <c r="B986" t="s">
        <v>4969</v>
      </c>
      <c r="C986" s="5" t="s">
        <v>7</v>
      </c>
      <c r="F986" s="5" t="s">
        <v>4970</v>
      </c>
      <c r="G986" s="5">
        <f t="shared" si="18"/>
        <v>21210</v>
      </c>
      <c r="I986" s="6" t="str">
        <f t="shared" si="19"/>
        <v>0</v>
      </c>
      <c r="K986" s="21" t="s">
        <v>4971</v>
      </c>
    </row>
    <row r="987" spans="1:11" x14ac:dyDescent="0.2">
      <c r="A987" t="s">
        <v>1291</v>
      </c>
      <c r="B987" t="s">
        <v>4972</v>
      </c>
      <c r="C987" s="5" t="s">
        <v>7</v>
      </c>
      <c r="F987" s="5" t="s">
        <v>4973</v>
      </c>
      <c r="G987" s="5">
        <f t="shared" si="18"/>
        <v>21218</v>
      </c>
      <c r="I987" s="6" t="str">
        <f t="shared" si="19"/>
        <v>0</v>
      </c>
      <c r="K987" s="21" t="s">
        <v>4974</v>
      </c>
    </row>
    <row r="988" spans="1:11" x14ac:dyDescent="0.2">
      <c r="A988" t="s">
        <v>1292</v>
      </c>
      <c r="B988" t="s">
        <v>1293</v>
      </c>
      <c r="E988" t="str">
        <f>IF(D988&lt;&gt;"",C988&amp;"/"&amp;D988,"")</f>
        <v/>
      </c>
      <c r="G988" s="5" t="str">
        <f t="shared" si="18"/>
        <v/>
      </c>
      <c r="I988" s="6" t="str">
        <f t="shared" si="19"/>
        <v>0</v>
      </c>
    </row>
    <row r="989" spans="1:11" x14ac:dyDescent="0.2">
      <c r="A989" t="s">
        <v>1294</v>
      </c>
      <c r="B989" t="s">
        <v>1295</v>
      </c>
      <c r="E989" t="str">
        <f>IF(D989&lt;&gt;"",C989&amp;"/"&amp;D989,"")</f>
        <v/>
      </c>
      <c r="G989" s="5" t="str">
        <f t="shared" si="18"/>
        <v/>
      </c>
      <c r="I989" s="6" t="str">
        <f t="shared" si="19"/>
        <v>0</v>
      </c>
    </row>
    <row r="990" spans="1:11" x14ac:dyDescent="0.2">
      <c r="A990" t="s">
        <v>1296</v>
      </c>
      <c r="B990" t="s">
        <v>1297</v>
      </c>
      <c r="E990" t="str">
        <f>IF(D990&lt;&gt;"",C990&amp;"/"&amp;D990,"")</f>
        <v/>
      </c>
      <c r="G990" s="5" t="str">
        <f t="shared" si="18"/>
        <v/>
      </c>
      <c r="I990" s="6" t="str">
        <f t="shared" si="19"/>
        <v>0</v>
      </c>
    </row>
    <row r="991" spans="1:11" x14ac:dyDescent="0.2">
      <c r="A991" t="s">
        <v>1298</v>
      </c>
      <c r="B991" t="s">
        <v>1299</v>
      </c>
      <c r="E991" t="str">
        <f>IF(D991&lt;&gt;"",C991&amp;"/"&amp;D991,"")</f>
        <v/>
      </c>
      <c r="G991" s="5" t="str">
        <f t="shared" si="18"/>
        <v/>
      </c>
      <c r="I991" s="6" t="str">
        <f t="shared" si="19"/>
        <v>0</v>
      </c>
    </row>
    <row r="992" spans="1:11" x14ac:dyDescent="0.2">
      <c r="A992" t="s">
        <v>1300</v>
      </c>
      <c r="B992" t="s">
        <v>1301</v>
      </c>
      <c r="E992" t="str">
        <f>IF(D992&lt;&gt;"",C992&amp;"/"&amp;D992,"")</f>
        <v/>
      </c>
      <c r="G992" s="5" t="str">
        <f t="shared" si="18"/>
        <v/>
      </c>
      <c r="I992" s="6" t="str">
        <f t="shared" si="19"/>
        <v>0</v>
      </c>
    </row>
    <row r="993" spans="1:11" x14ac:dyDescent="0.2">
      <c r="A993" t="s">
        <v>1302</v>
      </c>
      <c r="B993" t="s">
        <v>4975</v>
      </c>
      <c r="C993" s="5" t="s">
        <v>7</v>
      </c>
      <c r="F993" s="5" t="s">
        <v>4976</v>
      </c>
      <c r="G993" s="5">
        <f t="shared" si="18"/>
        <v>21270</v>
      </c>
      <c r="I993" s="6" t="str">
        <f t="shared" si="19"/>
        <v>0</v>
      </c>
      <c r="K993" s="21" t="s">
        <v>4977</v>
      </c>
    </row>
    <row r="994" spans="1:11" x14ac:dyDescent="0.2">
      <c r="A994" t="s">
        <v>1303</v>
      </c>
      <c r="B994" t="s">
        <v>1304</v>
      </c>
      <c r="E994" t="str">
        <f>IF(D994&lt;&gt;"",C994&amp;"/"&amp;D994,"")</f>
        <v/>
      </c>
      <c r="G994" s="5" t="str">
        <f t="shared" si="18"/>
        <v/>
      </c>
      <c r="I994" s="6" t="str">
        <f t="shared" si="19"/>
        <v>0</v>
      </c>
    </row>
    <row r="995" spans="1:11" x14ac:dyDescent="0.2">
      <c r="A995" t="s">
        <v>1305</v>
      </c>
      <c r="B995" t="s">
        <v>4978</v>
      </c>
      <c r="C995" s="5" t="s">
        <v>7</v>
      </c>
      <c r="F995" s="5" t="s">
        <v>4979</v>
      </c>
      <c r="G995" s="5">
        <f t="shared" si="18"/>
        <v>21280</v>
      </c>
      <c r="I995" s="6" t="str">
        <f t="shared" si="19"/>
        <v>0</v>
      </c>
      <c r="K995" s="21" t="s">
        <v>4980</v>
      </c>
    </row>
    <row r="996" spans="1:11" x14ac:dyDescent="0.2">
      <c r="A996" t="s">
        <v>1306</v>
      </c>
      <c r="B996" t="s">
        <v>4981</v>
      </c>
      <c r="C996" s="5" t="s">
        <v>7</v>
      </c>
      <c r="F996" s="5" t="s">
        <v>4982</v>
      </c>
      <c r="G996" s="5">
        <f t="shared" si="18"/>
        <v>21288</v>
      </c>
      <c r="I996" s="6" t="str">
        <f t="shared" si="19"/>
        <v>0</v>
      </c>
      <c r="K996" s="21" t="s">
        <v>4983</v>
      </c>
    </row>
    <row r="997" spans="1:11" x14ac:dyDescent="0.2">
      <c r="A997" t="s">
        <v>1307</v>
      </c>
      <c r="B997" t="s">
        <v>4984</v>
      </c>
      <c r="C997" s="5" t="s">
        <v>7</v>
      </c>
      <c r="F997" s="5" t="s">
        <v>4985</v>
      </c>
      <c r="G997" s="5">
        <f t="shared" si="18"/>
        <v>21298</v>
      </c>
      <c r="I997" s="6" t="str">
        <f t="shared" si="19"/>
        <v>0</v>
      </c>
      <c r="K997" s="21" t="s">
        <v>4986</v>
      </c>
    </row>
    <row r="998" spans="1:11" x14ac:dyDescent="0.2">
      <c r="A998" t="s">
        <v>1308</v>
      </c>
      <c r="B998" t="s">
        <v>4987</v>
      </c>
      <c r="C998" s="5" t="s">
        <v>7</v>
      </c>
      <c r="F998" s="5" t="s">
        <v>4988</v>
      </c>
      <c r="G998" s="5">
        <f t="shared" si="18"/>
        <v>21308</v>
      </c>
      <c r="I998" s="6" t="str">
        <f t="shared" si="19"/>
        <v>0</v>
      </c>
      <c r="K998" s="21" t="s">
        <v>4989</v>
      </c>
    </row>
    <row r="999" spans="1:11" x14ac:dyDescent="0.2">
      <c r="A999" t="s">
        <v>1309</v>
      </c>
      <c r="B999" t="s">
        <v>4990</v>
      </c>
      <c r="C999" s="5" t="s">
        <v>7</v>
      </c>
      <c r="F999" s="5" t="s">
        <v>4991</v>
      </c>
      <c r="G999" s="5">
        <f t="shared" si="18"/>
        <v>21330</v>
      </c>
      <c r="I999" s="6" t="str">
        <f t="shared" si="19"/>
        <v>0</v>
      </c>
      <c r="K999" s="21" t="s">
        <v>4992</v>
      </c>
    </row>
    <row r="1000" spans="1:11" x14ac:dyDescent="0.2">
      <c r="A1000" t="s">
        <v>1310</v>
      </c>
      <c r="B1000" t="s">
        <v>4993</v>
      </c>
      <c r="C1000" s="5" t="s">
        <v>7</v>
      </c>
      <c r="F1000" s="5" t="s">
        <v>4994</v>
      </c>
      <c r="G1000" s="5">
        <f t="shared" si="18"/>
        <v>21336</v>
      </c>
      <c r="I1000" s="6" t="str">
        <f t="shared" si="19"/>
        <v>0</v>
      </c>
      <c r="K1000" s="21" t="s">
        <v>4995</v>
      </c>
    </row>
    <row r="1001" spans="1:11" x14ac:dyDescent="0.2">
      <c r="A1001" t="s">
        <v>1311</v>
      </c>
      <c r="B1001" t="s">
        <v>4996</v>
      </c>
      <c r="C1001" s="5" t="s">
        <v>7</v>
      </c>
      <c r="F1001" s="5" t="s">
        <v>4997</v>
      </c>
      <c r="G1001" s="5">
        <f t="shared" si="18"/>
        <v>21342</v>
      </c>
      <c r="I1001" s="6" t="str">
        <f t="shared" si="19"/>
        <v>0</v>
      </c>
      <c r="K1001" s="21" t="s">
        <v>4998</v>
      </c>
    </row>
    <row r="1002" spans="1:11" x14ac:dyDescent="0.2">
      <c r="A1002" t="s">
        <v>1312</v>
      </c>
      <c r="B1002" t="s">
        <v>4999</v>
      </c>
      <c r="C1002" s="5" t="s">
        <v>7</v>
      </c>
      <c r="F1002" s="5" t="s">
        <v>5000</v>
      </c>
      <c r="G1002" s="5">
        <f t="shared" si="18"/>
        <v>21372</v>
      </c>
      <c r="I1002" s="6" t="str">
        <f t="shared" si="19"/>
        <v>0</v>
      </c>
      <c r="K1002" s="21" t="s">
        <v>5001</v>
      </c>
    </row>
    <row r="1003" spans="1:11" x14ac:dyDescent="0.2">
      <c r="A1003" t="s">
        <v>1313</v>
      </c>
      <c r="B1003" t="s">
        <v>5002</v>
      </c>
      <c r="C1003" s="5" t="s">
        <v>7</v>
      </c>
      <c r="F1003" s="5" t="s">
        <v>5003</v>
      </c>
      <c r="G1003" s="5">
        <f t="shared" si="18"/>
        <v>21462</v>
      </c>
      <c r="I1003" s="6" t="str">
        <f t="shared" si="19"/>
        <v>0</v>
      </c>
      <c r="K1003" s="21" t="s">
        <v>5004</v>
      </c>
    </row>
    <row r="1004" spans="1:11" x14ac:dyDescent="0.2">
      <c r="A1004" t="s">
        <v>1314</v>
      </c>
      <c r="B1004" t="s">
        <v>5005</v>
      </c>
      <c r="C1004" s="5" t="s">
        <v>7</v>
      </c>
      <c r="F1004" s="5" t="s">
        <v>5006</v>
      </c>
      <c r="G1004" s="5">
        <f t="shared" si="18"/>
        <v>21474</v>
      </c>
      <c r="I1004" s="6" t="str">
        <f t="shared" si="19"/>
        <v>0</v>
      </c>
      <c r="K1004" s="21" t="s">
        <v>5007</v>
      </c>
    </row>
    <row r="1005" spans="1:11" x14ac:dyDescent="0.2">
      <c r="A1005" t="s">
        <v>1315</v>
      </c>
      <c r="B1005" t="s">
        <v>5008</v>
      </c>
      <c r="C1005" s="5" t="s">
        <v>7</v>
      </c>
      <c r="F1005" s="5" t="s">
        <v>5009</v>
      </c>
      <c r="G1005" s="5">
        <f t="shared" si="18"/>
        <v>21502</v>
      </c>
      <c r="I1005" s="6" t="str">
        <f t="shared" si="19"/>
        <v>0</v>
      </c>
      <c r="K1005" s="21" t="s">
        <v>5010</v>
      </c>
    </row>
    <row r="1006" spans="1:11" x14ac:dyDescent="0.2">
      <c r="A1006" t="s">
        <v>1316</v>
      </c>
      <c r="B1006" t="s">
        <v>5011</v>
      </c>
      <c r="C1006" s="5" t="s">
        <v>7</v>
      </c>
      <c r="F1006" s="5" t="s">
        <v>5012</v>
      </c>
      <c r="G1006" s="5">
        <f t="shared" si="18"/>
        <v>21522</v>
      </c>
      <c r="I1006" s="6" t="str">
        <f t="shared" si="19"/>
        <v>0</v>
      </c>
      <c r="K1006" s="21" t="s">
        <v>5013</v>
      </c>
    </row>
    <row r="1007" spans="1:11" x14ac:dyDescent="0.2">
      <c r="A1007" t="s">
        <v>1317</v>
      </c>
      <c r="B1007" t="s">
        <v>1318</v>
      </c>
      <c r="E1007" t="str">
        <f>IF(D1007&lt;&gt;"",C1007&amp;"/"&amp;D1007,"")</f>
        <v/>
      </c>
      <c r="G1007" s="5" t="str">
        <f t="shared" si="18"/>
        <v/>
      </c>
      <c r="I1007" s="6" t="str">
        <f t="shared" si="19"/>
        <v>0</v>
      </c>
    </row>
    <row r="1008" spans="1:11" x14ac:dyDescent="0.2">
      <c r="A1008" t="s">
        <v>1319</v>
      </c>
      <c r="B1008" t="s">
        <v>5040</v>
      </c>
      <c r="C1008" s="5" t="s">
        <v>7</v>
      </c>
      <c r="F1008" s="5" t="s">
        <v>5014</v>
      </c>
      <c r="G1008" s="5">
        <f t="shared" si="18"/>
        <v>21540</v>
      </c>
      <c r="I1008" s="6" t="str">
        <f t="shared" si="19"/>
        <v>0</v>
      </c>
      <c r="K1008" s="21" t="s">
        <v>5015</v>
      </c>
    </row>
    <row r="1009" spans="1:11" x14ac:dyDescent="0.2">
      <c r="A1009" t="s">
        <v>1320</v>
      </c>
      <c r="B1009" t="s">
        <v>5041</v>
      </c>
      <c r="C1009" s="5" t="s">
        <v>7</v>
      </c>
      <c r="F1009" s="5" t="s">
        <v>5016</v>
      </c>
      <c r="G1009" s="5">
        <f t="shared" si="18"/>
        <v>21580</v>
      </c>
      <c r="I1009" s="6" t="str">
        <f t="shared" si="19"/>
        <v>0</v>
      </c>
      <c r="K1009" s="21" t="s">
        <v>5017</v>
      </c>
    </row>
    <row r="1010" spans="1:11" x14ac:dyDescent="0.2">
      <c r="A1010" t="s">
        <v>1321</v>
      </c>
      <c r="B1010" t="s">
        <v>5042</v>
      </c>
      <c r="C1010" s="5" t="s">
        <v>7</v>
      </c>
      <c r="F1010" s="5" t="s">
        <v>5018</v>
      </c>
      <c r="G1010" s="5">
        <f t="shared" si="18"/>
        <v>21592</v>
      </c>
      <c r="I1010" s="6" t="str">
        <f t="shared" si="19"/>
        <v>0</v>
      </c>
      <c r="K1010" s="21" t="s">
        <v>5019</v>
      </c>
    </row>
    <row r="1011" spans="1:11" x14ac:dyDescent="0.2">
      <c r="A1011" t="s">
        <v>1322</v>
      </c>
      <c r="B1011" t="s">
        <v>5043</v>
      </c>
      <c r="C1011" s="5" t="s">
        <v>7</v>
      </c>
      <c r="F1011" s="5" t="s">
        <v>5020</v>
      </c>
      <c r="G1011" s="5">
        <f t="shared" si="18"/>
        <v>21606</v>
      </c>
      <c r="I1011" s="6" t="str">
        <f t="shared" si="19"/>
        <v>0</v>
      </c>
      <c r="K1011" s="21" t="s">
        <v>5021</v>
      </c>
    </row>
    <row r="1012" spans="1:11" x14ac:dyDescent="0.2">
      <c r="A1012" t="s">
        <v>1323</v>
      </c>
      <c r="B1012" t="s">
        <v>1324</v>
      </c>
      <c r="E1012" t="str">
        <f>IF(D1012&lt;&gt;"",C1012&amp;"/"&amp;D1012,"")</f>
        <v/>
      </c>
      <c r="G1012" s="5" t="str">
        <f t="shared" si="18"/>
        <v/>
      </c>
      <c r="I1012" s="6" t="str">
        <f t="shared" si="19"/>
        <v>0</v>
      </c>
    </row>
    <row r="1013" spans="1:11" x14ac:dyDescent="0.2">
      <c r="A1013" t="s">
        <v>1325</v>
      </c>
      <c r="B1013" t="s">
        <v>1326</v>
      </c>
      <c r="E1013" t="str">
        <f>IF(D1013&lt;&gt;"",C1013&amp;"/"&amp;D1013,"")</f>
        <v/>
      </c>
      <c r="G1013" s="5" t="str">
        <f t="shared" si="18"/>
        <v/>
      </c>
      <c r="I1013" s="6" t="str">
        <f t="shared" si="19"/>
        <v>0</v>
      </c>
    </row>
    <row r="1014" spans="1:11" x14ac:dyDescent="0.2">
      <c r="A1014" t="s">
        <v>1327</v>
      </c>
      <c r="B1014" t="s">
        <v>5022</v>
      </c>
      <c r="C1014" s="5" t="s">
        <v>7</v>
      </c>
      <c r="F1014" s="5" t="s">
        <v>5023</v>
      </c>
      <c r="G1014" s="5">
        <f t="shared" si="18"/>
        <v>21624</v>
      </c>
      <c r="I1014" s="6" t="str">
        <f t="shared" si="19"/>
        <v>0</v>
      </c>
      <c r="K1014" s="21" t="s">
        <v>5024</v>
      </c>
    </row>
    <row r="1015" spans="1:11" x14ac:dyDescent="0.2">
      <c r="A1015" t="s">
        <v>1328</v>
      </c>
      <c r="B1015" t="s">
        <v>5025</v>
      </c>
      <c r="C1015" s="5" t="s">
        <v>7</v>
      </c>
      <c r="F1015" s="5" t="s">
        <v>5026</v>
      </c>
      <c r="G1015" s="5">
        <f t="shared" si="18"/>
        <v>21694</v>
      </c>
      <c r="I1015" s="6" t="str">
        <f t="shared" si="19"/>
        <v>0</v>
      </c>
      <c r="K1015" s="21" t="s">
        <v>5027</v>
      </c>
    </row>
    <row r="1016" spans="1:11" x14ac:dyDescent="0.2">
      <c r="A1016" t="s">
        <v>1329</v>
      </c>
      <c r="B1016" t="s">
        <v>5028</v>
      </c>
      <c r="C1016" s="5" t="s">
        <v>7</v>
      </c>
      <c r="F1016" s="5" t="s">
        <v>5029</v>
      </c>
      <c r="G1016" s="5">
        <f t="shared" si="18"/>
        <v>21708</v>
      </c>
      <c r="I1016" s="6" t="str">
        <f t="shared" si="19"/>
        <v>0</v>
      </c>
      <c r="K1016" s="21" t="s">
        <v>5030</v>
      </c>
    </row>
    <row r="1017" spans="1:11" x14ac:dyDescent="0.2">
      <c r="A1017" t="s">
        <v>1330</v>
      </c>
      <c r="B1017" t="s">
        <v>5031</v>
      </c>
      <c r="C1017" s="5" t="s">
        <v>7</v>
      </c>
      <c r="F1017" s="5" t="s">
        <v>5032</v>
      </c>
      <c r="G1017" s="5">
        <f t="shared" si="18"/>
        <v>21724</v>
      </c>
      <c r="I1017" s="6" t="str">
        <f t="shared" si="19"/>
        <v>0</v>
      </c>
      <c r="K1017" s="21" t="s">
        <v>5033</v>
      </c>
    </row>
    <row r="1018" spans="1:11" x14ac:dyDescent="0.2">
      <c r="A1018" t="s">
        <v>1331</v>
      </c>
      <c r="B1018" t="s">
        <v>5034</v>
      </c>
      <c r="C1018" s="5" t="s">
        <v>7</v>
      </c>
      <c r="F1018" s="5" t="s">
        <v>5035</v>
      </c>
      <c r="G1018" s="5">
        <f t="shared" si="18"/>
        <v>21728</v>
      </c>
      <c r="I1018" s="6" t="str">
        <f t="shared" si="19"/>
        <v>0</v>
      </c>
      <c r="K1018" s="21" t="s">
        <v>5036</v>
      </c>
    </row>
    <row r="1019" spans="1:11" x14ac:dyDescent="0.2">
      <c r="A1019" t="s">
        <v>1332</v>
      </c>
      <c r="B1019" t="s">
        <v>5037</v>
      </c>
      <c r="C1019" s="5" t="s">
        <v>7</v>
      </c>
      <c r="F1019" s="5" t="s">
        <v>5038</v>
      </c>
      <c r="G1019" s="5">
        <f t="shared" si="18"/>
        <v>21732</v>
      </c>
      <c r="I1019" s="6" t="str">
        <f t="shared" si="19"/>
        <v>0</v>
      </c>
      <c r="K1019" s="21" t="s">
        <v>5039</v>
      </c>
    </row>
    <row r="1020" spans="1:11" x14ac:dyDescent="0.2">
      <c r="A1020" t="s">
        <v>1333</v>
      </c>
      <c r="B1020" t="s">
        <v>1334</v>
      </c>
      <c r="E1020" t="str">
        <f>IF(D1020&lt;&gt;"",C1020&amp;"/"&amp;D1020,"")</f>
        <v/>
      </c>
      <c r="G1020" s="5" t="str">
        <f t="shared" si="18"/>
        <v/>
      </c>
      <c r="I1020" s="6" t="str">
        <f t="shared" si="19"/>
        <v>0</v>
      </c>
    </row>
    <row r="1021" spans="1:11" x14ac:dyDescent="0.2">
      <c r="A1021" t="s">
        <v>1335</v>
      </c>
      <c r="B1021" t="s">
        <v>1336</v>
      </c>
      <c r="E1021" t="str">
        <f>IF(D1021&lt;&gt;"",C1021&amp;"/"&amp;D1021,"")</f>
        <v/>
      </c>
      <c r="G1021" s="5" t="str">
        <f t="shared" si="18"/>
        <v/>
      </c>
      <c r="I1021" s="6" t="str">
        <f t="shared" si="19"/>
        <v>0</v>
      </c>
    </row>
    <row r="1022" spans="1:11" x14ac:dyDescent="0.2">
      <c r="A1022" t="s">
        <v>1337</v>
      </c>
      <c r="B1022" t="s">
        <v>1338</v>
      </c>
      <c r="E1022" t="str">
        <f>IF(D1022&lt;&gt;"",C1022&amp;"/"&amp;D1022,"")</f>
        <v/>
      </c>
      <c r="G1022" s="5" t="str">
        <f t="shared" si="18"/>
        <v/>
      </c>
      <c r="I1022" s="6" t="str">
        <f t="shared" si="19"/>
        <v>0</v>
      </c>
    </row>
    <row r="1023" spans="1:11" x14ac:dyDescent="0.2">
      <c r="A1023" t="s">
        <v>1339</v>
      </c>
      <c r="B1023" t="s">
        <v>309</v>
      </c>
      <c r="E1023" t="str">
        <f>IF(D1023&lt;&gt;"",C1023&amp;"/"&amp;D1023,"")</f>
        <v/>
      </c>
      <c r="G1023" s="5" t="str">
        <f t="shared" si="18"/>
        <v/>
      </c>
      <c r="I1023" s="6" t="str">
        <f t="shared" si="19"/>
        <v>0</v>
      </c>
    </row>
    <row r="1024" spans="1:11" x14ac:dyDescent="0.2">
      <c r="A1024" t="s">
        <v>1340</v>
      </c>
      <c r="B1024" t="s">
        <v>309</v>
      </c>
      <c r="E1024" t="str">
        <f>IF(D1024&lt;&gt;"",C1024&amp;"/"&amp;D1024,"")</f>
        <v/>
      </c>
      <c r="G1024" s="5" t="str">
        <f t="shared" si="18"/>
        <v/>
      </c>
      <c r="I1024" s="6" t="str">
        <f t="shared" si="19"/>
        <v>0</v>
      </c>
    </row>
    <row r="1025" spans="1:9" x14ac:dyDescent="0.2">
      <c r="A1025" t="s">
        <v>1341</v>
      </c>
      <c r="B1025" t="s">
        <v>309</v>
      </c>
      <c r="E1025" t="str">
        <f>IF(D1025&lt;&gt;"",C1025&amp;"/"&amp;D1025,"")</f>
        <v/>
      </c>
      <c r="G1025" s="5" t="str">
        <f t="shared" si="18"/>
        <v/>
      </c>
      <c r="I1025" s="6" t="str">
        <f t="shared" si="19"/>
        <v>0</v>
      </c>
    </row>
    <row r="1026" spans="1:9" x14ac:dyDescent="0.2">
      <c r="A1026" t="s">
        <v>1342</v>
      </c>
      <c r="B1026" t="s">
        <v>309</v>
      </c>
      <c r="E1026" t="str">
        <f>IF(D1026&lt;&gt;"",C1026&amp;"/"&amp;D1026,"")</f>
        <v/>
      </c>
      <c r="G1026" s="5" t="str">
        <f t="shared" si="18"/>
        <v/>
      </c>
      <c r="I1026" s="6" t="str">
        <f t="shared" si="19"/>
        <v>0</v>
      </c>
    </row>
    <row r="1027" spans="1:9" x14ac:dyDescent="0.2">
      <c r="A1027" t="s">
        <v>1343</v>
      </c>
      <c r="B1027" t="s">
        <v>309</v>
      </c>
      <c r="E1027" t="str">
        <f>IF(D1027&lt;&gt;"",C1027&amp;"/"&amp;D1027,"")</f>
        <v/>
      </c>
      <c r="G1027" s="5" t="str">
        <f t="shared" si="18"/>
        <v/>
      </c>
      <c r="I1027" s="6" t="str">
        <f t="shared" si="19"/>
        <v>0</v>
      </c>
    </row>
    <row r="1028" spans="1:9" x14ac:dyDescent="0.2">
      <c r="A1028" t="s">
        <v>1344</v>
      </c>
      <c r="B1028" t="s">
        <v>309</v>
      </c>
      <c r="E1028" t="str">
        <f>IF(D1028&lt;&gt;"",C1028&amp;"/"&amp;D1028,"")</f>
        <v/>
      </c>
      <c r="G1028" s="5" t="str">
        <f t="shared" si="18"/>
        <v/>
      </c>
      <c r="I1028" s="6" t="str">
        <f t="shared" si="19"/>
        <v>0</v>
      </c>
    </row>
    <row r="1029" spans="1:9" x14ac:dyDescent="0.2">
      <c r="A1029" t="s">
        <v>1345</v>
      </c>
      <c r="B1029" t="s">
        <v>309</v>
      </c>
      <c r="E1029" t="str">
        <f>IF(D1029&lt;&gt;"",C1029&amp;"/"&amp;D1029,"")</f>
        <v/>
      </c>
      <c r="G1029" s="5" t="str">
        <f t="shared" si="18"/>
        <v/>
      </c>
      <c r="I1029" s="6" t="str">
        <f t="shared" si="19"/>
        <v>0</v>
      </c>
    </row>
    <row r="1030" spans="1:9" x14ac:dyDescent="0.2">
      <c r="A1030" t="s">
        <v>1346</v>
      </c>
      <c r="B1030" t="s">
        <v>309</v>
      </c>
      <c r="E1030" t="str">
        <f>IF(D1030&lt;&gt;"",C1030&amp;"/"&amp;D1030,"")</f>
        <v/>
      </c>
      <c r="G1030" s="5" t="str">
        <f t="shared" si="18"/>
        <v/>
      </c>
      <c r="I1030" s="6" t="str">
        <f t="shared" si="19"/>
        <v>0</v>
      </c>
    </row>
    <row r="1031" spans="1:9" x14ac:dyDescent="0.2">
      <c r="A1031" t="s">
        <v>1347</v>
      </c>
      <c r="B1031" t="s">
        <v>309</v>
      </c>
      <c r="E1031" t="str">
        <f>IF(D1031&lt;&gt;"",C1031&amp;"/"&amp;D1031,"")</f>
        <v/>
      </c>
      <c r="G1031" s="5" t="str">
        <f t="shared" si="18"/>
        <v/>
      </c>
      <c r="I1031" s="6" t="str">
        <f t="shared" si="19"/>
        <v>0</v>
      </c>
    </row>
    <row r="1032" spans="1:9" x14ac:dyDescent="0.2">
      <c r="A1032" t="s">
        <v>1348</v>
      </c>
      <c r="B1032" t="s">
        <v>309</v>
      </c>
      <c r="E1032" t="str">
        <f>IF(D1032&lt;&gt;"",C1032&amp;"/"&amp;D1032,"")</f>
        <v/>
      </c>
      <c r="G1032" s="5" t="str">
        <f t="shared" si="18"/>
        <v/>
      </c>
      <c r="I1032" s="6" t="str">
        <f t="shared" si="19"/>
        <v>0</v>
      </c>
    </row>
    <row r="1033" spans="1:9" x14ac:dyDescent="0.2">
      <c r="A1033" t="s">
        <v>1349</v>
      </c>
      <c r="B1033" t="s">
        <v>309</v>
      </c>
      <c r="E1033" t="str">
        <f>IF(D1033&lt;&gt;"",C1033&amp;"/"&amp;D1033,"")</f>
        <v/>
      </c>
      <c r="G1033" s="5" t="str">
        <f t="shared" si="18"/>
        <v/>
      </c>
      <c r="I1033" s="6" t="str">
        <f t="shared" si="19"/>
        <v>0</v>
      </c>
    </row>
    <row r="1034" spans="1:9" x14ac:dyDescent="0.2">
      <c r="A1034" t="s">
        <v>1350</v>
      </c>
      <c r="B1034" t="s">
        <v>309</v>
      </c>
      <c r="E1034" t="str">
        <f>IF(D1034&lt;&gt;"",C1034&amp;"/"&amp;D1034,"")</f>
        <v/>
      </c>
      <c r="G1034" s="5" t="str">
        <f t="shared" si="18"/>
        <v/>
      </c>
      <c r="I1034" s="6" t="str">
        <f t="shared" si="19"/>
        <v>0</v>
      </c>
    </row>
    <row r="1035" spans="1:9" x14ac:dyDescent="0.2">
      <c r="A1035" t="s">
        <v>1351</v>
      </c>
      <c r="B1035" t="s">
        <v>1352</v>
      </c>
      <c r="E1035" t="str">
        <f>IF(D1035&lt;&gt;"",C1035&amp;"/"&amp;D1035,"")</f>
        <v/>
      </c>
      <c r="G1035" s="5" t="str">
        <f t="shared" si="18"/>
        <v/>
      </c>
      <c r="I1035" s="6" t="str">
        <f t="shared" si="19"/>
        <v>0</v>
      </c>
    </row>
    <row r="1036" spans="1:9" x14ac:dyDescent="0.2">
      <c r="A1036" t="s">
        <v>1353</v>
      </c>
      <c r="B1036" t="s">
        <v>1354</v>
      </c>
      <c r="E1036" t="str">
        <f>IF(D1036&lt;&gt;"",C1036&amp;"/"&amp;D1036,"")</f>
        <v/>
      </c>
      <c r="G1036" s="5" t="str">
        <f t="shared" si="18"/>
        <v/>
      </c>
      <c r="I1036" s="6" t="str">
        <f t="shared" si="19"/>
        <v>0</v>
      </c>
    </row>
    <row r="1037" spans="1:9" x14ac:dyDescent="0.2">
      <c r="A1037" t="s">
        <v>1355</v>
      </c>
      <c r="B1037" t="s">
        <v>1356</v>
      </c>
      <c r="E1037" t="str">
        <f>IF(D1037&lt;&gt;"",C1037&amp;"/"&amp;D1037,"")</f>
        <v/>
      </c>
      <c r="G1037" s="5" t="str">
        <f t="shared" si="18"/>
        <v/>
      </c>
      <c r="I1037" s="6" t="str">
        <f t="shared" si="19"/>
        <v>0</v>
      </c>
    </row>
    <row r="1038" spans="1:9" x14ac:dyDescent="0.2">
      <c r="A1038" t="s">
        <v>1357</v>
      </c>
      <c r="B1038" t="s">
        <v>1358</v>
      </c>
      <c r="E1038" t="str">
        <f>IF(D1038&lt;&gt;"",C1038&amp;"/"&amp;D1038,"")</f>
        <v/>
      </c>
      <c r="G1038" s="5" t="str">
        <f t="shared" si="18"/>
        <v/>
      </c>
      <c r="I1038" s="6" t="str">
        <f t="shared" si="19"/>
        <v>0</v>
      </c>
    </row>
    <row r="1039" spans="1:9" x14ac:dyDescent="0.2">
      <c r="A1039" t="s">
        <v>1359</v>
      </c>
      <c r="B1039" t="s">
        <v>309</v>
      </c>
      <c r="E1039" t="str">
        <f>IF(D1039&lt;&gt;"",C1039&amp;"/"&amp;D1039,"")</f>
        <v/>
      </c>
      <c r="G1039" s="5" t="str">
        <f t="shared" si="18"/>
        <v/>
      </c>
      <c r="I1039" s="6" t="str">
        <f t="shared" si="19"/>
        <v>0</v>
      </c>
    </row>
    <row r="1040" spans="1:9" x14ac:dyDescent="0.2">
      <c r="A1040" t="s">
        <v>1360</v>
      </c>
      <c r="B1040" t="s">
        <v>1361</v>
      </c>
      <c r="E1040" t="str">
        <f>IF(D1040&lt;&gt;"",C1040&amp;"/"&amp;D1040,"")</f>
        <v/>
      </c>
      <c r="G1040" s="5" t="str">
        <f t="shared" ref="G1040:G1103" si="20">IF(F1040&lt;&gt;"",HEX2DEC(SUBSTITUTE(SUBSTITUTE(F1040,"adrEA",""),"$","")),"")</f>
        <v/>
      </c>
      <c r="I1040" s="6" t="str">
        <f t="shared" ref="I1040:I1103" si="21">IFERROR(DEC2HEX(H1040),"")</f>
        <v>0</v>
      </c>
    </row>
    <row r="1041" spans="1:9" x14ac:dyDescent="0.2">
      <c r="A1041" t="s">
        <v>1362</v>
      </c>
      <c r="B1041" t="s">
        <v>309</v>
      </c>
      <c r="E1041" t="str">
        <f>IF(D1041&lt;&gt;"",C1041&amp;"/"&amp;D1041,"")</f>
        <v/>
      </c>
      <c r="G1041" s="5" t="str">
        <f t="shared" si="20"/>
        <v/>
      </c>
      <c r="I1041" s="6" t="str">
        <f t="shared" si="21"/>
        <v>0</v>
      </c>
    </row>
    <row r="1042" spans="1:9" x14ac:dyDescent="0.2">
      <c r="A1042" t="s">
        <v>1363</v>
      </c>
      <c r="B1042" t="s">
        <v>309</v>
      </c>
      <c r="E1042" t="str">
        <f>IF(D1042&lt;&gt;"",C1042&amp;"/"&amp;D1042,"")</f>
        <v/>
      </c>
      <c r="G1042" s="5" t="str">
        <f t="shared" si="20"/>
        <v/>
      </c>
      <c r="I1042" s="6" t="str">
        <f t="shared" si="21"/>
        <v>0</v>
      </c>
    </row>
    <row r="1043" spans="1:9" x14ac:dyDescent="0.2">
      <c r="A1043" t="s">
        <v>1364</v>
      </c>
      <c r="B1043" t="s">
        <v>309</v>
      </c>
      <c r="E1043" t="str">
        <f>IF(D1043&lt;&gt;"",C1043&amp;"/"&amp;D1043,"")</f>
        <v/>
      </c>
      <c r="G1043" s="5" t="str">
        <f t="shared" si="20"/>
        <v/>
      </c>
      <c r="I1043" s="6" t="str">
        <f t="shared" si="21"/>
        <v>0</v>
      </c>
    </row>
    <row r="1044" spans="1:9" x14ac:dyDescent="0.2">
      <c r="A1044" t="s">
        <v>1365</v>
      </c>
      <c r="B1044" t="s">
        <v>309</v>
      </c>
      <c r="E1044" t="str">
        <f>IF(D1044&lt;&gt;"",C1044&amp;"/"&amp;D1044,"")</f>
        <v/>
      </c>
      <c r="G1044" s="5" t="str">
        <f t="shared" si="20"/>
        <v/>
      </c>
      <c r="I1044" s="6" t="str">
        <f t="shared" si="21"/>
        <v>0</v>
      </c>
    </row>
    <row r="1045" spans="1:9" x14ac:dyDescent="0.2">
      <c r="A1045" t="s">
        <v>1366</v>
      </c>
      <c r="B1045" t="s">
        <v>309</v>
      </c>
      <c r="E1045" t="str">
        <f>IF(D1045&lt;&gt;"",C1045&amp;"/"&amp;D1045,"")</f>
        <v/>
      </c>
      <c r="G1045" s="5" t="str">
        <f t="shared" si="20"/>
        <v/>
      </c>
      <c r="I1045" s="6" t="str">
        <f t="shared" si="21"/>
        <v>0</v>
      </c>
    </row>
    <row r="1046" spans="1:9" x14ac:dyDescent="0.2">
      <c r="A1046" t="s">
        <v>1367</v>
      </c>
      <c r="B1046" t="s">
        <v>309</v>
      </c>
      <c r="E1046" t="str">
        <f>IF(D1046&lt;&gt;"",C1046&amp;"/"&amp;D1046,"")</f>
        <v/>
      </c>
      <c r="G1046" s="5" t="str">
        <f t="shared" si="20"/>
        <v/>
      </c>
      <c r="I1046" s="6" t="str">
        <f t="shared" si="21"/>
        <v>0</v>
      </c>
    </row>
    <row r="1047" spans="1:9" x14ac:dyDescent="0.2">
      <c r="A1047" t="s">
        <v>1368</v>
      </c>
      <c r="B1047" t="s">
        <v>309</v>
      </c>
      <c r="E1047" t="str">
        <f>IF(D1047&lt;&gt;"",C1047&amp;"/"&amp;D1047,"")</f>
        <v/>
      </c>
      <c r="G1047" s="5" t="str">
        <f t="shared" si="20"/>
        <v/>
      </c>
      <c r="I1047" s="6" t="str">
        <f t="shared" si="21"/>
        <v>0</v>
      </c>
    </row>
    <row r="1048" spans="1:9" x14ac:dyDescent="0.2">
      <c r="A1048" t="s">
        <v>1369</v>
      </c>
      <c r="B1048" t="s">
        <v>309</v>
      </c>
      <c r="E1048" t="str">
        <f>IF(D1048&lt;&gt;"",C1048&amp;"/"&amp;D1048,"")</f>
        <v/>
      </c>
      <c r="G1048" s="5" t="str">
        <f t="shared" si="20"/>
        <v/>
      </c>
      <c r="I1048" s="6" t="str">
        <f t="shared" si="21"/>
        <v>0</v>
      </c>
    </row>
    <row r="1049" spans="1:9" x14ac:dyDescent="0.2">
      <c r="A1049" t="s">
        <v>1370</v>
      </c>
      <c r="B1049" t="s">
        <v>309</v>
      </c>
      <c r="E1049" t="str">
        <f>IF(D1049&lt;&gt;"",C1049&amp;"/"&amp;D1049,"")</f>
        <v/>
      </c>
      <c r="G1049" s="5" t="str">
        <f t="shared" si="20"/>
        <v/>
      </c>
      <c r="I1049" s="6" t="str">
        <f t="shared" si="21"/>
        <v>0</v>
      </c>
    </row>
    <row r="1050" spans="1:9" x14ac:dyDescent="0.2">
      <c r="A1050" t="s">
        <v>1371</v>
      </c>
      <c r="B1050" t="s">
        <v>309</v>
      </c>
      <c r="E1050" t="str">
        <f>IF(D1050&lt;&gt;"",C1050&amp;"/"&amp;D1050,"")</f>
        <v/>
      </c>
      <c r="G1050" s="5" t="str">
        <f t="shared" si="20"/>
        <v/>
      </c>
      <c r="I1050" s="6" t="str">
        <f t="shared" si="21"/>
        <v>0</v>
      </c>
    </row>
    <row r="1051" spans="1:9" x14ac:dyDescent="0.2">
      <c r="A1051" t="s">
        <v>1372</v>
      </c>
      <c r="B1051" t="s">
        <v>309</v>
      </c>
      <c r="E1051" t="str">
        <f>IF(D1051&lt;&gt;"",C1051&amp;"/"&amp;D1051,"")</f>
        <v/>
      </c>
      <c r="G1051" s="5" t="str">
        <f t="shared" si="20"/>
        <v/>
      </c>
      <c r="I1051" s="6" t="str">
        <f t="shared" si="21"/>
        <v>0</v>
      </c>
    </row>
    <row r="1052" spans="1:9" x14ac:dyDescent="0.2">
      <c r="A1052" t="s">
        <v>1373</v>
      </c>
      <c r="B1052" t="s">
        <v>309</v>
      </c>
      <c r="E1052" t="str">
        <f>IF(D1052&lt;&gt;"",C1052&amp;"/"&amp;D1052,"")</f>
        <v/>
      </c>
      <c r="G1052" s="5" t="str">
        <f t="shared" si="20"/>
        <v/>
      </c>
      <c r="I1052" s="6" t="str">
        <f t="shared" si="21"/>
        <v>0</v>
      </c>
    </row>
    <row r="1053" spans="1:9" x14ac:dyDescent="0.2">
      <c r="A1053" t="s">
        <v>1374</v>
      </c>
      <c r="B1053" t="s">
        <v>309</v>
      </c>
      <c r="E1053" t="str">
        <f>IF(D1053&lt;&gt;"",C1053&amp;"/"&amp;D1053,"")</f>
        <v/>
      </c>
      <c r="G1053" s="5" t="str">
        <f t="shared" si="20"/>
        <v/>
      </c>
      <c r="I1053" s="6" t="str">
        <f t="shared" si="21"/>
        <v>0</v>
      </c>
    </row>
    <row r="1054" spans="1:9" x14ac:dyDescent="0.2">
      <c r="A1054" t="s">
        <v>1375</v>
      </c>
      <c r="B1054" t="s">
        <v>309</v>
      </c>
      <c r="E1054" t="str">
        <f>IF(D1054&lt;&gt;"",C1054&amp;"/"&amp;D1054,"")</f>
        <v/>
      </c>
      <c r="G1054" s="5" t="str">
        <f t="shared" si="20"/>
        <v/>
      </c>
      <c r="I1054" s="6" t="str">
        <f t="shared" si="21"/>
        <v>0</v>
      </c>
    </row>
    <row r="1055" spans="1:9" x14ac:dyDescent="0.2">
      <c r="A1055" t="s">
        <v>1376</v>
      </c>
      <c r="B1055" t="s">
        <v>309</v>
      </c>
      <c r="E1055" t="str">
        <f>IF(D1055&lt;&gt;"",C1055&amp;"/"&amp;D1055,"")</f>
        <v/>
      </c>
      <c r="G1055" s="5" t="str">
        <f t="shared" si="20"/>
        <v/>
      </c>
      <c r="I1055" s="6" t="str">
        <f t="shared" si="21"/>
        <v>0</v>
      </c>
    </row>
    <row r="1056" spans="1:9" x14ac:dyDescent="0.2">
      <c r="A1056" t="s">
        <v>1377</v>
      </c>
      <c r="B1056" t="s">
        <v>309</v>
      </c>
      <c r="E1056" t="str">
        <f>IF(D1056&lt;&gt;"",C1056&amp;"/"&amp;D1056,"")</f>
        <v/>
      </c>
      <c r="G1056" s="5" t="str">
        <f t="shared" si="20"/>
        <v/>
      </c>
      <c r="I1056" s="6" t="str">
        <f t="shared" si="21"/>
        <v>0</v>
      </c>
    </row>
    <row r="1057" spans="1:11" x14ac:dyDescent="0.2">
      <c r="A1057" t="s">
        <v>1378</v>
      </c>
      <c r="B1057" t="s">
        <v>309</v>
      </c>
      <c r="E1057" t="str">
        <f>IF(D1057&lt;&gt;"",C1057&amp;"/"&amp;D1057,"")</f>
        <v/>
      </c>
      <c r="G1057" s="5" t="str">
        <f t="shared" si="20"/>
        <v/>
      </c>
      <c r="I1057" s="6" t="str">
        <f t="shared" si="21"/>
        <v>0</v>
      </c>
    </row>
    <row r="1058" spans="1:11" x14ac:dyDescent="0.2">
      <c r="A1058" t="s">
        <v>1379</v>
      </c>
      <c r="B1058" t="s">
        <v>309</v>
      </c>
      <c r="E1058" t="str">
        <f>IF(D1058&lt;&gt;"",C1058&amp;"/"&amp;D1058,"")</f>
        <v/>
      </c>
      <c r="G1058" s="5" t="str">
        <f t="shared" si="20"/>
        <v/>
      </c>
      <c r="I1058" s="6" t="str">
        <f t="shared" si="21"/>
        <v>0</v>
      </c>
    </row>
    <row r="1059" spans="1:11" x14ac:dyDescent="0.2">
      <c r="A1059" t="s">
        <v>1380</v>
      </c>
      <c r="B1059" t="s">
        <v>309</v>
      </c>
      <c r="E1059" t="str">
        <f>IF(D1059&lt;&gt;"",C1059&amp;"/"&amp;D1059,"")</f>
        <v/>
      </c>
      <c r="G1059" s="5" t="str">
        <f t="shared" si="20"/>
        <v/>
      </c>
      <c r="I1059" s="6" t="str">
        <f t="shared" si="21"/>
        <v>0</v>
      </c>
    </row>
    <row r="1060" spans="1:11" x14ac:dyDescent="0.2">
      <c r="A1060" t="s">
        <v>1381</v>
      </c>
      <c r="B1060" t="s">
        <v>309</v>
      </c>
      <c r="E1060" t="str">
        <f>IF(D1060&lt;&gt;"",C1060&amp;"/"&amp;D1060,"")</f>
        <v/>
      </c>
      <c r="G1060" s="5" t="str">
        <f t="shared" si="20"/>
        <v/>
      </c>
      <c r="I1060" s="6" t="str">
        <f t="shared" si="21"/>
        <v>0</v>
      </c>
    </row>
    <row r="1061" spans="1:11" x14ac:dyDescent="0.2">
      <c r="A1061" t="s">
        <v>1382</v>
      </c>
      <c r="B1061" t="s">
        <v>309</v>
      </c>
      <c r="E1061" t="str">
        <f>IF(D1061&lt;&gt;"",C1061&amp;"/"&amp;D1061,"")</f>
        <v/>
      </c>
      <c r="G1061" s="5" t="str">
        <f t="shared" si="20"/>
        <v/>
      </c>
      <c r="I1061" s="6" t="str">
        <f t="shared" si="21"/>
        <v>0</v>
      </c>
    </row>
    <row r="1062" spans="1:11" x14ac:dyDescent="0.2">
      <c r="A1062" t="s">
        <v>1383</v>
      </c>
      <c r="B1062" t="s">
        <v>309</v>
      </c>
      <c r="E1062" t="str">
        <f>IF(D1062&lt;&gt;"",C1062&amp;"/"&amp;D1062,"")</f>
        <v/>
      </c>
      <c r="G1062" s="5" t="str">
        <f t="shared" si="20"/>
        <v/>
      </c>
      <c r="I1062" s="6" t="str">
        <f t="shared" si="21"/>
        <v>0</v>
      </c>
    </row>
    <row r="1063" spans="1:11" x14ac:dyDescent="0.2">
      <c r="A1063" t="s">
        <v>1384</v>
      </c>
      <c r="B1063" t="s">
        <v>309</v>
      </c>
      <c r="E1063" t="str">
        <f>IF(D1063&lt;&gt;"",C1063&amp;"/"&amp;D1063,"")</f>
        <v/>
      </c>
      <c r="G1063" s="5" t="str">
        <f t="shared" si="20"/>
        <v/>
      </c>
      <c r="I1063" s="6" t="str">
        <f t="shared" si="21"/>
        <v>0</v>
      </c>
    </row>
    <row r="1064" spans="1:11" x14ac:dyDescent="0.2">
      <c r="A1064" t="s">
        <v>1386</v>
      </c>
      <c r="B1064" t="s">
        <v>3320</v>
      </c>
      <c r="E1064" t="str">
        <f>IF(D1064&lt;&gt;"",C1064&amp;"/"&amp;D1064,"")</f>
        <v/>
      </c>
      <c r="G1064" s="5" t="str">
        <f t="shared" si="20"/>
        <v/>
      </c>
      <c r="I1064" s="6" t="str">
        <f t="shared" si="21"/>
        <v>0</v>
      </c>
    </row>
    <row r="1065" spans="1:11" x14ac:dyDescent="0.2">
      <c r="A1065" t="s">
        <v>1387</v>
      </c>
      <c r="B1065" t="s">
        <v>3310</v>
      </c>
      <c r="E1065" t="str">
        <f>IF(D1065&lt;&gt;"",C1065&amp;"/"&amp;D1065,"")</f>
        <v/>
      </c>
      <c r="G1065" s="5" t="str">
        <f t="shared" si="20"/>
        <v/>
      </c>
      <c r="I1065" s="6" t="str">
        <f t="shared" si="21"/>
        <v>0</v>
      </c>
    </row>
    <row r="1066" spans="1:11" x14ac:dyDescent="0.2">
      <c r="A1066" t="s">
        <v>1391</v>
      </c>
      <c r="B1066" t="s">
        <v>309</v>
      </c>
      <c r="E1066" t="str">
        <f>IF(D1066&lt;&gt;"",C1066&amp;"/"&amp;D1066,"")</f>
        <v/>
      </c>
      <c r="G1066" s="5" t="str">
        <f t="shared" si="20"/>
        <v/>
      </c>
      <c r="I1066" s="6" t="str">
        <f t="shared" si="21"/>
        <v>0</v>
      </c>
    </row>
    <row r="1067" spans="1:11" x14ac:dyDescent="0.2">
      <c r="A1067" t="s">
        <v>1392</v>
      </c>
      <c r="B1067" t="s">
        <v>5044</v>
      </c>
      <c r="C1067" s="5" t="s">
        <v>48</v>
      </c>
      <c r="D1067" t="s">
        <v>5045</v>
      </c>
      <c r="E1067" t="s">
        <v>5046</v>
      </c>
      <c r="F1067" s="5" t="s">
        <v>5035</v>
      </c>
      <c r="G1067" s="5">
        <f t="shared" si="20"/>
        <v>21728</v>
      </c>
      <c r="H1067" s="5">
        <v>24</v>
      </c>
      <c r="I1067" s="6" t="str">
        <f t="shared" si="21"/>
        <v>18</v>
      </c>
      <c r="J1067" s="6" t="s">
        <v>3455</v>
      </c>
      <c r="K1067" s="21" t="s">
        <v>5047</v>
      </c>
    </row>
    <row r="1068" spans="1:11" x14ac:dyDescent="0.2">
      <c r="A1068" t="s">
        <v>1394</v>
      </c>
      <c r="B1068" t="s">
        <v>1395</v>
      </c>
      <c r="E1068" t="str">
        <f>IF(D1068&lt;&gt;"",C1068&amp;"/"&amp;D1068,"")</f>
        <v/>
      </c>
      <c r="G1068" s="5" t="str">
        <f t="shared" si="20"/>
        <v/>
      </c>
      <c r="I1068" s="6" t="str">
        <f t="shared" si="21"/>
        <v>0</v>
      </c>
    </row>
    <row r="1069" spans="1:11" x14ac:dyDescent="0.2">
      <c r="A1069" t="s">
        <v>1397</v>
      </c>
      <c r="B1069" t="s">
        <v>5062</v>
      </c>
      <c r="C1069" s="5" t="s">
        <v>7</v>
      </c>
      <c r="F1069" s="5" t="s">
        <v>5063</v>
      </c>
      <c r="G1069" s="5">
        <f t="shared" si="20"/>
        <v>21862</v>
      </c>
      <c r="I1069" s="6" t="str">
        <f t="shared" si="21"/>
        <v>0</v>
      </c>
      <c r="K1069" s="21" t="s">
        <v>5064</v>
      </c>
    </row>
    <row r="1070" spans="1:11" x14ac:dyDescent="0.2">
      <c r="A1070" t="s">
        <v>1398</v>
      </c>
      <c r="B1070" t="s">
        <v>4668</v>
      </c>
      <c r="G1070" s="5" t="str">
        <f t="shared" si="20"/>
        <v/>
      </c>
      <c r="I1070" s="6" t="str">
        <f t="shared" si="21"/>
        <v>0</v>
      </c>
      <c r="K1070" s="21" t="s">
        <v>4669</v>
      </c>
    </row>
    <row r="1071" spans="1:11" x14ac:dyDescent="0.2">
      <c r="A1071" t="s">
        <v>1399</v>
      </c>
      <c r="B1071" t="s">
        <v>3096</v>
      </c>
      <c r="G1071" s="5" t="str">
        <f t="shared" si="20"/>
        <v/>
      </c>
      <c r="I1071" s="6" t="str">
        <f t="shared" si="21"/>
        <v>0</v>
      </c>
      <c r="K1071" s="21" t="s">
        <v>4610</v>
      </c>
    </row>
    <row r="1072" spans="1:11" x14ac:dyDescent="0.2">
      <c r="A1072" t="s">
        <v>1400</v>
      </c>
      <c r="B1072" t="s">
        <v>3095</v>
      </c>
      <c r="G1072" s="5" t="str">
        <f t="shared" si="20"/>
        <v/>
      </c>
      <c r="I1072" s="6" t="str">
        <f t="shared" si="21"/>
        <v>0</v>
      </c>
      <c r="K1072" s="21" t="s">
        <v>4611</v>
      </c>
    </row>
    <row r="1073" spans="1:11" x14ac:dyDescent="0.2">
      <c r="A1073" t="s">
        <v>1401</v>
      </c>
      <c r="B1073" t="s">
        <v>3097</v>
      </c>
      <c r="G1073" s="5" t="str">
        <f t="shared" si="20"/>
        <v/>
      </c>
      <c r="I1073" s="6" t="str">
        <f t="shared" si="21"/>
        <v>0</v>
      </c>
      <c r="K1073" s="21" t="s">
        <v>4612</v>
      </c>
    </row>
    <row r="1074" spans="1:11" x14ac:dyDescent="0.2">
      <c r="A1074" t="s">
        <v>1403</v>
      </c>
      <c r="B1074" t="s">
        <v>3099</v>
      </c>
      <c r="G1074" s="5" t="str">
        <f t="shared" si="20"/>
        <v/>
      </c>
      <c r="I1074" s="6" t="str">
        <f t="shared" si="21"/>
        <v>0</v>
      </c>
      <c r="K1074" s="21" t="s">
        <v>4613</v>
      </c>
    </row>
    <row r="1075" spans="1:11" x14ac:dyDescent="0.2">
      <c r="A1075" t="s">
        <v>1404</v>
      </c>
      <c r="B1075" t="s">
        <v>3101</v>
      </c>
      <c r="E1075" t="str">
        <f>IF(D1075&lt;&gt;"",C1075&amp;"/"&amp;D1075,"")</f>
        <v/>
      </c>
      <c r="G1075" s="5" t="str">
        <f t="shared" si="20"/>
        <v/>
      </c>
      <c r="I1075" s="6" t="str">
        <f t="shared" si="21"/>
        <v>0</v>
      </c>
    </row>
    <row r="1076" spans="1:11" x14ac:dyDescent="0.2">
      <c r="A1076" t="s">
        <v>1405</v>
      </c>
      <c r="B1076" t="s">
        <v>3100</v>
      </c>
      <c r="G1076" s="5" t="str">
        <f t="shared" si="20"/>
        <v/>
      </c>
      <c r="I1076" s="6" t="str">
        <f t="shared" si="21"/>
        <v>0</v>
      </c>
      <c r="K1076" s="21" t="s">
        <v>4614</v>
      </c>
    </row>
    <row r="1077" spans="1:11" x14ac:dyDescent="0.2">
      <c r="A1077" t="s">
        <v>1406</v>
      </c>
      <c r="B1077" t="s">
        <v>1407</v>
      </c>
      <c r="E1077" t="str">
        <f>IF(D1077&lt;&gt;"",C1077&amp;"/"&amp;D1077,"")</f>
        <v/>
      </c>
      <c r="G1077" s="5" t="str">
        <f t="shared" si="20"/>
        <v/>
      </c>
      <c r="I1077" s="6" t="str">
        <f t="shared" si="21"/>
        <v>0</v>
      </c>
    </row>
    <row r="1078" spans="1:11" x14ac:dyDescent="0.2">
      <c r="A1078" t="s">
        <v>1408</v>
      </c>
      <c r="B1078" t="s">
        <v>1409</v>
      </c>
      <c r="E1078" t="str">
        <f>IF(D1078&lt;&gt;"",C1078&amp;"/"&amp;D1078,"")</f>
        <v/>
      </c>
      <c r="G1078" s="5" t="str">
        <f t="shared" si="20"/>
        <v/>
      </c>
      <c r="I1078" s="6" t="str">
        <f t="shared" si="21"/>
        <v>0</v>
      </c>
    </row>
    <row r="1079" spans="1:11" x14ac:dyDescent="0.2">
      <c r="A1079" t="s">
        <v>1410</v>
      </c>
      <c r="B1079" t="s">
        <v>1410</v>
      </c>
      <c r="E1079" t="str">
        <f>IF(D1079&lt;&gt;"",C1079&amp;"/"&amp;D1079,"")</f>
        <v/>
      </c>
      <c r="G1079" s="5" t="str">
        <f t="shared" si="20"/>
        <v/>
      </c>
      <c r="I1079" s="6" t="str">
        <f t="shared" si="21"/>
        <v>0</v>
      </c>
    </row>
    <row r="1080" spans="1:11" x14ac:dyDescent="0.2">
      <c r="A1080" t="s">
        <v>1411</v>
      </c>
      <c r="B1080" t="s">
        <v>1412</v>
      </c>
      <c r="E1080" t="str">
        <f>IF(D1080&lt;&gt;"",C1080&amp;"/"&amp;D1080,"")</f>
        <v/>
      </c>
      <c r="G1080" s="5" t="str">
        <f t="shared" si="20"/>
        <v/>
      </c>
      <c r="I1080" s="6" t="str">
        <f t="shared" si="21"/>
        <v>0</v>
      </c>
    </row>
    <row r="1081" spans="1:11" x14ac:dyDescent="0.2">
      <c r="A1081" t="s">
        <v>1413</v>
      </c>
      <c r="B1081" t="s">
        <v>1414</v>
      </c>
      <c r="E1081" t="str">
        <f>IF(D1081&lt;&gt;"",C1081&amp;"/"&amp;D1081,"")</f>
        <v/>
      </c>
      <c r="G1081" s="5" t="str">
        <f t="shared" si="20"/>
        <v/>
      </c>
      <c r="I1081" s="6" t="str">
        <f t="shared" si="21"/>
        <v>0</v>
      </c>
    </row>
    <row r="1082" spans="1:11" x14ac:dyDescent="0.2">
      <c r="A1082" t="s">
        <v>1415</v>
      </c>
      <c r="B1082" t="s">
        <v>1416</v>
      </c>
      <c r="E1082" t="str">
        <f>IF(D1082&lt;&gt;"",C1082&amp;"/"&amp;D1082,"")</f>
        <v/>
      </c>
      <c r="G1082" s="5" t="str">
        <f t="shared" si="20"/>
        <v/>
      </c>
      <c r="I1082" s="6" t="str">
        <f t="shared" si="21"/>
        <v>0</v>
      </c>
    </row>
    <row r="1083" spans="1:11" x14ac:dyDescent="0.2">
      <c r="A1083" t="s">
        <v>1417</v>
      </c>
      <c r="B1083" t="s">
        <v>1418</v>
      </c>
      <c r="E1083" t="str">
        <f>IF(D1083&lt;&gt;"",C1083&amp;"/"&amp;D1083,"")</f>
        <v/>
      </c>
      <c r="G1083" s="5" t="str">
        <f t="shared" si="20"/>
        <v/>
      </c>
      <c r="I1083" s="6" t="str">
        <f t="shared" si="21"/>
        <v>0</v>
      </c>
    </row>
    <row r="1084" spans="1:11" x14ac:dyDescent="0.2">
      <c r="A1084" t="s">
        <v>1419</v>
      </c>
      <c r="B1084" t="s">
        <v>1420</v>
      </c>
      <c r="E1084" t="str">
        <f>IF(D1084&lt;&gt;"",C1084&amp;"/"&amp;D1084,"")</f>
        <v/>
      </c>
      <c r="G1084" s="5" t="str">
        <f t="shared" si="20"/>
        <v/>
      </c>
      <c r="I1084" s="6" t="str">
        <f t="shared" si="21"/>
        <v>0</v>
      </c>
    </row>
    <row r="1085" spans="1:11" x14ac:dyDescent="0.2">
      <c r="A1085" t="s">
        <v>1421</v>
      </c>
      <c r="E1085" t="str">
        <f>IF(D1085&lt;&gt;"",C1085&amp;"/"&amp;D1085,"")</f>
        <v/>
      </c>
      <c r="G1085" s="5" t="str">
        <f t="shared" si="20"/>
        <v/>
      </c>
      <c r="I1085" s="6" t="str">
        <f t="shared" si="21"/>
        <v>0</v>
      </c>
    </row>
    <row r="1086" spans="1:11" x14ac:dyDescent="0.2">
      <c r="A1086" t="s">
        <v>1422</v>
      </c>
      <c r="B1086" t="s">
        <v>309</v>
      </c>
      <c r="E1086" t="str">
        <f>IF(D1086&lt;&gt;"",C1086&amp;"/"&amp;D1086,"")</f>
        <v/>
      </c>
      <c r="G1086" s="5" t="str">
        <f t="shared" si="20"/>
        <v/>
      </c>
      <c r="I1086" s="6" t="str">
        <f t="shared" si="21"/>
        <v>0</v>
      </c>
    </row>
    <row r="1087" spans="1:11" x14ac:dyDescent="0.2">
      <c r="A1087" t="s">
        <v>1423</v>
      </c>
      <c r="B1087" t="s">
        <v>309</v>
      </c>
      <c r="E1087" t="str">
        <f>IF(D1087&lt;&gt;"",C1087&amp;"/"&amp;D1087,"")</f>
        <v/>
      </c>
      <c r="G1087" s="5" t="str">
        <f t="shared" si="20"/>
        <v/>
      </c>
      <c r="I1087" s="6" t="str">
        <f t="shared" si="21"/>
        <v>0</v>
      </c>
    </row>
    <row r="1088" spans="1:11" x14ac:dyDescent="0.2">
      <c r="A1088" t="s">
        <v>1424</v>
      </c>
      <c r="B1088" t="s">
        <v>1425</v>
      </c>
      <c r="E1088" t="str">
        <f>IF(D1088&lt;&gt;"",C1088&amp;"/"&amp;D1088,"")</f>
        <v/>
      </c>
      <c r="G1088" s="5" t="str">
        <f t="shared" si="20"/>
        <v/>
      </c>
      <c r="I1088" s="6" t="str">
        <f t="shared" si="21"/>
        <v>0</v>
      </c>
    </row>
    <row r="1089" spans="1:11" x14ac:dyDescent="0.2">
      <c r="A1089" t="s">
        <v>1426</v>
      </c>
      <c r="B1089" t="s">
        <v>1427</v>
      </c>
      <c r="E1089" t="str">
        <f>IF(D1089&lt;&gt;"",C1089&amp;"/"&amp;D1089,"")</f>
        <v/>
      </c>
      <c r="G1089" s="5" t="str">
        <f t="shared" si="20"/>
        <v/>
      </c>
      <c r="I1089" s="6" t="str">
        <f t="shared" si="21"/>
        <v>0</v>
      </c>
    </row>
    <row r="1090" spans="1:11" x14ac:dyDescent="0.2">
      <c r="A1090" t="s">
        <v>1428</v>
      </c>
      <c r="B1090" t="s">
        <v>1429</v>
      </c>
      <c r="E1090" t="str">
        <f>IF(D1090&lt;&gt;"",C1090&amp;"/"&amp;D1090,"")</f>
        <v/>
      </c>
      <c r="G1090" s="5" t="str">
        <f t="shared" si="20"/>
        <v/>
      </c>
      <c r="I1090" s="6" t="str">
        <f t="shared" si="21"/>
        <v>0</v>
      </c>
    </row>
    <row r="1091" spans="1:11" x14ac:dyDescent="0.2">
      <c r="A1091" t="s">
        <v>1430</v>
      </c>
      <c r="B1091" t="s">
        <v>309</v>
      </c>
      <c r="E1091" t="str">
        <f>IF(D1091&lt;&gt;"",C1091&amp;"/"&amp;D1091,"")</f>
        <v/>
      </c>
      <c r="G1091" s="5" t="str">
        <f t="shared" si="20"/>
        <v/>
      </c>
      <c r="I1091" s="6" t="str">
        <f t="shared" si="21"/>
        <v>0</v>
      </c>
    </row>
    <row r="1092" spans="1:11" x14ac:dyDescent="0.2">
      <c r="A1092" t="s">
        <v>1431</v>
      </c>
      <c r="B1092" t="s">
        <v>3098</v>
      </c>
      <c r="G1092" s="5" t="str">
        <f t="shared" si="20"/>
        <v/>
      </c>
      <c r="I1092" s="6" t="str">
        <f t="shared" si="21"/>
        <v>0</v>
      </c>
      <c r="K1092" s="21" t="s">
        <v>4615</v>
      </c>
    </row>
    <row r="1093" spans="1:11" x14ac:dyDescent="0.2">
      <c r="A1093" t="s">
        <v>1432</v>
      </c>
      <c r="B1093" t="s">
        <v>1433</v>
      </c>
      <c r="E1093" t="str">
        <f>IF(D1093&lt;&gt;"",C1093&amp;"/"&amp;D1093,"")</f>
        <v/>
      </c>
      <c r="G1093" s="5" t="str">
        <f t="shared" si="20"/>
        <v/>
      </c>
      <c r="I1093" s="6" t="str">
        <f t="shared" si="21"/>
        <v>0</v>
      </c>
    </row>
    <row r="1094" spans="1:11" x14ac:dyDescent="0.2">
      <c r="A1094" t="s">
        <v>1434</v>
      </c>
      <c r="B1094" t="s">
        <v>1435</v>
      </c>
      <c r="E1094" t="str">
        <f>IF(D1094&lt;&gt;"",C1094&amp;"/"&amp;D1094,"")</f>
        <v/>
      </c>
      <c r="G1094" s="5" t="str">
        <f t="shared" si="20"/>
        <v/>
      </c>
      <c r="I1094" s="6" t="str">
        <f t="shared" si="21"/>
        <v>0</v>
      </c>
    </row>
    <row r="1095" spans="1:11" x14ac:dyDescent="0.2">
      <c r="A1095" t="s">
        <v>1436</v>
      </c>
      <c r="B1095" t="s">
        <v>1437</v>
      </c>
      <c r="E1095" t="str">
        <f>IF(D1095&lt;&gt;"",C1095&amp;"/"&amp;D1095,"")</f>
        <v/>
      </c>
      <c r="G1095" s="5" t="str">
        <f t="shared" si="20"/>
        <v/>
      </c>
      <c r="I1095" s="6" t="str">
        <f t="shared" si="21"/>
        <v>0</v>
      </c>
    </row>
    <row r="1096" spans="1:11" x14ac:dyDescent="0.2">
      <c r="A1096" t="s">
        <v>1438</v>
      </c>
      <c r="B1096" t="s">
        <v>1439</v>
      </c>
      <c r="E1096" t="str">
        <f>IF(D1096&lt;&gt;"",C1096&amp;"/"&amp;D1096,"")</f>
        <v/>
      </c>
      <c r="G1096" s="5" t="str">
        <f t="shared" si="20"/>
        <v/>
      </c>
      <c r="I1096" s="6" t="str">
        <f t="shared" si="21"/>
        <v>0</v>
      </c>
    </row>
    <row r="1097" spans="1:11" x14ac:dyDescent="0.2">
      <c r="A1097" t="s">
        <v>1440</v>
      </c>
      <c r="B1097" t="s">
        <v>309</v>
      </c>
      <c r="E1097" t="str">
        <f>IF(D1097&lt;&gt;"",C1097&amp;"/"&amp;D1097,"")</f>
        <v/>
      </c>
      <c r="G1097" s="5" t="str">
        <f t="shared" si="20"/>
        <v/>
      </c>
      <c r="I1097" s="6" t="str">
        <f t="shared" si="21"/>
        <v>0</v>
      </c>
    </row>
    <row r="1098" spans="1:11" x14ac:dyDescent="0.2">
      <c r="A1098" t="s">
        <v>1441</v>
      </c>
      <c r="B1098" t="s">
        <v>1442</v>
      </c>
      <c r="E1098" t="str">
        <f>IF(D1098&lt;&gt;"",C1098&amp;"/"&amp;D1098,"")</f>
        <v/>
      </c>
      <c r="G1098" s="5" t="str">
        <f t="shared" si="20"/>
        <v/>
      </c>
      <c r="I1098" s="6" t="str">
        <f t="shared" si="21"/>
        <v>0</v>
      </c>
    </row>
    <row r="1099" spans="1:11" x14ac:dyDescent="0.2">
      <c r="A1099" t="s">
        <v>1443</v>
      </c>
      <c r="B1099" t="s">
        <v>309</v>
      </c>
      <c r="E1099" t="str">
        <f>IF(D1099&lt;&gt;"",C1099&amp;"/"&amp;D1099,"")</f>
        <v/>
      </c>
      <c r="G1099" s="5" t="str">
        <f t="shared" si="20"/>
        <v/>
      </c>
      <c r="I1099" s="6" t="str">
        <f t="shared" si="21"/>
        <v>0</v>
      </c>
    </row>
    <row r="1100" spans="1:11" x14ac:dyDescent="0.2">
      <c r="A1100" t="s">
        <v>1444</v>
      </c>
      <c r="B1100" t="s">
        <v>309</v>
      </c>
      <c r="E1100" t="str">
        <f>IF(D1100&lt;&gt;"",C1100&amp;"/"&amp;D1100,"")</f>
        <v/>
      </c>
      <c r="G1100" s="5" t="str">
        <f t="shared" si="20"/>
        <v/>
      </c>
      <c r="I1100" s="6" t="str">
        <f t="shared" si="21"/>
        <v>0</v>
      </c>
    </row>
    <row r="1101" spans="1:11" x14ac:dyDescent="0.2">
      <c r="A1101" t="s">
        <v>1445</v>
      </c>
      <c r="B1101" t="s">
        <v>309</v>
      </c>
      <c r="E1101" t="str">
        <f>IF(D1101&lt;&gt;"",C1101&amp;"/"&amp;D1101,"")</f>
        <v/>
      </c>
      <c r="G1101" s="5" t="str">
        <f t="shared" si="20"/>
        <v/>
      </c>
      <c r="I1101" s="6" t="str">
        <f t="shared" si="21"/>
        <v>0</v>
      </c>
    </row>
    <row r="1102" spans="1:11" x14ac:dyDescent="0.2">
      <c r="A1102" t="s">
        <v>1446</v>
      </c>
      <c r="B1102" t="s">
        <v>309</v>
      </c>
      <c r="E1102" t="str">
        <f>IF(D1102&lt;&gt;"",C1102&amp;"/"&amp;D1102,"")</f>
        <v/>
      </c>
      <c r="G1102" s="5" t="str">
        <f t="shared" si="20"/>
        <v/>
      </c>
      <c r="I1102" s="6" t="str">
        <f t="shared" si="21"/>
        <v>0</v>
      </c>
    </row>
    <row r="1103" spans="1:11" x14ac:dyDescent="0.2">
      <c r="A1103" t="s">
        <v>1447</v>
      </c>
      <c r="B1103" t="s">
        <v>309</v>
      </c>
      <c r="E1103" t="str">
        <f>IF(D1103&lt;&gt;"",C1103&amp;"/"&amp;D1103,"")</f>
        <v/>
      </c>
      <c r="G1103" s="5" t="str">
        <f t="shared" si="20"/>
        <v/>
      </c>
      <c r="I1103" s="6" t="str">
        <f t="shared" si="21"/>
        <v>0</v>
      </c>
    </row>
    <row r="1104" spans="1:11" x14ac:dyDescent="0.2">
      <c r="A1104" t="s">
        <v>1448</v>
      </c>
      <c r="B1104" t="s">
        <v>309</v>
      </c>
      <c r="E1104" t="str">
        <f>IF(D1104&lt;&gt;"",C1104&amp;"/"&amp;D1104,"")</f>
        <v/>
      </c>
      <c r="G1104" s="5" t="str">
        <f t="shared" ref="G1104:G1167" si="22">IF(F1104&lt;&gt;"",HEX2DEC(SUBSTITUTE(SUBSTITUTE(F1104,"adrEA",""),"$","")),"")</f>
        <v/>
      </c>
      <c r="I1104" s="6" t="str">
        <f t="shared" ref="I1104:I1167" si="23">IFERROR(DEC2HEX(H1104),"")</f>
        <v>0</v>
      </c>
    </row>
    <row r="1105" spans="1:9" x14ac:dyDescent="0.2">
      <c r="A1105" t="s">
        <v>1449</v>
      </c>
      <c r="B1105" t="s">
        <v>309</v>
      </c>
      <c r="E1105" t="str">
        <f>IF(D1105&lt;&gt;"",C1105&amp;"/"&amp;D1105,"")</f>
        <v/>
      </c>
      <c r="G1105" s="5" t="str">
        <f t="shared" si="22"/>
        <v/>
      </c>
      <c r="I1105" s="6" t="str">
        <f t="shared" si="23"/>
        <v>0</v>
      </c>
    </row>
    <row r="1106" spans="1:9" x14ac:dyDescent="0.2">
      <c r="A1106" t="s">
        <v>1450</v>
      </c>
      <c r="B1106" t="s">
        <v>309</v>
      </c>
      <c r="E1106" t="str">
        <f>IF(D1106&lt;&gt;"",C1106&amp;"/"&amp;D1106,"")</f>
        <v/>
      </c>
      <c r="G1106" s="5" t="str">
        <f t="shared" si="22"/>
        <v/>
      </c>
      <c r="I1106" s="6" t="str">
        <f t="shared" si="23"/>
        <v>0</v>
      </c>
    </row>
    <row r="1107" spans="1:9" x14ac:dyDescent="0.2">
      <c r="A1107" t="s">
        <v>1451</v>
      </c>
      <c r="B1107" t="s">
        <v>309</v>
      </c>
      <c r="E1107" t="str">
        <f>IF(D1107&lt;&gt;"",C1107&amp;"/"&amp;D1107,"")</f>
        <v/>
      </c>
      <c r="G1107" s="5" t="str">
        <f t="shared" si="22"/>
        <v/>
      </c>
      <c r="I1107" s="6" t="str">
        <f t="shared" si="23"/>
        <v>0</v>
      </c>
    </row>
    <row r="1108" spans="1:9" x14ac:dyDescent="0.2">
      <c r="A1108" t="s">
        <v>1452</v>
      </c>
      <c r="B1108" t="s">
        <v>309</v>
      </c>
      <c r="E1108" t="str">
        <f>IF(D1108&lt;&gt;"",C1108&amp;"/"&amp;D1108,"")</f>
        <v/>
      </c>
      <c r="G1108" s="5" t="str">
        <f t="shared" si="22"/>
        <v/>
      </c>
      <c r="I1108" s="6" t="str">
        <f t="shared" si="23"/>
        <v>0</v>
      </c>
    </row>
    <row r="1109" spans="1:9" x14ac:dyDescent="0.2">
      <c r="A1109" t="s">
        <v>1453</v>
      </c>
      <c r="B1109" t="s">
        <v>309</v>
      </c>
      <c r="E1109" t="str">
        <f>IF(D1109&lt;&gt;"",C1109&amp;"/"&amp;D1109,"")</f>
        <v/>
      </c>
      <c r="G1109" s="5" t="str">
        <f t="shared" si="22"/>
        <v/>
      </c>
      <c r="I1109" s="6" t="str">
        <f t="shared" si="23"/>
        <v>0</v>
      </c>
    </row>
    <row r="1110" spans="1:9" x14ac:dyDescent="0.2">
      <c r="A1110" t="s">
        <v>1454</v>
      </c>
      <c r="B1110" t="s">
        <v>309</v>
      </c>
      <c r="E1110" t="str">
        <f>IF(D1110&lt;&gt;"",C1110&amp;"/"&amp;D1110,"")</f>
        <v/>
      </c>
      <c r="G1110" s="5" t="str">
        <f t="shared" si="22"/>
        <v/>
      </c>
      <c r="I1110" s="6" t="str">
        <f t="shared" si="23"/>
        <v>0</v>
      </c>
    </row>
    <row r="1111" spans="1:9" x14ac:dyDescent="0.2">
      <c r="A1111" t="s">
        <v>1455</v>
      </c>
      <c r="B1111" t="s">
        <v>309</v>
      </c>
      <c r="E1111" t="str">
        <f>IF(D1111&lt;&gt;"",C1111&amp;"/"&amp;D1111,"")</f>
        <v/>
      </c>
      <c r="G1111" s="5" t="str">
        <f t="shared" si="22"/>
        <v/>
      </c>
      <c r="I1111" s="6" t="str">
        <f t="shared" si="23"/>
        <v>0</v>
      </c>
    </row>
    <row r="1112" spans="1:9" x14ac:dyDescent="0.2">
      <c r="A1112" t="s">
        <v>1456</v>
      </c>
      <c r="B1112" t="s">
        <v>309</v>
      </c>
      <c r="E1112" t="str">
        <f>IF(D1112&lt;&gt;"",C1112&amp;"/"&amp;D1112,"")</f>
        <v/>
      </c>
      <c r="G1112" s="5" t="str">
        <f t="shared" si="22"/>
        <v/>
      </c>
      <c r="I1112" s="6" t="str">
        <f t="shared" si="23"/>
        <v>0</v>
      </c>
    </row>
    <row r="1113" spans="1:9" x14ac:dyDescent="0.2">
      <c r="A1113" t="s">
        <v>1457</v>
      </c>
      <c r="B1113" t="s">
        <v>309</v>
      </c>
      <c r="E1113" t="str">
        <f>IF(D1113&lt;&gt;"",C1113&amp;"/"&amp;D1113,"")</f>
        <v/>
      </c>
      <c r="G1113" s="5" t="str">
        <f t="shared" si="22"/>
        <v/>
      </c>
      <c r="I1113" s="6" t="str">
        <f t="shared" si="23"/>
        <v>0</v>
      </c>
    </row>
    <row r="1114" spans="1:9" x14ac:dyDescent="0.2">
      <c r="A1114" t="s">
        <v>1458</v>
      </c>
      <c r="B1114" t="s">
        <v>309</v>
      </c>
      <c r="E1114" t="str">
        <f>IF(D1114&lt;&gt;"",C1114&amp;"/"&amp;D1114,"")</f>
        <v/>
      </c>
      <c r="G1114" s="5" t="str">
        <f t="shared" si="22"/>
        <v/>
      </c>
      <c r="I1114" s="6" t="str">
        <f t="shared" si="23"/>
        <v>0</v>
      </c>
    </row>
    <row r="1115" spans="1:9" x14ac:dyDescent="0.2">
      <c r="A1115" t="s">
        <v>1459</v>
      </c>
      <c r="B1115" t="s">
        <v>309</v>
      </c>
      <c r="E1115" t="str">
        <f>IF(D1115&lt;&gt;"",C1115&amp;"/"&amp;D1115,"")</f>
        <v/>
      </c>
      <c r="G1115" s="5" t="str">
        <f t="shared" si="22"/>
        <v/>
      </c>
      <c r="I1115" s="6" t="str">
        <f t="shared" si="23"/>
        <v>0</v>
      </c>
    </row>
    <row r="1116" spans="1:9" x14ac:dyDescent="0.2">
      <c r="A1116" t="s">
        <v>1460</v>
      </c>
      <c r="B1116" t="s">
        <v>309</v>
      </c>
      <c r="E1116" t="str">
        <f>IF(D1116&lt;&gt;"",C1116&amp;"/"&amp;D1116,"")</f>
        <v/>
      </c>
      <c r="G1116" s="5" t="str">
        <f t="shared" si="22"/>
        <v/>
      </c>
      <c r="I1116" s="6" t="str">
        <f t="shared" si="23"/>
        <v>0</v>
      </c>
    </row>
    <row r="1117" spans="1:9" x14ac:dyDescent="0.2">
      <c r="A1117" t="s">
        <v>1461</v>
      </c>
      <c r="B1117" t="s">
        <v>309</v>
      </c>
      <c r="E1117" t="str">
        <f>IF(D1117&lt;&gt;"",C1117&amp;"/"&amp;D1117,"")</f>
        <v/>
      </c>
      <c r="G1117" s="5" t="str">
        <f t="shared" si="22"/>
        <v/>
      </c>
      <c r="I1117" s="6" t="str">
        <f t="shared" si="23"/>
        <v>0</v>
      </c>
    </row>
    <row r="1118" spans="1:9" x14ac:dyDescent="0.2">
      <c r="A1118" t="s">
        <v>1462</v>
      </c>
      <c r="B1118" t="s">
        <v>309</v>
      </c>
      <c r="E1118" t="str">
        <f>IF(D1118&lt;&gt;"",C1118&amp;"/"&amp;D1118,"")</f>
        <v/>
      </c>
      <c r="G1118" s="5" t="str">
        <f t="shared" si="22"/>
        <v/>
      </c>
      <c r="I1118" s="6" t="str">
        <f t="shared" si="23"/>
        <v>0</v>
      </c>
    </row>
    <row r="1119" spans="1:9" x14ac:dyDescent="0.2">
      <c r="A1119" t="s">
        <v>1463</v>
      </c>
      <c r="B1119" t="s">
        <v>309</v>
      </c>
      <c r="E1119" t="str">
        <f>IF(D1119&lt;&gt;"",C1119&amp;"/"&amp;D1119,"")</f>
        <v/>
      </c>
      <c r="G1119" s="5" t="str">
        <f t="shared" si="22"/>
        <v/>
      </c>
      <c r="I1119" s="6" t="str">
        <f t="shared" si="23"/>
        <v>0</v>
      </c>
    </row>
    <row r="1120" spans="1:9" x14ac:dyDescent="0.2">
      <c r="A1120" t="s">
        <v>1464</v>
      </c>
      <c r="B1120" t="s">
        <v>309</v>
      </c>
      <c r="E1120" t="str">
        <f>IF(D1120&lt;&gt;"",C1120&amp;"/"&amp;D1120,"")</f>
        <v/>
      </c>
      <c r="G1120" s="5" t="str">
        <f t="shared" si="22"/>
        <v/>
      </c>
      <c r="I1120" s="6" t="str">
        <f t="shared" si="23"/>
        <v>0</v>
      </c>
    </row>
    <row r="1121" spans="1:9" x14ac:dyDescent="0.2">
      <c r="A1121" t="s">
        <v>1465</v>
      </c>
      <c r="B1121" t="s">
        <v>309</v>
      </c>
      <c r="E1121" t="str">
        <f>IF(D1121&lt;&gt;"",C1121&amp;"/"&amp;D1121,"")</f>
        <v/>
      </c>
      <c r="G1121" s="5" t="str">
        <f t="shared" si="22"/>
        <v/>
      </c>
      <c r="I1121" s="6" t="str">
        <f t="shared" si="23"/>
        <v>0</v>
      </c>
    </row>
    <row r="1122" spans="1:9" x14ac:dyDescent="0.2">
      <c r="A1122" t="s">
        <v>1466</v>
      </c>
      <c r="B1122" t="s">
        <v>309</v>
      </c>
      <c r="E1122" t="str">
        <f>IF(D1122&lt;&gt;"",C1122&amp;"/"&amp;D1122,"")</f>
        <v/>
      </c>
      <c r="G1122" s="5" t="str">
        <f t="shared" si="22"/>
        <v/>
      </c>
      <c r="I1122" s="6" t="str">
        <f t="shared" si="23"/>
        <v>0</v>
      </c>
    </row>
    <row r="1123" spans="1:9" x14ac:dyDescent="0.2">
      <c r="A1123" t="s">
        <v>1467</v>
      </c>
      <c r="B1123" t="s">
        <v>309</v>
      </c>
      <c r="E1123" t="str">
        <f>IF(D1123&lt;&gt;"",C1123&amp;"/"&amp;D1123,"")</f>
        <v/>
      </c>
      <c r="G1123" s="5" t="str">
        <f t="shared" si="22"/>
        <v/>
      </c>
      <c r="I1123" s="6" t="str">
        <f t="shared" si="23"/>
        <v>0</v>
      </c>
    </row>
    <row r="1124" spans="1:9" x14ac:dyDescent="0.2">
      <c r="A1124" t="s">
        <v>1468</v>
      </c>
      <c r="B1124" t="s">
        <v>309</v>
      </c>
      <c r="E1124" t="str">
        <f>IF(D1124&lt;&gt;"",C1124&amp;"/"&amp;D1124,"")</f>
        <v/>
      </c>
      <c r="G1124" s="5" t="str">
        <f t="shared" si="22"/>
        <v/>
      </c>
      <c r="I1124" s="6" t="str">
        <f t="shared" si="23"/>
        <v>0</v>
      </c>
    </row>
    <row r="1125" spans="1:9" x14ac:dyDescent="0.2">
      <c r="A1125" t="s">
        <v>1469</v>
      </c>
      <c r="B1125" t="s">
        <v>309</v>
      </c>
      <c r="E1125" t="str">
        <f>IF(D1125&lt;&gt;"",C1125&amp;"/"&amp;D1125,"")</f>
        <v/>
      </c>
      <c r="G1125" s="5" t="str">
        <f t="shared" si="22"/>
        <v/>
      </c>
      <c r="I1125" s="6" t="str">
        <f t="shared" si="23"/>
        <v>0</v>
      </c>
    </row>
    <row r="1126" spans="1:9" x14ac:dyDescent="0.2">
      <c r="A1126" t="s">
        <v>1470</v>
      </c>
      <c r="B1126" t="s">
        <v>309</v>
      </c>
      <c r="E1126" t="str">
        <f>IF(D1126&lt;&gt;"",C1126&amp;"/"&amp;D1126,"")</f>
        <v/>
      </c>
      <c r="G1126" s="5" t="str">
        <f t="shared" si="22"/>
        <v/>
      </c>
      <c r="I1126" s="6" t="str">
        <f t="shared" si="23"/>
        <v>0</v>
      </c>
    </row>
    <row r="1127" spans="1:9" x14ac:dyDescent="0.2">
      <c r="A1127" t="s">
        <v>1471</v>
      </c>
      <c r="B1127" t="s">
        <v>309</v>
      </c>
      <c r="E1127" t="str">
        <f>IF(D1127&lt;&gt;"",C1127&amp;"/"&amp;D1127,"")</f>
        <v/>
      </c>
      <c r="G1127" s="5" t="str">
        <f t="shared" si="22"/>
        <v/>
      </c>
      <c r="I1127" s="6" t="str">
        <f t="shared" si="23"/>
        <v>0</v>
      </c>
    </row>
    <row r="1128" spans="1:9" x14ac:dyDescent="0.2">
      <c r="A1128" t="s">
        <v>1472</v>
      </c>
      <c r="B1128" t="s">
        <v>309</v>
      </c>
      <c r="E1128" t="str">
        <f>IF(D1128&lt;&gt;"",C1128&amp;"/"&amp;D1128,"")</f>
        <v/>
      </c>
      <c r="G1128" s="5" t="str">
        <f t="shared" si="22"/>
        <v/>
      </c>
      <c r="I1128" s="6" t="str">
        <f t="shared" si="23"/>
        <v>0</v>
      </c>
    </row>
    <row r="1129" spans="1:9" x14ac:dyDescent="0.2">
      <c r="A1129" t="s">
        <v>1473</v>
      </c>
      <c r="B1129" t="s">
        <v>309</v>
      </c>
      <c r="E1129" t="str">
        <f>IF(D1129&lt;&gt;"",C1129&amp;"/"&amp;D1129,"")</f>
        <v/>
      </c>
      <c r="G1129" s="5" t="str">
        <f t="shared" si="22"/>
        <v/>
      </c>
      <c r="I1129" s="6" t="str">
        <f t="shared" si="23"/>
        <v>0</v>
      </c>
    </row>
    <row r="1130" spans="1:9" x14ac:dyDescent="0.2">
      <c r="A1130" t="s">
        <v>1474</v>
      </c>
      <c r="B1130" t="s">
        <v>309</v>
      </c>
      <c r="E1130" t="str">
        <f>IF(D1130&lt;&gt;"",C1130&amp;"/"&amp;D1130,"")</f>
        <v/>
      </c>
      <c r="G1130" s="5" t="str">
        <f t="shared" si="22"/>
        <v/>
      </c>
      <c r="I1130" s="6" t="str">
        <f t="shared" si="23"/>
        <v>0</v>
      </c>
    </row>
    <row r="1131" spans="1:9" x14ac:dyDescent="0.2">
      <c r="A1131" t="s">
        <v>1475</v>
      </c>
      <c r="B1131" t="s">
        <v>309</v>
      </c>
      <c r="E1131" t="str">
        <f>IF(D1131&lt;&gt;"",C1131&amp;"/"&amp;D1131,"")</f>
        <v/>
      </c>
      <c r="G1131" s="5" t="str">
        <f t="shared" si="22"/>
        <v/>
      </c>
      <c r="I1131" s="6" t="str">
        <f t="shared" si="23"/>
        <v>0</v>
      </c>
    </row>
    <row r="1132" spans="1:9" x14ac:dyDescent="0.2">
      <c r="A1132" t="s">
        <v>1476</v>
      </c>
      <c r="B1132" t="s">
        <v>309</v>
      </c>
      <c r="E1132" t="str">
        <f>IF(D1132&lt;&gt;"",C1132&amp;"/"&amp;D1132,"")</f>
        <v/>
      </c>
      <c r="G1132" s="5" t="str">
        <f t="shared" si="22"/>
        <v/>
      </c>
      <c r="I1132" s="6" t="str">
        <f t="shared" si="23"/>
        <v>0</v>
      </c>
    </row>
    <row r="1133" spans="1:9" x14ac:dyDescent="0.2">
      <c r="A1133" t="s">
        <v>1477</v>
      </c>
      <c r="B1133" t="s">
        <v>309</v>
      </c>
      <c r="E1133" t="str">
        <f>IF(D1133&lt;&gt;"",C1133&amp;"/"&amp;D1133,"")</f>
        <v/>
      </c>
      <c r="G1133" s="5" t="str">
        <f t="shared" si="22"/>
        <v/>
      </c>
      <c r="I1133" s="6" t="str">
        <f t="shared" si="23"/>
        <v>0</v>
      </c>
    </row>
    <row r="1134" spans="1:9" x14ac:dyDescent="0.2">
      <c r="A1134" t="s">
        <v>1478</v>
      </c>
      <c r="B1134" t="s">
        <v>309</v>
      </c>
      <c r="E1134" t="str">
        <f>IF(D1134&lt;&gt;"",C1134&amp;"/"&amp;D1134,"")</f>
        <v/>
      </c>
      <c r="G1134" s="5" t="str">
        <f t="shared" si="22"/>
        <v/>
      </c>
      <c r="I1134" s="6" t="str">
        <f t="shared" si="23"/>
        <v>0</v>
      </c>
    </row>
    <row r="1135" spans="1:9" x14ac:dyDescent="0.2">
      <c r="A1135" t="s">
        <v>1479</v>
      </c>
      <c r="B1135" t="s">
        <v>309</v>
      </c>
      <c r="E1135" t="str">
        <f>IF(D1135&lt;&gt;"",C1135&amp;"/"&amp;D1135,"")</f>
        <v/>
      </c>
      <c r="G1135" s="5" t="str">
        <f t="shared" si="22"/>
        <v/>
      </c>
      <c r="I1135" s="6" t="str">
        <f t="shared" si="23"/>
        <v>0</v>
      </c>
    </row>
    <row r="1136" spans="1:9" x14ac:dyDescent="0.2">
      <c r="A1136" t="s">
        <v>1480</v>
      </c>
      <c r="B1136" t="s">
        <v>309</v>
      </c>
      <c r="E1136" t="str">
        <f>IF(D1136&lt;&gt;"",C1136&amp;"/"&amp;D1136,"")</f>
        <v/>
      </c>
      <c r="G1136" s="5" t="str">
        <f t="shared" si="22"/>
        <v/>
      </c>
      <c r="I1136" s="6" t="str">
        <f t="shared" si="23"/>
        <v>0</v>
      </c>
    </row>
    <row r="1137" spans="1:9" x14ac:dyDescent="0.2">
      <c r="A1137" t="s">
        <v>1481</v>
      </c>
      <c r="B1137" t="s">
        <v>309</v>
      </c>
      <c r="E1137" t="str">
        <f>IF(D1137&lt;&gt;"",C1137&amp;"/"&amp;D1137,"")</f>
        <v/>
      </c>
      <c r="G1137" s="5" t="str">
        <f t="shared" si="22"/>
        <v/>
      </c>
      <c r="I1137" s="6" t="str">
        <f t="shared" si="23"/>
        <v>0</v>
      </c>
    </row>
    <row r="1138" spans="1:9" x14ac:dyDescent="0.2">
      <c r="A1138" t="s">
        <v>1482</v>
      </c>
      <c r="B1138" t="s">
        <v>309</v>
      </c>
      <c r="E1138" t="str">
        <f>IF(D1138&lt;&gt;"",C1138&amp;"/"&amp;D1138,"")</f>
        <v/>
      </c>
      <c r="G1138" s="5" t="str">
        <f t="shared" si="22"/>
        <v/>
      </c>
      <c r="I1138" s="6" t="str">
        <f t="shared" si="23"/>
        <v>0</v>
      </c>
    </row>
    <row r="1139" spans="1:9" x14ac:dyDescent="0.2">
      <c r="A1139" t="s">
        <v>1483</v>
      </c>
      <c r="B1139" t="s">
        <v>309</v>
      </c>
      <c r="E1139" t="str">
        <f>IF(D1139&lt;&gt;"",C1139&amp;"/"&amp;D1139,"")</f>
        <v/>
      </c>
      <c r="G1139" s="5" t="str">
        <f t="shared" si="22"/>
        <v/>
      </c>
      <c r="I1139" s="6" t="str">
        <f t="shared" si="23"/>
        <v>0</v>
      </c>
    </row>
    <row r="1140" spans="1:9" x14ac:dyDescent="0.2">
      <c r="A1140" t="s">
        <v>1484</v>
      </c>
      <c r="B1140" t="s">
        <v>1485</v>
      </c>
      <c r="E1140" t="str">
        <f>IF(D1140&lt;&gt;"",C1140&amp;"/"&amp;D1140,"")</f>
        <v/>
      </c>
      <c r="G1140" s="5" t="str">
        <f t="shared" si="22"/>
        <v/>
      </c>
      <c r="I1140" s="6" t="str">
        <f t="shared" si="23"/>
        <v>0</v>
      </c>
    </row>
    <row r="1141" spans="1:9" x14ac:dyDescent="0.2">
      <c r="A1141" t="s">
        <v>1488</v>
      </c>
      <c r="B1141" t="s">
        <v>309</v>
      </c>
      <c r="E1141" t="str">
        <f>IF(D1141&lt;&gt;"",C1141&amp;"/"&amp;D1141,"")</f>
        <v/>
      </c>
      <c r="G1141" s="5" t="str">
        <f t="shared" si="22"/>
        <v/>
      </c>
      <c r="I1141" s="6" t="str">
        <f t="shared" si="23"/>
        <v>0</v>
      </c>
    </row>
    <row r="1142" spans="1:9" x14ac:dyDescent="0.2">
      <c r="A1142" t="s">
        <v>1489</v>
      </c>
      <c r="B1142" t="s">
        <v>309</v>
      </c>
      <c r="E1142" t="str">
        <f>IF(D1142&lt;&gt;"",C1142&amp;"/"&amp;D1142,"")</f>
        <v/>
      </c>
      <c r="G1142" s="5" t="str">
        <f t="shared" si="22"/>
        <v/>
      </c>
      <c r="I1142" s="6" t="str">
        <f t="shared" si="23"/>
        <v>0</v>
      </c>
    </row>
    <row r="1143" spans="1:9" x14ac:dyDescent="0.2">
      <c r="A1143" t="s">
        <v>1490</v>
      </c>
      <c r="B1143" t="s">
        <v>309</v>
      </c>
      <c r="E1143" t="str">
        <f>IF(D1143&lt;&gt;"",C1143&amp;"/"&amp;D1143,"")</f>
        <v/>
      </c>
      <c r="G1143" s="5" t="str">
        <f t="shared" si="22"/>
        <v/>
      </c>
      <c r="I1143" s="6" t="str">
        <f t="shared" si="23"/>
        <v>0</v>
      </c>
    </row>
    <row r="1144" spans="1:9" x14ac:dyDescent="0.2">
      <c r="A1144" t="s">
        <v>1491</v>
      </c>
      <c r="B1144" t="s">
        <v>309</v>
      </c>
      <c r="E1144" t="str">
        <f>IF(D1144&lt;&gt;"",C1144&amp;"/"&amp;D1144,"")</f>
        <v/>
      </c>
      <c r="G1144" s="5" t="str">
        <f t="shared" si="22"/>
        <v/>
      </c>
      <c r="I1144" s="6" t="str">
        <f t="shared" si="23"/>
        <v>0</v>
      </c>
    </row>
    <row r="1145" spans="1:9" x14ac:dyDescent="0.2">
      <c r="A1145" t="s">
        <v>1492</v>
      </c>
      <c r="B1145" t="s">
        <v>309</v>
      </c>
      <c r="E1145" t="str">
        <f>IF(D1145&lt;&gt;"",C1145&amp;"/"&amp;D1145,"")</f>
        <v/>
      </c>
      <c r="G1145" s="5" t="str">
        <f t="shared" si="22"/>
        <v/>
      </c>
      <c r="I1145" s="6" t="str">
        <f t="shared" si="23"/>
        <v>0</v>
      </c>
    </row>
    <row r="1146" spans="1:9" x14ac:dyDescent="0.2">
      <c r="A1146" t="s">
        <v>1493</v>
      </c>
      <c r="B1146" t="s">
        <v>309</v>
      </c>
      <c r="E1146" t="str">
        <f>IF(D1146&lt;&gt;"",C1146&amp;"/"&amp;D1146,"")</f>
        <v/>
      </c>
      <c r="G1146" s="5" t="str">
        <f t="shared" si="22"/>
        <v/>
      </c>
      <c r="I1146" s="6" t="str">
        <f t="shared" si="23"/>
        <v>0</v>
      </c>
    </row>
    <row r="1147" spans="1:9" x14ac:dyDescent="0.2">
      <c r="A1147" t="s">
        <v>1494</v>
      </c>
      <c r="B1147" t="s">
        <v>309</v>
      </c>
      <c r="E1147" t="str">
        <f>IF(D1147&lt;&gt;"",C1147&amp;"/"&amp;D1147,"")</f>
        <v/>
      </c>
      <c r="G1147" s="5" t="str">
        <f t="shared" si="22"/>
        <v/>
      </c>
      <c r="I1147" s="6" t="str">
        <f t="shared" si="23"/>
        <v>0</v>
      </c>
    </row>
    <row r="1148" spans="1:9" x14ac:dyDescent="0.2">
      <c r="A1148" t="s">
        <v>1495</v>
      </c>
      <c r="B1148" t="s">
        <v>309</v>
      </c>
      <c r="E1148" t="str">
        <f>IF(D1148&lt;&gt;"",C1148&amp;"/"&amp;D1148,"")</f>
        <v/>
      </c>
      <c r="G1148" s="5" t="str">
        <f t="shared" si="22"/>
        <v/>
      </c>
      <c r="I1148" s="6" t="str">
        <f t="shared" si="23"/>
        <v>0</v>
      </c>
    </row>
    <row r="1149" spans="1:9" x14ac:dyDescent="0.2">
      <c r="A1149" t="s">
        <v>1496</v>
      </c>
      <c r="B1149" t="s">
        <v>309</v>
      </c>
      <c r="E1149" t="str">
        <f>IF(D1149&lt;&gt;"",C1149&amp;"/"&amp;D1149,"")</f>
        <v/>
      </c>
      <c r="G1149" s="5" t="str">
        <f t="shared" si="22"/>
        <v/>
      </c>
      <c r="I1149" s="6" t="str">
        <f t="shared" si="23"/>
        <v>0</v>
      </c>
    </row>
    <row r="1150" spans="1:9" x14ac:dyDescent="0.2">
      <c r="A1150" t="s">
        <v>1497</v>
      </c>
      <c r="B1150" t="s">
        <v>309</v>
      </c>
      <c r="E1150" t="str">
        <f>IF(D1150&lt;&gt;"",C1150&amp;"/"&amp;D1150,"")</f>
        <v/>
      </c>
      <c r="G1150" s="5" t="str">
        <f t="shared" si="22"/>
        <v/>
      </c>
      <c r="I1150" s="6" t="str">
        <f t="shared" si="23"/>
        <v>0</v>
      </c>
    </row>
    <row r="1151" spans="1:9" x14ac:dyDescent="0.2">
      <c r="A1151" t="s">
        <v>1498</v>
      </c>
      <c r="B1151" t="s">
        <v>309</v>
      </c>
      <c r="E1151" t="str">
        <f>IF(D1151&lt;&gt;"",C1151&amp;"/"&amp;D1151,"")</f>
        <v/>
      </c>
      <c r="G1151" s="5" t="str">
        <f t="shared" si="22"/>
        <v/>
      </c>
      <c r="I1151" s="6" t="str">
        <f t="shared" si="23"/>
        <v>0</v>
      </c>
    </row>
    <row r="1152" spans="1:9" x14ac:dyDescent="0.2">
      <c r="A1152" t="s">
        <v>1499</v>
      </c>
      <c r="B1152" t="s">
        <v>309</v>
      </c>
      <c r="E1152" t="str">
        <f>IF(D1152&lt;&gt;"",C1152&amp;"/"&amp;D1152,"")</f>
        <v/>
      </c>
      <c r="G1152" s="5" t="str">
        <f t="shared" si="22"/>
        <v/>
      </c>
      <c r="I1152" s="6" t="str">
        <f t="shared" si="23"/>
        <v>0</v>
      </c>
    </row>
    <row r="1153" spans="1:9" x14ac:dyDescent="0.2">
      <c r="A1153" t="s">
        <v>1500</v>
      </c>
      <c r="B1153" t="s">
        <v>309</v>
      </c>
      <c r="E1153" t="str">
        <f>IF(D1153&lt;&gt;"",C1153&amp;"/"&amp;D1153,"")</f>
        <v/>
      </c>
      <c r="G1153" s="5" t="str">
        <f t="shared" si="22"/>
        <v/>
      </c>
      <c r="I1153" s="6" t="str">
        <f t="shared" si="23"/>
        <v>0</v>
      </c>
    </row>
    <row r="1154" spans="1:9" x14ac:dyDescent="0.2">
      <c r="A1154" t="s">
        <v>1501</v>
      </c>
      <c r="B1154" t="s">
        <v>309</v>
      </c>
      <c r="E1154" t="str">
        <f>IF(D1154&lt;&gt;"",C1154&amp;"/"&amp;D1154,"")</f>
        <v/>
      </c>
      <c r="G1154" s="5" t="str">
        <f t="shared" si="22"/>
        <v/>
      </c>
      <c r="I1154" s="6" t="str">
        <f t="shared" si="23"/>
        <v>0</v>
      </c>
    </row>
    <row r="1155" spans="1:9" x14ac:dyDescent="0.2">
      <c r="A1155" t="s">
        <v>1502</v>
      </c>
      <c r="B1155" t="s">
        <v>309</v>
      </c>
      <c r="E1155" t="str">
        <f>IF(D1155&lt;&gt;"",C1155&amp;"/"&amp;D1155,"")</f>
        <v/>
      </c>
      <c r="G1155" s="5" t="str">
        <f t="shared" si="22"/>
        <v/>
      </c>
      <c r="I1155" s="6" t="str">
        <f t="shared" si="23"/>
        <v>0</v>
      </c>
    </row>
    <row r="1156" spans="1:9" x14ac:dyDescent="0.2">
      <c r="A1156" t="s">
        <v>1503</v>
      </c>
      <c r="B1156" t="s">
        <v>309</v>
      </c>
      <c r="E1156" t="str">
        <f>IF(D1156&lt;&gt;"",C1156&amp;"/"&amp;D1156,"")</f>
        <v/>
      </c>
      <c r="G1156" s="5" t="str">
        <f t="shared" si="22"/>
        <v/>
      </c>
      <c r="I1156" s="6" t="str">
        <f t="shared" si="23"/>
        <v>0</v>
      </c>
    </row>
    <row r="1157" spans="1:9" x14ac:dyDescent="0.2">
      <c r="A1157" t="s">
        <v>1504</v>
      </c>
      <c r="B1157" t="s">
        <v>309</v>
      </c>
      <c r="E1157" t="str">
        <f>IF(D1157&lt;&gt;"",C1157&amp;"/"&amp;D1157,"")</f>
        <v/>
      </c>
      <c r="G1157" s="5" t="str">
        <f t="shared" si="22"/>
        <v/>
      </c>
      <c r="I1157" s="6" t="str">
        <f t="shared" si="23"/>
        <v>0</v>
      </c>
    </row>
    <row r="1158" spans="1:9" x14ac:dyDescent="0.2">
      <c r="A1158" t="s">
        <v>1505</v>
      </c>
      <c r="B1158" t="s">
        <v>309</v>
      </c>
      <c r="E1158" t="str">
        <f>IF(D1158&lt;&gt;"",C1158&amp;"/"&amp;D1158,"")</f>
        <v/>
      </c>
      <c r="G1158" s="5" t="str">
        <f t="shared" si="22"/>
        <v/>
      </c>
      <c r="I1158" s="6" t="str">
        <f t="shared" si="23"/>
        <v>0</v>
      </c>
    </row>
    <row r="1159" spans="1:9" x14ac:dyDescent="0.2">
      <c r="A1159" t="s">
        <v>1506</v>
      </c>
      <c r="B1159" t="s">
        <v>309</v>
      </c>
      <c r="E1159" t="str">
        <f>IF(D1159&lt;&gt;"",C1159&amp;"/"&amp;D1159,"")</f>
        <v/>
      </c>
      <c r="G1159" s="5" t="str">
        <f t="shared" si="22"/>
        <v/>
      </c>
      <c r="I1159" s="6" t="str">
        <f t="shared" si="23"/>
        <v>0</v>
      </c>
    </row>
    <row r="1160" spans="1:9" x14ac:dyDescent="0.2">
      <c r="A1160" t="s">
        <v>1507</v>
      </c>
      <c r="B1160" t="s">
        <v>1507</v>
      </c>
      <c r="E1160" t="str">
        <f>IF(D1160&lt;&gt;"",C1160&amp;"/"&amp;D1160,"")</f>
        <v/>
      </c>
      <c r="G1160" s="5" t="str">
        <f t="shared" si="22"/>
        <v/>
      </c>
      <c r="I1160" s="6" t="str">
        <f t="shared" si="23"/>
        <v>0</v>
      </c>
    </row>
    <row r="1161" spans="1:9" x14ac:dyDescent="0.2">
      <c r="A1161" t="s">
        <v>1508</v>
      </c>
      <c r="B1161" t="s">
        <v>1508</v>
      </c>
      <c r="E1161" t="str">
        <f>IF(D1161&lt;&gt;"",C1161&amp;"/"&amp;D1161,"")</f>
        <v/>
      </c>
      <c r="G1161" s="5" t="str">
        <f t="shared" si="22"/>
        <v/>
      </c>
      <c r="I1161" s="6" t="str">
        <f t="shared" si="23"/>
        <v>0</v>
      </c>
    </row>
    <row r="1162" spans="1:9" x14ac:dyDescent="0.2">
      <c r="A1162" t="s">
        <v>1509</v>
      </c>
      <c r="B1162" t="s">
        <v>1509</v>
      </c>
      <c r="E1162" t="str">
        <f>IF(D1162&lt;&gt;"",C1162&amp;"/"&amp;D1162,"")</f>
        <v/>
      </c>
      <c r="G1162" s="5" t="str">
        <f t="shared" si="22"/>
        <v/>
      </c>
      <c r="I1162" s="6" t="str">
        <f t="shared" si="23"/>
        <v>0</v>
      </c>
    </row>
    <row r="1163" spans="1:9" x14ac:dyDescent="0.2">
      <c r="A1163" t="s">
        <v>1510</v>
      </c>
      <c r="B1163" t="s">
        <v>1510</v>
      </c>
      <c r="E1163" t="str">
        <f>IF(D1163&lt;&gt;"",C1163&amp;"/"&amp;D1163,"")</f>
        <v/>
      </c>
      <c r="G1163" s="5" t="str">
        <f t="shared" si="22"/>
        <v/>
      </c>
      <c r="I1163" s="6" t="str">
        <f t="shared" si="23"/>
        <v>0</v>
      </c>
    </row>
    <row r="1164" spans="1:9" x14ac:dyDescent="0.2">
      <c r="A1164" t="s">
        <v>1511</v>
      </c>
      <c r="B1164" t="s">
        <v>1511</v>
      </c>
      <c r="E1164" t="str">
        <f>IF(D1164&lt;&gt;"",C1164&amp;"/"&amp;D1164,"")</f>
        <v/>
      </c>
      <c r="G1164" s="5" t="str">
        <f t="shared" si="22"/>
        <v/>
      </c>
      <c r="I1164" s="6" t="str">
        <f t="shared" si="23"/>
        <v>0</v>
      </c>
    </row>
    <row r="1165" spans="1:9" x14ac:dyDescent="0.2">
      <c r="A1165" t="s">
        <v>1512</v>
      </c>
      <c r="B1165" t="s">
        <v>1512</v>
      </c>
      <c r="E1165" t="str">
        <f>IF(D1165&lt;&gt;"",C1165&amp;"/"&amp;D1165,"")</f>
        <v/>
      </c>
      <c r="G1165" s="5" t="str">
        <f t="shared" si="22"/>
        <v/>
      </c>
      <c r="I1165" s="6" t="str">
        <f t="shared" si="23"/>
        <v>0</v>
      </c>
    </row>
    <row r="1166" spans="1:9" x14ac:dyDescent="0.2">
      <c r="A1166" t="s">
        <v>1513</v>
      </c>
      <c r="B1166" t="s">
        <v>1513</v>
      </c>
      <c r="E1166" t="str">
        <f>IF(D1166&lt;&gt;"",C1166&amp;"/"&amp;D1166,"")</f>
        <v/>
      </c>
      <c r="G1166" s="5" t="str">
        <f t="shared" si="22"/>
        <v/>
      </c>
      <c r="I1166" s="6" t="str">
        <f t="shared" si="23"/>
        <v>0</v>
      </c>
    </row>
    <row r="1167" spans="1:9" x14ac:dyDescent="0.2">
      <c r="A1167" t="s">
        <v>1514</v>
      </c>
      <c r="B1167" t="s">
        <v>4031</v>
      </c>
      <c r="E1167" t="str">
        <f>IF(D1167&lt;&gt;"",C1167&amp;"/"&amp;D1167,"")</f>
        <v/>
      </c>
      <c r="G1167" s="5" t="str">
        <f t="shared" si="22"/>
        <v/>
      </c>
      <c r="I1167" s="6" t="str">
        <f t="shared" si="23"/>
        <v>0</v>
      </c>
    </row>
    <row r="1168" spans="1:9" x14ac:dyDescent="0.2">
      <c r="A1168" t="s">
        <v>1515</v>
      </c>
      <c r="B1168" t="s">
        <v>309</v>
      </c>
      <c r="E1168" t="str">
        <f>IF(D1168&lt;&gt;"",C1168&amp;"/"&amp;D1168,"")</f>
        <v/>
      </c>
      <c r="G1168" s="5" t="str">
        <f t="shared" ref="G1168:G1231" si="24">IF(F1168&lt;&gt;"",HEX2DEC(SUBSTITUTE(SUBSTITUTE(F1168,"adrEA",""),"$","")),"")</f>
        <v/>
      </c>
      <c r="I1168" s="6" t="str">
        <f t="shared" ref="I1168:I1231" si="25">IFERROR(DEC2HEX(H1168),"")</f>
        <v>0</v>
      </c>
    </row>
    <row r="1169" spans="1:12" x14ac:dyDescent="0.2">
      <c r="A1169" t="s">
        <v>1516</v>
      </c>
      <c r="B1169" t="s">
        <v>309</v>
      </c>
      <c r="E1169" t="str">
        <f>IF(D1169&lt;&gt;"",C1169&amp;"/"&amp;D1169,"")</f>
        <v/>
      </c>
      <c r="G1169" s="5" t="str">
        <f t="shared" si="24"/>
        <v/>
      </c>
      <c r="I1169" s="6" t="str">
        <f t="shared" si="25"/>
        <v>0</v>
      </c>
    </row>
    <row r="1170" spans="1:12" x14ac:dyDescent="0.2">
      <c r="A1170" t="s">
        <v>1517</v>
      </c>
      <c r="B1170" t="s">
        <v>309</v>
      </c>
      <c r="E1170" t="str">
        <f>IF(D1170&lt;&gt;"",C1170&amp;"/"&amp;D1170,"")</f>
        <v/>
      </c>
      <c r="G1170" s="5" t="str">
        <f t="shared" si="24"/>
        <v/>
      </c>
      <c r="I1170" s="6" t="str">
        <f t="shared" si="25"/>
        <v>0</v>
      </c>
    </row>
    <row r="1171" spans="1:12" x14ac:dyDescent="0.2">
      <c r="A1171" t="s">
        <v>1518</v>
      </c>
      <c r="B1171" t="s">
        <v>309</v>
      </c>
      <c r="E1171" t="str">
        <f>IF(D1171&lt;&gt;"",C1171&amp;"/"&amp;D1171,"")</f>
        <v/>
      </c>
      <c r="G1171" s="5" t="str">
        <f t="shared" si="24"/>
        <v/>
      </c>
      <c r="I1171" s="6" t="str">
        <f t="shared" si="25"/>
        <v>0</v>
      </c>
    </row>
    <row r="1172" spans="1:12" ht="17" x14ac:dyDescent="0.25">
      <c r="A1172" t="s">
        <v>1521</v>
      </c>
      <c r="B1172" s="19" t="s">
        <v>3958</v>
      </c>
      <c r="D1172" s="19"/>
      <c r="F1172" s="18"/>
      <c r="G1172" s="5" t="str">
        <f t="shared" si="24"/>
        <v/>
      </c>
      <c r="I1172" s="6" t="str">
        <f t="shared" si="25"/>
        <v>0</v>
      </c>
      <c r="K1172" s="21" t="s">
        <v>3959</v>
      </c>
    </row>
    <row r="1173" spans="1:12" x14ac:dyDescent="0.2">
      <c r="A1173" t="s">
        <v>1530</v>
      </c>
      <c r="B1173" t="s">
        <v>4001</v>
      </c>
      <c r="G1173" s="5" t="str">
        <f t="shared" si="24"/>
        <v/>
      </c>
      <c r="I1173" s="6" t="str">
        <f t="shared" si="25"/>
        <v>0</v>
      </c>
      <c r="L1173" s="6" t="s">
        <v>4002</v>
      </c>
    </row>
    <row r="1174" spans="1:12" ht="17" x14ac:dyDescent="0.25">
      <c r="A1174" t="s">
        <v>1531</v>
      </c>
      <c r="B1174" s="19" t="s">
        <v>3960</v>
      </c>
      <c r="D1174" s="19"/>
      <c r="F1174" s="18"/>
      <c r="G1174" s="5" t="str">
        <f t="shared" si="24"/>
        <v/>
      </c>
      <c r="I1174" s="6" t="str">
        <f t="shared" si="25"/>
        <v>0</v>
      </c>
      <c r="K1174" s="21" t="s">
        <v>3961</v>
      </c>
    </row>
    <row r="1175" spans="1:12" x14ac:dyDescent="0.2">
      <c r="A1175" t="s">
        <v>1532</v>
      </c>
      <c r="B1175" t="s">
        <v>4003</v>
      </c>
      <c r="G1175" s="5" t="str">
        <f t="shared" si="24"/>
        <v/>
      </c>
      <c r="I1175" s="6" t="str">
        <f t="shared" si="25"/>
        <v>0</v>
      </c>
      <c r="L1175" s="6" t="s">
        <v>4004</v>
      </c>
    </row>
    <row r="1176" spans="1:12" x14ac:dyDescent="0.2">
      <c r="A1176" t="s">
        <v>1533</v>
      </c>
      <c r="B1176" t="s">
        <v>4005</v>
      </c>
      <c r="G1176" s="5" t="str">
        <f t="shared" si="24"/>
        <v/>
      </c>
      <c r="I1176" s="6" t="str">
        <f t="shared" si="25"/>
        <v>0</v>
      </c>
      <c r="L1176" s="6" t="s">
        <v>4006</v>
      </c>
    </row>
    <row r="1177" spans="1:12" x14ac:dyDescent="0.2">
      <c r="A1177" t="s">
        <v>1534</v>
      </c>
      <c r="B1177" t="s">
        <v>4007</v>
      </c>
      <c r="G1177" s="5" t="str">
        <f t="shared" si="24"/>
        <v/>
      </c>
      <c r="I1177" s="6" t="str">
        <f t="shared" si="25"/>
        <v>0</v>
      </c>
      <c r="L1177" s="6" t="s">
        <v>4008</v>
      </c>
    </row>
    <row r="1178" spans="1:12" x14ac:dyDescent="0.2">
      <c r="A1178" t="s">
        <v>1535</v>
      </c>
      <c r="B1178" t="s">
        <v>4009</v>
      </c>
      <c r="G1178" s="5" t="str">
        <f t="shared" si="24"/>
        <v/>
      </c>
      <c r="I1178" s="6" t="str">
        <f t="shared" si="25"/>
        <v>0</v>
      </c>
      <c r="L1178" s="6" t="s">
        <v>4010</v>
      </c>
    </row>
    <row r="1179" spans="1:12" x14ac:dyDescent="0.2">
      <c r="A1179" t="s">
        <v>1536</v>
      </c>
      <c r="B1179" t="s">
        <v>3892</v>
      </c>
      <c r="G1179" s="5" t="str">
        <f t="shared" si="24"/>
        <v/>
      </c>
      <c r="I1179" s="6" t="str">
        <f t="shared" si="25"/>
        <v>0</v>
      </c>
      <c r="K1179" s="21" t="s">
        <v>3893</v>
      </c>
    </row>
    <row r="1180" spans="1:12" x14ac:dyDescent="0.2">
      <c r="A1180" t="s">
        <v>1542</v>
      </c>
      <c r="B1180" t="s">
        <v>3894</v>
      </c>
      <c r="G1180" s="5" t="str">
        <f t="shared" si="24"/>
        <v/>
      </c>
      <c r="I1180" s="6" t="str">
        <f t="shared" si="25"/>
        <v>0</v>
      </c>
      <c r="K1180" s="21" t="s">
        <v>3895</v>
      </c>
    </row>
    <row r="1181" spans="1:12" ht="17" x14ac:dyDescent="0.25">
      <c r="A1181" t="s">
        <v>1547</v>
      </c>
      <c r="B1181" s="19" t="s">
        <v>3948</v>
      </c>
      <c r="C1181" s="5" t="s">
        <v>48</v>
      </c>
      <c r="D1181" s="19" t="s">
        <v>3949</v>
      </c>
      <c r="E1181" t="s">
        <v>3950</v>
      </c>
      <c r="F1181" s="18" t="s">
        <v>3951</v>
      </c>
      <c r="G1181" s="5">
        <f t="shared" si="24"/>
        <v>24664</v>
      </c>
      <c r="H1181" s="5">
        <v>64</v>
      </c>
      <c r="I1181" s="6" t="str">
        <f t="shared" si="25"/>
        <v>40</v>
      </c>
      <c r="K1181" s="21" t="s">
        <v>3952</v>
      </c>
    </row>
    <row r="1182" spans="1:12" ht="17" x14ac:dyDescent="0.25">
      <c r="A1182" t="s">
        <v>1548</v>
      </c>
      <c r="B1182" s="19" t="s">
        <v>3962</v>
      </c>
      <c r="D1182" s="19"/>
      <c r="F1182" s="18"/>
      <c r="G1182" s="5" t="str">
        <f t="shared" si="24"/>
        <v/>
      </c>
      <c r="I1182" s="6" t="str">
        <f t="shared" si="25"/>
        <v>0</v>
      </c>
      <c r="K1182" s="21" t="s">
        <v>3963</v>
      </c>
    </row>
    <row r="1183" spans="1:12" x14ac:dyDescent="0.2">
      <c r="A1183" t="s">
        <v>1550</v>
      </c>
      <c r="B1183" t="s">
        <v>4011</v>
      </c>
      <c r="G1183" s="5" t="str">
        <f t="shared" si="24"/>
        <v/>
      </c>
      <c r="I1183" s="6" t="str">
        <f t="shared" si="25"/>
        <v>0</v>
      </c>
      <c r="L1183" s="6" t="s">
        <v>4012</v>
      </c>
    </row>
    <row r="1184" spans="1:12" ht="17" x14ac:dyDescent="0.25">
      <c r="A1184" t="s">
        <v>1551</v>
      </c>
      <c r="B1184" s="19" t="s">
        <v>3964</v>
      </c>
      <c r="D1184" s="19"/>
      <c r="F1184" s="18"/>
      <c r="G1184" s="5" t="str">
        <f t="shared" si="24"/>
        <v/>
      </c>
      <c r="I1184" s="6" t="str">
        <f t="shared" si="25"/>
        <v>0</v>
      </c>
      <c r="K1184" s="21" t="s">
        <v>3965</v>
      </c>
    </row>
    <row r="1185" spans="1:11" x14ac:dyDescent="0.2">
      <c r="A1185" t="s">
        <v>1555</v>
      </c>
      <c r="B1185" t="s">
        <v>1556</v>
      </c>
      <c r="E1185" t="str">
        <f>IF(D1185&lt;&gt;"",C1185&amp;"/"&amp;D1185,"")</f>
        <v/>
      </c>
      <c r="G1185" s="5" t="str">
        <f t="shared" si="24"/>
        <v/>
      </c>
      <c r="I1185" s="6" t="str">
        <f t="shared" si="25"/>
        <v>0</v>
      </c>
    </row>
    <row r="1186" spans="1:11" x14ac:dyDescent="0.2">
      <c r="A1186" t="s">
        <v>1558</v>
      </c>
      <c r="B1186" t="s">
        <v>309</v>
      </c>
      <c r="E1186" t="str">
        <f>IF(D1186&lt;&gt;"",C1186&amp;"/"&amp;D1186,"")</f>
        <v/>
      </c>
      <c r="G1186" s="5" t="str">
        <f t="shared" si="24"/>
        <v/>
      </c>
      <c r="I1186" s="6" t="str">
        <f t="shared" si="25"/>
        <v>0</v>
      </c>
    </row>
    <row r="1187" spans="1:11" x14ac:dyDescent="0.2">
      <c r="A1187" t="s">
        <v>1559</v>
      </c>
      <c r="B1187" t="s">
        <v>309</v>
      </c>
      <c r="E1187" t="str">
        <f>IF(D1187&lt;&gt;"",C1187&amp;"/"&amp;D1187,"")</f>
        <v/>
      </c>
      <c r="G1187" s="5" t="str">
        <f t="shared" si="24"/>
        <v/>
      </c>
      <c r="I1187" s="6" t="str">
        <f t="shared" si="25"/>
        <v>0</v>
      </c>
    </row>
    <row r="1188" spans="1:11" x14ac:dyDescent="0.2">
      <c r="A1188" t="s">
        <v>1560</v>
      </c>
      <c r="B1188" t="s">
        <v>309</v>
      </c>
      <c r="E1188" t="str">
        <f>IF(D1188&lt;&gt;"",C1188&amp;"/"&amp;D1188,"")</f>
        <v/>
      </c>
      <c r="G1188" s="5" t="str">
        <f t="shared" si="24"/>
        <v/>
      </c>
      <c r="I1188" s="6" t="str">
        <f t="shared" si="25"/>
        <v>0</v>
      </c>
    </row>
    <row r="1189" spans="1:11" x14ac:dyDescent="0.2">
      <c r="A1189" t="s">
        <v>1561</v>
      </c>
      <c r="B1189" t="s">
        <v>309</v>
      </c>
      <c r="E1189" t="str">
        <f>IF(D1189&lt;&gt;"",C1189&amp;"/"&amp;D1189,"")</f>
        <v/>
      </c>
      <c r="G1189" s="5" t="str">
        <f t="shared" si="24"/>
        <v/>
      </c>
      <c r="I1189" s="6" t="str">
        <f t="shared" si="25"/>
        <v>0</v>
      </c>
    </row>
    <row r="1190" spans="1:11" x14ac:dyDescent="0.2">
      <c r="A1190" t="s">
        <v>1562</v>
      </c>
      <c r="B1190" t="s">
        <v>309</v>
      </c>
      <c r="E1190" t="str">
        <f>IF(D1190&lt;&gt;"",C1190&amp;"/"&amp;D1190,"")</f>
        <v/>
      </c>
      <c r="G1190" s="5" t="str">
        <f t="shared" si="24"/>
        <v/>
      </c>
      <c r="I1190" s="6" t="str">
        <f t="shared" si="25"/>
        <v>0</v>
      </c>
    </row>
    <row r="1191" spans="1:11" x14ac:dyDescent="0.2">
      <c r="A1191" t="s">
        <v>1564</v>
      </c>
      <c r="B1191" t="s">
        <v>309</v>
      </c>
      <c r="E1191" t="str">
        <f>IF(D1191&lt;&gt;"",C1191&amp;"/"&amp;D1191,"")</f>
        <v/>
      </c>
      <c r="G1191" s="5" t="str">
        <f t="shared" si="24"/>
        <v/>
      </c>
      <c r="I1191" s="6" t="str">
        <f t="shared" si="25"/>
        <v>0</v>
      </c>
    </row>
    <row r="1192" spans="1:11" x14ac:dyDescent="0.2">
      <c r="A1192" t="s">
        <v>1565</v>
      </c>
      <c r="B1192" t="s">
        <v>309</v>
      </c>
      <c r="E1192" t="str">
        <f>IF(D1192&lt;&gt;"",C1192&amp;"/"&amp;D1192,"")</f>
        <v/>
      </c>
      <c r="G1192" s="5" t="str">
        <f t="shared" si="24"/>
        <v/>
      </c>
      <c r="I1192" s="6" t="str">
        <f t="shared" si="25"/>
        <v>0</v>
      </c>
    </row>
    <row r="1193" spans="1:11" x14ac:dyDescent="0.2">
      <c r="A1193" t="s">
        <v>1567</v>
      </c>
      <c r="B1193" t="s">
        <v>4032</v>
      </c>
      <c r="E1193" t="str">
        <f>IF(D1193&lt;&gt;"",C1193&amp;"/"&amp;D1193,"")</f>
        <v/>
      </c>
      <c r="G1193" s="5" t="str">
        <f t="shared" si="24"/>
        <v/>
      </c>
      <c r="I1193" s="6" t="str">
        <f t="shared" si="25"/>
        <v>0</v>
      </c>
    </row>
    <row r="1194" spans="1:11" x14ac:dyDescent="0.2">
      <c r="A1194" t="s">
        <v>1568</v>
      </c>
      <c r="B1194" t="s">
        <v>1569</v>
      </c>
      <c r="E1194" t="str">
        <f>IF(D1194&lt;&gt;"",C1194&amp;"/"&amp;D1194,"")</f>
        <v/>
      </c>
      <c r="G1194" s="5" t="str">
        <f t="shared" si="24"/>
        <v/>
      </c>
      <c r="I1194" s="6" t="str">
        <f t="shared" si="25"/>
        <v>0</v>
      </c>
    </row>
    <row r="1195" spans="1:11" x14ac:dyDescent="0.2">
      <c r="A1195" t="s">
        <v>1570</v>
      </c>
      <c r="B1195" t="s">
        <v>309</v>
      </c>
      <c r="E1195" t="str">
        <f>IF(D1195&lt;&gt;"",C1195&amp;"/"&amp;D1195,"")</f>
        <v/>
      </c>
      <c r="G1195" s="5" t="str">
        <f t="shared" si="24"/>
        <v/>
      </c>
      <c r="I1195" s="6" t="str">
        <f t="shared" si="25"/>
        <v>0</v>
      </c>
    </row>
    <row r="1196" spans="1:11" x14ac:dyDescent="0.2">
      <c r="A1196" t="s">
        <v>1571</v>
      </c>
      <c r="B1196" t="s">
        <v>309</v>
      </c>
      <c r="E1196" t="str">
        <f>IF(D1196&lt;&gt;"",C1196&amp;"/"&amp;D1196,"")</f>
        <v/>
      </c>
      <c r="G1196" s="5" t="str">
        <f t="shared" si="24"/>
        <v/>
      </c>
      <c r="I1196" s="6" t="str">
        <f t="shared" si="25"/>
        <v>0</v>
      </c>
    </row>
    <row r="1197" spans="1:11" x14ac:dyDescent="0.2">
      <c r="A1197" t="s">
        <v>1572</v>
      </c>
      <c r="B1197" t="s">
        <v>309</v>
      </c>
      <c r="E1197" t="str">
        <f>IF(D1197&lt;&gt;"",C1197&amp;"/"&amp;D1197,"")</f>
        <v/>
      </c>
      <c r="G1197" s="5" t="str">
        <f t="shared" si="24"/>
        <v/>
      </c>
      <c r="I1197" s="6" t="str">
        <f t="shared" si="25"/>
        <v>0</v>
      </c>
    </row>
    <row r="1198" spans="1:11" x14ac:dyDescent="0.2">
      <c r="A1198" t="s">
        <v>1573</v>
      </c>
      <c r="B1198" t="s">
        <v>309</v>
      </c>
      <c r="E1198" t="str">
        <f>IF(D1198&lt;&gt;"",C1198&amp;"/"&amp;D1198,"")</f>
        <v/>
      </c>
      <c r="G1198" s="5" t="str">
        <f t="shared" si="24"/>
        <v/>
      </c>
      <c r="I1198" s="6" t="str">
        <f t="shared" si="25"/>
        <v>0</v>
      </c>
    </row>
    <row r="1199" spans="1:11" ht="17" x14ac:dyDescent="0.25">
      <c r="A1199" t="s">
        <v>1574</v>
      </c>
      <c r="B1199" s="19" t="s">
        <v>1575</v>
      </c>
      <c r="D1199" s="19"/>
      <c r="F1199" s="18"/>
      <c r="G1199" s="5" t="str">
        <f t="shared" si="24"/>
        <v/>
      </c>
      <c r="I1199" s="6" t="str">
        <f t="shared" si="25"/>
        <v>0</v>
      </c>
      <c r="K1199" s="21" t="s">
        <v>3848</v>
      </c>
    </row>
    <row r="1200" spans="1:11" x14ac:dyDescent="0.2">
      <c r="A1200" t="s">
        <v>1578</v>
      </c>
      <c r="B1200" t="s">
        <v>309</v>
      </c>
      <c r="E1200" t="str">
        <f>IF(D1200&lt;&gt;"",C1200&amp;"/"&amp;D1200,"")</f>
        <v/>
      </c>
      <c r="G1200" s="5" t="str">
        <f t="shared" si="24"/>
        <v/>
      </c>
      <c r="I1200" s="6" t="str">
        <f t="shared" si="25"/>
        <v>0</v>
      </c>
    </row>
    <row r="1201" spans="1:11" x14ac:dyDescent="0.2">
      <c r="A1201" t="s">
        <v>1579</v>
      </c>
      <c r="B1201" t="s">
        <v>309</v>
      </c>
      <c r="E1201" t="str">
        <f>IF(D1201&lt;&gt;"",C1201&amp;"/"&amp;D1201,"")</f>
        <v/>
      </c>
      <c r="G1201" s="5" t="str">
        <f t="shared" si="24"/>
        <v/>
      </c>
      <c r="I1201" s="6" t="str">
        <f t="shared" si="25"/>
        <v>0</v>
      </c>
    </row>
    <row r="1202" spans="1:11" x14ac:dyDescent="0.2">
      <c r="A1202" t="s">
        <v>1580</v>
      </c>
      <c r="B1202" t="s">
        <v>309</v>
      </c>
      <c r="E1202" t="str">
        <f>IF(D1202&lt;&gt;"",C1202&amp;"/"&amp;D1202,"")</f>
        <v/>
      </c>
      <c r="G1202" s="5" t="str">
        <f t="shared" si="24"/>
        <v/>
      </c>
      <c r="I1202" s="6" t="str">
        <f t="shared" si="25"/>
        <v>0</v>
      </c>
    </row>
    <row r="1203" spans="1:11" x14ac:dyDescent="0.2">
      <c r="A1203" t="s">
        <v>1581</v>
      </c>
      <c r="B1203" t="s">
        <v>5194</v>
      </c>
      <c r="C1203" s="5" t="s">
        <v>7</v>
      </c>
      <c r="F1203" s="5" t="s">
        <v>5195</v>
      </c>
      <c r="G1203" s="5">
        <f t="shared" si="24"/>
        <v>25344</v>
      </c>
      <c r="I1203" s="6" t="str">
        <f t="shared" si="25"/>
        <v>0</v>
      </c>
      <c r="K1203" s="21" t="s">
        <v>5196</v>
      </c>
    </row>
    <row r="1204" spans="1:11" x14ac:dyDescent="0.2">
      <c r="A1204" t="s">
        <v>1582</v>
      </c>
      <c r="B1204" t="s">
        <v>5351</v>
      </c>
      <c r="C1204" s="5" t="s">
        <v>7</v>
      </c>
      <c r="F1204" s="5" t="s">
        <v>5352</v>
      </c>
      <c r="G1204" s="5">
        <f t="shared" si="24"/>
        <v>25364</v>
      </c>
      <c r="I1204" s="6" t="str">
        <f t="shared" si="25"/>
        <v>0</v>
      </c>
      <c r="K1204" s="21" t="s">
        <v>5353</v>
      </c>
    </row>
    <row r="1205" spans="1:11" x14ac:dyDescent="0.2">
      <c r="A1205" t="s">
        <v>1583</v>
      </c>
      <c r="B1205" t="s">
        <v>309</v>
      </c>
      <c r="E1205" t="str">
        <f>IF(D1205&lt;&gt;"",C1205&amp;"/"&amp;D1205,"")</f>
        <v/>
      </c>
      <c r="G1205" s="5" t="str">
        <f t="shared" si="24"/>
        <v/>
      </c>
      <c r="I1205" s="6" t="str">
        <f t="shared" si="25"/>
        <v>0</v>
      </c>
    </row>
    <row r="1206" spans="1:11" x14ac:dyDescent="0.2">
      <c r="A1206" t="s">
        <v>1584</v>
      </c>
      <c r="B1206" t="s">
        <v>309</v>
      </c>
      <c r="E1206" t="str">
        <f>IF(D1206&lt;&gt;"",C1206&amp;"/"&amp;D1206,"")</f>
        <v/>
      </c>
      <c r="G1206" s="5" t="str">
        <f t="shared" si="24"/>
        <v/>
      </c>
      <c r="I1206" s="6" t="str">
        <f t="shared" si="25"/>
        <v>0</v>
      </c>
    </row>
    <row r="1207" spans="1:11" x14ac:dyDescent="0.2">
      <c r="A1207" t="s">
        <v>1585</v>
      </c>
      <c r="B1207" t="s">
        <v>309</v>
      </c>
      <c r="E1207" t="str">
        <f>IF(D1207&lt;&gt;"",C1207&amp;"/"&amp;D1207,"")</f>
        <v/>
      </c>
      <c r="G1207" s="5" t="str">
        <f t="shared" si="24"/>
        <v/>
      </c>
      <c r="I1207" s="6" t="str">
        <f t="shared" si="25"/>
        <v>0</v>
      </c>
    </row>
    <row r="1208" spans="1:11" x14ac:dyDescent="0.2">
      <c r="A1208" t="s">
        <v>1586</v>
      </c>
      <c r="B1208" t="s">
        <v>309</v>
      </c>
      <c r="E1208" t="str">
        <f>IF(D1208&lt;&gt;"",C1208&amp;"/"&amp;D1208,"")</f>
        <v/>
      </c>
      <c r="G1208" s="5" t="str">
        <f t="shared" si="24"/>
        <v/>
      </c>
      <c r="I1208" s="6" t="str">
        <f t="shared" si="25"/>
        <v>0</v>
      </c>
    </row>
    <row r="1209" spans="1:11" x14ac:dyDescent="0.2">
      <c r="A1209" t="s">
        <v>1587</v>
      </c>
      <c r="B1209" t="s">
        <v>309</v>
      </c>
      <c r="E1209" t="str">
        <f>IF(D1209&lt;&gt;"",C1209&amp;"/"&amp;D1209,"")</f>
        <v/>
      </c>
      <c r="G1209" s="5" t="str">
        <f t="shared" si="24"/>
        <v/>
      </c>
      <c r="I1209" s="6" t="str">
        <f t="shared" si="25"/>
        <v>0</v>
      </c>
    </row>
    <row r="1210" spans="1:11" x14ac:dyDescent="0.2">
      <c r="A1210" t="s">
        <v>1588</v>
      </c>
      <c r="B1210" t="s">
        <v>309</v>
      </c>
      <c r="E1210" t="str">
        <f>IF(D1210&lt;&gt;"",C1210&amp;"/"&amp;D1210,"")</f>
        <v/>
      </c>
      <c r="G1210" s="5" t="str">
        <f t="shared" si="24"/>
        <v/>
      </c>
      <c r="I1210" s="6" t="str">
        <f t="shared" si="25"/>
        <v>0</v>
      </c>
    </row>
    <row r="1211" spans="1:11" x14ac:dyDescent="0.2">
      <c r="A1211" t="s">
        <v>1589</v>
      </c>
      <c r="B1211" t="s">
        <v>5354</v>
      </c>
      <c r="C1211" s="5" t="s">
        <v>7</v>
      </c>
      <c r="F1211" s="5" t="s">
        <v>5355</v>
      </c>
      <c r="G1211" s="5">
        <f t="shared" si="24"/>
        <v>25500</v>
      </c>
      <c r="I1211" s="6" t="str">
        <f t="shared" si="25"/>
        <v>0</v>
      </c>
      <c r="K1211" s="21" t="s">
        <v>5356</v>
      </c>
    </row>
    <row r="1212" spans="1:11" x14ac:dyDescent="0.2">
      <c r="A1212" t="s">
        <v>1590</v>
      </c>
      <c r="B1212" t="s">
        <v>309</v>
      </c>
      <c r="E1212" t="str">
        <f>IF(D1212&lt;&gt;"",C1212&amp;"/"&amp;D1212,"")</f>
        <v/>
      </c>
      <c r="G1212" s="5" t="str">
        <f t="shared" si="24"/>
        <v/>
      </c>
      <c r="I1212" s="6" t="str">
        <f t="shared" si="25"/>
        <v>0</v>
      </c>
    </row>
    <row r="1213" spans="1:11" x14ac:dyDescent="0.2">
      <c r="A1213" t="s">
        <v>1591</v>
      </c>
      <c r="B1213" t="s">
        <v>309</v>
      </c>
      <c r="E1213" t="str">
        <f>IF(D1213&lt;&gt;"",C1213&amp;"/"&amp;D1213,"")</f>
        <v/>
      </c>
      <c r="G1213" s="5" t="str">
        <f t="shared" si="24"/>
        <v/>
      </c>
      <c r="I1213" s="6" t="str">
        <f t="shared" si="25"/>
        <v>0</v>
      </c>
    </row>
    <row r="1214" spans="1:11" x14ac:dyDescent="0.2">
      <c r="A1214" t="s">
        <v>1592</v>
      </c>
      <c r="B1214" t="s">
        <v>5357</v>
      </c>
      <c r="C1214" s="5" t="s">
        <v>48</v>
      </c>
      <c r="D1214" t="s">
        <v>5358</v>
      </c>
      <c r="E1214" t="s">
        <v>5359</v>
      </c>
      <c r="F1214" s="5" t="s">
        <v>5360</v>
      </c>
      <c r="G1214" s="5">
        <f t="shared" si="24"/>
        <v>25564</v>
      </c>
      <c r="H1214" s="5">
        <v>20</v>
      </c>
      <c r="I1214" s="6" t="str">
        <f t="shared" si="25"/>
        <v>14</v>
      </c>
      <c r="J1214" s="6" t="s">
        <v>3455</v>
      </c>
      <c r="K1214" s="21" t="s">
        <v>5361</v>
      </c>
    </row>
    <row r="1215" spans="1:11" x14ac:dyDescent="0.2">
      <c r="A1215" t="s">
        <v>1593</v>
      </c>
      <c r="B1215" t="s">
        <v>4013</v>
      </c>
      <c r="C1215" s="5" t="s">
        <v>7</v>
      </c>
      <c r="F1215" s="5" t="s">
        <v>5362</v>
      </c>
      <c r="G1215" s="5">
        <f t="shared" si="24"/>
        <v>25588</v>
      </c>
      <c r="I1215" s="6" t="str">
        <f t="shared" si="25"/>
        <v>0</v>
      </c>
      <c r="K1215" s="21" t="s">
        <v>5363</v>
      </c>
    </row>
    <row r="1216" spans="1:11" x14ac:dyDescent="0.2">
      <c r="A1216" t="s">
        <v>1594</v>
      </c>
      <c r="B1216" t="s">
        <v>309</v>
      </c>
      <c r="E1216" t="str">
        <f>IF(D1216&lt;&gt;"",C1216&amp;"/"&amp;D1216,"")</f>
        <v/>
      </c>
      <c r="G1216" s="5" t="str">
        <f t="shared" si="24"/>
        <v/>
      </c>
      <c r="I1216" s="6" t="str">
        <f t="shared" si="25"/>
        <v>0</v>
      </c>
    </row>
    <row r="1217" spans="1:12" x14ac:dyDescent="0.2">
      <c r="A1217" t="s">
        <v>1595</v>
      </c>
      <c r="B1217" t="s">
        <v>309</v>
      </c>
      <c r="E1217" t="str">
        <f>IF(D1217&lt;&gt;"",C1217&amp;"/"&amp;D1217,"")</f>
        <v/>
      </c>
      <c r="G1217" s="5" t="str">
        <f t="shared" si="24"/>
        <v/>
      </c>
      <c r="I1217" s="6" t="str">
        <f t="shared" si="25"/>
        <v>0</v>
      </c>
    </row>
    <row r="1218" spans="1:12" x14ac:dyDescent="0.2">
      <c r="A1218" t="s">
        <v>1596</v>
      </c>
      <c r="B1218" t="s">
        <v>309</v>
      </c>
      <c r="E1218" t="str">
        <f>IF(D1218&lt;&gt;"",C1218&amp;"/"&amp;D1218,"")</f>
        <v/>
      </c>
      <c r="G1218" s="5" t="str">
        <f t="shared" si="24"/>
        <v/>
      </c>
      <c r="I1218" s="6" t="str">
        <f t="shared" si="25"/>
        <v>0</v>
      </c>
    </row>
    <row r="1219" spans="1:12" x14ac:dyDescent="0.2">
      <c r="A1219" t="s">
        <v>1597</v>
      </c>
      <c r="B1219" t="s">
        <v>309</v>
      </c>
      <c r="E1219" t="str">
        <f>IF(D1219&lt;&gt;"",C1219&amp;"/"&amp;D1219,"")</f>
        <v/>
      </c>
      <c r="G1219" s="5" t="str">
        <f t="shared" si="24"/>
        <v/>
      </c>
      <c r="I1219" s="6" t="str">
        <f t="shared" si="25"/>
        <v>0</v>
      </c>
    </row>
    <row r="1220" spans="1:12" x14ac:dyDescent="0.2">
      <c r="A1220" t="s">
        <v>1598</v>
      </c>
      <c r="B1220" t="s">
        <v>4014</v>
      </c>
      <c r="C1220" s="5" t="s">
        <v>48</v>
      </c>
      <c r="D1220" t="s">
        <v>4015</v>
      </c>
      <c r="E1220" t="s">
        <v>4016</v>
      </c>
      <c r="F1220" s="5" t="s">
        <v>4017</v>
      </c>
      <c r="G1220" s="5">
        <f t="shared" si="24"/>
        <v>25698</v>
      </c>
      <c r="H1220" s="5">
        <v>4</v>
      </c>
      <c r="I1220" s="6" t="str">
        <f t="shared" si="25"/>
        <v>4</v>
      </c>
      <c r="K1220" s="21" t="s">
        <v>4018</v>
      </c>
    </row>
    <row r="1221" spans="1:12" x14ac:dyDescent="0.2">
      <c r="A1221" t="s">
        <v>1599</v>
      </c>
      <c r="B1221" t="s">
        <v>309</v>
      </c>
      <c r="E1221" t="str">
        <f>IF(D1221&lt;&gt;"",C1221&amp;"/"&amp;D1221,"")</f>
        <v/>
      </c>
      <c r="G1221" s="5" t="str">
        <f t="shared" si="24"/>
        <v/>
      </c>
      <c r="I1221" s="6" t="str">
        <f t="shared" si="25"/>
        <v>0</v>
      </c>
    </row>
    <row r="1222" spans="1:12" x14ac:dyDescent="0.2">
      <c r="A1222" t="s">
        <v>1600</v>
      </c>
      <c r="B1222" t="s">
        <v>309</v>
      </c>
      <c r="E1222" t="str">
        <f>IF(D1222&lt;&gt;"",C1222&amp;"/"&amp;D1222,"")</f>
        <v/>
      </c>
      <c r="G1222" s="5" t="str">
        <f t="shared" si="24"/>
        <v/>
      </c>
      <c r="I1222" s="6" t="str">
        <f t="shared" si="25"/>
        <v>0</v>
      </c>
    </row>
    <row r="1223" spans="1:12" x14ac:dyDescent="0.2">
      <c r="A1223" t="s">
        <v>1601</v>
      </c>
      <c r="B1223" t="s">
        <v>4019</v>
      </c>
      <c r="G1223" s="5" t="str">
        <f t="shared" si="24"/>
        <v/>
      </c>
      <c r="I1223" s="6" t="str">
        <f t="shared" si="25"/>
        <v>0</v>
      </c>
      <c r="L1223" s="6" t="s">
        <v>4020</v>
      </c>
    </row>
    <row r="1224" spans="1:12" x14ac:dyDescent="0.2">
      <c r="A1224" t="s">
        <v>1602</v>
      </c>
      <c r="B1224" t="s">
        <v>309</v>
      </c>
      <c r="E1224" t="str">
        <f>IF(D1224&lt;&gt;"",C1224&amp;"/"&amp;D1224,"")</f>
        <v/>
      </c>
      <c r="G1224" s="5" t="str">
        <f t="shared" si="24"/>
        <v/>
      </c>
      <c r="I1224" s="6" t="str">
        <f t="shared" si="25"/>
        <v>0</v>
      </c>
    </row>
    <row r="1225" spans="1:12" x14ac:dyDescent="0.2">
      <c r="A1225" t="s">
        <v>1603</v>
      </c>
      <c r="B1225" t="s">
        <v>4021</v>
      </c>
      <c r="C1225" s="5" t="s">
        <v>48</v>
      </c>
      <c r="D1225" t="s">
        <v>4022</v>
      </c>
      <c r="E1225" t="s">
        <v>4023</v>
      </c>
      <c r="F1225" s="5" t="s">
        <v>4024</v>
      </c>
      <c r="G1225" s="5">
        <f t="shared" si="24"/>
        <v>25786</v>
      </c>
      <c r="H1225" s="5">
        <v>32</v>
      </c>
      <c r="I1225" s="6" t="str">
        <f t="shared" si="25"/>
        <v>20</v>
      </c>
      <c r="J1225" s="6" t="s">
        <v>3455</v>
      </c>
      <c r="K1225" s="21" t="s">
        <v>5364</v>
      </c>
    </row>
    <row r="1226" spans="1:12" x14ac:dyDescent="0.2">
      <c r="A1226" t="s">
        <v>1604</v>
      </c>
      <c r="B1226" t="s">
        <v>3275</v>
      </c>
      <c r="C1226" s="5" t="s">
        <v>48</v>
      </c>
      <c r="D1226" t="s">
        <v>5365</v>
      </c>
      <c r="E1226" t="s">
        <v>5366</v>
      </c>
      <c r="F1226" s="5" t="s">
        <v>5367</v>
      </c>
      <c r="G1226" s="5">
        <f t="shared" si="24"/>
        <v>25818</v>
      </c>
      <c r="H1226" s="5">
        <v>32</v>
      </c>
      <c r="I1226" s="6" t="str">
        <f t="shared" si="25"/>
        <v>20</v>
      </c>
      <c r="J1226" s="6" t="s">
        <v>3460</v>
      </c>
      <c r="K1226" s="21" t="s">
        <v>5368</v>
      </c>
    </row>
    <row r="1227" spans="1:12" ht="17" x14ac:dyDescent="0.25">
      <c r="A1227" t="s">
        <v>1605</v>
      </c>
      <c r="B1227" t="s">
        <v>5369</v>
      </c>
      <c r="C1227" s="5" t="s">
        <v>48</v>
      </c>
      <c r="D1227" t="s">
        <v>5370</v>
      </c>
      <c r="E1227" t="s">
        <v>5371</v>
      </c>
      <c r="F1227" s="5" t="s">
        <v>5372</v>
      </c>
      <c r="G1227" s="5">
        <f t="shared" si="24"/>
        <v>25850</v>
      </c>
      <c r="H1227" s="5">
        <v>14</v>
      </c>
      <c r="I1227" s="6" t="str">
        <f t="shared" si="25"/>
        <v>E</v>
      </c>
      <c r="J1227" s="6" t="s">
        <v>3460</v>
      </c>
      <c r="K1227" s="21" t="s">
        <v>5373</v>
      </c>
    </row>
    <row r="1228" spans="1:12" ht="17" x14ac:dyDescent="0.25">
      <c r="A1228" t="s">
        <v>1606</v>
      </c>
      <c r="B1228" t="s">
        <v>5374</v>
      </c>
      <c r="C1228" s="5" t="s">
        <v>7</v>
      </c>
      <c r="F1228" s="5" t="s">
        <v>5375</v>
      </c>
      <c r="G1228" s="5">
        <f t="shared" si="24"/>
        <v>25864</v>
      </c>
      <c r="I1228" s="6" t="str">
        <f t="shared" si="25"/>
        <v>0</v>
      </c>
      <c r="K1228" s="21" t="s">
        <v>5376</v>
      </c>
    </row>
    <row r="1229" spans="1:12" x14ac:dyDescent="0.2">
      <c r="A1229" t="s">
        <v>1607</v>
      </c>
      <c r="B1229" t="s">
        <v>309</v>
      </c>
      <c r="E1229" t="str">
        <f>IF(D1229&lt;&gt;"",C1229&amp;"/"&amp;D1229,"")</f>
        <v/>
      </c>
      <c r="G1229" s="5" t="str">
        <f t="shared" si="24"/>
        <v/>
      </c>
      <c r="I1229" s="6" t="str">
        <f t="shared" si="25"/>
        <v>0</v>
      </c>
    </row>
    <row r="1230" spans="1:12" x14ac:dyDescent="0.2">
      <c r="A1230" t="s">
        <v>1608</v>
      </c>
      <c r="B1230" t="s">
        <v>309</v>
      </c>
      <c r="E1230" t="str">
        <f>IF(D1230&lt;&gt;"",C1230&amp;"/"&amp;D1230,"")</f>
        <v/>
      </c>
      <c r="G1230" s="5" t="str">
        <f t="shared" si="24"/>
        <v/>
      </c>
      <c r="I1230" s="6" t="str">
        <f t="shared" si="25"/>
        <v>0</v>
      </c>
    </row>
    <row r="1231" spans="1:12" x14ac:dyDescent="0.2">
      <c r="A1231" t="s">
        <v>1609</v>
      </c>
      <c r="B1231" t="s">
        <v>309</v>
      </c>
      <c r="E1231" t="str">
        <f>IF(D1231&lt;&gt;"",C1231&amp;"/"&amp;D1231,"")</f>
        <v/>
      </c>
      <c r="G1231" s="5" t="str">
        <f t="shared" si="24"/>
        <v/>
      </c>
      <c r="I1231" s="6" t="str">
        <f t="shared" si="25"/>
        <v>0</v>
      </c>
    </row>
    <row r="1232" spans="1:12" x14ac:dyDescent="0.2">
      <c r="A1232" t="s">
        <v>1610</v>
      </c>
      <c r="B1232" t="s">
        <v>309</v>
      </c>
      <c r="E1232" t="str">
        <f>IF(D1232&lt;&gt;"",C1232&amp;"/"&amp;D1232,"")</f>
        <v/>
      </c>
      <c r="G1232" s="5" t="str">
        <f t="shared" ref="G1232:G1295" si="26">IF(F1232&lt;&gt;"",HEX2DEC(SUBSTITUTE(SUBSTITUTE(F1232,"adrEA",""),"$","")),"")</f>
        <v/>
      </c>
      <c r="I1232" s="6" t="str">
        <f t="shared" ref="I1232:I1295" si="27">IFERROR(DEC2HEX(H1232),"")</f>
        <v>0</v>
      </c>
    </row>
    <row r="1233" spans="1:11" x14ac:dyDescent="0.2">
      <c r="A1233" t="s">
        <v>1611</v>
      </c>
      <c r="B1233" t="s">
        <v>309</v>
      </c>
      <c r="E1233" t="str">
        <f>IF(D1233&lt;&gt;"",C1233&amp;"/"&amp;D1233,"")</f>
        <v/>
      </c>
      <c r="G1233" s="5" t="str">
        <f t="shared" si="26"/>
        <v/>
      </c>
      <c r="I1233" s="6" t="str">
        <f t="shared" si="27"/>
        <v>0</v>
      </c>
    </row>
    <row r="1234" spans="1:11" x14ac:dyDescent="0.2">
      <c r="A1234" t="s">
        <v>1612</v>
      </c>
      <c r="B1234" t="s">
        <v>3841</v>
      </c>
      <c r="G1234" s="5" t="str">
        <f t="shared" si="26"/>
        <v/>
      </c>
      <c r="I1234" s="6" t="str">
        <f t="shared" si="27"/>
        <v>0</v>
      </c>
      <c r="K1234" s="21" t="s">
        <v>3842</v>
      </c>
    </row>
    <row r="1235" spans="1:11" x14ac:dyDescent="0.2">
      <c r="A1235" t="s">
        <v>1613</v>
      </c>
      <c r="B1235" t="s">
        <v>4035</v>
      </c>
      <c r="E1235" t="str">
        <f>IF(D1235&lt;&gt;"",C1235&amp;"/"&amp;D1235,"")</f>
        <v/>
      </c>
      <c r="G1235" s="5" t="str">
        <f t="shared" si="26"/>
        <v/>
      </c>
      <c r="I1235" s="6" t="str">
        <f t="shared" si="27"/>
        <v>0</v>
      </c>
      <c r="K1235" s="21" t="s">
        <v>4036</v>
      </c>
    </row>
    <row r="1236" spans="1:11" x14ac:dyDescent="0.2">
      <c r="A1236" t="s">
        <v>1614</v>
      </c>
      <c r="B1236" t="s">
        <v>4037</v>
      </c>
      <c r="E1236" t="str">
        <f>IF(D1236&lt;&gt;"",C1236&amp;"/"&amp;D1236,"")</f>
        <v/>
      </c>
      <c r="G1236" s="5" t="str">
        <f t="shared" si="26"/>
        <v/>
      </c>
      <c r="I1236" s="6" t="str">
        <f t="shared" si="27"/>
        <v>0</v>
      </c>
      <c r="K1236" s="21" t="s">
        <v>4038</v>
      </c>
    </row>
    <row r="1237" spans="1:11" x14ac:dyDescent="0.2">
      <c r="A1237" t="s">
        <v>1615</v>
      </c>
      <c r="B1237" t="s">
        <v>1616</v>
      </c>
      <c r="E1237" t="str">
        <f>IF(D1237&lt;&gt;"",C1237&amp;"/"&amp;D1237,"")</f>
        <v/>
      </c>
      <c r="G1237" s="5" t="str">
        <f t="shared" si="26"/>
        <v/>
      </c>
      <c r="I1237" s="6" t="str">
        <f t="shared" si="27"/>
        <v>0</v>
      </c>
      <c r="K1237" s="21" t="s">
        <v>4039</v>
      </c>
    </row>
    <row r="1238" spans="1:11" x14ac:dyDescent="0.2">
      <c r="A1238" t="s">
        <v>1617</v>
      </c>
      <c r="B1238" t="s">
        <v>1618</v>
      </c>
      <c r="E1238" t="str">
        <f>IF(D1238&lt;&gt;"",C1238&amp;"/"&amp;D1238,"")</f>
        <v/>
      </c>
      <c r="G1238" s="5" t="str">
        <f t="shared" si="26"/>
        <v/>
      </c>
      <c r="I1238" s="6" t="str">
        <f t="shared" si="27"/>
        <v>0</v>
      </c>
      <c r="K1238" s="21" t="s">
        <v>4040</v>
      </c>
    </row>
    <row r="1239" spans="1:11" x14ac:dyDescent="0.2">
      <c r="A1239" t="s">
        <v>1619</v>
      </c>
      <c r="B1239" t="s">
        <v>1620</v>
      </c>
      <c r="E1239" t="str">
        <f>IF(D1239&lt;&gt;"",C1239&amp;"/"&amp;D1239,"")</f>
        <v/>
      </c>
      <c r="G1239" s="5" t="str">
        <f t="shared" si="26"/>
        <v/>
      </c>
      <c r="I1239" s="6" t="str">
        <f t="shared" si="27"/>
        <v>0</v>
      </c>
      <c r="K1239" s="21" t="s">
        <v>4041</v>
      </c>
    </row>
    <row r="1240" spans="1:11" x14ac:dyDescent="0.2">
      <c r="A1240" t="s">
        <v>1621</v>
      </c>
      <c r="B1240" t="s">
        <v>1622</v>
      </c>
      <c r="E1240" t="str">
        <f>IF(D1240&lt;&gt;"",C1240&amp;"/"&amp;D1240,"")</f>
        <v/>
      </c>
      <c r="G1240" s="5" t="str">
        <f t="shared" si="26"/>
        <v/>
      </c>
      <c r="I1240" s="6" t="str">
        <f t="shared" si="27"/>
        <v>0</v>
      </c>
      <c r="K1240" s="21" t="s">
        <v>4042</v>
      </c>
    </row>
    <row r="1241" spans="1:11" x14ac:dyDescent="0.2">
      <c r="A1241" t="s">
        <v>1623</v>
      </c>
      <c r="B1241" t="s">
        <v>1624</v>
      </c>
      <c r="E1241" t="str">
        <f>IF(D1241&lt;&gt;"",C1241&amp;"/"&amp;D1241,"")</f>
        <v/>
      </c>
      <c r="G1241" s="5" t="str">
        <f t="shared" si="26"/>
        <v/>
      </c>
      <c r="I1241" s="6" t="str">
        <f t="shared" si="27"/>
        <v>0</v>
      </c>
      <c r="K1241" s="21" t="s">
        <v>4043</v>
      </c>
    </row>
    <row r="1242" spans="1:11" x14ac:dyDescent="0.2">
      <c r="A1242" t="s">
        <v>1625</v>
      </c>
      <c r="B1242" t="s">
        <v>1626</v>
      </c>
      <c r="E1242" t="str">
        <f>IF(D1242&lt;&gt;"",C1242&amp;"/"&amp;D1242,"")</f>
        <v/>
      </c>
      <c r="G1242" s="5" t="str">
        <f t="shared" si="26"/>
        <v/>
      </c>
      <c r="I1242" s="6" t="str">
        <f t="shared" si="27"/>
        <v>0</v>
      </c>
      <c r="K1242" s="21" t="s">
        <v>4044</v>
      </c>
    </row>
    <row r="1243" spans="1:11" x14ac:dyDescent="0.2">
      <c r="A1243" t="s">
        <v>1627</v>
      </c>
      <c r="B1243" t="s">
        <v>4045</v>
      </c>
      <c r="E1243" t="str">
        <f>IF(D1243&lt;&gt;"",C1243&amp;"/"&amp;D1243,"")</f>
        <v/>
      </c>
      <c r="G1243" s="5" t="str">
        <f t="shared" si="26"/>
        <v/>
      </c>
      <c r="I1243" s="6" t="str">
        <f t="shared" si="27"/>
        <v>0</v>
      </c>
      <c r="K1243" s="21" t="s">
        <v>4046</v>
      </c>
    </row>
    <row r="1244" spans="1:11" x14ac:dyDescent="0.2">
      <c r="A1244" t="s">
        <v>1628</v>
      </c>
      <c r="B1244" t="s">
        <v>3896</v>
      </c>
      <c r="G1244" s="5" t="str">
        <f t="shared" si="26"/>
        <v/>
      </c>
      <c r="I1244" s="6" t="str">
        <f t="shared" si="27"/>
        <v>0</v>
      </c>
      <c r="K1244" s="21" t="s">
        <v>4047</v>
      </c>
    </row>
    <row r="1245" spans="1:11" x14ac:dyDescent="0.2">
      <c r="A1245" t="s">
        <v>1629</v>
      </c>
      <c r="B1245" t="s">
        <v>4048</v>
      </c>
      <c r="E1245" t="str">
        <f>IF(D1245&lt;&gt;"",C1245&amp;"/"&amp;D1245,"")</f>
        <v/>
      </c>
      <c r="G1245" s="5" t="str">
        <f t="shared" si="26"/>
        <v/>
      </c>
      <c r="I1245" s="6" t="str">
        <f t="shared" si="27"/>
        <v>0</v>
      </c>
      <c r="K1245" s="21" t="s">
        <v>4049</v>
      </c>
    </row>
    <row r="1246" spans="1:11" x14ac:dyDescent="0.2">
      <c r="A1246" t="s">
        <v>1630</v>
      </c>
      <c r="B1246" t="s">
        <v>3315</v>
      </c>
      <c r="E1246" t="str">
        <f>IF(D1246&lt;&gt;"",C1246&amp;"/"&amp;D1246,"")</f>
        <v/>
      </c>
      <c r="G1246" s="5" t="str">
        <f t="shared" si="26"/>
        <v/>
      </c>
      <c r="I1246" s="6" t="str">
        <f t="shared" si="27"/>
        <v>0</v>
      </c>
      <c r="K1246" s="21" t="s">
        <v>4050</v>
      </c>
    </row>
    <row r="1247" spans="1:11" x14ac:dyDescent="0.2">
      <c r="A1247" t="s">
        <v>1631</v>
      </c>
      <c r="B1247" t="s">
        <v>4051</v>
      </c>
      <c r="E1247" t="str">
        <f>IF(D1247&lt;&gt;"",C1247&amp;"/"&amp;D1247,"")</f>
        <v/>
      </c>
      <c r="G1247" s="5" t="str">
        <f t="shared" si="26"/>
        <v/>
      </c>
      <c r="I1247" s="6" t="str">
        <f t="shared" si="27"/>
        <v>0</v>
      </c>
      <c r="K1247" s="21" t="s">
        <v>4052</v>
      </c>
    </row>
    <row r="1248" spans="1:11" x14ac:dyDescent="0.2">
      <c r="A1248" t="s">
        <v>1632</v>
      </c>
      <c r="B1248" t="s">
        <v>4053</v>
      </c>
      <c r="E1248" t="str">
        <f>IF(D1248&lt;&gt;"",C1248&amp;"/"&amp;D1248,"")</f>
        <v/>
      </c>
      <c r="G1248" s="5" t="str">
        <f t="shared" si="26"/>
        <v/>
      </c>
      <c r="I1248" s="6" t="str">
        <f t="shared" si="27"/>
        <v>0</v>
      </c>
      <c r="K1248" s="21" t="s">
        <v>4054</v>
      </c>
    </row>
    <row r="1249" spans="1:11" x14ac:dyDescent="0.2">
      <c r="A1249" t="s">
        <v>1633</v>
      </c>
      <c r="B1249" t="s">
        <v>4055</v>
      </c>
      <c r="E1249" t="str">
        <f>IF(D1249&lt;&gt;"",C1249&amp;"/"&amp;D1249,"")</f>
        <v/>
      </c>
      <c r="G1249" s="5" t="str">
        <f t="shared" si="26"/>
        <v/>
      </c>
      <c r="I1249" s="6" t="str">
        <f t="shared" si="27"/>
        <v>0</v>
      </c>
      <c r="K1249" s="21" t="s">
        <v>4056</v>
      </c>
    </row>
    <row r="1250" spans="1:11" x14ac:dyDescent="0.2">
      <c r="A1250" t="s">
        <v>1634</v>
      </c>
      <c r="B1250" t="s">
        <v>4057</v>
      </c>
      <c r="E1250" t="str">
        <f>IF(D1250&lt;&gt;"",C1250&amp;"/"&amp;D1250,"")</f>
        <v/>
      </c>
      <c r="G1250" s="5" t="str">
        <f t="shared" si="26"/>
        <v/>
      </c>
      <c r="I1250" s="6" t="str">
        <f t="shared" si="27"/>
        <v>0</v>
      </c>
      <c r="K1250" s="21" t="s">
        <v>4058</v>
      </c>
    </row>
    <row r="1251" spans="1:11" x14ac:dyDescent="0.2">
      <c r="A1251" t="s">
        <v>1635</v>
      </c>
      <c r="B1251" t="s">
        <v>4059</v>
      </c>
      <c r="E1251" t="str">
        <f>IF(D1251&lt;&gt;"",C1251&amp;"/"&amp;D1251,"")</f>
        <v/>
      </c>
      <c r="G1251" s="5" t="str">
        <f t="shared" si="26"/>
        <v/>
      </c>
      <c r="I1251" s="6" t="str">
        <f t="shared" si="27"/>
        <v>0</v>
      </c>
      <c r="K1251" s="21" t="s">
        <v>4060</v>
      </c>
    </row>
    <row r="1252" spans="1:11" x14ac:dyDescent="0.2">
      <c r="A1252" t="s">
        <v>1636</v>
      </c>
      <c r="B1252" t="s">
        <v>3314</v>
      </c>
      <c r="E1252" t="str">
        <f>IF(D1252&lt;&gt;"",C1252&amp;"/"&amp;D1252,"")</f>
        <v/>
      </c>
      <c r="G1252" s="5" t="str">
        <f t="shared" si="26"/>
        <v/>
      </c>
      <c r="I1252" s="6" t="str">
        <f t="shared" si="27"/>
        <v>0</v>
      </c>
      <c r="K1252" s="21" t="s">
        <v>4061</v>
      </c>
    </row>
    <row r="1253" spans="1:11" x14ac:dyDescent="0.2">
      <c r="A1253" t="s">
        <v>1637</v>
      </c>
      <c r="B1253" t="s">
        <v>4062</v>
      </c>
      <c r="E1253" t="str">
        <f>IF(D1253&lt;&gt;"",C1253&amp;"/"&amp;D1253,"")</f>
        <v/>
      </c>
      <c r="G1253" s="5" t="str">
        <f t="shared" si="26"/>
        <v/>
      </c>
      <c r="I1253" s="6" t="str">
        <f t="shared" si="27"/>
        <v>0</v>
      </c>
      <c r="K1253" s="21" t="s">
        <v>4063</v>
      </c>
    </row>
    <row r="1254" spans="1:11" x14ac:dyDescent="0.2">
      <c r="A1254" t="s">
        <v>1639</v>
      </c>
      <c r="B1254" t="s">
        <v>3311</v>
      </c>
      <c r="E1254" t="str">
        <f>IF(D1254&lt;&gt;"",C1254&amp;"/"&amp;D1254,"")</f>
        <v/>
      </c>
      <c r="G1254" s="5" t="str">
        <f t="shared" si="26"/>
        <v/>
      </c>
      <c r="I1254" s="6" t="str">
        <f t="shared" si="27"/>
        <v>0</v>
      </c>
      <c r="K1254" s="21" t="s">
        <v>4064</v>
      </c>
    </row>
    <row r="1255" spans="1:11" x14ac:dyDescent="0.2">
      <c r="A1255" t="s">
        <v>1640</v>
      </c>
      <c r="B1255" t="s">
        <v>4065</v>
      </c>
      <c r="E1255" t="str">
        <f>IF(D1255&lt;&gt;"",C1255&amp;"/"&amp;D1255,"")</f>
        <v/>
      </c>
      <c r="G1255" s="5" t="str">
        <f t="shared" si="26"/>
        <v/>
      </c>
      <c r="I1255" s="6" t="str">
        <f t="shared" si="27"/>
        <v>0</v>
      </c>
      <c r="K1255" s="21" t="s">
        <v>4066</v>
      </c>
    </row>
    <row r="1256" spans="1:11" x14ac:dyDescent="0.2">
      <c r="A1256" t="s">
        <v>1641</v>
      </c>
      <c r="B1256" t="s">
        <v>4067</v>
      </c>
      <c r="E1256" t="str">
        <f>IF(D1256&lt;&gt;"",C1256&amp;"/"&amp;D1256,"")</f>
        <v/>
      </c>
      <c r="G1256" s="5" t="str">
        <f t="shared" si="26"/>
        <v/>
      </c>
      <c r="I1256" s="6" t="str">
        <f t="shared" si="27"/>
        <v>0</v>
      </c>
      <c r="K1256" s="21" t="s">
        <v>4068</v>
      </c>
    </row>
    <row r="1257" spans="1:11" x14ac:dyDescent="0.2">
      <c r="A1257" t="s">
        <v>1642</v>
      </c>
      <c r="B1257" t="s">
        <v>4069</v>
      </c>
      <c r="E1257" t="str">
        <f>IF(D1257&lt;&gt;"",C1257&amp;"/"&amp;D1257,"")</f>
        <v/>
      </c>
      <c r="G1257" s="5" t="str">
        <f t="shared" si="26"/>
        <v/>
      </c>
      <c r="I1257" s="6" t="str">
        <f t="shared" si="27"/>
        <v>0</v>
      </c>
      <c r="K1257" s="21" t="s">
        <v>4070</v>
      </c>
    </row>
    <row r="1258" spans="1:11" x14ac:dyDescent="0.2">
      <c r="A1258" t="s">
        <v>1643</v>
      </c>
      <c r="B1258" t="s">
        <v>4071</v>
      </c>
      <c r="E1258" t="str">
        <f>IF(D1258&lt;&gt;"",C1258&amp;"/"&amp;D1258,"")</f>
        <v/>
      </c>
      <c r="G1258" s="5" t="str">
        <f t="shared" si="26"/>
        <v/>
      </c>
      <c r="I1258" s="6" t="str">
        <f t="shared" si="27"/>
        <v>0</v>
      </c>
      <c r="K1258" s="21" t="s">
        <v>4072</v>
      </c>
    </row>
    <row r="1259" spans="1:11" x14ac:dyDescent="0.2">
      <c r="A1259" t="s">
        <v>1645</v>
      </c>
      <c r="B1259" t="s">
        <v>4073</v>
      </c>
      <c r="E1259" t="str">
        <f>IF(D1259&lt;&gt;"",C1259&amp;"/"&amp;D1259,"")</f>
        <v/>
      </c>
      <c r="G1259" s="5" t="str">
        <f t="shared" si="26"/>
        <v/>
      </c>
      <c r="I1259" s="6" t="str">
        <f t="shared" si="27"/>
        <v>0</v>
      </c>
      <c r="K1259" s="21" t="s">
        <v>4074</v>
      </c>
    </row>
    <row r="1260" spans="1:11" x14ac:dyDescent="0.2">
      <c r="A1260" t="s">
        <v>1646</v>
      </c>
      <c r="B1260" t="s">
        <v>4075</v>
      </c>
      <c r="E1260" t="str">
        <f>IF(D1260&lt;&gt;"",C1260&amp;"/"&amp;D1260,"")</f>
        <v/>
      </c>
      <c r="G1260" s="5" t="str">
        <f t="shared" si="26"/>
        <v/>
      </c>
      <c r="I1260" s="6" t="str">
        <f t="shared" si="27"/>
        <v>0</v>
      </c>
      <c r="K1260" s="21" t="s">
        <v>4076</v>
      </c>
    </row>
    <row r="1261" spans="1:11" x14ac:dyDescent="0.2">
      <c r="A1261" t="s">
        <v>1647</v>
      </c>
      <c r="B1261" t="s">
        <v>4077</v>
      </c>
      <c r="E1261" t="str">
        <f>IF(D1261&lt;&gt;"",C1261&amp;"/"&amp;D1261,"")</f>
        <v/>
      </c>
      <c r="G1261" s="5" t="str">
        <f t="shared" si="26"/>
        <v/>
      </c>
      <c r="I1261" s="6" t="str">
        <f t="shared" si="27"/>
        <v>0</v>
      </c>
      <c r="K1261" s="21" t="s">
        <v>4078</v>
      </c>
    </row>
    <row r="1262" spans="1:11" x14ac:dyDescent="0.2">
      <c r="A1262" t="s">
        <v>1648</v>
      </c>
      <c r="B1262" t="s">
        <v>4079</v>
      </c>
      <c r="E1262" t="str">
        <f>IF(D1262&lt;&gt;"",C1262&amp;"/"&amp;D1262,"")</f>
        <v/>
      </c>
      <c r="G1262" s="5" t="str">
        <f t="shared" si="26"/>
        <v/>
      </c>
      <c r="I1262" s="6" t="str">
        <f t="shared" si="27"/>
        <v>0</v>
      </c>
      <c r="K1262" s="21" t="s">
        <v>4080</v>
      </c>
    </row>
    <row r="1263" spans="1:11" x14ac:dyDescent="0.2">
      <c r="A1263" t="s">
        <v>1649</v>
      </c>
      <c r="B1263" t="s">
        <v>4081</v>
      </c>
      <c r="E1263" t="str">
        <f>IF(D1263&lt;&gt;"",C1263&amp;"/"&amp;D1263,"")</f>
        <v/>
      </c>
      <c r="G1263" s="5" t="str">
        <f t="shared" si="26"/>
        <v/>
      </c>
      <c r="I1263" s="6" t="str">
        <f t="shared" si="27"/>
        <v>0</v>
      </c>
      <c r="K1263" s="21" t="s">
        <v>4082</v>
      </c>
    </row>
    <row r="1264" spans="1:11" x14ac:dyDescent="0.2">
      <c r="A1264" t="s">
        <v>1650</v>
      </c>
      <c r="B1264" t="s">
        <v>4083</v>
      </c>
      <c r="E1264" t="str">
        <f>IF(D1264&lt;&gt;"",C1264&amp;"/"&amp;D1264,"")</f>
        <v/>
      </c>
      <c r="G1264" s="5" t="str">
        <f t="shared" si="26"/>
        <v/>
      </c>
      <c r="I1264" s="6" t="str">
        <f t="shared" si="27"/>
        <v>0</v>
      </c>
      <c r="K1264" s="21" t="s">
        <v>4084</v>
      </c>
    </row>
    <row r="1265" spans="1:12" x14ac:dyDescent="0.2">
      <c r="A1265" t="s">
        <v>1651</v>
      </c>
      <c r="B1265" t="s">
        <v>4085</v>
      </c>
      <c r="E1265" t="str">
        <f>IF(D1265&lt;&gt;"",C1265&amp;"/"&amp;D1265,"")</f>
        <v/>
      </c>
      <c r="G1265" s="5" t="str">
        <f t="shared" si="26"/>
        <v/>
      </c>
      <c r="I1265" s="6" t="str">
        <f t="shared" si="27"/>
        <v>0</v>
      </c>
      <c r="K1265" s="21" t="s">
        <v>4086</v>
      </c>
    </row>
    <row r="1266" spans="1:12" x14ac:dyDescent="0.2">
      <c r="A1266" t="s">
        <v>1652</v>
      </c>
      <c r="B1266" t="s">
        <v>4087</v>
      </c>
      <c r="E1266" t="str">
        <f>IF(D1266&lt;&gt;"",C1266&amp;"/"&amp;D1266,"")</f>
        <v/>
      </c>
      <c r="G1266" s="5" t="str">
        <f t="shared" si="26"/>
        <v/>
      </c>
      <c r="I1266" s="6" t="str">
        <f t="shared" si="27"/>
        <v>0</v>
      </c>
      <c r="K1266" s="21" t="s">
        <v>4088</v>
      </c>
    </row>
    <row r="1267" spans="1:12" x14ac:dyDescent="0.2">
      <c r="A1267" t="s">
        <v>1653</v>
      </c>
      <c r="B1267" t="s">
        <v>4089</v>
      </c>
      <c r="E1267" t="str">
        <f>IF(D1267&lt;&gt;"",C1267&amp;"/"&amp;D1267,"")</f>
        <v/>
      </c>
      <c r="G1267" s="5" t="str">
        <f t="shared" si="26"/>
        <v/>
      </c>
      <c r="I1267" s="6" t="str">
        <f t="shared" si="27"/>
        <v>0</v>
      </c>
      <c r="K1267" s="21" t="s">
        <v>4090</v>
      </c>
    </row>
    <row r="1268" spans="1:12" x14ac:dyDescent="0.2">
      <c r="A1268" t="s">
        <v>1654</v>
      </c>
      <c r="B1268" t="s">
        <v>4091</v>
      </c>
      <c r="E1268" t="str">
        <f>IF(D1268&lt;&gt;"",C1268&amp;"/"&amp;D1268,"")</f>
        <v/>
      </c>
      <c r="G1268" s="5" t="str">
        <f t="shared" si="26"/>
        <v/>
      </c>
      <c r="I1268" s="6" t="str">
        <f t="shared" si="27"/>
        <v>0</v>
      </c>
      <c r="K1268" s="21" t="s">
        <v>4092</v>
      </c>
    </row>
    <row r="1269" spans="1:12" x14ac:dyDescent="0.2">
      <c r="A1269" t="s">
        <v>1656</v>
      </c>
      <c r="B1269" t="s">
        <v>4093</v>
      </c>
      <c r="E1269" t="str">
        <f>IF(D1269&lt;&gt;"",C1269&amp;"/"&amp;D1269,"")</f>
        <v/>
      </c>
      <c r="G1269" s="5" t="str">
        <f t="shared" si="26"/>
        <v/>
      </c>
      <c r="I1269" s="6" t="str">
        <f t="shared" si="27"/>
        <v>0</v>
      </c>
      <c r="K1269" s="21" t="s">
        <v>4094</v>
      </c>
    </row>
    <row r="1270" spans="1:12" x14ac:dyDescent="0.2">
      <c r="A1270" t="s">
        <v>1657</v>
      </c>
      <c r="B1270" t="s">
        <v>4095</v>
      </c>
      <c r="E1270" t="str">
        <f>IF(D1270&lt;&gt;"",C1270&amp;"/"&amp;D1270,"")</f>
        <v/>
      </c>
      <c r="G1270" s="5" t="str">
        <f t="shared" si="26"/>
        <v/>
      </c>
      <c r="I1270" s="6" t="str">
        <f t="shared" si="27"/>
        <v>0</v>
      </c>
      <c r="K1270" s="21" t="s">
        <v>4096</v>
      </c>
    </row>
    <row r="1271" spans="1:12" x14ac:dyDescent="0.2">
      <c r="A1271" t="s">
        <v>1658</v>
      </c>
      <c r="B1271" t="s">
        <v>4097</v>
      </c>
      <c r="E1271" t="str">
        <f>IF(D1271&lt;&gt;"",C1271&amp;"/"&amp;D1271,"")</f>
        <v/>
      </c>
      <c r="G1271" s="5" t="str">
        <f t="shared" si="26"/>
        <v/>
      </c>
      <c r="I1271" s="6" t="str">
        <f t="shared" si="27"/>
        <v>0</v>
      </c>
      <c r="K1271" s="21" t="s">
        <v>4098</v>
      </c>
    </row>
    <row r="1272" spans="1:12" x14ac:dyDescent="0.2">
      <c r="A1272" t="s">
        <v>1660</v>
      </c>
      <c r="B1272" t="s">
        <v>1661</v>
      </c>
      <c r="C1272" s="5" t="s">
        <v>7</v>
      </c>
      <c r="F1272" s="5" t="s">
        <v>5308</v>
      </c>
      <c r="G1272" s="5">
        <f t="shared" si="26"/>
        <v>26732</v>
      </c>
      <c r="I1272" s="6" t="str">
        <f t="shared" si="27"/>
        <v>0</v>
      </c>
      <c r="L1272" s="6" t="s">
        <v>5309</v>
      </c>
    </row>
    <row r="1273" spans="1:12" x14ac:dyDescent="0.2">
      <c r="A1273" t="s">
        <v>1662</v>
      </c>
      <c r="B1273" t="s">
        <v>3313</v>
      </c>
      <c r="C1273" s="5" t="s">
        <v>7</v>
      </c>
      <c r="F1273" s="5" t="s">
        <v>5310</v>
      </c>
      <c r="G1273" s="5">
        <f t="shared" si="26"/>
        <v>26758</v>
      </c>
      <c r="I1273" s="6" t="str">
        <f t="shared" si="27"/>
        <v>0</v>
      </c>
      <c r="L1273" s="6" t="s">
        <v>5311</v>
      </c>
    </row>
    <row r="1274" spans="1:12" x14ac:dyDescent="0.2">
      <c r="A1274" t="s">
        <v>1663</v>
      </c>
      <c r="B1274" t="s">
        <v>4099</v>
      </c>
      <c r="E1274" t="str">
        <f>IF(D1274&lt;&gt;"",C1274&amp;"/"&amp;D1274,"")</f>
        <v/>
      </c>
      <c r="G1274" s="5" t="str">
        <f t="shared" si="26"/>
        <v/>
      </c>
      <c r="I1274" s="6" t="str">
        <f t="shared" si="27"/>
        <v>0</v>
      </c>
      <c r="K1274" s="21" t="s">
        <v>4100</v>
      </c>
    </row>
    <row r="1275" spans="1:12" x14ac:dyDescent="0.2">
      <c r="A1275" t="s">
        <v>1664</v>
      </c>
      <c r="B1275" t="s">
        <v>4101</v>
      </c>
      <c r="E1275" t="str">
        <f>IF(D1275&lt;&gt;"",C1275&amp;"/"&amp;D1275,"")</f>
        <v/>
      </c>
      <c r="G1275" s="5" t="str">
        <f t="shared" si="26"/>
        <v/>
      </c>
      <c r="I1275" s="6" t="str">
        <f t="shared" si="27"/>
        <v>0</v>
      </c>
      <c r="K1275" s="21" t="s">
        <v>4102</v>
      </c>
    </row>
    <row r="1276" spans="1:12" x14ac:dyDescent="0.2">
      <c r="A1276" t="s">
        <v>1665</v>
      </c>
      <c r="B1276" t="s">
        <v>4103</v>
      </c>
      <c r="E1276" t="str">
        <f>IF(D1276&lt;&gt;"",C1276&amp;"/"&amp;D1276,"")</f>
        <v/>
      </c>
      <c r="G1276" s="5" t="str">
        <f t="shared" si="26"/>
        <v/>
      </c>
      <c r="I1276" s="6" t="str">
        <f t="shared" si="27"/>
        <v>0</v>
      </c>
      <c r="K1276" s="21" t="s">
        <v>4104</v>
      </c>
    </row>
    <row r="1277" spans="1:12" x14ac:dyDescent="0.2">
      <c r="A1277" t="s">
        <v>1666</v>
      </c>
      <c r="B1277" t="s">
        <v>4105</v>
      </c>
      <c r="E1277" t="str">
        <f>IF(D1277&lt;&gt;"",C1277&amp;"/"&amp;D1277,"")</f>
        <v/>
      </c>
      <c r="G1277" s="5" t="str">
        <f t="shared" si="26"/>
        <v/>
      </c>
      <c r="I1277" s="6" t="str">
        <f t="shared" si="27"/>
        <v>0</v>
      </c>
      <c r="K1277" s="21" t="s">
        <v>4106</v>
      </c>
    </row>
    <row r="1278" spans="1:12" x14ac:dyDescent="0.2">
      <c r="A1278" t="s">
        <v>1667</v>
      </c>
      <c r="B1278" t="s">
        <v>3897</v>
      </c>
      <c r="G1278" s="5" t="str">
        <f t="shared" si="26"/>
        <v/>
      </c>
      <c r="I1278" s="6" t="str">
        <f t="shared" si="27"/>
        <v>0</v>
      </c>
      <c r="K1278" s="21" t="s">
        <v>3898</v>
      </c>
    </row>
    <row r="1279" spans="1:12" x14ac:dyDescent="0.2">
      <c r="A1279" t="s">
        <v>1668</v>
      </c>
      <c r="B1279" t="s">
        <v>4107</v>
      </c>
      <c r="E1279" t="str">
        <f>IF(D1279&lt;&gt;"",C1279&amp;"/"&amp;D1279,"")</f>
        <v/>
      </c>
      <c r="G1279" s="5" t="str">
        <f t="shared" si="26"/>
        <v/>
      </c>
      <c r="I1279" s="6" t="str">
        <f t="shared" si="27"/>
        <v>0</v>
      </c>
      <c r="K1279" s="21" t="s">
        <v>4108</v>
      </c>
    </row>
    <row r="1280" spans="1:12" x14ac:dyDescent="0.2">
      <c r="A1280" t="s">
        <v>1669</v>
      </c>
      <c r="B1280" t="s">
        <v>4109</v>
      </c>
      <c r="E1280" t="str">
        <f>IF(D1280&lt;&gt;"",C1280&amp;"/"&amp;D1280,"")</f>
        <v/>
      </c>
      <c r="G1280" s="5" t="str">
        <f t="shared" si="26"/>
        <v/>
      </c>
      <c r="I1280" s="6" t="str">
        <f t="shared" si="27"/>
        <v>0</v>
      </c>
      <c r="K1280" s="21" t="s">
        <v>4110</v>
      </c>
    </row>
    <row r="1281" spans="1:11" ht="17" x14ac:dyDescent="0.25">
      <c r="A1281" t="s">
        <v>1670</v>
      </c>
      <c r="B1281" s="19" t="s">
        <v>3899</v>
      </c>
      <c r="D1281" s="19"/>
      <c r="F1281" s="18"/>
      <c r="G1281" s="5" t="str">
        <f t="shared" si="26"/>
        <v/>
      </c>
      <c r="I1281" s="6" t="str">
        <f t="shared" si="27"/>
        <v>0</v>
      </c>
      <c r="K1281" s="21" t="s">
        <v>3900</v>
      </c>
    </row>
    <row r="1282" spans="1:11" x14ac:dyDescent="0.2">
      <c r="A1282" t="s">
        <v>1671</v>
      </c>
      <c r="B1282" t="s">
        <v>4111</v>
      </c>
      <c r="E1282" t="str">
        <f>IF(D1282&lt;&gt;"",C1282&amp;"/"&amp;D1282,"")</f>
        <v/>
      </c>
      <c r="G1282" s="5" t="str">
        <f t="shared" si="26"/>
        <v/>
      </c>
      <c r="I1282" s="6" t="str">
        <f t="shared" si="27"/>
        <v>0</v>
      </c>
      <c r="K1282" s="21" t="s">
        <v>4112</v>
      </c>
    </row>
    <row r="1283" spans="1:11" x14ac:dyDescent="0.2">
      <c r="A1283" t="s">
        <v>1672</v>
      </c>
      <c r="B1283" t="s">
        <v>4113</v>
      </c>
      <c r="E1283" t="str">
        <f>IF(D1283&lt;&gt;"",C1283&amp;"/"&amp;D1283,"")</f>
        <v/>
      </c>
      <c r="G1283" s="5" t="str">
        <f t="shared" si="26"/>
        <v/>
      </c>
      <c r="I1283" s="6" t="str">
        <f t="shared" si="27"/>
        <v>0</v>
      </c>
      <c r="K1283" s="21" t="s">
        <v>4114</v>
      </c>
    </row>
    <row r="1284" spans="1:11" x14ac:dyDescent="0.2">
      <c r="A1284" t="s">
        <v>1673</v>
      </c>
      <c r="B1284" t="s">
        <v>309</v>
      </c>
      <c r="E1284" t="str">
        <f>IF(D1284&lt;&gt;"",C1284&amp;"/"&amp;D1284,"")</f>
        <v/>
      </c>
      <c r="G1284" s="5" t="str">
        <f t="shared" si="26"/>
        <v/>
      </c>
      <c r="I1284" s="6" t="str">
        <f t="shared" si="27"/>
        <v>0</v>
      </c>
    </row>
    <row r="1285" spans="1:11" x14ac:dyDescent="0.2">
      <c r="A1285" t="s">
        <v>1674</v>
      </c>
      <c r="B1285" t="s">
        <v>309</v>
      </c>
      <c r="E1285" t="str">
        <f>IF(D1285&lt;&gt;"",C1285&amp;"/"&amp;D1285,"")</f>
        <v/>
      </c>
      <c r="G1285" s="5" t="str">
        <f t="shared" si="26"/>
        <v/>
      </c>
      <c r="I1285" s="6" t="str">
        <f t="shared" si="27"/>
        <v>0</v>
      </c>
    </row>
    <row r="1286" spans="1:11" x14ac:dyDescent="0.2">
      <c r="A1286" t="s">
        <v>1675</v>
      </c>
      <c r="B1286" t="s">
        <v>309</v>
      </c>
      <c r="E1286" t="str">
        <f>IF(D1286&lt;&gt;"",C1286&amp;"/"&amp;D1286,"")</f>
        <v/>
      </c>
      <c r="G1286" s="5" t="str">
        <f t="shared" si="26"/>
        <v/>
      </c>
      <c r="I1286" s="6" t="str">
        <f t="shared" si="27"/>
        <v>0</v>
      </c>
    </row>
    <row r="1287" spans="1:11" x14ac:dyDescent="0.2">
      <c r="A1287" t="s">
        <v>1676</v>
      </c>
      <c r="B1287" t="s">
        <v>309</v>
      </c>
      <c r="E1287" t="str">
        <f>IF(D1287&lt;&gt;"",C1287&amp;"/"&amp;D1287,"")</f>
        <v/>
      </c>
      <c r="G1287" s="5" t="str">
        <f t="shared" si="26"/>
        <v/>
      </c>
      <c r="I1287" s="6" t="str">
        <f t="shared" si="27"/>
        <v>0</v>
      </c>
    </row>
    <row r="1288" spans="1:11" x14ac:dyDescent="0.2">
      <c r="A1288" t="s">
        <v>1677</v>
      </c>
      <c r="B1288" t="s">
        <v>3318</v>
      </c>
      <c r="E1288" t="str">
        <f>IF(D1288&lt;&gt;"",C1288&amp;"/"&amp;D1288,"")</f>
        <v/>
      </c>
      <c r="G1288" s="5" t="str">
        <f t="shared" si="26"/>
        <v/>
      </c>
      <c r="I1288" s="6" t="str">
        <f t="shared" si="27"/>
        <v>0</v>
      </c>
    </row>
    <row r="1289" spans="1:11" x14ac:dyDescent="0.2">
      <c r="A1289" t="s">
        <v>1678</v>
      </c>
      <c r="B1289" t="s">
        <v>3317</v>
      </c>
      <c r="E1289" t="str">
        <f>IF(D1289&lt;&gt;"",C1289&amp;"/"&amp;D1289,"")</f>
        <v/>
      </c>
      <c r="G1289" s="5" t="str">
        <f t="shared" si="26"/>
        <v/>
      </c>
      <c r="I1289" s="6" t="str">
        <f t="shared" si="27"/>
        <v>0</v>
      </c>
    </row>
    <row r="1290" spans="1:11" x14ac:dyDescent="0.2">
      <c r="A1290" t="s">
        <v>1679</v>
      </c>
      <c r="B1290" t="s">
        <v>3316</v>
      </c>
      <c r="E1290" t="str">
        <f>IF(D1290&lt;&gt;"",C1290&amp;"/"&amp;D1290,"")</f>
        <v/>
      </c>
      <c r="G1290" s="5" t="str">
        <f t="shared" si="26"/>
        <v/>
      </c>
      <c r="I1290" s="6" t="str">
        <f t="shared" si="27"/>
        <v>0</v>
      </c>
    </row>
    <row r="1291" spans="1:11" x14ac:dyDescent="0.2">
      <c r="A1291" t="s">
        <v>1680</v>
      </c>
      <c r="B1291" t="s">
        <v>3319</v>
      </c>
      <c r="E1291" t="str">
        <f>IF(D1291&lt;&gt;"",C1291&amp;"/"&amp;D1291,"")</f>
        <v/>
      </c>
      <c r="G1291" s="5" t="str">
        <f t="shared" si="26"/>
        <v/>
      </c>
      <c r="I1291" s="6" t="str">
        <f t="shared" si="27"/>
        <v>0</v>
      </c>
    </row>
    <row r="1292" spans="1:11" x14ac:dyDescent="0.2">
      <c r="A1292" t="s">
        <v>1681</v>
      </c>
      <c r="B1292" t="s">
        <v>3321</v>
      </c>
      <c r="E1292" t="str">
        <f>IF(D1292&lt;&gt;"",C1292&amp;"/"&amp;D1292,"")</f>
        <v/>
      </c>
      <c r="G1292" s="5" t="str">
        <f t="shared" si="26"/>
        <v/>
      </c>
      <c r="I1292" s="6" t="str">
        <f t="shared" si="27"/>
        <v>0</v>
      </c>
    </row>
    <row r="1293" spans="1:11" x14ac:dyDescent="0.2">
      <c r="A1293" t="s">
        <v>1682</v>
      </c>
      <c r="B1293" t="s">
        <v>1683</v>
      </c>
      <c r="E1293" t="str">
        <f>IF(D1293&lt;&gt;"",C1293&amp;"/"&amp;D1293,"")</f>
        <v/>
      </c>
      <c r="G1293" s="5" t="str">
        <f t="shared" si="26"/>
        <v/>
      </c>
      <c r="I1293" s="6" t="str">
        <f t="shared" si="27"/>
        <v>0</v>
      </c>
    </row>
    <row r="1294" spans="1:11" x14ac:dyDescent="0.2">
      <c r="A1294" t="s">
        <v>1684</v>
      </c>
      <c r="B1294" t="s">
        <v>1685</v>
      </c>
      <c r="E1294" t="str">
        <f>IF(D1294&lt;&gt;"",C1294&amp;"/"&amp;D1294,"")</f>
        <v/>
      </c>
      <c r="G1294" s="5" t="str">
        <f t="shared" si="26"/>
        <v/>
      </c>
      <c r="I1294" s="6" t="str">
        <f t="shared" si="27"/>
        <v>0</v>
      </c>
    </row>
    <row r="1295" spans="1:11" x14ac:dyDescent="0.2">
      <c r="A1295" t="s">
        <v>1686</v>
      </c>
      <c r="B1295" t="s">
        <v>1687</v>
      </c>
      <c r="E1295" t="str">
        <f>IF(D1295&lt;&gt;"",C1295&amp;"/"&amp;D1295,"")</f>
        <v/>
      </c>
      <c r="G1295" s="5" t="str">
        <f t="shared" si="26"/>
        <v/>
      </c>
      <c r="I1295" s="6" t="str">
        <f t="shared" si="27"/>
        <v>0</v>
      </c>
    </row>
    <row r="1296" spans="1:11" x14ac:dyDescent="0.2">
      <c r="A1296" t="s">
        <v>1688</v>
      </c>
      <c r="B1296" t="s">
        <v>1689</v>
      </c>
      <c r="E1296" t="str">
        <f>IF(D1296&lt;&gt;"",C1296&amp;"/"&amp;D1296,"")</f>
        <v/>
      </c>
      <c r="G1296" s="5" t="str">
        <f t="shared" ref="G1296:G1359" si="28">IF(F1296&lt;&gt;"",HEX2DEC(SUBSTITUTE(SUBSTITUTE(F1296,"adrEA",""),"$","")),"")</f>
        <v/>
      </c>
      <c r="I1296" s="6" t="str">
        <f t="shared" ref="I1296:I1359" si="29">IFERROR(DEC2HEX(H1296),"")</f>
        <v>0</v>
      </c>
    </row>
    <row r="1297" spans="1:9" x14ac:dyDescent="0.2">
      <c r="A1297" t="s">
        <v>1690</v>
      </c>
      <c r="B1297" t="s">
        <v>3474</v>
      </c>
      <c r="E1297" t="str">
        <f>IF(D1297&lt;&gt;"",C1297&amp;"/"&amp;D1297,"")</f>
        <v/>
      </c>
      <c r="G1297" s="5" t="str">
        <f t="shared" si="28"/>
        <v/>
      </c>
      <c r="I1297" s="6" t="str">
        <f t="shared" si="29"/>
        <v>0</v>
      </c>
    </row>
    <row r="1298" spans="1:9" x14ac:dyDescent="0.2">
      <c r="A1298" t="s">
        <v>1691</v>
      </c>
      <c r="B1298" t="s">
        <v>3475</v>
      </c>
      <c r="E1298" t="str">
        <f>IF(D1298&lt;&gt;"",C1298&amp;"/"&amp;D1298,"")</f>
        <v/>
      </c>
      <c r="G1298" s="5" t="str">
        <f t="shared" si="28"/>
        <v/>
      </c>
      <c r="I1298" s="6" t="str">
        <f t="shared" si="29"/>
        <v>0</v>
      </c>
    </row>
    <row r="1299" spans="1:9" x14ac:dyDescent="0.2">
      <c r="A1299" t="s">
        <v>1692</v>
      </c>
      <c r="B1299" t="s">
        <v>3328</v>
      </c>
      <c r="C1299" s="5" t="s">
        <v>3327</v>
      </c>
      <c r="E1299" t="str">
        <f>IF(D1299&lt;&gt;"",C1299&amp;"/"&amp;D1299,"")</f>
        <v/>
      </c>
      <c r="G1299" s="5" t="str">
        <f t="shared" si="28"/>
        <v/>
      </c>
      <c r="I1299" s="6" t="str">
        <f t="shared" si="29"/>
        <v>0</v>
      </c>
    </row>
    <row r="1300" spans="1:9" x14ac:dyDescent="0.2">
      <c r="A1300" t="s">
        <v>1693</v>
      </c>
      <c r="B1300" t="s">
        <v>3330</v>
      </c>
      <c r="E1300" t="str">
        <f>IF(D1300&lt;&gt;"",C1300&amp;"/"&amp;D1300,"")</f>
        <v/>
      </c>
      <c r="G1300" s="5" t="str">
        <f t="shared" si="28"/>
        <v/>
      </c>
      <c r="I1300" s="6" t="str">
        <f t="shared" si="29"/>
        <v>0</v>
      </c>
    </row>
    <row r="1301" spans="1:9" x14ac:dyDescent="0.2">
      <c r="A1301" t="s">
        <v>1694</v>
      </c>
      <c r="B1301" t="s">
        <v>3331</v>
      </c>
      <c r="E1301" t="str">
        <f>IF(D1301&lt;&gt;"",C1301&amp;"/"&amp;D1301,"")</f>
        <v/>
      </c>
      <c r="G1301" s="5" t="str">
        <f t="shared" si="28"/>
        <v/>
      </c>
      <c r="I1301" s="6" t="str">
        <f t="shared" si="29"/>
        <v>0</v>
      </c>
    </row>
    <row r="1302" spans="1:9" x14ac:dyDescent="0.2">
      <c r="A1302" t="s">
        <v>1695</v>
      </c>
      <c r="B1302" t="s">
        <v>3332</v>
      </c>
      <c r="E1302" t="str">
        <f>IF(D1302&lt;&gt;"",C1302&amp;"/"&amp;D1302,"")</f>
        <v/>
      </c>
      <c r="G1302" s="5" t="str">
        <f t="shared" si="28"/>
        <v/>
      </c>
      <c r="I1302" s="6" t="str">
        <f t="shared" si="29"/>
        <v>0</v>
      </c>
    </row>
    <row r="1303" spans="1:9" x14ac:dyDescent="0.2">
      <c r="A1303" t="s">
        <v>1696</v>
      </c>
      <c r="B1303" t="s">
        <v>3333</v>
      </c>
      <c r="E1303" t="str">
        <f>IF(D1303&lt;&gt;"",C1303&amp;"/"&amp;D1303,"")</f>
        <v/>
      </c>
      <c r="G1303" s="5" t="str">
        <f t="shared" si="28"/>
        <v/>
      </c>
      <c r="I1303" s="6" t="str">
        <f t="shared" si="29"/>
        <v>0</v>
      </c>
    </row>
    <row r="1304" spans="1:9" x14ac:dyDescent="0.2">
      <c r="A1304" t="s">
        <v>1697</v>
      </c>
      <c r="B1304" t="s">
        <v>3334</v>
      </c>
      <c r="E1304" t="str">
        <f>IF(D1304&lt;&gt;"",C1304&amp;"/"&amp;D1304,"")</f>
        <v/>
      </c>
      <c r="G1304" s="5" t="str">
        <f t="shared" si="28"/>
        <v/>
      </c>
      <c r="I1304" s="6" t="str">
        <f t="shared" si="29"/>
        <v>0</v>
      </c>
    </row>
    <row r="1305" spans="1:9" x14ac:dyDescent="0.2">
      <c r="A1305" t="s">
        <v>1698</v>
      </c>
      <c r="B1305" t="s">
        <v>3335</v>
      </c>
      <c r="E1305" t="str">
        <f>IF(D1305&lt;&gt;"",C1305&amp;"/"&amp;D1305,"")</f>
        <v/>
      </c>
      <c r="G1305" s="5" t="str">
        <f t="shared" si="28"/>
        <v/>
      </c>
      <c r="I1305" s="6" t="str">
        <f t="shared" si="29"/>
        <v>0</v>
      </c>
    </row>
    <row r="1306" spans="1:9" x14ac:dyDescent="0.2">
      <c r="A1306" t="s">
        <v>1699</v>
      </c>
      <c r="B1306" t="s">
        <v>3336</v>
      </c>
      <c r="E1306" t="str">
        <f>IF(D1306&lt;&gt;"",C1306&amp;"/"&amp;D1306,"")</f>
        <v/>
      </c>
      <c r="G1306" s="5" t="str">
        <f t="shared" si="28"/>
        <v/>
      </c>
      <c r="I1306" s="6" t="str">
        <f t="shared" si="29"/>
        <v>0</v>
      </c>
    </row>
    <row r="1307" spans="1:9" x14ac:dyDescent="0.2">
      <c r="A1307" t="s">
        <v>1700</v>
      </c>
      <c r="B1307" t="s">
        <v>3337</v>
      </c>
      <c r="E1307" t="str">
        <f>IF(D1307&lt;&gt;"",C1307&amp;"/"&amp;D1307,"")</f>
        <v/>
      </c>
      <c r="G1307" s="5" t="str">
        <f t="shared" si="28"/>
        <v/>
      </c>
      <c r="I1307" s="6" t="str">
        <f t="shared" si="29"/>
        <v>0</v>
      </c>
    </row>
    <row r="1308" spans="1:9" x14ac:dyDescent="0.2">
      <c r="A1308" t="s">
        <v>1701</v>
      </c>
      <c r="B1308" t="s">
        <v>3338</v>
      </c>
      <c r="E1308" t="str">
        <f>IF(D1308&lt;&gt;"",C1308&amp;"/"&amp;D1308,"")</f>
        <v/>
      </c>
      <c r="G1308" s="5" t="str">
        <f t="shared" si="28"/>
        <v/>
      </c>
      <c r="I1308" s="6" t="str">
        <f t="shared" si="29"/>
        <v>0</v>
      </c>
    </row>
    <row r="1309" spans="1:9" x14ac:dyDescent="0.2">
      <c r="A1309" t="s">
        <v>1702</v>
      </c>
      <c r="B1309" t="s">
        <v>1703</v>
      </c>
      <c r="E1309" t="str">
        <f>IF(D1309&lt;&gt;"",C1309&amp;"/"&amp;D1309,"")</f>
        <v/>
      </c>
      <c r="G1309" s="5" t="str">
        <f t="shared" si="28"/>
        <v/>
      </c>
      <c r="I1309" s="6" t="str">
        <f t="shared" si="29"/>
        <v>0</v>
      </c>
    </row>
    <row r="1310" spans="1:9" x14ac:dyDescent="0.2">
      <c r="A1310" t="s">
        <v>1704</v>
      </c>
      <c r="B1310" t="s">
        <v>1705</v>
      </c>
      <c r="E1310" t="str">
        <f>IF(D1310&lt;&gt;"",C1310&amp;"/"&amp;D1310,"")</f>
        <v/>
      </c>
      <c r="G1310" s="5" t="str">
        <f t="shared" si="28"/>
        <v/>
      </c>
      <c r="I1310" s="6" t="str">
        <f t="shared" si="29"/>
        <v>0</v>
      </c>
    </row>
    <row r="1311" spans="1:9" x14ac:dyDescent="0.2">
      <c r="A1311" t="s">
        <v>1706</v>
      </c>
      <c r="B1311" t="s">
        <v>3329</v>
      </c>
      <c r="E1311" t="str">
        <f>IF(D1311&lt;&gt;"",C1311&amp;"/"&amp;D1311,"")</f>
        <v/>
      </c>
      <c r="G1311" s="5" t="str">
        <f t="shared" si="28"/>
        <v/>
      </c>
      <c r="I1311" s="6" t="str">
        <f t="shared" si="29"/>
        <v>0</v>
      </c>
    </row>
    <row r="1312" spans="1:9" x14ac:dyDescent="0.2">
      <c r="A1312" t="s">
        <v>1707</v>
      </c>
      <c r="B1312" t="s">
        <v>3347</v>
      </c>
      <c r="E1312" t="str">
        <f>IF(D1312&lt;&gt;"",C1312&amp;"/"&amp;D1312,"")</f>
        <v/>
      </c>
      <c r="G1312" s="5" t="str">
        <f t="shared" si="28"/>
        <v/>
      </c>
      <c r="I1312" s="6" t="str">
        <f t="shared" si="29"/>
        <v>0</v>
      </c>
    </row>
    <row r="1313" spans="1:9" x14ac:dyDescent="0.2">
      <c r="A1313" t="s">
        <v>1708</v>
      </c>
      <c r="B1313" t="s">
        <v>3346</v>
      </c>
      <c r="E1313" t="str">
        <f>IF(D1313&lt;&gt;"",C1313&amp;"/"&amp;D1313,"")</f>
        <v/>
      </c>
      <c r="G1313" s="5" t="str">
        <f t="shared" si="28"/>
        <v/>
      </c>
      <c r="I1313" s="6" t="str">
        <f t="shared" si="29"/>
        <v>0</v>
      </c>
    </row>
    <row r="1314" spans="1:9" x14ac:dyDescent="0.2">
      <c r="A1314" t="s">
        <v>1709</v>
      </c>
      <c r="B1314" t="s">
        <v>3345</v>
      </c>
      <c r="E1314" t="str">
        <f>IF(D1314&lt;&gt;"",C1314&amp;"/"&amp;D1314,"")</f>
        <v/>
      </c>
      <c r="G1314" s="5" t="str">
        <f t="shared" si="28"/>
        <v/>
      </c>
      <c r="I1314" s="6" t="str">
        <f t="shared" si="29"/>
        <v>0</v>
      </c>
    </row>
    <row r="1315" spans="1:9" x14ac:dyDescent="0.2">
      <c r="A1315" t="s">
        <v>1710</v>
      </c>
      <c r="B1315" t="s">
        <v>3344</v>
      </c>
      <c r="E1315" t="str">
        <f>IF(D1315&lt;&gt;"",C1315&amp;"/"&amp;D1315,"")</f>
        <v/>
      </c>
      <c r="G1315" s="5" t="str">
        <f t="shared" si="28"/>
        <v/>
      </c>
      <c r="I1315" s="6" t="str">
        <f t="shared" si="29"/>
        <v>0</v>
      </c>
    </row>
    <row r="1316" spans="1:9" x14ac:dyDescent="0.2">
      <c r="A1316" t="s">
        <v>1711</v>
      </c>
      <c r="B1316" t="s">
        <v>3343</v>
      </c>
      <c r="E1316" t="str">
        <f>IF(D1316&lt;&gt;"",C1316&amp;"/"&amp;D1316,"")</f>
        <v/>
      </c>
      <c r="G1316" s="5" t="str">
        <f t="shared" si="28"/>
        <v/>
      </c>
      <c r="I1316" s="6" t="str">
        <f t="shared" si="29"/>
        <v>0</v>
      </c>
    </row>
    <row r="1317" spans="1:9" x14ac:dyDescent="0.2">
      <c r="A1317" t="s">
        <v>1712</v>
      </c>
      <c r="B1317" t="s">
        <v>3342</v>
      </c>
      <c r="E1317" t="str">
        <f>IF(D1317&lt;&gt;"",C1317&amp;"/"&amp;D1317,"")</f>
        <v/>
      </c>
      <c r="G1317" s="5" t="str">
        <f t="shared" si="28"/>
        <v/>
      </c>
      <c r="I1317" s="6" t="str">
        <f t="shared" si="29"/>
        <v>0</v>
      </c>
    </row>
    <row r="1318" spans="1:9" x14ac:dyDescent="0.2">
      <c r="A1318" t="s">
        <v>1713</v>
      </c>
      <c r="B1318" t="s">
        <v>3341</v>
      </c>
      <c r="E1318" t="str">
        <f>IF(D1318&lt;&gt;"",C1318&amp;"/"&amp;D1318,"")</f>
        <v/>
      </c>
      <c r="G1318" s="5" t="str">
        <f t="shared" si="28"/>
        <v/>
      </c>
      <c r="I1318" s="6" t="str">
        <f t="shared" si="29"/>
        <v>0</v>
      </c>
    </row>
    <row r="1319" spans="1:9" x14ac:dyDescent="0.2">
      <c r="A1319" t="s">
        <v>1714</v>
      </c>
      <c r="B1319" t="s">
        <v>3340</v>
      </c>
      <c r="E1319" t="str">
        <f>IF(D1319&lt;&gt;"",C1319&amp;"/"&amp;D1319,"")</f>
        <v/>
      </c>
      <c r="G1319" s="5" t="str">
        <f t="shared" si="28"/>
        <v/>
      </c>
      <c r="I1319" s="6" t="str">
        <f t="shared" si="29"/>
        <v>0</v>
      </c>
    </row>
    <row r="1320" spans="1:9" x14ac:dyDescent="0.2">
      <c r="A1320" t="s">
        <v>1715</v>
      </c>
      <c r="B1320" t="s">
        <v>3339</v>
      </c>
      <c r="E1320" t="str">
        <f>IF(D1320&lt;&gt;"",C1320&amp;"/"&amp;D1320,"")</f>
        <v/>
      </c>
      <c r="G1320" s="5" t="str">
        <f t="shared" si="28"/>
        <v/>
      </c>
      <c r="I1320" s="6" t="str">
        <f t="shared" si="29"/>
        <v>0</v>
      </c>
    </row>
    <row r="1321" spans="1:9" x14ac:dyDescent="0.2">
      <c r="A1321" t="s">
        <v>1716</v>
      </c>
      <c r="B1321" t="s">
        <v>1717</v>
      </c>
      <c r="E1321" t="str">
        <f>IF(D1321&lt;&gt;"",C1321&amp;"/"&amp;D1321,"")</f>
        <v/>
      </c>
      <c r="G1321" s="5" t="str">
        <f t="shared" si="28"/>
        <v/>
      </c>
      <c r="I1321" s="6" t="str">
        <f t="shared" si="29"/>
        <v>0</v>
      </c>
    </row>
    <row r="1322" spans="1:9" x14ac:dyDescent="0.2">
      <c r="A1322" t="s">
        <v>1718</v>
      </c>
      <c r="B1322" t="s">
        <v>1719</v>
      </c>
      <c r="E1322" t="str">
        <f>IF(D1322&lt;&gt;"",C1322&amp;"/"&amp;D1322,"")</f>
        <v/>
      </c>
      <c r="G1322" s="5" t="str">
        <f t="shared" si="28"/>
        <v/>
      </c>
      <c r="I1322" s="6" t="str">
        <f t="shared" si="29"/>
        <v>0</v>
      </c>
    </row>
    <row r="1323" spans="1:9" x14ac:dyDescent="0.2">
      <c r="A1323" t="s">
        <v>1720</v>
      </c>
      <c r="B1323" t="s">
        <v>3356</v>
      </c>
      <c r="E1323" t="str">
        <f>IF(D1323&lt;&gt;"",C1323&amp;"/"&amp;D1323,"")</f>
        <v/>
      </c>
      <c r="G1323" s="5" t="str">
        <f t="shared" si="28"/>
        <v/>
      </c>
      <c r="I1323" s="6" t="str">
        <f t="shared" si="29"/>
        <v>0</v>
      </c>
    </row>
    <row r="1324" spans="1:9" x14ac:dyDescent="0.2">
      <c r="A1324" t="s">
        <v>1721</v>
      </c>
      <c r="B1324" t="s">
        <v>3355</v>
      </c>
      <c r="E1324" t="str">
        <f>IF(D1324&lt;&gt;"",C1324&amp;"/"&amp;D1324,"")</f>
        <v/>
      </c>
      <c r="G1324" s="5" t="str">
        <f t="shared" si="28"/>
        <v/>
      </c>
      <c r="I1324" s="6" t="str">
        <f t="shared" si="29"/>
        <v>0</v>
      </c>
    </row>
    <row r="1325" spans="1:9" x14ac:dyDescent="0.2">
      <c r="A1325" t="s">
        <v>1722</v>
      </c>
      <c r="E1325" t="str">
        <f>IF(D1325&lt;&gt;"",C1325&amp;"/"&amp;D1325,"")</f>
        <v/>
      </c>
      <c r="G1325" s="5" t="str">
        <f t="shared" si="28"/>
        <v/>
      </c>
      <c r="I1325" s="6" t="str">
        <f t="shared" si="29"/>
        <v>0</v>
      </c>
    </row>
    <row r="1326" spans="1:9" x14ac:dyDescent="0.2">
      <c r="A1326" t="s">
        <v>1723</v>
      </c>
      <c r="B1326" t="s">
        <v>309</v>
      </c>
      <c r="E1326" t="str">
        <f>IF(D1326&lt;&gt;"",C1326&amp;"/"&amp;D1326,"")</f>
        <v/>
      </c>
      <c r="G1326" s="5" t="str">
        <f t="shared" si="28"/>
        <v/>
      </c>
      <c r="I1326" s="6" t="str">
        <f t="shared" si="29"/>
        <v>0</v>
      </c>
    </row>
    <row r="1327" spans="1:9" x14ac:dyDescent="0.2">
      <c r="A1327" t="s">
        <v>1726</v>
      </c>
      <c r="B1327" t="s">
        <v>3354</v>
      </c>
      <c r="E1327" t="str">
        <f>IF(D1327&lt;&gt;"",C1327&amp;"/"&amp;D1327,"")</f>
        <v/>
      </c>
      <c r="G1327" s="5" t="str">
        <f t="shared" si="28"/>
        <v/>
      </c>
      <c r="I1327" s="6" t="str">
        <f t="shared" si="29"/>
        <v>0</v>
      </c>
    </row>
    <row r="1328" spans="1:9" x14ac:dyDescent="0.2">
      <c r="A1328" t="s">
        <v>1727</v>
      </c>
      <c r="B1328" t="s">
        <v>309</v>
      </c>
      <c r="E1328" t="str">
        <f>IF(D1328&lt;&gt;"",C1328&amp;"/"&amp;D1328,"")</f>
        <v/>
      </c>
      <c r="G1328" s="5" t="str">
        <f t="shared" si="28"/>
        <v/>
      </c>
      <c r="I1328" s="6" t="str">
        <f t="shared" si="29"/>
        <v>0</v>
      </c>
    </row>
    <row r="1329" spans="1:9" x14ac:dyDescent="0.2">
      <c r="A1329" t="s">
        <v>1728</v>
      </c>
      <c r="B1329" t="s">
        <v>3353</v>
      </c>
      <c r="E1329" t="str">
        <f>IF(D1329&lt;&gt;"",C1329&amp;"/"&amp;D1329,"")</f>
        <v/>
      </c>
      <c r="G1329" s="5" t="str">
        <f t="shared" si="28"/>
        <v/>
      </c>
      <c r="I1329" s="6" t="str">
        <f t="shared" si="29"/>
        <v>0</v>
      </c>
    </row>
    <row r="1330" spans="1:9" x14ac:dyDescent="0.2">
      <c r="A1330" t="s">
        <v>1729</v>
      </c>
      <c r="B1330" t="s">
        <v>309</v>
      </c>
      <c r="E1330" t="str">
        <f>IF(D1330&lt;&gt;"",C1330&amp;"/"&amp;D1330,"")</f>
        <v/>
      </c>
      <c r="G1330" s="5" t="str">
        <f t="shared" si="28"/>
        <v/>
      </c>
      <c r="I1330" s="6" t="str">
        <f t="shared" si="29"/>
        <v>0</v>
      </c>
    </row>
    <row r="1331" spans="1:9" x14ac:dyDescent="0.2">
      <c r="A1331" t="s">
        <v>1730</v>
      </c>
      <c r="B1331" t="s">
        <v>309</v>
      </c>
      <c r="E1331" t="str">
        <f>IF(D1331&lt;&gt;"",C1331&amp;"/"&amp;D1331,"")</f>
        <v/>
      </c>
      <c r="G1331" s="5" t="str">
        <f t="shared" si="28"/>
        <v/>
      </c>
      <c r="I1331" s="6" t="str">
        <f t="shared" si="29"/>
        <v>0</v>
      </c>
    </row>
    <row r="1332" spans="1:9" x14ac:dyDescent="0.2">
      <c r="A1332" t="s">
        <v>1731</v>
      </c>
      <c r="B1332" t="s">
        <v>309</v>
      </c>
      <c r="E1332" t="str">
        <f>IF(D1332&lt;&gt;"",C1332&amp;"/"&amp;D1332,"")</f>
        <v/>
      </c>
      <c r="G1332" s="5" t="str">
        <f t="shared" si="28"/>
        <v/>
      </c>
      <c r="I1332" s="6" t="str">
        <f t="shared" si="29"/>
        <v>0</v>
      </c>
    </row>
    <row r="1333" spans="1:9" x14ac:dyDescent="0.2">
      <c r="A1333" t="s">
        <v>1732</v>
      </c>
      <c r="B1333" t="s">
        <v>309</v>
      </c>
      <c r="E1333" t="str">
        <f>IF(D1333&lt;&gt;"",C1333&amp;"/"&amp;D1333,"")</f>
        <v/>
      </c>
      <c r="G1333" s="5" t="str">
        <f t="shared" si="28"/>
        <v/>
      </c>
      <c r="I1333" s="6" t="str">
        <f t="shared" si="29"/>
        <v>0</v>
      </c>
    </row>
    <row r="1334" spans="1:9" x14ac:dyDescent="0.2">
      <c r="A1334" t="s">
        <v>1734</v>
      </c>
      <c r="B1334" t="s">
        <v>309</v>
      </c>
      <c r="E1334" t="str">
        <f>IF(D1334&lt;&gt;"",C1334&amp;"/"&amp;D1334,"")</f>
        <v/>
      </c>
      <c r="G1334" s="5" t="str">
        <f t="shared" si="28"/>
        <v/>
      </c>
      <c r="I1334" s="6" t="str">
        <f t="shared" si="29"/>
        <v>0</v>
      </c>
    </row>
    <row r="1335" spans="1:9" x14ac:dyDescent="0.2">
      <c r="A1335" t="s">
        <v>1735</v>
      </c>
      <c r="B1335" t="s">
        <v>1736</v>
      </c>
      <c r="E1335" t="str">
        <f>IF(D1335&lt;&gt;"",C1335&amp;"/"&amp;D1335,"")</f>
        <v/>
      </c>
      <c r="G1335" s="5" t="str">
        <f t="shared" si="28"/>
        <v/>
      </c>
      <c r="I1335" s="6" t="str">
        <f t="shared" si="29"/>
        <v>0</v>
      </c>
    </row>
    <row r="1336" spans="1:9" x14ac:dyDescent="0.2">
      <c r="A1336" t="s">
        <v>1737</v>
      </c>
      <c r="B1336" t="s">
        <v>1738</v>
      </c>
      <c r="E1336" t="str">
        <f>IF(D1336&lt;&gt;"",C1336&amp;"/"&amp;D1336,"")</f>
        <v/>
      </c>
      <c r="G1336" s="5" t="str">
        <f t="shared" si="28"/>
        <v/>
      </c>
      <c r="I1336" s="6" t="str">
        <f t="shared" si="29"/>
        <v>0</v>
      </c>
    </row>
    <row r="1337" spans="1:9" x14ac:dyDescent="0.2">
      <c r="A1337" t="s">
        <v>1739</v>
      </c>
      <c r="B1337" t="s">
        <v>1740</v>
      </c>
      <c r="E1337" t="str">
        <f>IF(D1337&lt;&gt;"",C1337&amp;"/"&amp;D1337,"")</f>
        <v/>
      </c>
      <c r="G1337" s="5" t="str">
        <f t="shared" si="28"/>
        <v/>
      </c>
      <c r="I1337" s="6" t="str">
        <f t="shared" si="29"/>
        <v>0</v>
      </c>
    </row>
    <row r="1338" spans="1:9" x14ac:dyDescent="0.2">
      <c r="A1338" t="s">
        <v>1741</v>
      </c>
      <c r="B1338" t="s">
        <v>309</v>
      </c>
      <c r="E1338" t="str">
        <f>IF(D1338&lt;&gt;"",C1338&amp;"/"&amp;D1338,"")</f>
        <v/>
      </c>
      <c r="G1338" s="5" t="str">
        <f t="shared" si="28"/>
        <v/>
      </c>
      <c r="I1338" s="6" t="str">
        <f t="shared" si="29"/>
        <v>0</v>
      </c>
    </row>
    <row r="1339" spans="1:9" x14ac:dyDescent="0.2">
      <c r="A1339" t="s">
        <v>3094</v>
      </c>
      <c r="B1339" t="s">
        <v>1742</v>
      </c>
      <c r="E1339" t="str">
        <f>IF(D1339&lt;&gt;"",C1339&amp;"/"&amp;D1339,"")</f>
        <v/>
      </c>
      <c r="G1339" s="5" t="str">
        <f t="shared" si="28"/>
        <v/>
      </c>
      <c r="I1339" s="6" t="str">
        <f t="shared" si="29"/>
        <v>0</v>
      </c>
    </row>
    <row r="1340" spans="1:9" x14ac:dyDescent="0.2">
      <c r="A1340" t="s">
        <v>1743</v>
      </c>
      <c r="B1340" t="s">
        <v>1743</v>
      </c>
      <c r="E1340" t="str">
        <f>IF(D1340&lt;&gt;"",C1340&amp;"/"&amp;D1340,"")</f>
        <v/>
      </c>
      <c r="G1340" s="5" t="str">
        <f t="shared" si="28"/>
        <v/>
      </c>
      <c r="I1340" s="6" t="str">
        <f t="shared" si="29"/>
        <v>0</v>
      </c>
    </row>
    <row r="1341" spans="1:9" x14ac:dyDescent="0.2">
      <c r="A1341" t="s">
        <v>1744</v>
      </c>
      <c r="B1341" t="s">
        <v>1744</v>
      </c>
      <c r="E1341" t="str">
        <f>IF(D1341&lt;&gt;"",C1341&amp;"/"&amp;D1341,"")</f>
        <v/>
      </c>
      <c r="G1341" s="5" t="str">
        <f t="shared" si="28"/>
        <v/>
      </c>
      <c r="I1341" s="6" t="str">
        <f t="shared" si="29"/>
        <v>0</v>
      </c>
    </row>
    <row r="1342" spans="1:9" x14ac:dyDescent="0.2">
      <c r="A1342" t="s">
        <v>1745</v>
      </c>
      <c r="B1342" t="s">
        <v>3352</v>
      </c>
      <c r="E1342" t="str">
        <f>IF(D1342&lt;&gt;"",C1342&amp;"/"&amp;D1342,"")</f>
        <v/>
      </c>
      <c r="G1342" s="5" t="str">
        <f t="shared" si="28"/>
        <v/>
      </c>
      <c r="I1342" s="6" t="str">
        <f t="shared" si="29"/>
        <v>0</v>
      </c>
    </row>
    <row r="1343" spans="1:9" x14ac:dyDescent="0.2">
      <c r="A1343" t="s">
        <v>1746</v>
      </c>
      <c r="B1343" t="s">
        <v>1747</v>
      </c>
      <c r="E1343" t="str">
        <f>IF(D1343&lt;&gt;"",C1343&amp;"/"&amp;D1343,"")</f>
        <v/>
      </c>
      <c r="G1343" s="5" t="str">
        <f t="shared" si="28"/>
        <v/>
      </c>
      <c r="I1343" s="6" t="str">
        <f t="shared" si="29"/>
        <v>0</v>
      </c>
    </row>
    <row r="1344" spans="1:9" x14ac:dyDescent="0.2">
      <c r="A1344" t="s">
        <v>1748</v>
      </c>
      <c r="E1344" t="str">
        <f>IF(D1344&lt;&gt;"",C1344&amp;"/"&amp;D1344,"")</f>
        <v/>
      </c>
      <c r="G1344" s="5" t="str">
        <f t="shared" si="28"/>
        <v/>
      </c>
      <c r="I1344" s="6" t="str">
        <f t="shared" si="29"/>
        <v>0</v>
      </c>
    </row>
    <row r="1345" spans="1:9" x14ac:dyDescent="0.2">
      <c r="A1345" t="s">
        <v>1749</v>
      </c>
      <c r="B1345" t="s">
        <v>309</v>
      </c>
      <c r="E1345" t="str">
        <f>IF(D1345&lt;&gt;"",C1345&amp;"/"&amp;D1345,"")</f>
        <v/>
      </c>
      <c r="G1345" s="5" t="str">
        <f t="shared" si="28"/>
        <v/>
      </c>
      <c r="I1345" s="6" t="str">
        <f t="shared" si="29"/>
        <v>0</v>
      </c>
    </row>
    <row r="1346" spans="1:9" x14ac:dyDescent="0.2">
      <c r="A1346" t="s">
        <v>1750</v>
      </c>
      <c r="B1346" t="s">
        <v>3358</v>
      </c>
      <c r="E1346" t="str">
        <f>IF(D1346&lt;&gt;"",C1346&amp;"/"&amp;D1346,"")</f>
        <v/>
      </c>
      <c r="G1346" s="5" t="str">
        <f t="shared" si="28"/>
        <v/>
      </c>
      <c r="I1346" s="6" t="str">
        <f t="shared" si="29"/>
        <v>0</v>
      </c>
    </row>
    <row r="1347" spans="1:9" x14ac:dyDescent="0.2">
      <c r="A1347" t="s">
        <v>1751</v>
      </c>
      <c r="B1347" t="s">
        <v>309</v>
      </c>
      <c r="E1347" t="str">
        <f>IF(D1347&lt;&gt;"",C1347&amp;"/"&amp;D1347,"")</f>
        <v/>
      </c>
      <c r="G1347" s="5" t="str">
        <f t="shared" si="28"/>
        <v/>
      </c>
      <c r="I1347" s="6" t="str">
        <f t="shared" si="29"/>
        <v>0</v>
      </c>
    </row>
    <row r="1348" spans="1:9" x14ac:dyDescent="0.2">
      <c r="A1348" t="s">
        <v>1752</v>
      </c>
      <c r="B1348" t="s">
        <v>3360</v>
      </c>
      <c r="E1348" t="str">
        <f>IF(D1348&lt;&gt;"",C1348&amp;"/"&amp;D1348,"")</f>
        <v/>
      </c>
      <c r="G1348" s="5" t="str">
        <f t="shared" si="28"/>
        <v/>
      </c>
      <c r="I1348" s="6" t="str">
        <f t="shared" si="29"/>
        <v>0</v>
      </c>
    </row>
    <row r="1349" spans="1:9" x14ac:dyDescent="0.2">
      <c r="A1349" t="s">
        <v>1753</v>
      </c>
      <c r="B1349" t="s">
        <v>1754</v>
      </c>
      <c r="E1349" t="str">
        <f>IF(D1349&lt;&gt;"",C1349&amp;"/"&amp;D1349,"")</f>
        <v/>
      </c>
      <c r="G1349" s="5" t="str">
        <f t="shared" si="28"/>
        <v/>
      </c>
      <c r="I1349" s="6" t="str">
        <f t="shared" si="29"/>
        <v>0</v>
      </c>
    </row>
    <row r="1350" spans="1:9" x14ac:dyDescent="0.2">
      <c r="A1350" t="s">
        <v>1755</v>
      </c>
      <c r="B1350" t="s">
        <v>1756</v>
      </c>
      <c r="E1350" t="str">
        <f>IF(D1350&lt;&gt;"",C1350&amp;"/"&amp;D1350,"")</f>
        <v/>
      </c>
      <c r="G1350" s="5" t="str">
        <f t="shared" si="28"/>
        <v/>
      </c>
      <c r="I1350" s="6" t="str">
        <f t="shared" si="29"/>
        <v>0</v>
      </c>
    </row>
    <row r="1351" spans="1:9" x14ac:dyDescent="0.2">
      <c r="A1351" t="s">
        <v>1757</v>
      </c>
      <c r="B1351" t="s">
        <v>3357</v>
      </c>
      <c r="E1351" t="str">
        <f>IF(D1351&lt;&gt;"",C1351&amp;"/"&amp;D1351,"")</f>
        <v/>
      </c>
      <c r="G1351" s="5" t="str">
        <f t="shared" si="28"/>
        <v/>
      </c>
      <c r="I1351" s="6" t="str">
        <f t="shared" si="29"/>
        <v>0</v>
      </c>
    </row>
    <row r="1352" spans="1:9" x14ac:dyDescent="0.2">
      <c r="A1352" t="s">
        <v>1758</v>
      </c>
      <c r="B1352" t="s">
        <v>309</v>
      </c>
      <c r="E1352" t="str">
        <f>IF(D1352&lt;&gt;"",C1352&amp;"/"&amp;D1352,"")</f>
        <v/>
      </c>
      <c r="G1352" s="5" t="str">
        <f t="shared" si="28"/>
        <v/>
      </c>
      <c r="I1352" s="6" t="str">
        <f t="shared" si="29"/>
        <v>0</v>
      </c>
    </row>
    <row r="1353" spans="1:9" x14ac:dyDescent="0.2">
      <c r="A1353" t="s">
        <v>1759</v>
      </c>
      <c r="B1353" t="s">
        <v>1760</v>
      </c>
      <c r="E1353" t="str">
        <f>IF(D1353&lt;&gt;"",C1353&amp;"/"&amp;D1353,"")</f>
        <v/>
      </c>
      <c r="G1353" s="5" t="str">
        <f t="shared" si="28"/>
        <v/>
      </c>
      <c r="I1353" s="6" t="str">
        <f t="shared" si="29"/>
        <v>0</v>
      </c>
    </row>
    <row r="1354" spans="1:9" x14ac:dyDescent="0.2">
      <c r="A1354" t="s">
        <v>1761</v>
      </c>
      <c r="B1354" t="s">
        <v>1762</v>
      </c>
      <c r="E1354" t="str">
        <f>IF(D1354&lt;&gt;"",C1354&amp;"/"&amp;D1354,"")</f>
        <v/>
      </c>
      <c r="G1354" s="5" t="str">
        <f t="shared" si="28"/>
        <v/>
      </c>
      <c r="I1354" s="6" t="str">
        <f t="shared" si="29"/>
        <v>0</v>
      </c>
    </row>
    <row r="1355" spans="1:9" x14ac:dyDescent="0.2">
      <c r="A1355" t="s">
        <v>1763</v>
      </c>
      <c r="B1355" t="s">
        <v>309</v>
      </c>
      <c r="E1355" t="str">
        <f>IF(D1355&lt;&gt;"",C1355&amp;"/"&amp;D1355,"")</f>
        <v/>
      </c>
      <c r="G1355" s="5" t="str">
        <f t="shared" si="28"/>
        <v/>
      </c>
      <c r="I1355" s="6" t="str">
        <f t="shared" si="29"/>
        <v>0</v>
      </c>
    </row>
    <row r="1356" spans="1:9" x14ac:dyDescent="0.2">
      <c r="A1356" t="s">
        <v>1764</v>
      </c>
      <c r="B1356" t="s">
        <v>3366</v>
      </c>
      <c r="E1356" t="str">
        <f>IF(D1356&lt;&gt;"",C1356&amp;"/"&amp;D1356,"")</f>
        <v/>
      </c>
      <c r="G1356" s="5" t="str">
        <f t="shared" si="28"/>
        <v/>
      </c>
      <c r="I1356" s="6" t="str">
        <f t="shared" si="29"/>
        <v>0</v>
      </c>
    </row>
    <row r="1357" spans="1:9" x14ac:dyDescent="0.2">
      <c r="A1357" t="s">
        <v>1765</v>
      </c>
      <c r="B1357" t="s">
        <v>3361</v>
      </c>
      <c r="E1357" t="str">
        <f>IF(D1357&lt;&gt;"",C1357&amp;"/"&amp;D1357,"")</f>
        <v/>
      </c>
      <c r="G1357" s="5" t="str">
        <f t="shared" si="28"/>
        <v/>
      </c>
      <c r="I1357" s="6" t="str">
        <f t="shared" si="29"/>
        <v>0</v>
      </c>
    </row>
    <row r="1358" spans="1:9" x14ac:dyDescent="0.2">
      <c r="A1358" t="s">
        <v>1766</v>
      </c>
      <c r="B1358" t="s">
        <v>3362</v>
      </c>
      <c r="E1358" t="str">
        <f>IF(D1358&lt;&gt;"",C1358&amp;"/"&amp;D1358,"")</f>
        <v/>
      </c>
      <c r="G1358" s="5" t="str">
        <f t="shared" si="28"/>
        <v/>
      </c>
      <c r="I1358" s="6" t="str">
        <f t="shared" si="29"/>
        <v>0</v>
      </c>
    </row>
    <row r="1359" spans="1:9" x14ac:dyDescent="0.2">
      <c r="A1359" t="s">
        <v>1767</v>
      </c>
      <c r="B1359" t="s">
        <v>3363</v>
      </c>
      <c r="E1359" t="str">
        <f>IF(D1359&lt;&gt;"",C1359&amp;"/"&amp;D1359,"")</f>
        <v/>
      </c>
      <c r="G1359" s="5" t="str">
        <f t="shared" si="28"/>
        <v/>
      </c>
      <c r="I1359" s="6" t="str">
        <f t="shared" si="29"/>
        <v>0</v>
      </c>
    </row>
    <row r="1360" spans="1:9" x14ac:dyDescent="0.2">
      <c r="A1360" t="s">
        <v>1768</v>
      </c>
      <c r="B1360" t="s">
        <v>3364</v>
      </c>
      <c r="E1360" t="str">
        <f>IF(D1360&lt;&gt;"",C1360&amp;"/"&amp;D1360,"")</f>
        <v/>
      </c>
      <c r="G1360" s="5" t="str">
        <f t="shared" ref="G1360:G1423" si="30">IF(F1360&lt;&gt;"",HEX2DEC(SUBSTITUTE(SUBSTITUTE(F1360,"adrEA",""),"$","")),"")</f>
        <v/>
      </c>
      <c r="I1360" s="6" t="str">
        <f t="shared" ref="I1360:I1423" si="31">IFERROR(DEC2HEX(H1360),"")</f>
        <v>0</v>
      </c>
    </row>
    <row r="1361" spans="1:9" x14ac:dyDescent="0.2">
      <c r="A1361" t="s">
        <v>1769</v>
      </c>
      <c r="B1361" t="s">
        <v>3365</v>
      </c>
      <c r="E1361" t="str">
        <f>IF(D1361&lt;&gt;"",C1361&amp;"/"&amp;D1361,"")</f>
        <v/>
      </c>
      <c r="G1361" s="5" t="str">
        <f t="shared" si="30"/>
        <v/>
      </c>
      <c r="I1361" s="6" t="str">
        <f t="shared" si="31"/>
        <v>0</v>
      </c>
    </row>
    <row r="1362" spans="1:9" x14ac:dyDescent="0.2">
      <c r="A1362" t="s">
        <v>1770</v>
      </c>
      <c r="B1362" t="s">
        <v>3359</v>
      </c>
      <c r="E1362" t="str">
        <f>IF(D1362&lt;&gt;"",C1362&amp;"/"&amp;D1362,"")</f>
        <v/>
      </c>
      <c r="G1362" s="5" t="str">
        <f t="shared" si="30"/>
        <v/>
      </c>
      <c r="I1362" s="6" t="str">
        <f t="shared" si="31"/>
        <v>0</v>
      </c>
    </row>
    <row r="1363" spans="1:9" x14ac:dyDescent="0.2">
      <c r="A1363" t="s">
        <v>1771</v>
      </c>
      <c r="B1363" t="s">
        <v>3348</v>
      </c>
      <c r="E1363" t="str">
        <f>IF(D1363&lt;&gt;"",C1363&amp;"/"&amp;D1363,"")</f>
        <v/>
      </c>
      <c r="G1363" s="5" t="str">
        <f t="shared" si="30"/>
        <v/>
      </c>
      <c r="I1363" s="6" t="str">
        <f t="shared" si="31"/>
        <v>0</v>
      </c>
    </row>
    <row r="1364" spans="1:9" x14ac:dyDescent="0.2">
      <c r="A1364" t="s">
        <v>1772</v>
      </c>
      <c r="B1364" t="s">
        <v>3349</v>
      </c>
      <c r="E1364" t="str">
        <f>IF(D1364&lt;&gt;"",C1364&amp;"/"&amp;D1364,"")</f>
        <v/>
      </c>
      <c r="G1364" s="5" t="str">
        <f t="shared" si="30"/>
        <v/>
      </c>
      <c r="I1364" s="6" t="str">
        <f t="shared" si="31"/>
        <v>0</v>
      </c>
    </row>
    <row r="1365" spans="1:9" x14ac:dyDescent="0.2">
      <c r="A1365" t="s">
        <v>1773</v>
      </c>
      <c r="B1365" t="s">
        <v>3350</v>
      </c>
      <c r="E1365" t="str">
        <f>IF(D1365&lt;&gt;"",C1365&amp;"/"&amp;D1365,"")</f>
        <v/>
      </c>
      <c r="G1365" s="5" t="str">
        <f t="shared" si="30"/>
        <v/>
      </c>
      <c r="I1365" s="6" t="str">
        <f t="shared" si="31"/>
        <v>0</v>
      </c>
    </row>
    <row r="1366" spans="1:9" x14ac:dyDescent="0.2">
      <c r="A1366" t="s">
        <v>1774</v>
      </c>
      <c r="B1366" t="s">
        <v>309</v>
      </c>
      <c r="E1366" t="str">
        <f>IF(D1366&lt;&gt;"",C1366&amp;"/"&amp;D1366,"")</f>
        <v/>
      </c>
      <c r="G1366" s="5" t="str">
        <f t="shared" si="30"/>
        <v/>
      </c>
      <c r="I1366" s="6" t="str">
        <f t="shared" si="31"/>
        <v>0</v>
      </c>
    </row>
    <row r="1367" spans="1:9" x14ac:dyDescent="0.2">
      <c r="A1367" t="s">
        <v>1775</v>
      </c>
      <c r="B1367" t="s">
        <v>309</v>
      </c>
      <c r="E1367" t="str">
        <f>IF(D1367&lt;&gt;"",C1367&amp;"/"&amp;D1367,"")</f>
        <v/>
      </c>
      <c r="G1367" s="5" t="str">
        <f t="shared" si="30"/>
        <v/>
      </c>
      <c r="I1367" s="6" t="str">
        <f t="shared" si="31"/>
        <v>0</v>
      </c>
    </row>
    <row r="1368" spans="1:9" x14ac:dyDescent="0.2">
      <c r="A1368" t="s">
        <v>1776</v>
      </c>
      <c r="B1368" t="s">
        <v>309</v>
      </c>
      <c r="E1368" t="str">
        <f>IF(D1368&lt;&gt;"",C1368&amp;"/"&amp;D1368,"")</f>
        <v/>
      </c>
      <c r="G1368" s="5" t="str">
        <f t="shared" si="30"/>
        <v/>
      </c>
      <c r="I1368" s="6" t="str">
        <f t="shared" si="31"/>
        <v>0</v>
      </c>
    </row>
    <row r="1369" spans="1:9" x14ac:dyDescent="0.2">
      <c r="A1369" t="s">
        <v>1777</v>
      </c>
      <c r="B1369" t="s">
        <v>309</v>
      </c>
      <c r="E1369" t="str">
        <f>IF(D1369&lt;&gt;"",C1369&amp;"/"&amp;D1369,"")</f>
        <v/>
      </c>
      <c r="G1369" s="5" t="str">
        <f t="shared" si="30"/>
        <v/>
      </c>
      <c r="I1369" s="6" t="str">
        <f t="shared" si="31"/>
        <v>0</v>
      </c>
    </row>
    <row r="1370" spans="1:9" x14ac:dyDescent="0.2">
      <c r="A1370" t="s">
        <v>1778</v>
      </c>
      <c r="B1370" t="s">
        <v>309</v>
      </c>
      <c r="E1370" t="str">
        <f>IF(D1370&lt;&gt;"",C1370&amp;"/"&amp;D1370,"")</f>
        <v/>
      </c>
      <c r="G1370" s="5" t="str">
        <f t="shared" si="30"/>
        <v/>
      </c>
      <c r="I1370" s="6" t="str">
        <f t="shared" si="31"/>
        <v>0</v>
      </c>
    </row>
    <row r="1371" spans="1:9" x14ac:dyDescent="0.2">
      <c r="A1371" t="s">
        <v>1779</v>
      </c>
      <c r="B1371" t="s">
        <v>309</v>
      </c>
      <c r="E1371" t="str">
        <f>IF(D1371&lt;&gt;"",C1371&amp;"/"&amp;D1371,"")</f>
        <v/>
      </c>
      <c r="G1371" s="5" t="str">
        <f t="shared" si="30"/>
        <v/>
      </c>
      <c r="I1371" s="6" t="str">
        <f t="shared" si="31"/>
        <v>0</v>
      </c>
    </row>
    <row r="1372" spans="1:9" x14ac:dyDescent="0.2">
      <c r="A1372" t="s">
        <v>1780</v>
      </c>
      <c r="B1372" t="s">
        <v>309</v>
      </c>
      <c r="E1372" t="str">
        <f>IF(D1372&lt;&gt;"",C1372&amp;"/"&amp;D1372,"")</f>
        <v/>
      </c>
      <c r="G1372" s="5" t="str">
        <f t="shared" si="30"/>
        <v/>
      </c>
      <c r="I1372" s="6" t="str">
        <f t="shared" si="31"/>
        <v>0</v>
      </c>
    </row>
    <row r="1373" spans="1:9" x14ac:dyDescent="0.2">
      <c r="A1373" t="s">
        <v>1781</v>
      </c>
      <c r="B1373" t="s">
        <v>309</v>
      </c>
      <c r="E1373" t="str">
        <f>IF(D1373&lt;&gt;"",C1373&amp;"/"&amp;D1373,"")</f>
        <v/>
      </c>
      <c r="G1373" s="5" t="str">
        <f t="shared" si="30"/>
        <v/>
      </c>
      <c r="I1373" s="6" t="str">
        <f t="shared" si="31"/>
        <v>0</v>
      </c>
    </row>
    <row r="1374" spans="1:9" x14ac:dyDescent="0.2">
      <c r="A1374" t="s">
        <v>1782</v>
      </c>
      <c r="B1374" t="s">
        <v>309</v>
      </c>
      <c r="E1374" t="str">
        <f>IF(D1374&lt;&gt;"",C1374&amp;"/"&amp;D1374,"")</f>
        <v/>
      </c>
      <c r="G1374" s="5" t="str">
        <f t="shared" si="30"/>
        <v/>
      </c>
      <c r="I1374" s="6" t="str">
        <f t="shared" si="31"/>
        <v>0</v>
      </c>
    </row>
    <row r="1375" spans="1:9" x14ac:dyDescent="0.2">
      <c r="A1375" t="s">
        <v>1783</v>
      </c>
      <c r="B1375" t="s">
        <v>309</v>
      </c>
      <c r="E1375" t="str">
        <f>IF(D1375&lt;&gt;"",C1375&amp;"/"&amp;D1375,"")</f>
        <v/>
      </c>
      <c r="G1375" s="5" t="str">
        <f t="shared" si="30"/>
        <v/>
      </c>
      <c r="I1375" s="6" t="str">
        <f t="shared" si="31"/>
        <v>0</v>
      </c>
    </row>
    <row r="1376" spans="1:9" x14ac:dyDescent="0.2">
      <c r="A1376" t="s">
        <v>1784</v>
      </c>
      <c r="B1376" t="s">
        <v>309</v>
      </c>
      <c r="E1376" t="str">
        <f>IF(D1376&lt;&gt;"",C1376&amp;"/"&amp;D1376,"")</f>
        <v/>
      </c>
      <c r="G1376" s="5" t="str">
        <f t="shared" si="30"/>
        <v/>
      </c>
      <c r="I1376" s="6" t="str">
        <f t="shared" si="31"/>
        <v>0</v>
      </c>
    </row>
    <row r="1377" spans="1:9" x14ac:dyDescent="0.2">
      <c r="A1377" t="s">
        <v>1785</v>
      </c>
      <c r="B1377" t="s">
        <v>309</v>
      </c>
      <c r="E1377" t="str">
        <f>IF(D1377&lt;&gt;"",C1377&amp;"/"&amp;D1377,"")</f>
        <v/>
      </c>
      <c r="G1377" s="5" t="str">
        <f t="shared" si="30"/>
        <v/>
      </c>
      <c r="I1377" s="6" t="str">
        <f t="shared" si="31"/>
        <v>0</v>
      </c>
    </row>
    <row r="1378" spans="1:9" x14ac:dyDescent="0.2">
      <c r="A1378" t="s">
        <v>1786</v>
      </c>
      <c r="B1378" t="s">
        <v>309</v>
      </c>
      <c r="E1378" t="str">
        <f>IF(D1378&lt;&gt;"",C1378&amp;"/"&amp;D1378,"")</f>
        <v/>
      </c>
      <c r="G1378" s="5" t="str">
        <f t="shared" si="30"/>
        <v/>
      </c>
      <c r="I1378" s="6" t="str">
        <f t="shared" si="31"/>
        <v>0</v>
      </c>
    </row>
    <row r="1379" spans="1:9" x14ac:dyDescent="0.2">
      <c r="A1379" t="s">
        <v>1787</v>
      </c>
      <c r="B1379" t="s">
        <v>3351</v>
      </c>
      <c r="E1379" t="str">
        <f>IF(D1379&lt;&gt;"",C1379&amp;"/"&amp;D1379,"")</f>
        <v/>
      </c>
      <c r="G1379" s="5" t="str">
        <f t="shared" si="30"/>
        <v/>
      </c>
      <c r="I1379" s="6" t="str">
        <f t="shared" si="31"/>
        <v>0</v>
      </c>
    </row>
    <row r="1380" spans="1:9" x14ac:dyDescent="0.2">
      <c r="A1380" t="s">
        <v>1788</v>
      </c>
      <c r="B1380" t="s">
        <v>309</v>
      </c>
      <c r="E1380" t="str">
        <f>IF(D1380&lt;&gt;"",C1380&amp;"/"&amp;D1380,"")</f>
        <v/>
      </c>
      <c r="G1380" s="5" t="str">
        <f t="shared" si="30"/>
        <v/>
      </c>
      <c r="I1380" s="6" t="str">
        <f t="shared" si="31"/>
        <v>0</v>
      </c>
    </row>
    <row r="1381" spans="1:9" x14ac:dyDescent="0.2">
      <c r="A1381" t="s">
        <v>1789</v>
      </c>
      <c r="B1381" t="s">
        <v>309</v>
      </c>
      <c r="E1381" t="str">
        <f>IF(D1381&lt;&gt;"",C1381&amp;"/"&amp;D1381,"")</f>
        <v/>
      </c>
      <c r="G1381" s="5" t="str">
        <f t="shared" si="30"/>
        <v/>
      </c>
      <c r="I1381" s="6" t="str">
        <f t="shared" si="31"/>
        <v>0</v>
      </c>
    </row>
    <row r="1382" spans="1:9" x14ac:dyDescent="0.2">
      <c r="A1382" t="s">
        <v>1790</v>
      </c>
      <c r="B1382" t="s">
        <v>309</v>
      </c>
      <c r="E1382" t="str">
        <f>IF(D1382&lt;&gt;"",C1382&amp;"/"&amp;D1382,"")</f>
        <v/>
      </c>
      <c r="G1382" s="5" t="str">
        <f t="shared" si="30"/>
        <v/>
      </c>
      <c r="I1382" s="6" t="str">
        <f t="shared" si="31"/>
        <v>0</v>
      </c>
    </row>
    <row r="1383" spans="1:9" x14ac:dyDescent="0.2">
      <c r="A1383" t="s">
        <v>1791</v>
      </c>
      <c r="B1383" t="s">
        <v>309</v>
      </c>
      <c r="E1383" t="str">
        <f>IF(D1383&lt;&gt;"",C1383&amp;"/"&amp;D1383,"")</f>
        <v/>
      </c>
      <c r="G1383" s="5" t="str">
        <f t="shared" si="30"/>
        <v/>
      </c>
      <c r="I1383" s="6" t="str">
        <f t="shared" si="31"/>
        <v>0</v>
      </c>
    </row>
    <row r="1384" spans="1:9" x14ac:dyDescent="0.2">
      <c r="A1384" t="s">
        <v>1792</v>
      </c>
      <c r="B1384" t="s">
        <v>309</v>
      </c>
      <c r="E1384" t="str">
        <f>IF(D1384&lt;&gt;"",C1384&amp;"/"&amp;D1384,"")</f>
        <v/>
      </c>
      <c r="G1384" s="5" t="str">
        <f t="shared" si="30"/>
        <v/>
      </c>
      <c r="I1384" s="6" t="str">
        <f t="shared" si="31"/>
        <v>0</v>
      </c>
    </row>
    <row r="1385" spans="1:9" x14ac:dyDescent="0.2">
      <c r="A1385" t="s">
        <v>1793</v>
      </c>
      <c r="B1385" t="s">
        <v>309</v>
      </c>
      <c r="E1385" t="str">
        <f>IF(D1385&lt;&gt;"",C1385&amp;"/"&amp;D1385,"")</f>
        <v/>
      </c>
      <c r="G1385" s="5" t="str">
        <f t="shared" si="30"/>
        <v/>
      </c>
      <c r="I1385" s="6" t="str">
        <f t="shared" si="31"/>
        <v>0</v>
      </c>
    </row>
    <row r="1386" spans="1:9" x14ac:dyDescent="0.2">
      <c r="A1386" t="s">
        <v>1794</v>
      </c>
      <c r="B1386" t="s">
        <v>309</v>
      </c>
      <c r="E1386" t="str">
        <f>IF(D1386&lt;&gt;"",C1386&amp;"/"&amp;D1386,"")</f>
        <v/>
      </c>
      <c r="G1386" s="5" t="str">
        <f t="shared" si="30"/>
        <v/>
      </c>
      <c r="I1386" s="6" t="str">
        <f t="shared" si="31"/>
        <v>0</v>
      </c>
    </row>
    <row r="1387" spans="1:9" x14ac:dyDescent="0.2">
      <c r="A1387" t="s">
        <v>1795</v>
      </c>
      <c r="B1387" t="s">
        <v>309</v>
      </c>
      <c r="E1387" t="str">
        <f>IF(D1387&lt;&gt;"",C1387&amp;"/"&amp;D1387,"")</f>
        <v/>
      </c>
      <c r="G1387" s="5" t="str">
        <f t="shared" si="30"/>
        <v/>
      </c>
      <c r="I1387" s="6" t="str">
        <f t="shared" si="31"/>
        <v>0</v>
      </c>
    </row>
    <row r="1388" spans="1:9" x14ac:dyDescent="0.2">
      <c r="A1388" t="s">
        <v>1796</v>
      </c>
      <c r="B1388" t="s">
        <v>309</v>
      </c>
      <c r="E1388" t="str">
        <f>IF(D1388&lt;&gt;"",C1388&amp;"/"&amp;D1388,"")</f>
        <v/>
      </c>
      <c r="G1388" s="5" t="str">
        <f t="shared" si="30"/>
        <v/>
      </c>
      <c r="I1388" s="6" t="str">
        <f t="shared" si="31"/>
        <v>0</v>
      </c>
    </row>
    <row r="1389" spans="1:9" x14ac:dyDescent="0.2">
      <c r="A1389" t="s">
        <v>1797</v>
      </c>
      <c r="B1389" t="s">
        <v>309</v>
      </c>
      <c r="E1389" t="str">
        <f>IF(D1389&lt;&gt;"",C1389&amp;"/"&amp;D1389,"")</f>
        <v/>
      </c>
      <c r="G1389" s="5" t="str">
        <f t="shared" si="30"/>
        <v/>
      </c>
      <c r="I1389" s="6" t="str">
        <f t="shared" si="31"/>
        <v>0</v>
      </c>
    </row>
    <row r="1390" spans="1:9" x14ac:dyDescent="0.2">
      <c r="A1390" t="s">
        <v>1798</v>
      </c>
      <c r="B1390" t="s">
        <v>309</v>
      </c>
      <c r="E1390" t="str">
        <f>IF(D1390&lt;&gt;"",C1390&amp;"/"&amp;D1390,"")</f>
        <v/>
      </c>
      <c r="G1390" s="5" t="str">
        <f t="shared" si="30"/>
        <v/>
      </c>
      <c r="I1390" s="6" t="str">
        <f t="shared" si="31"/>
        <v>0</v>
      </c>
    </row>
    <row r="1391" spans="1:9" x14ac:dyDescent="0.2">
      <c r="A1391" t="s">
        <v>1799</v>
      </c>
      <c r="B1391" t="s">
        <v>309</v>
      </c>
      <c r="E1391" t="str">
        <f>IF(D1391&lt;&gt;"",C1391&amp;"/"&amp;D1391,"")</f>
        <v/>
      </c>
      <c r="G1391" s="5" t="str">
        <f t="shared" si="30"/>
        <v/>
      </c>
      <c r="I1391" s="6" t="str">
        <f t="shared" si="31"/>
        <v>0</v>
      </c>
    </row>
    <row r="1392" spans="1:9" x14ac:dyDescent="0.2">
      <c r="A1392" t="s">
        <v>1800</v>
      </c>
      <c r="B1392" t="s">
        <v>309</v>
      </c>
      <c r="E1392" t="str">
        <f>IF(D1392&lt;&gt;"",C1392&amp;"/"&amp;D1392,"")</f>
        <v/>
      </c>
      <c r="G1392" s="5" t="str">
        <f t="shared" si="30"/>
        <v/>
      </c>
      <c r="I1392" s="6" t="str">
        <f t="shared" si="31"/>
        <v>0</v>
      </c>
    </row>
    <row r="1393" spans="1:9" x14ac:dyDescent="0.2">
      <c r="A1393" t="s">
        <v>1801</v>
      </c>
      <c r="B1393" t="s">
        <v>309</v>
      </c>
      <c r="E1393" t="str">
        <f>IF(D1393&lt;&gt;"",C1393&amp;"/"&amp;D1393,"")</f>
        <v/>
      </c>
      <c r="G1393" s="5" t="str">
        <f t="shared" si="30"/>
        <v/>
      </c>
      <c r="I1393" s="6" t="str">
        <f t="shared" si="31"/>
        <v>0</v>
      </c>
    </row>
    <row r="1394" spans="1:9" x14ac:dyDescent="0.2">
      <c r="A1394" t="s">
        <v>1802</v>
      </c>
      <c r="B1394" t="s">
        <v>309</v>
      </c>
      <c r="E1394" t="str">
        <f>IF(D1394&lt;&gt;"",C1394&amp;"/"&amp;D1394,"")</f>
        <v/>
      </c>
      <c r="G1394" s="5" t="str">
        <f t="shared" si="30"/>
        <v/>
      </c>
      <c r="I1394" s="6" t="str">
        <f t="shared" si="31"/>
        <v>0</v>
      </c>
    </row>
    <row r="1395" spans="1:9" x14ac:dyDescent="0.2">
      <c r="A1395" t="s">
        <v>1803</v>
      </c>
      <c r="B1395" t="s">
        <v>309</v>
      </c>
      <c r="E1395" t="str">
        <f>IF(D1395&lt;&gt;"",C1395&amp;"/"&amp;D1395,"")</f>
        <v/>
      </c>
      <c r="G1395" s="5" t="str">
        <f t="shared" si="30"/>
        <v/>
      </c>
      <c r="I1395" s="6" t="str">
        <f t="shared" si="31"/>
        <v>0</v>
      </c>
    </row>
    <row r="1396" spans="1:9" x14ac:dyDescent="0.2">
      <c r="A1396" t="s">
        <v>1804</v>
      </c>
      <c r="B1396" t="s">
        <v>3322</v>
      </c>
      <c r="E1396" t="str">
        <f>IF(D1396&lt;&gt;"",C1396&amp;"/"&amp;D1396,"")</f>
        <v/>
      </c>
      <c r="G1396" s="5" t="str">
        <f t="shared" si="30"/>
        <v/>
      </c>
      <c r="I1396" s="6" t="str">
        <f t="shared" si="31"/>
        <v>0</v>
      </c>
    </row>
    <row r="1397" spans="1:9" x14ac:dyDescent="0.2">
      <c r="A1397" t="s">
        <v>1805</v>
      </c>
      <c r="B1397" t="s">
        <v>309</v>
      </c>
      <c r="E1397" t="str">
        <f>IF(D1397&lt;&gt;"",C1397&amp;"/"&amp;D1397,"")</f>
        <v/>
      </c>
      <c r="G1397" s="5" t="str">
        <f t="shared" si="30"/>
        <v/>
      </c>
      <c r="I1397" s="6" t="str">
        <f t="shared" si="31"/>
        <v>0</v>
      </c>
    </row>
    <row r="1398" spans="1:9" x14ac:dyDescent="0.2">
      <c r="A1398" t="s">
        <v>1806</v>
      </c>
      <c r="B1398" t="s">
        <v>309</v>
      </c>
      <c r="E1398" t="str">
        <f>IF(D1398&lt;&gt;"",C1398&amp;"/"&amp;D1398,"")</f>
        <v/>
      </c>
      <c r="G1398" s="5" t="str">
        <f t="shared" si="30"/>
        <v/>
      </c>
      <c r="I1398" s="6" t="str">
        <f t="shared" si="31"/>
        <v>0</v>
      </c>
    </row>
    <row r="1399" spans="1:9" x14ac:dyDescent="0.2">
      <c r="A1399" t="s">
        <v>1807</v>
      </c>
      <c r="B1399" t="s">
        <v>309</v>
      </c>
      <c r="E1399" t="str">
        <f>IF(D1399&lt;&gt;"",C1399&amp;"/"&amp;D1399,"")</f>
        <v/>
      </c>
      <c r="G1399" s="5" t="str">
        <f t="shared" si="30"/>
        <v/>
      </c>
      <c r="I1399" s="6" t="str">
        <f t="shared" si="31"/>
        <v>0</v>
      </c>
    </row>
    <row r="1400" spans="1:9" x14ac:dyDescent="0.2">
      <c r="A1400" t="s">
        <v>1808</v>
      </c>
      <c r="B1400" t="s">
        <v>309</v>
      </c>
      <c r="E1400" t="str">
        <f>IF(D1400&lt;&gt;"",C1400&amp;"/"&amp;D1400,"")</f>
        <v/>
      </c>
      <c r="G1400" s="5" t="str">
        <f t="shared" si="30"/>
        <v/>
      </c>
      <c r="I1400" s="6" t="str">
        <f t="shared" si="31"/>
        <v>0</v>
      </c>
    </row>
    <row r="1401" spans="1:9" x14ac:dyDescent="0.2">
      <c r="A1401" t="s">
        <v>1809</v>
      </c>
      <c r="B1401" t="s">
        <v>309</v>
      </c>
      <c r="E1401" t="str">
        <f>IF(D1401&lt;&gt;"",C1401&amp;"/"&amp;D1401,"")</f>
        <v/>
      </c>
      <c r="G1401" s="5" t="str">
        <f t="shared" si="30"/>
        <v/>
      </c>
      <c r="I1401" s="6" t="str">
        <f t="shared" si="31"/>
        <v>0</v>
      </c>
    </row>
    <row r="1402" spans="1:9" x14ac:dyDescent="0.2">
      <c r="A1402" t="s">
        <v>1810</v>
      </c>
      <c r="B1402" t="s">
        <v>309</v>
      </c>
      <c r="E1402" t="str">
        <f>IF(D1402&lt;&gt;"",C1402&amp;"/"&amp;D1402,"")</f>
        <v/>
      </c>
      <c r="G1402" s="5" t="str">
        <f t="shared" si="30"/>
        <v/>
      </c>
      <c r="I1402" s="6" t="str">
        <f t="shared" si="31"/>
        <v>0</v>
      </c>
    </row>
    <row r="1403" spans="1:9" x14ac:dyDescent="0.2">
      <c r="A1403" t="s">
        <v>1811</v>
      </c>
      <c r="B1403" t="s">
        <v>309</v>
      </c>
      <c r="E1403" t="str">
        <f>IF(D1403&lt;&gt;"",C1403&amp;"/"&amp;D1403,"")</f>
        <v/>
      </c>
      <c r="G1403" s="5" t="str">
        <f t="shared" si="30"/>
        <v/>
      </c>
      <c r="I1403" s="6" t="str">
        <f t="shared" si="31"/>
        <v>0</v>
      </c>
    </row>
    <row r="1404" spans="1:9" x14ac:dyDescent="0.2">
      <c r="A1404" t="s">
        <v>1812</v>
      </c>
      <c r="B1404" t="s">
        <v>309</v>
      </c>
      <c r="E1404" t="str">
        <f>IF(D1404&lt;&gt;"",C1404&amp;"/"&amp;D1404,"")</f>
        <v/>
      </c>
      <c r="G1404" s="5" t="str">
        <f t="shared" si="30"/>
        <v/>
      </c>
      <c r="I1404" s="6" t="str">
        <f t="shared" si="31"/>
        <v>0</v>
      </c>
    </row>
    <row r="1405" spans="1:9" x14ac:dyDescent="0.2">
      <c r="A1405" t="s">
        <v>1813</v>
      </c>
      <c r="B1405" t="s">
        <v>309</v>
      </c>
      <c r="E1405" t="str">
        <f>IF(D1405&lt;&gt;"",C1405&amp;"/"&amp;D1405,"")</f>
        <v/>
      </c>
      <c r="G1405" s="5" t="str">
        <f t="shared" si="30"/>
        <v/>
      </c>
      <c r="I1405" s="6" t="str">
        <f t="shared" si="31"/>
        <v>0</v>
      </c>
    </row>
    <row r="1406" spans="1:9" x14ac:dyDescent="0.2">
      <c r="A1406" t="s">
        <v>1814</v>
      </c>
      <c r="B1406" t="s">
        <v>309</v>
      </c>
      <c r="E1406" t="str">
        <f>IF(D1406&lt;&gt;"",C1406&amp;"/"&amp;D1406,"")</f>
        <v/>
      </c>
      <c r="G1406" s="5" t="str">
        <f t="shared" si="30"/>
        <v/>
      </c>
      <c r="I1406" s="6" t="str">
        <f t="shared" si="31"/>
        <v>0</v>
      </c>
    </row>
    <row r="1407" spans="1:9" x14ac:dyDescent="0.2">
      <c r="A1407" t="s">
        <v>1815</v>
      </c>
      <c r="B1407" t="s">
        <v>309</v>
      </c>
      <c r="E1407" t="str">
        <f>IF(D1407&lt;&gt;"",C1407&amp;"/"&amp;D1407,"")</f>
        <v/>
      </c>
      <c r="G1407" s="5" t="str">
        <f t="shared" si="30"/>
        <v/>
      </c>
      <c r="I1407" s="6" t="str">
        <f t="shared" si="31"/>
        <v>0</v>
      </c>
    </row>
    <row r="1408" spans="1:9" x14ac:dyDescent="0.2">
      <c r="A1408" t="s">
        <v>1816</v>
      </c>
      <c r="B1408" t="s">
        <v>309</v>
      </c>
      <c r="E1408" t="str">
        <f>IF(D1408&lt;&gt;"",C1408&amp;"/"&amp;D1408,"")</f>
        <v/>
      </c>
      <c r="G1408" s="5" t="str">
        <f t="shared" si="30"/>
        <v/>
      </c>
      <c r="I1408" s="6" t="str">
        <f t="shared" si="31"/>
        <v>0</v>
      </c>
    </row>
    <row r="1409" spans="1:12" x14ac:dyDescent="0.2">
      <c r="A1409" t="s">
        <v>1817</v>
      </c>
      <c r="B1409" t="s">
        <v>309</v>
      </c>
      <c r="E1409" t="str">
        <f>IF(D1409&lt;&gt;"",C1409&amp;"/"&amp;D1409,"")</f>
        <v/>
      </c>
      <c r="G1409" s="5" t="str">
        <f t="shared" si="30"/>
        <v/>
      </c>
      <c r="I1409" s="6" t="str">
        <f t="shared" si="31"/>
        <v>0</v>
      </c>
    </row>
    <row r="1410" spans="1:12" x14ac:dyDescent="0.2">
      <c r="A1410" t="s">
        <v>1818</v>
      </c>
      <c r="B1410" t="s">
        <v>309</v>
      </c>
      <c r="E1410" t="str">
        <f>IF(D1410&lt;&gt;"",C1410&amp;"/"&amp;D1410,"")</f>
        <v/>
      </c>
      <c r="G1410" s="5" t="str">
        <f t="shared" si="30"/>
        <v/>
      </c>
      <c r="I1410" s="6" t="str">
        <f t="shared" si="31"/>
        <v>0</v>
      </c>
    </row>
    <row r="1411" spans="1:12" x14ac:dyDescent="0.2">
      <c r="A1411" t="s">
        <v>1819</v>
      </c>
      <c r="B1411" t="s">
        <v>309</v>
      </c>
      <c r="E1411" t="str">
        <f>IF(D1411&lt;&gt;"",C1411&amp;"/"&amp;D1411,"")</f>
        <v/>
      </c>
      <c r="G1411" s="5" t="str">
        <f t="shared" si="30"/>
        <v/>
      </c>
      <c r="I1411" s="6" t="str">
        <f t="shared" si="31"/>
        <v>0</v>
      </c>
    </row>
    <row r="1412" spans="1:12" x14ac:dyDescent="0.2">
      <c r="A1412" t="s">
        <v>1820</v>
      </c>
      <c r="B1412" t="s">
        <v>309</v>
      </c>
      <c r="E1412" t="str">
        <f>IF(D1412&lt;&gt;"",C1412&amp;"/"&amp;D1412,"")</f>
        <v/>
      </c>
      <c r="G1412" s="5" t="str">
        <f t="shared" si="30"/>
        <v/>
      </c>
      <c r="I1412" s="6" t="str">
        <f t="shared" si="31"/>
        <v>0</v>
      </c>
    </row>
    <row r="1413" spans="1:12" x14ac:dyDescent="0.2">
      <c r="A1413" t="s">
        <v>1821</v>
      </c>
      <c r="B1413" t="s">
        <v>5284</v>
      </c>
      <c r="C1413" s="5" t="s">
        <v>7</v>
      </c>
      <c r="F1413" s="5" t="s">
        <v>5285</v>
      </c>
      <c r="G1413" s="5">
        <f t="shared" si="30"/>
        <v>30634</v>
      </c>
      <c r="I1413" s="6" t="str">
        <f t="shared" si="31"/>
        <v>0</v>
      </c>
      <c r="K1413" s="21" t="s">
        <v>5286</v>
      </c>
    </row>
    <row r="1414" spans="1:12" x14ac:dyDescent="0.2">
      <c r="A1414" t="s">
        <v>1822</v>
      </c>
      <c r="B1414" t="s">
        <v>309</v>
      </c>
      <c r="E1414" t="str">
        <f>IF(D1414&lt;&gt;"",C1414&amp;"/"&amp;D1414,"")</f>
        <v/>
      </c>
      <c r="G1414" s="5" t="str">
        <f t="shared" si="30"/>
        <v/>
      </c>
      <c r="I1414" s="6" t="str">
        <f t="shared" si="31"/>
        <v>0</v>
      </c>
    </row>
    <row r="1415" spans="1:12" x14ac:dyDescent="0.2">
      <c r="A1415" t="s">
        <v>1823</v>
      </c>
      <c r="B1415" t="s">
        <v>309</v>
      </c>
      <c r="E1415" t="str">
        <f>IF(D1415&lt;&gt;"",C1415&amp;"/"&amp;D1415,"")</f>
        <v/>
      </c>
      <c r="G1415" s="5" t="str">
        <f t="shared" si="30"/>
        <v/>
      </c>
      <c r="I1415" s="6" t="str">
        <f t="shared" si="31"/>
        <v>0</v>
      </c>
    </row>
    <row r="1416" spans="1:12" x14ac:dyDescent="0.2">
      <c r="A1416" t="s">
        <v>1824</v>
      </c>
      <c r="B1416" t="s">
        <v>5144</v>
      </c>
      <c r="C1416" s="5" t="s">
        <v>7</v>
      </c>
      <c r="F1416" s="5" t="s">
        <v>5145</v>
      </c>
      <c r="G1416" s="5">
        <f t="shared" si="30"/>
        <v>30668</v>
      </c>
      <c r="I1416" s="6" t="str">
        <f t="shared" si="31"/>
        <v>0</v>
      </c>
      <c r="K1416" s="21" t="s">
        <v>5146</v>
      </c>
    </row>
    <row r="1417" spans="1:12" x14ac:dyDescent="0.2">
      <c r="A1417" t="s">
        <v>1073</v>
      </c>
      <c r="B1417" t="s">
        <v>5305</v>
      </c>
      <c r="C1417" s="5" t="s">
        <v>7</v>
      </c>
      <c r="F1417" s="5" t="s">
        <v>5306</v>
      </c>
      <c r="G1417" s="5">
        <f t="shared" si="30"/>
        <v>16048</v>
      </c>
      <c r="I1417" s="6" t="str">
        <f t="shared" si="31"/>
        <v>0</v>
      </c>
      <c r="L1417" s="6" t="s">
        <v>5307</v>
      </c>
    </row>
    <row r="1418" spans="1:12" x14ac:dyDescent="0.2">
      <c r="A1418" t="s">
        <v>1826</v>
      </c>
      <c r="B1418" t="s">
        <v>309</v>
      </c>
      <c r="E1418" t="str">
        <f>IF(D1418&lt;&gt;"",C1418&amp;"/"&amp;D1418,"")</f>
        <v/>
      </c>
      <c r="G1418" s="5" t="str">
        <f t="shared" si="30"/>
        <v/>
      </c>
      <c r="I1418" s="6" t="str">
        <f t="shared" si="31"/>
        <v>0</v>
      </c>
    </row>
    <row r="1419" spans="1:12" x14ac:dyDescent="0.2">
      <c r="A1419" t="s">
        <v>1827</v>
      </c>
      <c r="B1419" t="s">
        <v>5173</v>
      </c>
      <c r="C1419" s="5" t="s">
        <v>7</v>
      </c>
      <c r="F1419" s="5" t="s">
        <v>5174</v>
      </c>
      <c r="G1419" s="5">
        <f t="shared" si="30"/>
        <v>30858</v>
      </c>
      <c r="I1419" s="6" t="str">
        <f t="shared" si="31"/>
        <v>0</v>
      </c>
      <c r="K1419" s="21" t="s">
        <v>5175</v>
      </c>
    </row>
    <row r="1420" spans="1:12" x14ac:dyDescent="0.2">
      <c r="A1420" t="s">
        <v>1830</v>
      </c>
      <c r="B1420" t="s">
        <v>5176</v>
      </c>
      <c r="C1420" s="5" t="s">
        <v>7</v>
      </c>
      <c r="F1420" s="5" t="s">
        <v>5177</v>
      </c>
      <c r="G1420" s="5">
        <f t="shared" si="30"/>
        <v>30888</v>
      </c>
      <c r="I1420" s="6" t="str">
        <f t="shared" si="31"/>
        <v>0</v>
      </c>
      <c r="K1420" s="21" t="s">
        <v>5178</v>
      </c>
    </row>
    <row r="1421" spans="1:12" x14ac:dyDescent="0.2">
      <c r="A1421" t="s">
        <v>1831</v>
      </c>
      <c r="B1421" t="s">
        <v>5179</v>
      </c>
      <c r="C1421" s="5" t="s">
        <v>7</v>
      </c>
      <c r="F1421" s="5" t="s">
        <v>5180</v>
      </c>
      <c r="G1421" s="5">
        <f t="shared" si="30"/>
        <v>30902</v>
      </c>
      <c r="I1421" s="6" t="str">
        <f t="shared" si="31"/>
        <v>0</v>
      </c>
      <c r="K1421" s="21" t="s">
        <v>5181</v>
      </c>
    </row>
    <row r="1422" spans="1:12" x14ac:dyDescent="0.2">
      <c r="A1422" t="s">
        <v>1832</v>
      </c>
      <c r="B1422" t="s">
        <v>5182</v>
      </c>
      <c r="C1422" s="5" t="s">
        <v>7</v>
      </c>
      <c r="F1422" s="5" t="s">
        <v>5183</v>
      </c>
      <c r="G1422" s="5">
        <f t="shared" si="30"/>
        <v>30921</v>
      </c>
      <c r="I1422" s="6" t="str">
        <f t="shared" si="31"/>
        <v>0</v>
      </c>
      <c r="K1422" s="21" t="s">
        <v>5184</v>
      </c>
    </row>
    <row r="1423" spans="1:12" x14ac:dyDescent="0.2">
      <c r="A1423" t="s">
        <v>1833</v>
      </c>
      <c r="B1423" t="s">
        <v>5185</v>
      </c>
      <c r="C1423" s="5" t="s">
        <v>7</v>
      </c>
      <c r="F1423" s="5" t="s">
        <v>5186</v>
      </c>
      <c r="G1423" s="5">
        <f t="shared" si="30"/>
        <v>30955</v>
      </c>
      <c r="I1423" s="6" t="str">
        <f t="shared" si="31"/>
        <v>0</v>
      </c>
      <c r="K1423" s="21" t="s">
        <v>5187</v>
      </c>
    </row>
    <row r="1424" spans="1:12" x14ac:dyDescent="0.2">
      <c r="A1424" t="s">
        <v>1834</v>
      </c>
      <c r="B1424" t="s">
        <v>5188</v>
      </c>
      <c r="C1424" s="5" t="s">
        <v>7</v>
      </c>
      <c r="F1424" s="5" t="s">
        <v>5189</v>
      </c>
      <c r="G1424" s="5">
        <f t="shared" ref="G1424:G1487" si="32">IF(F1424&lt;&gt;"",HEX2DEC(SUBSTITUTE(SUBSTITUTE(F1424,"adrEA",""),"$","")),"")</f>
        <v>30979</v>
      </c>
      <c r="I1424" s="6" t="str">
        <f t="shared" ref="I1424:I1487" si="33">IFERROR(DEC2HEX(H1424),"")</f>
        <v>0</v>
      </c>
      <c r="K1424" s="21" t="s">
        <v>5190</v>
      </c>
    </row>
    <row r="1425" spans="1:11" x14ac:dyDescent="0.2">
      <c r="A1425" t="s">
        <v>1835</v>
      </c>
      <c r="B1425" t="s">
        <v>5191</v>
      </c>
      <c r="C1425" s="5" t="s">
        <v>7</v>
      </c>
      <c r="F1425" s="5" t="s">
        <v>5192</v>
      </c>
      <c r="G1425" s="5">
        <f t="shared" si="32"/>
        <v>30991</v>
      </c>
      <c r="I1425" s="6" t="str">
        <f t="shared" si="33"/>
        <v>0</v>
      </c>
      <c r="K1425" s="21" t="s">
        <v>5193</v>
      </c>
    </row>
    <row r="1426" spans="1:11" x14ac:dyDescent="0.2">
      <c r="A1426" t="s">
        <v>1836</v>
      </c>
      <c r="B1426" t="s">
        <v>309</v>
      </c>
      <c r="E1426" t="str">
        <f>IF(D1426&lt;&gt;"",C1426&amp;"/"&amp;D1426,"")</f>
        <v/>
      </c>
      <c r="G1426" s="5" t="str">
        <f t="shared" si="32"/>
        <v/>
      </c>
      <c r="I1426" s="6" t="str">
        <f t="shared" si="33"/>
        <v>0</v>
      </c>
    </row>
    <row r="1427" spans="1:11" x14ac:dyDescent="0.2">
      <c r="A1427" t="s">
        <v>1837</v>
      </c>
      <c r="B1427" t="s">
        <v>309</v>
      </c>
      <c r="E1427" t="str">
        <f>IF(D1427&lt;&gt;"",C1427&amp;"/"&amp;D1427,"")</f>
        <v/>
      </c>
      <c r="G1427" s="5" t="str">
        <f t="shared" si="32"/>
        <v/>
      </c>
      <c r="I1427" s="6" t="str">
        <f t="shared" si="33"/>
        <v>0</v>
      </c>
    </row>
    <row r="1428" spans="1:11" x14ac:dyDescent="0.2">
      <c r="A1428" t="s">
        <v>1838</v>
      </c>
      <c r="B1428" t="s">
        <v>309</v>
      </c>
      <c r="E1428" t="str">
        <f>IF(D1428&lt;&gt;"",C1428&amp;"/"&amp;D1428,"")</f>
        <v/>
      </c>
      <c r="G1428" s="5" t="str">
        <f t="shared" si="32"/>
        <v/>
      </c>
      <c r="I1428" s="6" t="str">
        <f t="shared" si="33"/>
        <v>0</v>
      </c>
    </row>
    <row r="1429" spans="1:11" x14ac:dyDescent="0.2">
      <c r="A1429" t="s">
        <v>1839</v>
      </c>
      <c r="B1429" t="s">
        <v>309</v>
      </c>
      <c r="E1429" t="str">
        <f>IF(D1429&lt;&gt;"",C1429&amp;"/"&amp;D1429,"")</f>
        <v/>
      </c>
      <c r="G1429" s="5" t="str">
        <f t="shared" si="32"/>
        <v/>
      </c>
      <c r="I1429" s="6" t="str">
        <f t="shared" si="33"/>
        <v>0</v>
      </c>
    </row>
    <row r="1430" spans="1:11" x14ac:dyDescent="0.2">
      <c r="A1430" t="s">
        <v>1840</v>
      </c>
      <c r="B1430" t="s">
        <v>309</v>
      </c>
      <c r="E1430" t="str">
        <f>IF(D1430&lt;&gt;"",C1430&amp;"/"&amp;D1430,"")</f>
        <v/>
      </c>
      <c r="G1430" s="5" t="str">
        <f t="shared" si="32"/>
        <v/>
      </c>
      <c r="I1430" s="6" t="str">
        <f t="shared" si="33"/>
        <v>0</v>
      </c>
    </row>
    <row r="1431" spans="1:11" x14ac:dyDescent="0.2">
      <c r="A1431" t="s">
        <v>1841</v>
      </c>
      <c r="B1431" t="s">
        <v>309</v>
      </c>
      <c r="E1431" t="str">
        <f>IF(D1431&lt;&gt;"",C1431&amp;"/"&amp;D1431,"")</f>
        <v/>
      </c>
      <c r="G1431" s="5" t="str">
        <f t="shared" si="32"/>
        <v/>
      </c>
      <c r="I1431" s="6" t="str">
        <f t="shared" si="33"/>
        <v>0</v>
      </c>
    </row>
    <row r="1432" spans="1:11" x14ac:dyDescent="0.2">
      <c r="A1432" t="s">
        <v>1842</v>
      </c>
      <c r="B1432" t="s">
        <v>309</v>
      </c>
      <c r="E1432" t="str">
        <f>IF(D1432&lt;&gt;"",C1432&amp;"/"&amp;D1432,"")</f>
        <v/>
      </c>
      <c r="G1432" s="5" t="str">
        <f t="shared" si="32"/>
        <v/>
      </c>
      <c r="I1432" s="6" t="str">
        <f t="shared" si="33"/>
        <v>0</v>
      </c>
    </row>
    <row r="1433" spans="1:11" x14ac:dyDescent="0.2">
      <c r="A1433" t="s">
        <v>1843</v>
      </c>
      <c r="B1433" t="s">
        <v>309</v>
      </c>
      <c r="E1433" t="str">
        <f>IF(D1433&lt;&gt;"",C1433&amp;"/"&amp;D1433,"")</f>
        <v/>
      </c>
      <c r="G1433" s="5" t="str">
        <f t="shared" si="32"/>
        <v/>
      </c>
      <c r="I1433" s="6" t="str">
        <f t="shared" si="33"/>
        <v>0</v>
      </c>
    </row>
    <row r="1434" spans="1:11" x14ac:dyDescent="0.2">
      <c r="A1434" t="s">
        <v>1844</v>
      </c>
      <c r="B1434" t="s">
        <v>309</v>
      </c>
      <c r="E1434" t="str">
        <f>IF(D1434&lt;&gt;"",C1434&amp;"/"&amp;D1434,"")</f>
        <v/>
      </c>
      <c r="G1434" s="5" t="str">
        <f t="shared" si="32"/>
        <v/>
      </c>
      <c r="I1434" s="6" t="str">
        <f t="shared" si="33"/>
        <v>0</v>
      </c>
    </row>
    <row r="1435" spans="1:11" x14ac:dyDescent="0.2">
      <c r="A1435" t="s">
        <v>1845</v>
      </c>
      <c r="B1435" t="s">
        <v>309</v>
      </c>
      <c r="E1435" t="str">
        <f>IF(D1435&lt;&gt;"",C1435&amp;"/"&amp;D1435,"")</f>
        <v/>
      </c>
      <c r="G1435" s="5" t="str">
        <f t="shared" si="32"/>
        <v/>
      </c>
      <c r="I1435" s="6" t="str">
        <f t="shared" si="33"/>
        <v>0</v>
      </c>
    </row>
    <row r="1436" spans="1:11" x14ac:dyDescent="0.2">
      <c r="A1436" t="s">
        <v>1846</v>
      </c>
      <c r="B1436" t="s">
        <v>309</v>
      </c>
      <c r="E1436" t="str">
        <f>IF(D1436&lt;&gt;"",C1436&amp;"/"&amp;D1436,"")</f>
        <v/>
      </c>
      <c r="G1436" s="5" t="str">
        <f t="shared" si="32"/>
        <v/>
      </c>
      <c r="I1436" s="6" t="str">
        <f t="shared" si="33"/>
        <v>0</v>
      </c>
    </row>
    <row r="1437" spans="1:11" x14ac:dyDescent="0.2">
      <c r="A1437" t="s">
        <v>1847</v>
      </c>
      <c r="B1437" t="s">
        <v>309</v>
      </c>
      <c r="E1437" t="str">
        <f>IF(D1437&lt;&gt;"",C1437&amp;"/"&amp;D1437,"")</f>
        <v/>
      </c>
      <c r="G1437" s="5" t="str">
        <f t="shared" si="32"/>
        <v/>
      </c>
      <c r="I1437" s="6" t="str">
        <f t="shared" si="33"/>
        <v>0</v>
      </c>
    </row>
    <row r="1438" spans="1:11" x14ac:dyDescent="0.2">
      <c r="A1438" t="s">
        <v>1848</v>
      </c>
      <c r="B1438" t="s">
        <v>309</v>
      </c>
      <c r="E1438" t="str">
        <f>IF(D1438&lt;&gt;"",C1438&amp;"/"&amp;D1438,"")</f>
        <v/>
      </c>
      <c r="G1438" s="5" t="str">
        <f t="shared" si="32"/>
        <v/>
      </c>
      <c r="I1438" s="6" t="str">
        <f t="shared" si="33"/>
        <v>0</v>
      </c>
    </row>
    <row r="1439" spans="1:11" x14ac:dyDescent="0.2">
      <c r="A1439" t="s">
        <v>1849</v>
      </c>
      <c r="B1439" t="s">
        <v>309</v>
      </c>
      <c r="E1439" t="str">
        <f>IF(D1439&lt;&gt;"",C1439&amp;"/"&amp;D1439,"")</f>
        <v/>
      </c>
      <c r="G1439" s="5" t="str">
        <f t="shared" si="32"/>
        <v/>
      </c>
      <c r="I1439" s="6" t="str">
        <f t="shared" si="33"/>
        <v>0</v>
      </c>
    </row>
    <row r="1440" spans="1:11" x14ac:dyDescent="0.2">
      <c r="A1440" t="s">
        <v>1850</v>
      </c>
      <c r="B1440" t="s">
        <v>309</v>
      </c>
      <c r="E1440" t="str">
        <f>IF(D1440&lt;&gt;"",C1440&amp;"/"&amp;D1440,"")</f>
        <v/>
      </c>
      <c r="G1440" s="5" t="str">
        <f t="shared" si="32"/>
        <v/>
      </c>
      <c r="I1440" s="6" t="str">
        <f t="shared" si="33"/>
        <v>0</v>
      </c>
    </row>
    <row r="1441" spans="1:11" x14ac:dyDescent="0.2">
      <c r="A1441" t="s">
        <v>1851</v>
      </c>
      <c r="B1441" t="s">
        <v>309</v>
      </c>
      <c r="E1441" t="str">
        <f>IF(D1441&lt;&gt;"",C1441&amp;"/"&amp;D1441,"")</f>
        <v/>
      </c>
      <c r="G1441" s="5" t="str">
        <f t="shared" si="32"/>
        <v/>
      </c>
      <c r="I1441" s="6" t="str">
        <f t="shared" si="33"/>
        <v>0</v>
      </c>
    </row>
    <row r="1442" spans="1:11" x14ac:dyDescent="0.2">
      <c r="A1442" t="s">
        <v>1852</v>
      </c>
      <c r="B1442" t="s">
        <v>5147</v>
      </c>
      <c r="C1442" s="5" t="s">
        <v>7</v>
      </c>
      <c r="F1442" s="5" t="s">
        <v>5148</v>
      </c>
      <c r="G1442" s="5">
        <f t="shared" si="32"/>
        <v>31208</v>
      </c>
      <c r="I1442" s="6" t="str">
        <f t="shared" si="33"/>
        <v>0</v>
      </c>
      <c r="K1442" s="21" t="s">
        <v>5149</v>
      </c>
    </row>
    <row r="1443" spans="1:11" x14ac:dyDescent="0.2">
      <c r="A1443" t="s">
        <v>1853</v>
      </c>
      <c r="B1443" t="s">
        <v>309</v>
      </c>
      <c r="E1443" t="str">
        <f>IF(D1443&lt;&gt;"",C1443&amp;"/"&amp;D1443,"")</f>
        <v/>
      </c>
      <c r="G1443" s="5" t="str">
        <f t="shared" si="32"/>
        <v/>
      </c>
      <c r="I1443" s="6" t="str">
        <f t="shared" si="33"/>
        <v>0</v>
      </c>
    </row>
    <row r="1444" spans="1:11" x14ac:dyDescent="0.2">
      <c r="A1444" t="s">
        <v>1854</v>
      </c>
      <c r="B1444" t="s">
        <v>309</v>
      </c>
      <c r="E1444" t="str">
        <f>IF(D1444&lt;&gt;"",C1444&amp;"/"&amp;D1444,"")</f>
        <v/>
      </c>
      <c r="G1444" s="5" t="str">
        <f t="shared" si="32"/>
        <v/>
      </c>
      <c r="I1444" s="6" t="str">
        <f t="shared" si="33"/>
        <v>0</v>
      </c>
    </row>
    <row r="1445" spans="1:11" x14ac:dyDescent="0.2">
      <c r="A1445" t="s">
        <v>1855</v>
      </c>
      <c r="B1445" t="s">
        <v>309</v>
      </c>
      <c r="E1445" t="str">
        <f>IF(D1445&lt;&gt;"",C1445&amp;"/"&amp;D1445,"")</f>
        <v/>
      </c>
      <c r="G1445" s="5" t="str">
        <f t="shared" si="32"/>
        <v/>
      </c>
      <c r="I1445" s="6" t="str">
        <f t="shared" si="33"/>
        <v>0</v>
      </c>
    </row>
    <row r="1446" spans="1:11" x14ac:dyDescent="0.2">
      <c r="A1446" t="s">
        <v>1856</v>
      </c>
      <c r="B1446" t="s">
        <v>309</v>
      </c>
      <c r="E1446" t="str">
        <f>IF(D1446&lt;&gt;"",C1446&amp;"/"&amp;D1446,"")</f>
        <v/>
      </c>
      <c r="G1446" s="5" t="str">
        <f t="shared" si="32"/>
        <v/>
      </c>
      <c r="I1446" s="6" t="str">
        <f t="shared" si="33"/>
        <v>0</v>
      </c>
    </row>
    <row r="1447" spans="1:11" x14ac:dyDescent="0.2">
      <c r="A1447" t="s">
        <v>1857</v>
      </c>
      <c r="B1447" t="s">
        <v>309</v>
      </c>
      <c r="E1447" t="str">
        <f>IF(D1447&lt;&gt;"",C1447&amp;"/"&amp;D1447,"")</f>
        <v/>
      </c>
      <c r="G1447" s="5" t="str">
        <f t="shared" si="32"/>
        <v/>
      </c>
      <c r="I1447" s="6" t="str">
        <f t="shared" si="33"/>
        <v>0</v>
      </c>
    </row>
    <row r="1448" spans="1:11" x14ac:dyDescent="0.2">
      <c r="A1448" t="s">
        <v>1858</v>
      </c>
      <c r="B1448" t="s">
        <v>309</v>
      </c>
      <c r="E1448" t="str">
        <f>IF(D1448&lt;&gt;"",C1448&amp;"/"&amp;D1448,"")</f>
        <v/>
      </c>
      <c r="G1448" s="5" t="str">
        <f t="shared" si="32"/>
        <v/>
      </c>
      <c r="I1448" s="6" t="str">
        <f t="shared" si="33"/>
        <v>0</v>
      </c>
    </row>
    <row r="1449" spans="1:11" x14ac:dyDescent="0.2">
      <c r="A1449" t="s">
        <v>1859</v>
      </c>
      <c r="B1449" t="s">
        <v>309</v>
      </c>
      <c r="E1449" t="str">
        <f>IF(D1449&lt;&gt;"",C1449&amp;"/"&amp;D1449,"")</f>
        <v/>
      </c>
      <c r="G1449" s="5" t="str">
        <f t="shared" si="32"/>
        <v/>
      </c>
      <c r="I1449" s="6" t="str">
        <f t="shared" si="33"/>
        <v>0</v>
      </c>
    </row>
    <row r="1450" spans="1:11" x14ac:dyDescent="0.2">
      <c r="A1450" t="s">
        <v>1860</v>
      </c>
      <c r="B1450" t="s">
        <v>309</v>
      </c>
      <c r="E1450" t="str">
        <f>IF(D1450&lt;&gt;"",C1450&amp;"/"&amp;D1450,"")</f>
        <v/>
      </c>
      <c r="G1450" s="5" t="str">
        <f t="shared" si="32"/>
        <v/>
      </c>
      <c r="I1450" s="6" t="str">
        <f t="shared" si="33"/>
        <v>0</v>
      </c>
    </row>
    <row r="1451" spans="1:11" x14ac:dyDescent="0.2">
      <c r="A1451" t="s">
        <v>1861</v>
      </c>
      <c r="B1451" t="s">
        <v>309</v>
      </c>
      <c r="E1451" t="str">
        <f>IF(D1451&lt;&gt;"",C1451&amp;"/"&amp;D1451,"")</f>
        <v/>
      </c>
      <c r="G1451" s="5" t="str">
        <f t="shared" si="32"/>
        <v/>
      </c>
      <c r="I1451" s="6" t="str">
        <f t="shared" si="33"/>
        <v>0</v>
      </c>
    </row>
    <row r="1452" spans="1:11" x14ac:dyDescent="0.2">
      <c r="A1452" t="s">
        <v>1862</v>
      </c>
      <c r="B1452" t="s">
        <v>5219</v>
      </c>
      <c r="C1452" s="5" t="s">
        <v>7</v>
      </c>
      <c r="F1452" s="5" t="s">
        <v>5220</v>
      </c>
      <c r="G1452" s="5">
        <f t="shared" si="32"/>
        <v>31462</v>
      </c>
      <c r="I1452" s="6" t="str">
        <f t="shared" si="33"/>
        <v>0</v>
      </c>
      <c r="K1452" s="21" t="s">
        <v>5221</v>
      </c>
    </row>
    <row r="1453" spans="1:11" x14ac:dyDescent="0.2">
      <c r="A1453" t="s">
        <v>1863</v>
      </c>
      <c r="B1453" t="s">
        <v>309</v>
      </c>
      <c r="E1453" t="str">
        <f>IF(D1453&lt;&gt;"",C1453&amp;"/"&amp;D1453,"")</f>
        <v/>
      </c>
      <c r="G1453" s="5" t="str">
        <f t="shared" si="32"/>
        <v/>
      </c>
      <c r="I1453" s="6" t="str">
        <f t="shared" si="33"/>
        <v>0</v>
      </c>
    </row>
    <row r="1454" spans="1:11" x14ac:dyDescent="0.2">
      <c r="A1454" t="s">
        <v>1864</v>
      </c>
      <c r="B1454" t="s">
        <v>309</v>
      </c>
      <c r="E1454" t="str">
        <f>IF(D1454&lt;&gt;"",C1454&amp;"/"&amp;D1454,"")</f>
        <v/>
      </c>
      <c r="G1454" s="5" t="str">
        <f t="shared" si="32"/>
        <v/>
      </c>
      <c r="I1454" s="6" t="str">
        <f t="shared" si="33"/>
        <v>0</v>
      </c>
    </row>
    <row r="1455" spans="1:11" x14ac:dyDescent="0.2">
      <c r="A1455" t="s">
        <v>1865</v>
      </c>
      <c r="B1455" t="s">
        <v>5222</v>
      </c>
      <c r="C1455" s="5" t="s">
        <v>7</v>
      </c>
      <c r="F1455" s="5" t="s">
        <v>5223</v>
      </c>
      <c r="G1455" s="5">
        <f t="shared" si="32"/>
        <v>31524</v>
      </c>
      <c r="I1455" s="6" t="str">
        <f t="shared" si="33"/>
        <v>0</v>
      </c>
      <c r="K1455" s="21" t="s">
        <v>5224</v>
      </c>
    </row>
    <row r="1456" spans="1:11" x14ac:dyDescent="0.2">
      <c r="A1456" t="s">
        <v>1866</v>
      </c>
      <c r="B1456" t="s">
        <v>309</v>
      </c>
      <c r="E1456" t="str">
        <f>IF(D1456&lt;&gt;"",C1456&amp;"/"&amp;D1456,"")</f>
        <v/>
      </c>
      <c r="G1456" s="5" t="str">
        <f t="shared" si="32"/>
        <v/>
      </c>
      <c r="I1456" s="6" t="str">
        <f t="shared" si="33"/>
        <v>0</v>
      </c>
    </row>
    <row r="1457" spans="1:11" x14ac:dyDescent="0.2">
      <c r="A1457" t="s">
        <v>1867</v>
      </c>
      <c r="B1457" t="s">
        <v>309</v>
      </c>
      <c r="E1457" t="str">
        <f>IF(D1457&lt;&gt;"",C1457&amp;"/"&amp;D1457,"")</f>
        <v/>
      </c>
      <c r="G1457" s="5" t="str">
        <f t="shared" si="32"/>
        <v/>
      </c>
      <c r="I1457" s="6" t="str">
        <f t="shared" si="33"/>
        <v>0</v>
      </c>
    </row>
    <row r="1458" spans="1:11" x14ac:dyDescent="0.2">
      <c r="A1458" t="s">
        <v>1868</v>
      </c>
      <c r="B1458" t="s">
        <v>5225</v>
      </c>
      <c r="C1458" s="5" t="s">
        <v>7</v>
      </c>
      <c r="F1458" s="5" t="s">
        <v>5226</v>
      </c>
      <c r="G1458" s="5">
        <f t="shared" si="32"/>
        <v>31548</v>
      </c>
      <c r="I1458" s="6" t="str">
        <f t="shared" si="33"/>
        <v>0</v>
      </c>
      <c r="K1458" s="21" t="s">
        <v>5227</v>
      </c>
    </row>
    <row r="1459" spans="1:11" x14ac:dyDescent="0.2">
      <c r="A1459" t="s">
        <v>1869</v>
      </c>
      <c r="B1459" t="s">
        <v>5228</v>
      </c>
      <c r="C1459" s="5" t="s">
        <v>7</v>
      </c>
      <c r="F1459" s="5" t="s">
        <v>5229</v>
      </c>
      <c r="G1459" s="5">
        <f t="shared" si="32"/>
        <v>31550</v>
      </c>
      <c r="I1459" s="6" t="str">
        <f t="shared" si="33"/>
        <v>0</v>
      </c>
      <c r="K1459" s="21" t="s">
        <v>5230</v>
      </c>
    </row>
    <row r="1460" spans="1:11" x14ac:dyDescent="0.2">
      <c r="A1460" t="s">
        <v>1870</v>
      </c>
      <c r="B1460" t="s">
        <v>5231</v>
      </c>
      <c r="C1460" s="5" t="s">
        <v>7</v>
      </c>
      <c r="F1460" s="5" t="s">
        <v>5232</v>
      </c>
      <c r="G1460" s="5">
        <f t="shared" si="32"/>
        <v>31566</v>
      </c>
      <c r="I1460" s="6" t="str">
        <f t="shared" si="33"/>
        <v>0</v>
      </c>
      <c r="K1460" s="21" t="s">
        <v>5233</v>
      </c>
    </row>
    <row r="1461" spans="1:11" x14ac:dyDescent="0.2">
      <c r="A1461" t="s">
        <v>1871</v>
      </c>
      <c r="B1461" t="s">
        <v>5234</v>
      </c>
      <c r="C1461" s="5" t="s">
        <v>7</v>
      </c>
      <c r="F1461" s="5" t="s">
        <v>5235</v>
      </c>
      <c r="G1461" s="5">
        <f t="shared" si="32"/>
        <v>31596</v>
      </c>
      <c r="I1461" s="6" t="str">
        <f t="shared" si="33"/>
        <v>0</v>
      </c>
      <c r="K1461" s="21" t="s">
        <v>5236</v>
      </c>
    </row>
    <row r="1462" spans="1:11" x14ac:dyDescent="0.2">
      <c r="A1462" t="s">
        <v>1872</v>
      </c>
      <c r="B1462" t="s">
        <v>309</v>
      </c>
      <c r="E1462" t="str">
        <f>IF(D1462&lt;&gt;"",C1462&amp;"/"&amp;D1462,"")</f>
        <v/>
      </c>
      <c r="G1462" s="5" t="str">
        <f t="shared" si="32"/>
        <v/>
      </c>
      <c r="I1462" s="6" t="str">
        <f t="shared" si="33"/>
        <v>0</v>
      </c>
    </row>
    <row r="1463" spans="1:11" x14ac:dyDescent="0.2">
      <c r="A1463" t="s">
        <v>1873</v>
      </c>
      <c r="B1463" t="s">
        <v>309</v>
      </c>
      <c r="E1463" t="str">
        <f>IF(D1463&lt;&gt;"",C1463&amp;"/"&amp;D1463,"")</f>
        <v/>
      </c>
      <c r="G1463" s="5" t="str">
        <f t="shared" si="32"/>
        <v/>
      </c>
      <c r="I1463" s="6" t="str">
        <f t="shared" si="33"/>
        <v>0</v>
      </c>
    </row>
    <row r="1464" spans="1:11" x14ac:dyDescent="0.2">
      <c r="A1464" t="s">
        <v>1874</v>
      </c>
      <c r="B1464" t="s">
        <v>309</v>
      </c>
      <c r="E1464" t="str">
        <f>IF(D1464&lt;&gt;"",C1464&amp;"/"&amp;D1464,"")</f>
        <v/>
      </c>
      <c r="G1464" s="5" t="str">
        <f t="shared" si="32"/>
        <v/>
      </c>
      <c r="I1464" s="6" t="str">
        <f t="shared" si="33"/>
        <v>0</v>
      </c>
    </row>
    <row r="1465" spans="1:11" x14ac:dyDescent="0.2">
      <c r="A1465" t="s">
        <v>1875</v>
      </c>
      <c r="B1465" t="s">
        <v>5237</v>
      </c>
      <c r="C1465" s="5" t="s">
        <v>7</v>
      </c>
      <c r="F1465" s="5" t="s">
        <v>5238</v>
      </c>
      <c r="G1465" s="5">
        <f t="shared" si="32"/>
        <v>31696</v>
      </c>
      <c r="I1465" s="6" t="str">
        <f t="shared" si="33"/>
        <v>0</v>
      </c>
      <c r="K1465" s="21" t="s">
        <v>5239</v>
      </c>
    </row>
    <row r="1466" spans="1:11" x14ac:dyDescent="0.2">
      <c r="A1466" t="s">
        <v>1876</v>
      </c>
      <c r="B1466" t="s">
        <v>5240</v>
      </c>
      <c r="C1466" s="5" t="s">
        <v>7</v>
      </c>
      <c r="F1466" s="5" t="s">
        <v>5241</v>
      </c>
      <c r="G1466" s="5">
        <f t="shared" si="32"/>
        <v>31746</v>
      </c>
      <c r="I1466" s="6" t="str">
        <f t="shared" si="33"/>
        <v>0</v>
      </c>
      <c r="K1466" s="21" t="s">
        <v>5242</v>
      </c>
    </row>
    <row r="1467" spans="1:11" x14ac:dyDescent="0.2">
      <c r="A1467" t="s">
        <v>1877</v>
      </c>
      <c r="B1467" t="s">
        <v>5243</v>
      </c>
      <c r="C1467" s="5" t="s">
        <v>7</v>
      </c>
      <c r="F1467" s="5" t="s">
        <v>5244</v>
      </c>
      <c r="G1467" s="5">
        <f t="shared" si="32"/>
        <v>31790</v>
      </c>
      <c r="I1467" s="6" t="str">
        <f t="shared" si="33"/>
        <v>0</v>
      </c>
      <c r="K1467" s="21" t="s">
        <v>5245</v>
      </c>
    </row>
    <row r="1468" spans="1:11" x14ac:dyDescent="0.2">
      <c r="A1468" t="s">
        <v>1878</v>
      </c>
      <c r="B1468" t="s">
        <v>5246</v>
      </c>
      <c r="C1468" s="5" t="s">
        <v>7</v>
      </c>
      <c r="F1468" s="5" t="s">
        <v>5247</v>
      </c>
      <c r="G1468" s="5">
        <f t="shared" si="32"/>
        <v>31824</v>
      </c>
      <c r="I1468" s="6" t="str">
        <f t="shared" si="33"/>
        <v>0</v>
      </c>
      <c r="K1468" s="21" t="s">
        <v>5248</v>
      </c>
    </row>
    <row r="1469" spans="1:11" x14ac:dyDescent="0.2">
      <c r="A1469" t="s">
        <v>1879</v>
      </c>
      <c r="B1469" t="s">
        <v>5249</v>
      </c>
      <c r="C1469" s="5" t="s">
        <v>7</v>
      </c>
      <c r="F1469" s="5" t="s">
        <v>5250</v>
      </c>
      <c r="G1469" s="5">
        <f t="shared" si="32"/>
        <v>31826</v>
      </c>
      <c r="I1469" s="6" t="str">
        <f t="shared" si="33"/>
        <v>0</v>
      </c>
      <c r="K1469" s="21" t="s">
        <v>5251</v>
      </c>
    </row>
    <row r="1470" spans="1:11" x14ac:dyDescent="0.2">
      <c r="A1470" t="s">
        <v>1880</v>
      </c>
      <c r="B1470" t="s">
        <v>5252</v>
      </c>
      <c r="C1470" s="5" t="s">
        <v>7</v>
      </c>
      <c r="F1470" s="5" t="s">
        <v>5253</v>
      </c>
      <c r="G1470" s="5">
        <f t="shared" si="32"/>
        <v>31834</v>
      </c>
      <c r="I1470" s="6" t="str">
        <f t="shared" si="33"/>
        <v>0</v>
      </c>
      <c r="K1470" s="21" t="s">
        <v>5254</v>
      </c>
    </row>
    <row r="1471" spans="1:11" x14ac:dyDescent="0.2">
      <c r="A1471" t="s">
        <v>1881</v>
      </c>
      <c r="B1471" t="s">
        <v>5255</v>
      </c>
      <c r="C1471" s="5" t="s">
        <v>7</v>
      </c>
      <c r="F1471" s="5" t="s">
        <v>5256</v>
      </c>
      <c r="G1471" s="5">
        <f t="shared" si="32"/>
        <v>31836</v>
      </c>
      <c r="I1471" s="6" t="str">
        <f t="shared" si="33"/>
        <v>0</v>
      </c>
      <c r="K1471" s="21" t="s">
        <v>5257</v>
      </c>
    </row>
    <row r="1472" spans="1:11" x14ac:dyDescent="0.2">
      <c r="A1472" t="s">
        <v>1882</v>
      </c>
      <c r="B1472" t="s">
        <v>5258</v>
      </c>
      <c r="C1472" s="5" t="s">
        <v>7</v>
      </c>
      <c r="F1472" s="5" t="s">
        <v>5259</v>
      </c>
      <c r="G1472" s="5">
        <f t="shared" si="32"/>
        <v>31856</v>
      </c>
      <c r="I1472" s="6" t="str">
        <f t="shared" si="33"/>
        <v>0</v>
      </c>
      <c r="K1472" s="21" t="s">
        <v>5260</v>
      </c>
    </row>
    <row r="1473" spans="1:12" x14ac:dyDescent="0.2">
      <c r="A1473" t="s">
        <v>1883</v>
      </c>
      <c r="B1473" t="s">
        <v>5272</v>
      </c>
      <c r="C1473" s="5" t="s">
        <v>7</v>
      </c>
      <c r="F1473" s="5" t="s">
        <v>5273</v>
      </c>
      <c r="G1473" s="5">
        <f t="shared" si="32"/>
        <v>31860</v>
      </c>
      <c r="I1473" s="6" t="str">
        <f t="shared" si="33"/>
        <v>0</v>
      </c>
      <c r="K1473" s="21" t="s">
        <v>5274</v>
      </c>
    </row>
    <row r="1474" spans="1:12" x14ac:dyDescent="0.2">
      <c r="A1474" t="s">
        <v>1884</v>
      </c>
      <c r="B1474" t="s">
        <v>5143</v>
      </c>
      <c r="G1474" s="5" t="str">
        <f t="shared" si="32"/>
        <v/>
      </c>
      <c r="I1474" s="6" t="str">
        <f t="shared" si="33"/>
        <v>0</v>
      </c>
      <c r="K1474" s="21" t="s">
        <v>5207</v>
      </c>
    </row>
    <row r="1475" spans="1:12" x14ac:dyDescent="0.2">
      <c r="A1475" t="s">
        <v>1885</v>
      </c>
      <c r="B1475" t="s">
        <v>5208</v>
      </c>
      <c r="G1475" s="5" t="str">
        <f t="shared" si="32"/>
        <v/>
      </c>
      <c r="I1475" s="6" t="str">
        <f t="shared" si="33"/>
        <v>0</v>
      </c>
      <c r="K1475" s="21" t="s">
        <v>5209</v>
      </c>
    </row>
    <row r="1476" spans="1:12" x14ac:dyDescent="0.2">
      <c r="A1476" t="s">
        <v>1825</v>
      </c>
      <c r="B1476" t="s">
        <v>5312</v>
      </c>
      <c r="C1476" s="5" t="s">
        <v>7</v>
      </c>
      <c r="F1476" s="5" t="s">
        <v>5313</v>
      </c>
      <c r="G1476" s="5">
        <f t="shared" si="32"/>
        <v>30780</v>
      </c>
      <c r="I1476" s="6" t="str">
        <f t="shared" si="33"/>
        <v>0</v>
      </c>
      <c r="L1476" s="6" t="s">
        <v>5314</v>
      </c>
    </row>
    <row r="1477" spans="1:12" x14ac:dyDescent="0.2">
      <c r="A1477" t="s">
        <v>1886</v>
      </c>
      <c r="B1477" t="s">
        <v>5330</v>
      </c>
      <c r="C1477" s="5" t="s">
        <v>7</v>
      </c>
      <c r="F1477" s="5" t="s">
        <v>5331</v>
      </c>
      <c r="G1477" s="5">
        <f t="shared" si="32"/>
        <v>32174</v>
      </c>
      <c r="I1477" s="6" t="str">
        <f t="shared" si="33"/>
        <v>0</v>
      </c>
      <c r="L1477" s="6" t="s">
        <v>5332</v>
      </c>
    </row>
    <row r="1478" spans="1:12" ht="17" x14ac:dyDescent="0.25">
      <c r="A1478" t="s">
        <v>1888</v>
      </c>
      <c r="B1478" s="19" t="s">
        <v>3849</v>
      </c>
      <c r="D1478" s="19"/>
      <c r="F1478" s="18"/>
      <c r="G1478" s="5" t="str">
        <f t="shared" si="32"/>
        <v/>
      </c>
      <c r="I1478" s="6" t="str">
        <f t="shared" si="33"/>
        <v>0</v>
      </c>
      <c r="K1478" s="21" t="s">
        <v>3850</v>
      </c>
    </row>
    <row r="1479" spans="1:12" x14ac:dyDescent="0.2">
      <c r="A1479" t="s">
        <v>1887</v>
      </c>
      <c r="B1479" t="s">
        <v>5333</v>
      </c>
      <c r="C1479" s="5" t="s">
        <v>7</v>
      </c>
      <c r="F1479" s="5" t="s">
        <v>5334</v>
      </c>
      <c r="G1479" s="5">
        <f t="shared" si="32"/>
        <v>32184</v>
      </c>
      <c r="I1479" s="6" t="str">
        <f t="shared" si="33"/>
        <v>0</v>
      </c>
      <c r="L1479" s="6" t="s">
        <v>5335</v>
      </c>
    </row>
    <row r="1480" spans="1:12" x14ac:dyDescent="0.2">
      <c r="A1480" t="s">
        <v>1889</v>
      </c>
      <c r="B1480" t="s">
        <v>5336</v>
      </c>
      <c r="C1480" s="5" t="s">
        <v>7</v>
      </c>
      <c r="F1480" s="5" t="s">
        <v>5337</v>
      </c>
      <c r="G1480" s="5">
        <f t="shared" si="32"/>
        <v>32212</v>
      </c>
      <c r="I1480" s="6" t="str">
        <f t="shared" si="33"/>
        <v>0</v>
      </c>
      <c r="L1480" s="6" t="s">
        <v>5338</v>
      </c>
    </row>
    <row r="1481" spans="1:12" x14ac:dyDescent="0.2">
      <c r="A1481" t="s">
        <v>1890</v>
      </c>
      <c r="B1481" t="s">
        <v>5339</v>
      </c>
      <c r="C1481" s="5" t="s">
        <v>7</v>
      </c>
      <c r="F1481" s="5" t="s">
        <v>5340</v>
      </c>
      <c r="G1481" s="5">
        <f t="shared" si="32"/>
        <v>32216</v>
      </c>
      <c r="I1481" s="6" t="str">
        <f t="shared" si="33"/>
        <v>0</v>
      </c>
      <c r="L1481" s="6" t="s">
        <v>5341</v>
      </c>
    </row>
    <row r="1482" spans="1:12" x14ac:dyDescent="0.2">
      <c r="A1482" t="s">
        <v>1891</v>
      </c>
      <c r="B1482" t="s">
        <v>5342</v>
      </c>
      <c r="C1482" s="5" t="s">
        <v>7</v>
      </c>
      <c r="F1482" s="5" t="s">
        <v>5343</v>
      </c>
      <c r="G1482" s="5">
        <f t="shared" si="32"/>
        <v>32232</v>
      </c>
      <c r="I1482" s="6" t="str">
        <f t="shared" si="33"/>
        <v>0</v>
      </c>
      <c r="L1482" s="6" t="s">
        <v>5344</v>
      </c>
    </row>
    <row r="1483" spans="1:12" x14ac:dyDescent="0.2">
      <c r="A1483" t="s">
        <v>1892</v>
      </c>
      <c r="B1483" t="s">
        <v>5345</v>
      </c>
      <c r="C1483" s="5" t="s">
        <v>7</v>
      </c>
      <c r="F1483" s="5" t="s">
        <v>5346</v>
      </c>
      <c r="G1483" s="5">
        <f t="shared" si="32"/>
        <v>32316</v>
      </c>
      <c r="I1483" s="6" t="str">
        <f t="shared" si="33"/>
        <v>0</v>
      </c>
      <c r="L1483" s="6" t="s">
        <v>5347</v>
      </c>
    </row>
    <row r="1484" spans="1:12" x14ac:dyDescent="0.2">
      <c r="A1484" t="s">
        <v>1894</v>
      </c>
      <c r="B1484" t="s">
        <v>5137</v>
      </c>
      <c r="C1484" s="5" t="s">
        <v>7</v>
      </c>
      <c r="F1484" s="5" t="s">
        <v>5138</v>
      </c>
      <c r="G1484" s="5">
        <f t="shared" si="32"/>
        <v>32326</v>
      </c>
      <c r="I1484" s="6" t="str">
        <f t="shared" si="33"/>
        <v>0</v>
      </c>
      <c r="K1484" s="21" t="s">
        <v>5139</v>
      </c>
    </row>
    <row r="1485" spans="1:12" x14ac:dyDescent="0.2">
      <c r="A1485" t="s">
        <v>1895</v>
      </c>
      <c r="B1485" t="s">
        <v>3326</v>
      </c>
      <c r="E1485" t="str">
        <f>IF(D1485&lt;&gt;"",C1485&amp;"/"&amp;D1485,"")</f>
        <v/>
      </c>
      <c r="G1485" s="5" t="str">
        <f t="shared" si="32"/>
        <v/>
      </c>
      <c r="I1485" s="6" t="str">
        <f t="shared" si="33"/>
        <v>0</v>
      </c>
    </row>
    <row r="1486" spans="1:12" x14ac:dyDescent="0.2">
      <c r="A1486" t="s">
        <v>1896</v>
      </c>
      <c r="B1486" t="s">
        <v>309</v>
      </c>
      <c r="E1486" t="str">
        <f>IF(D1486&lt;&gt;"",C1486&amp;"/"&amp;D1486,"")</f>
        <v/>
      </c>
      <c r="G1486" s="5" t="str">
        <f t="shared" si="32"/>
        <v/>
      </c>
      <c r="I1486" s="6" t="str">
        <f t="shared" si="33"/>
        <v>0</v>
      </c>
    </row>
    <row r="1487" spans="1:12" x14ac:dyDescent="0.2">
      <c r="A1487" t="s">
        <v>1897</v>
      </c>
      <c r="B1487" t="s">
        <v>309</v>
      </c>
      <c r="E1487" t="str">
        <f>IF(D1487&lt;&gt;"",C1487&amp;"/"&amp;D1487,"")</f>
        <v/>
      </c>
      <c r="G1487" s="5" t="str">
        <f t="shared" si="32"/>
        <v/>
      </c>
      <c r="I1487" s="6" t="str">
        <f t="shared" si="33"/>
        <v>0</v>
      </c>
    </row>
    <row r="1488" spans="1:12" x14ac:dyDescent="0.2">
      <c r="A1488" t="s">
        <v>1898</v>
      </c>
      <c r="B1488" t="s">
        <v>309</v>
      </c>
      <c r="E1488" t="str">
        <f>IF(D1488&lt;&gt;"",C1488&amp;"/"&amp;D1488,"")</f>
        <v/>
      </c>
      <c r="G1488" s="5" t="str">
        <f t="shared" ref="G1488:G1551" si="34">IF(F1488&lt;&gt;"",HEX2DEC(SUBSTITUTE(SUBSTITUTE(F1488,"adrEA",""),"$","")),"")</f>
        <v/>
      </c>
      <c r="I1488" s="6" t="str">
        <f t="shared" ref="I1488:I1551" si="35">IFERROR(DEC2HEX(H1488),"")</f>
        <v>0</v>
      </c>
    </row>
    <row r="1489" spans="1:12" x14ac:dyDescent="0.2">
      <c r="A1489" t="s">
        <v>1899</v>
      </c>
      <c r="B1489" t="s">
        <v>309</v>
      </c>
      <c r="E1489" t="str">
        <f>IF(D1489&lt;&gt;"",C1489&amp;"/"&amp;D1489,"")</f>
        <v/>
      </c>
      <c r="G1489" s="5" t="str">
        <f t="shared" si="34"/>
        <v/>
      </c>
      <c r="I1489" s="6" t="str">
        <f t="shared" si="35"/>
        <v>0</v>
      </c>
    </row>
    <row r="1490" spans="1:12" x14ac:dyDescent="0.2">
      <c r="A1490" t="s">
        <v>1900</v>
      </c>
      <c r="B1490" t="s">
        <v>309</v>
      </c>
      <c r="E1490" t="str">
        <f>IF(D1490&lt;&gt;"",C1490&amp;"/"&amp;D1490,"")</f>
        <v/>
      </c>
      <c r="G1490" s="5" t="str">
        <f t="shared" si="34"/>
        <v/>
      </c>
      <c r="I1490" s="6" t="str">
        <f t="shared" si="35"/>
        <v>0</v>
      </c>
    </row>
    <row r="1491" spans="1:12" x14ac:dyDescent="0.2">
      <c r="A1491" t="s">
        <v>1901</v>
      </c>
      <c r="B1491" t="s">
        <v>309</v>
      </c>
      <c r="E1491" t="str">
        <f>IF(D1491&lt;&gt;"",C1491&amp;"/"&amp;D1491,"")</f>
        <v/>
      </c>
      <c r="G1491" s="5" t="str">
        <f t="shared" si="34"/>
        <v/>
      </c>
      <c r="I1491" s="6" t="str">
        <f t="shared" si="35"/>
        <v>0</v>
      </c>
    </row>
    <row r="1492" spans="1:12" x14ac:dyDescent="0.2">
      <c r="A1492" t="s">
        <v>1902</v>
      </c>
      <c r="B1492" t="s">
        <v>309</v>
      </c>
      <c r="E1492" t="str">
        <f>IF(D1492&lt;&gt;"",C1492&amp;"/"&amp;D1492,"")</f>
        <v/>
      </c>
      <c r="G1492" s="5" t="str">
        <f t="shared" si="34"/>
        <v/>
      </c>
      <c r="I1492" s="6" t="str">
        <f t="shared" si="35"/>
        <v>0</v>
      </c>
    </row>
    <row r="1493" spans="1:12" x14ac:dyDescent="0.2">
      <c r="A1493" t="s">
        <v>1903</v>
      </c>
      <c r="B1493" t="s">
        <v>5287</v>
      </c>
      <c r="C1493" s="5" t="s">
        <v>7</v>
      </c>
      <c r="F1493" s="5" t="s">
        <v>5288</v>
      </c>
      <c r="G1493" s="5">
        <f t="shared" si="34"/>
        <v>32468</v>
      </c>
      <c r="I1493" s="6" t="str">
        <f t="shared" si="35"/>
        <v>0</v>
      </c>
      <c r="K1493" s="21" t="s">
        <v>5289</v>
      </c>
    </row>
    <row r="1494" spans="1:12" x14ac:dyDescent="0.2">
      <c r="A1494" t="s">
        <v>1904</v>
      </c>
      <c r="B1494" t="s">
        <v>5290</v>
      </c>
      <c r="C1494" s="5" t="s">
        <v>7</v>
      </c>
      <c r="F1494" s="5" t="s">
        <v>5291</v>
      </c>
      <c r="G1494" s="5">
        <f t="shared" si="34"/>
        <v>32500</v>
      </c>
      <c r="I1494" s="6" t="str">
        <f t="shared" si="35"/>
        <v>0</v>
      </c>
      <c r="K1494" s="21" t="s">
        <v>5292</v>
      </c>
    </row>
    <row r="1495" spans="1:12" x14ac:dyDescent="0.2">
      <c r="A1495" t="s">
        <v>1893</v>
      </c>
      <c r="B1495" t="s">
        <v>5348</v>
      </c>
      <c r="C1495" s="5" t="s">
        <v>7</v>
      </c>
      <c r="F1495" s="5" t="s">
        <v>5349</v>
      </c>
      <c r="G1495" s="5">
        <f t="shared" si="34"/>
        <v>32324</v>
      </c>
      <c r="I1495" s="6" t="str">
        <f t="shared" si="35"/>
        <v>0</v>
      </c>
      <c r="L1495" s="6" t="s">
        <v>5350</v>
      </c>
    </row>
    <row r="1496" spans="1:12" x14ac:dyDescent="0.2">
      <c r="A1496" t="s">
        <v>1906</v>
      </c>
      <c r="B1496" t="s">
        <v>5293</v>
      </c>
      <c r="C1496" s="5" t="s">
        <v>7</v>
      </c>
      <c r="F1496" s="5" t="s">
        <v>5294</v>
      </c>
      <c r="G1496" s="5">
        <f t="shared" si="34"/>
        <v>32566</v>
      </c>
      <c r="I1496" s="6" t="str">
        <f t="shared" si="35"/>
        <v>0</v>
      </c>
      <c r="K1496" s="21" t="s">
        <v>5295</v>
      </c>
    </row>
    <row r="1497" spans="1:12" x14ac:dyDescent="0.2">
      <c r="A1497" t="s">
        <v>1907</v>
      </c>
      <c r="B1497" t="s">
        <v>309</v>
      </c>
      <c r="E1497" t="str">
        <f>IF(D1497&lt;&gt;"",C1497&amp;"/"&amp;D1497,"")</f>
        <v/>
      </c>
      <c r="G1497" s="5" t="str">
        <f t="shared" si="34"/>
        <v/>
      </c>
      <c r="I1497" s="6" t="str">
        <f t="shared" si="35"/>
        <v>0</v>
      </c>
    </row>
    <row r="1498" spans="1:12" x14ac:dyDescent="0.2">
      <c r="A1498" t="s">
        <v>1908</v>
      </c>
      <c r="B1498" t="s">
        <v>5296</v>
      </c>
      <c r="C1498" s="5" t="s">
        <v>7</v>
      </c>
      <c r="F1498" s="5" t="s">
        <v>5297</v>
      </c>
      <c r="G1498" s="5">
        <f t="shared" si="34"/>
        <v>32696</v>
      </c>
      <c r="I1498" s="6" t="str">
        <f t="shared" si="35"/>
        <v>0</v>
      </c>
      <c r="K1498" s="21" t="s">
        <v>5298</v>
      </c>
    </row>
    <row r="1499" spans="1:12" x14ac:dyDescent="0.2">
      <c r="A1499" t="s">
        <v>1909</v>
      </c>
      <c r="B1499" t="s">
        <v>309</v>
      </c>
      <c r="E1499" t="str">
        <f>IF(D1499&lt;&gt;"",C1499&amp;"/"&amp;D1499,"")</f>
        <v/>
      </c>
      <c r="G1499" s="5" t="str">
        <f t="shared" si="34"/>
        <v/>
      </c>
      <c r="I1499" s="6" t="str">
        <f t="shared" si="35"/>
        <v>0</v>
      </c>
    </row>
    <row r="1500" spans="1:12" x14ac:dyDescent="0.2">
      <c r="A1500" t="s">
        <v>1910</v>
      </c>
      <c r="B1500" t="s">
        <v>309</v>
      </c>
      <c r="E1500" t="str">
        <f>IF(D1500&lt;&gt;"",C1500&amp;"/"&amp;D1500,"")</f>
        <v/>
      </c>
      <c r="G1500" s="5" t="str">
        <f t="shared" si="34"/>
        <v/>
      </c>
      <c r="I1500" s="6" t="str">
        <f t="shared" si="35"/>
        <v>0</v>
      </c>
    </row>
    <row r="1501" spans="1:12" x14ac:dyDescent="0.2">
      <c r="A1501" t="s">
        <v>1911</v>
      </c>
      <c r="B1501" t="s">
        <v>309</v>
      </c>
      <c r="E1501" t="str">
        <f>IF(D1501&lt;&gt;"",C1501&amp;"/"&amp;D1501,"")</f>
        <v/>
      </c>
      <c r="G1501" s="5" t="str">
        <f t="shared" si="34"/>
        <v/>
      </c>
      <c r="I1501" s="6" t="str">
        <f t="shared" si="35"/>
        <v>0</v>
      </c>
    </row>
    <row r="1502" spans="1:12" x14ac:dyDescent="0.2">
      <c r="A1502" t="s">
        <v>1912</v>
      </c>
      <c r="B1502" t="s">
        <v>309</v>
      </c>
      <c r="E1502" t="str">
        <f>IF(D1502&lt;&gt;"",C1502&amp;"/"&amp;D1502,"")</f>
        <v/>
      </c>
      <c r="G1502" s="5" t="str">
        <f t="shared" si="34"/>
        <v/>
      </c>
      <c r="I1502" s="6" t="str">
        <f t="shared" si="35"/>
        <v>0</v>
      </c>
    </row>
    <row r="1503" spans="1:12" x14ac:dyDescent="0.2">
      <c r="A1503" t="s">
        <v>1913</v>
      </c>
      <c r="B1503" t="s">
        <v>309</v>
      </c>
      <c r="E1503" t="str">
        <f>IF(D1503&lt;&gt;"",C1503&amp;"/"&amp;D1503,"")</f>
        <v/>
      </c>
      <c r="G1503" s="5" t="str">
        <f t="shared" si="34"/>
        <v/>
      </c>
      <c r="I1503" s="6" t="str">
        <f t="shared" si="35"/>
        <v>0</v>
      </c>
    </row>
    <row r="1504" spans="1:12" x14ac:dyDescent="0.2">
      <c r="A1504" t="s">
        <v>1914</v>
      </c>
      <c r="B1504" t="s">
        <v>309</v>
      </c>
      <c r="E1504" t="str">
        <f>IF(D1504&lt;&gt;"",C1504&amp;"/"&amp;D1504,"")</f>
        <v/>
      </c>
      <c r="G1504" s="5" t="str">
        <f t="shared" si="34"/>
        <v/>
      </c>
      <c r="I1504" s="6" t="str">
        <f t="shared" si="35"/>
        <v>0</v>
      </c>
    </row>
    <row r="1505" spans="1:11" x14ac:dyDescent="0.2">
      <c r="A1505" t="s">
        <v>1915</v>
      </c>
      <c r="B1505" t="s">
        <v>309</v>
      </c>
      <c r="E1505" t="str">
        <f>IF(D1505&lt;&gt;"",C1505&amp;"/"&amp;D1505,"")</f>
        <v/>
      </c>
      <c r="G1505" s="5" t="str">
        <f t="shared" si="34"/>
        <v/>
      </c>
      <c r="I1505" s="6" t="str">
        <f t="shared" si="35"/>
        <v>0</v>
      </c>
    </row>
    <row r="1506" spans="1:11" x14ac:dyDescent="0.2">
      <c r="A1506" t="s">
        <v>1916</v>
      </c>
      <c r="B1506" t="s">
        <v>309</v>
      </c>
      <c r="E1506" t="str">
        <f>IF(D1506&lt;&gt;"",C1506&amp;"/"&amp;D1506,"")</f>
        <v/>
      </c>
      <c r="G1506" s="5" t="str">
        <f t="shared" si="34"/>
        <v/>
      </c>
      <c r="I1506" s="6" t="str">
        <f t="shared" si="35"/>
        <v>0</v>
      </c>
    </row>
    <row r="1507" spans="1:11" x14ac:dyDescent="0.2">
      <c r="A1507" t="s">
        <v>1917</v>
      </c>
      <c r="B1507" t="s">
        <v>309</v>
      </c>
      <c r="E1507" t="str">
        <f>IF(D1507&lt;&gt;"",C1507&amp;"/"&amp;D1507,"")</f>
        <v/>
      </c>
      <c r="G1507" s="5" t="str">
        <f t="shared" si="34"/>
        <v/>
      </c>
      <c r="I1507" s="6" t="str">
        <f t="shared" si="35"/>
        <v>0</v>
      </c>
    </row>
    <row r="1508" spans="1:11" x14ac:dyDescent="0.2">
      <c r="A1508" t="s">
        <v>1918</v>
      </c>
      <c r="B1508" t="s">
        <v>309</v>
      </c>
      <c r="E1508" t="str">
        <f>IF(D1508&lt;&gt;"",C1508&amp;"/"&amp;D1508,"")</f>
        <v/>
      </c>
      <c r="G1508" s="5" t="str">
        <f t="shared" si="34"/>
        <v/>
      </c>
      <c r="I1508" s="6" t="str">
        <f t="shared" si="35"/>
        <v>0</v>
      </c>
    </row>
    <row r="1509" spans="1:11" x14ac:dyDescent="0.2">
      <c r="A1509" t="s">
        <v>1919</v>
      </c>
      <c r="B1509" t="s">
        <v>309</v>
      </c>
      <c r="E1509" t="str">
        <f>IF(D1509&lt;&gt;"",C1509&amp;"/"&amp;D1509,"")</f>
        <v/>
      </c>
      <c r="G1509" s="5" t="str">
        <f t="shared" si="34"/>
        <v/>
      </c>
      <c r="I1509" s="6" t="str">
        <f t="shared" si="35"/>
        <v>0</v>
      </c>
    </row>
    <row r="1510" spans="1:11" x14ac:dyDescent="0.2">
      <c r="A1510" t="s">
        <v>1920</v>
      </c>
      <c r="B1510" t="s">
        <v>309</v>
      </c>
      <c r="E1510" t="str">
        <f>IF(D1510&lt;&gt;"",C1510&amp;"/"&amp;D1510,"")</f>
        <v/>
      </c>
      <c r="G1510" s="5" t="str">
        <f t="shared" si="34"/>
        <v/>
      </c>
      <c r="I1510" s="6" t="str">
        <f t="shared" si="35"/>
        <v>0</v>
      </c>
    </row>
    <row r="1511" spans="1:11" x14ac:dyDescent="0.2">
      <c r="A1511" t="s">
        <v>1921</v>
      </c>
      <c r="B1511" t="s">
        <v>309</v>
      </c>
      <c r="E1511" t="str">
        <f>IF(D1511&lt;&gt;"",C1511&amp;"/"&amp;D1511,"")</f>
        <v/>
      </c>
      <c r="G1511" s="5" t="str">
        <f t="shared" si="34"/>
        <v/>
      </c>
      <c r="I1511" s="6" t="str">
        <f t="shared" si="35"/>
        <v>0</v>
      </c>
    </row>
    <row r="1512" spans="1:11" x14ac:dyDescent="0.2">
      <c r="A1512" t="s">
        <v>1922</v>
      </c>
      <c r="B1512" t="s">
        <v>309</v>
      </c>
      <c r="E1512" t="str">
        <f>IF(D1512&lt;&gt;"",C1512&amp;"/"&amp;D1512,"")</f>
        <v/>
      </c>
      <c r="G1512" s="5" t="str">
        <f t="shared" si="34"/>
        <v/>
      </c>
      <c r="I1512" s="6" t="str">
        <f t="shared" si="35"/>
        <v>0</v>
      </c>
    </row>
    <row r="1513" spans="1:11" x14ac:dyDescent="0.2">
      <c r="A1513" t="s">
        <v>1923</v>
      </c>
      <c r="B1513" t="s">
        <v>309</v>
      </c>
      <c r="E1513" t="str">
        <f>IF(D1513&lt;&gt;"",C1513&amp;"/"&amp;D1513,"")</f>
        <v/>
      </c>
      <c r="G1513" s="5" t="str">
        <f t="shared" si="34"/>
        <v/>
      </c>
      <c r="I1513" s="6" t="str">
        <f t="shared" si="35"/>
        <v>0</v>
      </c>
    </row>
    <row r="1514" spans="1:11" x14ac:dyDescent="0.2">
      <c r="A1514" t="s">
        <v>1924</v>
      </c>
      <c r="B1514" t="s">
        <v>309</v>
      </c>
      <c r="E1514" t="str">
        <f>IF(D1514&lt;&gt;"",C1514&amp;"/"&amp;D1514,"")</f>
        <v/>
      </c>
      <c r="G1514" s="5" t="str">
        <f t="shared" si="34"/>
        <v/>
      </c>
      <c r="I1514" s="6" t="str">
        <f t="shared" si="35"/>
        <v>0</v>
      </c>
    </row>
    <row r="1515" spans="1:11" x14ac:dyDescent="0.2">
      <c r="A1515" t="s">
        <v>1925</v>
      </c>
      <c r="B1515" t="s">
        <v>309</v>
      </c>
      <c r="E1515" t="str">
        <f>IF(D1515&lt;&gt;"",C1515&amp;"/"&amp;D1515,"")</f>
        <v/>
      </c>
      <c r="G1515" s="5" t="str">
        <f t="shared" si="34"/>
        <v/>
      </c>
      <c r="I1515" s="6" t="str">
        <f t="shared" si="35"/>
        <v>0</v>
      </c>
    </row>
    <row r="1516" spans="1:11" x14ac:dyDescent="0.2">
      <c r="A1516" t="s">
        <v>1926</v>
      </c>
      <c r="B1516" t="s">
        <v>1927</v>
      </c>
      <c r="C1516" s="5" t="s">
        <v>3122</v>
      </c>
      <c r="D1516" t="s">
        <v>3837</v>
      </c>
      <c r="E1516" t="s">
        <v>3838</v>
      </c>
      <c r="F1516" s="5" t="s">
        <v>3839</v>
      </c>
      <c r="G1516" s="5">
        <f t="shared" si="34"/>
        <v>33002</v>
      </c>
      <c r="H1516" s="5">
        <v>16</v>
      </c>
      <c r="I1516" s="6" t="str">
        <f t="shared" si="35"/>
        <v>10</v>
      </c>
      <c r="K1516" s="21" t="s">
        <v>3840</v>
      </c>
    </row>
    <row r="1517" spans="1:11" x14ac:dyDescent="0.2">
      <c r="A1517" t="s">
        <v>1928</v>
      </c>
      <c r="B1517" t="s">
        <v>309</v>
      </c>
      <c r="E1517" t="str">
        <f>IF(D1517&lt;&gt;"",C1517&amp;"/"&amp;D1517,"")</f>
        <v/>
      </c>
      <c r="G1517" s="5" t="str">
        <f t="shared" si="34"/>
        <v/>
      </c>
      <c r="I1517" s="6" t="str">
        <f t="shared" si="35"/>
        <v>0</v>
      </c>
    </row>
    <row r="1518" spans="1:11" x14ac:dyDescent="0.2">
      <c r="A1518" t="s">
        <v>1929</v>
      </c>
      <c r="B1518" t="s">
        <v>309</v>
      </c>
      <c r="E1518" t="str">
        <f>IF(D1518&lt;&gt;"",C1518&amp;"/"&amp;D1518,"")</f>
        <v/>
      </c>
      <c r="G1518" s="5" t="str">
        <f t="shared" si="34"/>
        <v/>
      </c>
      <c r="I1518" s="6" t="str">
        <f t="shared" si="35"/>
        <v>0</v>
      </c>
    </row>
    <row r="1519" spans="1:11" x14ac:dyDescent="0.2">
      <c r="A1519" t="s">
        <v>1930</v>
      </c>
      <c r="B1519" t="s">
        <v>309</v>
      </c>
      <c r="E1519" t="str">
        <f>IF(D1519&lt;&gt;"",C1519&amp;"/"&amp;D1519,"")</f>
        <v/>
      </c>
      <c r="G1519" s="5" t="str">
        <f t="shared" si="34"/>
        <v/>
      </c>
      <c r="I1519" s="6" t="str">
        <f t="shared" si="35"/>
        <v>0</v>
      </c>
    </row>
    <row r="1520" spans="1:11" x14ac:dyDescent="0.2">
      <c r="A1520" t="s">
        <v>1931</v>
      </c>
      <c r="B1520" t="s">
        <v>309</v>
      </c>
      <c r="E1520" t="str">
        <f>IF(D1520&lt;&gt;"",C1520&amp;"/"&amp;D1520,"")</f>
        <v/>
      </c>
      <c r="G1520" s="5" t="str">
        <f t="shared" si="34"/>
        <v/>
      </c>
      <c r="I1520" s="6" t="str">
        <f t="shared" si="35"/>
        <v>0</v>
      </c>
    </row>
    <row r="1521" spans="1:9" x14ac:dyDescent="0.2">
      <c r="A1521" t="s">
        <v>1932</v>
      </c>
      <c r="B1521" t="s">
        <v>1932</v>
      </c>
      <c r="E1521" t="str">
        <f>IF(D1521&lt;&gt;"",C1521&amp;"/"&amp;D1521,"")</f>
        <v/>
      </c>
      <c r="G1521" s="5" t="str">
        <f t="shared" si="34"/>
        <v/>
      </c>
      <c r="I1521" s="6" t="str">
        <f t="shared" si="35"/>
        <v>0</v>
      </c>
    </row>
    <row r="1522" spans="1:9" x14ac:dyDescent="0.2">
      <c r="A1522" t="s">
        <v>1933</v>
      </c>
      <c r="B1522" t="s">
        <v>309</v>
      </c>
      <c r="E1522" t="str">
        <f>IF(D1522&lt;&gt;"",C1522&amp;"/"&amp;D1522,"")</f>
        <v/>
      </c>
      <c r="G1522" s="5" t="str">
        <f t="shared" si="34"/>
        <v/>
      </c>
      <c r="I1522" s="6" t="str">
        <f t="shared" si="35"/>
        <v>0</v>
      </c>
    </row>
    <row r="1523" spans="1:9" x14ac:dyDescent="0.2">
      <c r="A1523" t="s">
        <v>1934</v>
      </c>
      <c r="B1523" t="s">
        <v>309</v>
      </c>
      <c r="E1523" t="str">
        <f>IF(D1523&lt;&gt;"",C1523&amp;"/"&amp;D1523,"")</f>
        <v/>
      </c>
      <c r="G1523" s="5" t="str">
        <f t="shared" si="34"/>
        <v/>
      </c>
      <c r="I1523" s="6" t="str">
        <f t="shared" si="35"/>
        <v>0</v>
      </c>
    </row>
    <row r="1524" spans="1:9" x14ac:dyDescent="0.2">
      <c r="A1524" t="s">
        <v>1935</v>
      </c>
      <c r="B1524" t="s">
        <v>309</v>
      </c>
      <c r="E1524" t="str">
        <f>IF(D1524&lt;&gt;"",C1524&amp;"/"&amp;D1524,"")</f>
        <v/>
      </c>
      <c r="G1524" s="5" t="str">
        <f t="shared" si="34"/>
        <v/>
      </c>
      <c r="I1524" s="6" t="str">
        <f t="shared" si="35"/>
        <v>0</v>
      </c>
    </row>
    <row r="1525" spans="1:9" x14ac:dyDescent="0.2">
      <c r="A1525" t="s">
        <v>1936</v>
      </c>
      <c r="B1525" t="s">
        <v>309</v>
      </c>
      <c r="E1525" t="str">
        <f>IF(D1525&lt;&gt;"",C1525&amp;"/"&amp;D1525,"")</f>
        <v/>
      </c>
      <c r="G1525" s="5" t="str">
        <f t="shared" si="34"/>
        <v/>
      </c>
      <c r="I1525" s="6" t="str">
        <f t="shared" si="35"/>
        <v>0</v>
      </c>
    </row>
    <row r="1526" spans="1:9" x14ac:dyDescent="0.2">
      <c r="A1526" t="s">
        <v>1937</v>
      </c>
      <c r="B1526" t="s">
        <v>309</v>
      </c>
      <c r="E1526" t="str">
        <f>IF(D1526&lt;&gt;"",C1526&amp;"/"&amp;D1526,"")</f>
        <v/>
      </c>
      <c r="G1526" s="5" t="str">
        <f t="shared" si="34"/>
        <v/>
      </c>
      <c r="I1526" s="6" t="str">
        <f t="shared" si="35"/>
        <v>0</v>
      </c>
    </row>
    <row r="1527" spans="1:9" x14ac:dyDescent="0.2">
      <c r="A1527" t="s">
        <v>1938</v>
      </c>
      <c r="B1527" t="s">
        <v>309</v>
      </c>
      <c r="E1527" t="str">
        <f>IF(D1527&lt;&gt;"",C1527&amp;"/"&amp;D1527,"")</f>
        <v/>
      </c>
      <c r="G1527" s="5" t="str">
        <f t="shared" si="34"/>
        <v/>
      </c>
      <c r="I1527" s="6" t="str">
        <f t="shared" si="35"/>
        <v>0</v>
      </c>
    </row>
    <row r="1528" spans="1:9" x14ac:dyDescent="0.2">
      <c r="A1528" t="s">
        <v>1939</v>
      </c>
      <c r="B1528" t="s">
        <v>309</v>
      </c>
      <c r="E1528" t="str">
        <f>IF(D1528&lt;&gt;"",C1528&amp;"/"&amp;D1528,"")</f>
        <v/>
      </c>
      <c r="G1528" s="5" t="str">
        <f t="shared" si="34"/>
        <v/>
      </c>
      <c r="I1528" s="6" t="str">
        <f t="shared" si="35"/>
        <v>0</v>
      </c>
    </row>
    <row r="1529" spans="1:9" x14ac:dyDescent="0.2">
      <c r="A1529" t="s">
        <v>1940</v>
      </c>
      <c r="B1529" t="s">
        <v>309</v>
      </c>
      <c r="E1529" t="str">
        <f>IF(D1529&lt;&gt;"",C1529&amp;"/"&amp;D1529,"")</f>
        <v/>
      </c>
      <c r="G1529" s="5" t="str">
        <f t="shared" si="34"/>
        <v/>
      </c>
      <c r="I1529" s="6" t="str">
        <f t="shared" si="35"/>
        <v>0</v>
      </c>
    </row>
    <row r="1530" spans="1:9" x14ac:dyDescent="0.2">
      <c r="A1530" t="s">
        <v>1941</v>
      </c>
      <c r="B1530" t="s">
        <v>309</v>
      </c>
      <c r="E1530" t="str">
        <f>IF(D1530&lt;&gt;"",C1530&amp;"/"&amp;D1530,"")</f>
        <v/>
      </c>
      <c r="G1530" s="5" t="str">
        <f t="shared" si="34"/>
        <v/>
      </c>
      <c r="I1530" s="6" t="str">
        <f t="shared" si="35"/>
        <v>0</v>
      </c>
    </row>
    <row r="1531" spans="1:9" x14ac:dyDescent="0.2">
      <c r="A1531" t="s">
        <v>1942</v>
      </c>
      <c r="B1531" t="s">
        <v>309</v>
      </c>
      <c r="E1531" t="str">
        <f>IF(D1531&lt;&gt;"",C1531&amp;"/"&amp;D1531,"")</f>
        <v/>
      </c>
      <c r="G1531" s="5" t="str">
        <f t="shared" si="34"/>
        <v/>
      </c>
      <c r="I1531" s="6" t="str">
        <f t="shared" si="35"/>
        <v>0</v>
      </c>
    </row>
    <row r="1532" spans="1:9" x14ac:dyDescent="0.2">
      <c r="A1532" t="s">
        <v>1943</v>
      </c>
      <c r="B1532" t="s">
        <v>309</v>
      </c>
      <c r="E1532" t="str">
        <f>IF(D1532&lt;&gt;"",C1532&amp;"/"&amp;D1532,"")</f>
        <v/>
      </c>
      <c r="G1532" s="5" t="str">
        <f t="shared" si="34"/>
        <v/>
      </c>
      <c r="I1532" s="6" t="str">
        <f t="shared" si="35"/>
        <v>0</v>
      </c>
    </row>
    <row r="1533" spans="1:9" x14ac:dyDescent="0.2">
      <c r="A1533" t="s">
        <v>1944</v>
      </c>
      <c r="B1533" t="s">
        <v>309</v>
      </c>
      <c r="E1533" t="str">
        <f>IF(D1533&lt;&gt;"",C1533&amp;"/"&amp;D1533,"")</f>
        <v/>
      </c>
      <c r="G1533" s="5" t="str">
        <f t="shared" si="34"/>
        <v/>
      </c>
      <c r="I1533" s="6" t="str">
        <f t="shared" si="35"/>
        <v>0</v>
      </c>
    </row>
    <row r="1534" spans="1:9" x14ac:dyDescent="0.2">
      <c r="A1534" t="s">
        <v>1945</v>
      </c>
      <c r="B1534" t="s">
        <v>309</v>
      </c>
      <c r="E1534" t="str">
        <f>IF(D1534&lt;&gt;"",C1534&amp;"/"&amp;D1534,"")</f>
        <v/>
      </c>
      <c r="G1534" s="5" t="str">
        <f t="shared" si="34"/>
        <v/>
      </c>
      <c r="I1534" s="6" t="str">
        <f t="shared" si="35"/>
        <v>0</v>
      </c>
    </row>
    <row r="1535" spans="1:9" x14ac:dyDescent="0.2">
      <c r="A1535" t="s">
        <v>1946</v>
      </c>
      <c r="B1535" t="s">
        <v>309</v>
      </c>
      <c r="E1535" t="str">
        <f>IF(D1535&lt;&gt;"",C1535&amp;"/"&amp;D1535,"")</f>
        <v/>
      </c>
      <c r="G1535" s="5" t="str">
        <f t="shared" si="34"/>
        <v/>
      </c>
      <c r="I1535" s="6" t="str">
        <f t="shared" si="35"/>
        <v>0</v>
      </c>
    </row>
    <row r="1536" spans="1:9" x14ac:dyDescent="0.2">
      <c r="A1536" t="s">
        <v>1947</v>
      </c>
      <c r="B1536" t="s">
        <v>309</v>
      </c>
      <c r="E1536" t="str">
        <f>IF(D1536&lt;&gt;"",C1536&amp;"/"&amp;D1536,"")</f>
        <v/>
      </c>
      <c r="G1536" s="5" t="str">
        <f t="shared" si="34"/>
        <v/>
      </c>
      <c r="I1536" s="6" t="str">
        <f t="shared" si="35"/>
        <v>0</v>
      </c>
    </row>
    <row r="1537" spans="1:9" x14ac:dyDescent="0.2">
      <c r="A1537" t="s">
        <v>1948</v>
      </c>
      <c r="B1537" t="s">
        <v>309</v>
      </c>
      <c r="E1537" t="str">
        <f>IF(D1537&lt;&gt;"",C1537&amp;"/"&amp;D1537,"")</f>
        <v/>
      </c>
      <c r="G1537" s="5" t="str">
        <f t="shared" si="34"/>
        <v/>
      </c>
      <c r="I1537" s="6" t="str">
        <f t="shared" si="35"/>
        <v>0</v>
      </c>
    </row>
    <row r="1538" spans="1:9" x14ac:dyDescent="0.2">
      <c r="A1538" t="s">
        <v>1949</v>
      </c>
      <c r="B1538" t="s">
        <v>309</v>
      </c>
      <c r="E1538" t="str">
        <f>IF(D1538&lt;&gt;"",C1538&amp;"/"&amp;D1538,"")</f>
        <v/>
      </c>
      <c r="G1538" s="5" t="str">
        <f t="shared" si="34"/>
        <v/>
      </c>
      <c r="I1538" s="6" t="str">
        <f t="shared" si="35"/>
        <v>0</v>
      </c>
    </row>
    <row r="1539" spans="1:9" x14ac:dyDescent="0.2">
      <c r="A1539" t="s">
        <v>1950</v>
      </c>
      <c r="B1539" t="s">
        <v>309</v>
      </c>
      <c r="E1539" t="str">
        <f>IF(D1539&lt;&gt;"",C1539&amp;"/"&amp;D1539,"")</f>
        <v/>
      </c>
      <c r="G1539" s="5" t="str">
        <f t="shared" si="34"/>
        <v/>
      </c>
      <c r="I1539" s="6" t="str">
        <f t="shared" si="35"/>
        <v>0</v>
      </c>
    </row>
    <row r="1540" spans="1:9" x14ac:dyDescent="0.2">
      <c r="A1540" t="s">
        <v>1951</v>
      </c>
      <c r="B1540" t="s">
        <v>309</v>
      </c>
      <c r="E1540" t="str">
        <f>IF(D1540&lt;&gt;"",C1540&amp;"/"&amp;D1540,"")</f>
        <v/>
      </c>
      <c r="G1540" s="5" t="str">
        <f t="shared" si="34"/>
        <v/>
      </c>
      <c r="I1540" s="6" t="str">
        <f t="shared" si="35"/>
        <v>0</v>
      </c>
    </row>
    <row r="1541" spans="1:9" x14ac:dyDescent="0.2">
      <c r="A1541" t="s">
        <v>1952</v>
      </c>
      <c r="B1541" t="s">
        <v>309</v>
      </c>
      <c r="E1541" t="str">
        <f>IF(D1541&lt;&gt;"",C1541&amp;"/"&amp;D1541,"")</f>
        <v/>
      </c>
      <c r="G1541" s="5" t="str">
        <f t="shared" si="34"/>
        <v/>
      </c>
      <c r="I1541" s="6" t="str">
        <f t="shared" si="35"/>
        <v>0</v>
      </c>
    </row>
    <row r="1542" spans="1:9" x14ac:dyDescent="0.2">
      <c r="A1542" t="s">
        <v>1953</v>
      </c>
      <c r="B1542" t="s">
        <v>309</v>
      </c>
      <c r="E1542" t="str">
        <f>IF(D1542&lt;&gt;"",C1542&amp;"/"&amp;D1542,"")</f>
        <v/>
      </c>
      <c r="G1542" s="5" t="str">
        <f t="shared" si="34"/>
        <v/>
      </c>
      <c r="I1542" s="6" t="str">
        <f t="shared" si="35"/>
        <v>0</v>
      </c>
    </row>
    <row r="1543" spans="1:9" x14ac:dyDescent="0.2">
      <c r="A1543" t="s">
        <v>1954</v>
      </c>
      <c r="B1543" t="s">
        <v>309</v>
      </c>
      <c r="E1543" t="str">
        <f>IF(D1543&lt;&gt;"",C1543&amp;"/"&amp;D1543,"")</f>
        <v/>
      </c>
      <c r="G1543" s="5" t="str">
        <f t="shared" si="34"/>
        <v/>
      </c>
      <c r="I1543" s="6" t="str">
        <f t="shared" si="35"/>
        <v>0</v>
      </c>
    </row>
    <row r="1544" spans="1:9" x14ac:dyDescent="0.2">
      <c r="A1544" t="s">
        <v>1955</v>
      </c>
      <c r="B1544" t="s">
        <v>309</v>
      </c>
      <c r="E1544" t="str">
        <f>IF(D1544&lt;&gt;"",C1544&amp;"/"&amp;D1544,"")</f>
        <v/>
      </c>
      <c r="G1544" s="5" t="str">
        <f t="shared" si="34"/>
        <v/>
      </c>
      <c r="I1544" s="6" t="str">
        <f t="shared" si="35"/>
        <v>0</v>
      </c>
    </row>
    <row r="1545" spans="1:9" x14ac:dyDescent="0.2">
      <c r="A1545" t="s">
        <v>1956</v>
      </c>
      <c r="B1545" t="s">
        <v>309</v>
      </c>
      <c r="E1545" t="str">
        <f>IF(D1545&lt;&gt;"",C1545&amp;"/"&amp;D1545,"")</f>
        <v/>
      </c>
      <c r="G1545" s="5" t="str">
        <f t="shared" si="34"/>
        <v/>
      </c>
      <c r="I1545" s="6" t="str">
        <f t="shared" si="35"/>
        <v>0</v>
      </c>
    </row>
    <row r="1546" spans="1:9" x14ac:dyDescent="0.2">
      <c r="A1546" t="s">
        <v>1957</v>
      </c>
      <c r="B1546" t="s">
        <v>309</v>
      </c>
      <c r="E1546" t="str">
        <f>IF(D1546&lt;&gt;"",C1546&amp;"/"&amp;D1546,"")</f>
        <v/>
      </c>
      <c r="G1546" s="5" t="str">
        <f t="shared" si="34"/>
        <v/>
      </c>
      <c r="I1546" s="6" t="str">
        <f t="shared" si="35"/>
        <v>0</v>
      </c>
    </row>
    <row r="1547" spans="1:9" x14ac:dyDescent="0.2">
      <c r="A1547" t="s">
        <v>1958</v>
      </c>
      <c r="B1547" t="s">
        <v>309</v>
      </c>
      <c r="E1547" t="str">
        <f>IF(D1547&lt;&gt;"",C1547&amp;"/"&amp;D1547,"")</f>
        <v/>
      </c>
      <c r="G1547" s="5" t="str">
        <f t="shared" si="34"/>
        <v/>
      </c>
      <c r="I1547" s="6" t="str">
        <f t="shared" si="35"/>
        <v>0</v>
      </c>
    </row>
    <row r="1548" spans="1:9" x14ac:dyDescent="0.2">
      <c r="A1548" t="s">
        <v>1959</v>
      </c>
      <c r="B1548" t="s">
        <v>309</v>
      </c>
      <c r="E1548" t="str">
        <f>IF(D1548&lt;&gt;"",C1548&amp;"/"&amp;D1548,"")</f>
        <v/>
      </c>
      <c r="G1548" s="5" t="str">
        <f t="shared" si="34"/>
        <v/>
      </c>
      <c r="I1548" s="6" t="str">
        <f t="shared" si="35"/>
        <v>0</v>
      </c>
    </row>
    <row r="1549" spans="1:9" x14ac:dyDescent="0.2">
      <c r="A1549" t="s">
        <v>1960</v>
      </c>
      <c r="B1549" t="s">
        <v>309</v>
      </c>
      <c r="E1549" t="str">
        <f>IF(D1549&lt;&gt;"",C1549&amp;"/"&amp;D1549,"")</f>
        <v/>
      </c>
      <c r="G1549" s="5" t="str">
        <f t="shared" si="34"/>
        <v/>
      </c>
      <c r="I1549" s="6" t="str">
        <f t="shared" si="35"/>
        <v>0</v>
      </c>
    </row>
    <row r="1550" spans="1:9" x14ac:dyDescent="0.2">
      <c r="A1550" t="s">
        <v>1961</v>
      </c>
      <c r="B1550" t="s">
        <v>309</v>
      </c>
      <c r="E1550" t="str">
        <f>IF(D1550&lt;&gt;"",C1550&amp;"/"&amp;D1550,"")</f>
        <v/>
      </c>
      <c r="G1550" s="5" t="str">
        <f t="shared" si="34"/>
        <v/>
      </c>
      <c r="I1550" s="6" t="str">
        <f t="shared" si="35"/>
        <v>0</v>
      </c>
    </row>
    <row r="1551" spans="1:9" x14ac:dyDescent="0.2">
      <c r="A1551" t="s">
        <v>1962</v>
      </c>
      <c r="B1551" t="s">
        <v>309</v>
      </c>
      <c r="E1551" t="str">
        <f>IF(D1551&lt;&gt;"",C1551&amp;"/"&amp;D1551,"")</f>
        <v/>
      </c>
      <c r="G1551" s="5" t="str">
        <f t="shared" si="34"/>
        <v/>
      </c>
      <c r="I1551" s="6" t="str">
        <f t="shared" si="35"/>
        <v>0</v>
      </c>
    </row>
    <row r="1552" spans="1:9" x14ac:dyDescent="0.2">
      <c r="A1552" t="s">
        <v>1963</v>
      </c>
      <c r="B1552" t="s">
        <v>309</v>
      </c>
      <c r="E1552" t="str">
        <f>IF(D1552&lt;&gt;"",C1552&amp;"/"&amp;D1552,"")</f>
        <v/>
      </c>
      <c r="G1552" s="5" t="str">
        <f t="shared" ref="G1552:G1615" si="36">IF(F1552&lt;&gt;"",HEX2DEC(SUBSTITUTE(SUBSTITUTE(F1552,"adrEA",""),"$","")),"")</f>
        <v/>
      </c>
      <c r="I1552" s="6" t="str">
        <f t="shared" ref="I1552:I1615" si="37">IFERROR(DEC2HEX(H1552),"")</f>
        <v>0</v>
      </c>
    </row>
    <row r="1553" spans="1:12" x14ac:dyDescent="0.2">
      <c r="A1553" t="s">
        <v>1964</v>
      </c>
      <c r="B1553" t="s">
        <v>309</v>
      </c>
      <c r="E1553" t="str">
        <f>IF(D1553&lt;&gt;"",C1553&amp;"/"&amp;D1553,"")</f>
        <v/>
      </c>
      <c r="G1553" s="5" t="str">
        <f t="shared" si="36"/>
        <v/>
      </c>
      <c r="I1553" s="6" t="str">
        <f t="shared" si="37"/>
        <v>0</v>
      </c>
    </row>
    <row r="1554" spans="1:12" x14ac:dyDescent="0.2">
      <c r="A1554" t="s">
        <v>1965</v>
      </c>
      <c r="B1554" t="s">
        <v>309</v>
      </c>
      <c r="E1554" t="str">
        <f>IF(D1554&lt;&gt;"",C1554&amp;"/"&amp;D1554,"")</f>
        <v/>
      </c>
      <c r="G1554" s="5" t="str">
        <f t="shared" si="36"/>
        <v/>
      </c>
      <c r="I1554" s="6" t="str">
        <f t="shared" si="37"/>
        <v>0</v>
      </c>
    </row>
    <row r="1555" spans="1:12" x14ac:dyDescent="0.2">
      <c r="A1555" t="s">
        <v>1966</v>
      </c>
      <c r="B1555" t="s">
        <v>309</v>
      </c>
      <c r="E1555" t="str">
        <f>IF(D1555&lt;&gt;"",C1555&amp;"/"&amp;D1555,"")</f>
        <v/>
      </c>
      <c r="G1555" s="5" t="str">
        <f t="shared" si="36"/>
        <v/>
      </c>
      <c r="I1555" s="6" t="str">
        <f t="shared" si="37"/>
        <v>0</v>
      </c>
    </row>
    <row r="1556" spans="1:12" x14ac:dyDescent="0.2">
      <c r="A1556" t="s">
        <v>1967</v>
      </c>
      <c r="B1556" t="s">
        <v>309</v>
      </c>
      <c r="E1556" t="str">
        <f>IF(D1556&lt;&gt;"",C1556&amp;"/"&amp;D1556,"")</f>
        <v/>
      </c>
      <c r="G1556" s="5" t="str">
        <f t="shared" si="36"/>
        <v/>
      </c>
      <c r="I1556" s="6" t="str">
        <f t="shared" si="37"/>
        <v>0</v>
      </c>
    </row>
    <row r="1557" spans="1:12" x14ac:dyDescent="0.2">
      <c r="A1557" t="s">
        <v>1968</v>
      </c>
      <c r="B1557" t="s">
        <v>309</v>
      </c>
      <c r="E1557" t="str">
        <f>IF(D1557&lt;&gt;"",C1557&amp;"/"&amp;D1557,"")</f>
        <v/>
      </c>
      <c r="G1557" s="5" t="str">
        <f t="shared" si="36"/>
        <v/>
      </c>
      <c r="I1557" s="6" t="str">
        <f t="shared" si="37"/>
        <v>0</v>
      </c>
    </row>
    <row r="1558" spans="1:12" x14ac:dyDescent="0.2">
      <c r="A1558" t="s">
        <v>1969</v>
      </c>
      <c r="B1558" t="s">
        <v>309</v>
      </c>
      <c r="E1558" t="str">
        <f>IF(D1558&lt;&gt;"",C1558&amp;"/"&amp;D1558,"")</f>
        <v/>
      </c>
      <c r="G1558" s="5" t="str">
        <f t="shared" si="36"/>
        <v/>
      </c>
      <c r="I1558" s="6" t="str">
        <f t="shared" si="37"/>
        <v>0</v>
      </c>
    </row>
    <row r="1559" spans="1:12" x14ac:dyDescent="0.2">
      <c r="A1559" t="s">
        <v>1970</v>
      </c>
      <c r="B1559" t="s">
        <v>309</v>
      </c>
      <c r="E1559" t="str">
        <f>IF(D1559&lt;&gt;"",C1559&amp;"/"&amp;D1559,"")</f>
        <v/>
      </c>
      <c r="G1559" s="5" t="str">
        <f t="shared" si="36"/>
        <v/>
      </c>
      <c r="I1559" s="6" t="str">
        <f t="shared" si="37"/>
        <v>0</v>
      </c>
    </row>
    <row r="1560" spans="1:12" x14ac:dyDescent="0.2">
      <c r="A1560" t="s">
        <v>1971</v>
      </c>
      <c r="B1560" t="s">
        <v>309</v>
      </c>
      <c r="E1560" t="str">
        <f>IF(D1560&lt;&gt;"",C1560&amp;"/"&amp;D1560,"")</f>
        <v/>
      </c>
      <c r="G1560" s="5" t="str">
        <f t="shared" si="36"/>
        <v/>
      </c>
      <c r="I1560" s="6" t="str">
        <f t="shared" si="37"/>
        <v>0</v>
      </c>
    </row>
    <row r="1561" spans="1:12" x14ac:dyDescent="0.2">
      <c r="A1561" t="s">
        <v>1972</v>
      </c>
      <c r="B1561" t="s">
        <v>309</v>
      </c>
      <c r="E1561" t="str">
        <f>IF(D1561&lt;&gt;"",C1561&amp;"/"&amp;D1561,"")</f>
        <v/>
      </c>
      <c r="G1561" s="5" t="str">
        <f t="shared" si="36"/>
        <v/>
      </c>
      <c r="I1561" s="6" t="str">
        <f t="shared" si="37"/>
        <v>0</v>
      </c>
    </row>
    <row r="1562" spans="1:12" x14ac:dyDescent="0.2">
      <c r="A1562" t="s">
        <v>1973</v>
      </c>
      <c r="B1562" t="s">
        <v>309</v>
      </c>
      <c r="E1562" t="str">
        <f>IF(D1562&lt;&gt;"",C1562&amp;"/"&amp;D1562,"")</f>
        <v/>
      </c>
      <c r="G1562" s="5" t="str">
        <f t="shared" si="36"/>
        <v/>
      </c>
      <c r="I1562" s="6" t="str">
        <f t="shared" si="37"/>
        <v>0</v>
      </c>
    </row>
    <row r="1563" spans="1:12" x14ac:dyDescent="0.2">
      <c r="A1563" t="s">
        <v>1974</v>
      </c>
      <c r="B1563" t="s">
        <v>309</v>
      </c>
      <c r="E1563" t="str">
        <f>IF(D1563&lt;&gt;"",C1563&amp;"/"&amp;D1563,"")</f>
        <v/>
      </c>
      <c r="G1563" s="5" t="str">
        <f t="shared" si="36"/>
        <v/>
      </c>
      <c r="I1563" s="6" t="str">
        <f t="shared" si="37"/>
        <v>0</v>
      </c>
    </row>
    <row r="1564" spans="1:12" x14ac:dyDescent="0.2">
      <c r="A1564" t="s">
        <v>1975</v>
      </c>
      <c r="B1564" t="s">
        <v>309</v>
      </c>
      <c r="E1564" t="str">
        <f>IF(D1564&lt;&gt;"",C1564&amp;"/"&amp;D1564,"")</f>
        <v/>
      </c>
      <c r="G1564" s="5" t="str">
        <f t="shared" si="36"/>
        <v/>
      </c>
      <c r="I1564" s="6" t="str">
        <f t="shared" si="37"/>
        <v>0</v>
      </c>
    </row>
    <row r="1565" spans="1:12" x14ac:dyDescent="0.2">
      <c r="A1565" t="s">
        <v>1976</v>
      </c>
      <c r="B1565" t="s">
        <v>309</v>
      </c>
      <c r="E1565" t="str">
        <f>IF(D1565&lt;&gt;"",C1565&amp;"/"&amp;D1565,"")</f>
        <v/>
      </c>
      <c r="G1565" s="5" t="str">
        <f t="shared" si="36"/>
        <v/>
      </c>
      <c r="I1565" s="6" t="str">
        <f t="shared" si="37"/>
        <v>0</v>
      </c>
    </row>
    <row r="1566" spans="1:12" x14ac:dyDescent="0.2">
      <c r="A1566" t="s">
        <v>1977</v>
      </c>
      <c r="B1566" t="s">
        <v>309</v>
      </c>
      <c r="E1566" t="str">
        <f>IF(D1566&lt;&gt;"",C1566&amp;"/"&amp;D1566,"")</f>
        <v/>
      </c>
      <c r="G1566" s="5" t="str">
        <f t="shared" si="36"/>
        <v/>
      </c>
      <c r="I1566" s="6" t="str">
        <f t="shared" si="37"/>
        <v>0</v>
      </c>
    </row>
    <row r="1567" spans="1:12" x14ac:dyDescent="0.2">
      <c r="A1567" t="s">
        <v>1978</v>
      </c>
      <c r="B1567" t="s">
        <v>309</v>
      </c>
      <c r="E1567" t="str">
        <f>IF(D1567&lt;&gt;"",C1567&amp;"/"&amp;D1567,"")</f>
        <v/>
      </c>
      <c r="G1567" s="5" t="str">
        <f t="shared" si="36"/>
        <v/>
      </c>
      <c r="I1567" s="6" t="str">
        <f t="shared" si="37"/>
        <v>0</v>
      </c>
    </row>
    <row r="1568" spans="1:12" x14ac:dyDescent="0.2">
      <c r="A1568" t="s">
        <v>1979</v>
      </c>
      <c r="B1568" t="s">
        <v>1979</v>
      </c>
      <c r="C1568" s="5" t="s">
        <v>4779</v>
      </c>
      <c r="G1568" s="5" t="str">
        <f t="shared" si="36"/>
        <v/>
      </c>
      <c r="I1568" s="6" t="str">
        <f t="shared" si="37"/>
        <v>0</v>
      </c>
      <c r="L1568" s="6" t="s">
        <v>4780</v>
      </c>
    </row>
    <row r="1569" spans="1:12" x14ac:dyDescent="0.2">
      <c r="A1569" t="s">
        <v>1980</v>
      </c>
      <c r="B1569" t="s">
        <v>1981</v>
      </c>
      <c r="E1569" t="str">
        <f>IF(D1569&lt;&gt;"",C1569&amp;"/"&amp;D1569,"")</f>
        <v/>
      </c>
      <c r="G1569" s="5" t="str">
        <f t="shared" si="36"/>
        <v/>
      </c>
      <c r="I1569" s="6" t="str">
        <f t="shared" si="37"/>
        <v>0</v>
      </c>
    </row>
    <row r="1570" spans="1:12" x14ac:dyDescent="0.2">
      <c r="A1570" t="s">
        <v>1982</v>
      </c>
      <c r="B1570" t="s">
        <v>1983</v>
      </c>
      <c r="E1570" t="str">
        <f>IF(D1570&lt;&gt;"",C1570&amp;"/"&amp;D1570,"")</f>
        <v/>
      </c>
      <c r="G1570" s="5" t="str">
        <f t="shared" si="36"/>
        <v/>
      </c>
      <c r="I1570" s="6" t="str">
        <f t="shared" si="37"/>
        <v>0</v>
      </c>
    </row>
    <row r="1571" spans="1:12" x14ac:dyDescent="0.2">
      <c r="A1571" t="s">
        <v>1984</v>
      </c>
      <c r="B1571" t="s">
        <v>1985</v>
      </c>
      <c r="C1571" s="5" t="s">
        <v>4781</v>
      </c>
      <c r="G1571" s="5" t="str">
        <f t="shared" si="36"/>
        <v/>
      </c>
      <c r="I1571" s="6" t="str">
        <f t="shared" si="37"/>
        <v>0</v>
      </c>
      <c r="L1571" s="6" t="s">
        <v>4782</v>
      </c>
    </row>
    <row r="1572" spans="1:12" x14ac:dyDescent="0.2">
      <c r="A1572" t="s">
        <v>1986</v>
      </c>
      <c r="B1572" t="s">
        <v>3092</v>
      </c>
      <c r="E1572" t="str">
        <f>IF(D1572&lt;&gt;"",C1572&amp;"/"&amp;D1572,"")</f>
        <v/>
      </c>
      <c r="G1572" s="5" t="str">
        <f t="shared" si="36"/>
        <v/>
      </c>
      <c r="I1572" s="6" t="str">
        <f t="shared" si="37"/>
        <v>0</v>
      </c>
    </row>
    <row r="1573" spans="1:12" x14ac:dyDescent="0.2">
      <c r="A1573" t="s">
        <v>1987</v>
      </c>
      <c r="B1573" t="s">
        <v>309</v>
      </c>
      <c r="E1573" t="str">
        <f>IF(D1573&lt;&gt;"",C1573&amp;"/"&amp;D1573,"")</f>
        <v/>
      </c>
      <c r="G1573" s="5" t="str">
        <f t="shared" si="36"/>
        <v/>
      </c>
      <c r="I1573" s="6" t="str">
        <f t="shared" si="37"/>
        <v>0</v>
      </c>
    </row>
    <row r="1574" spans="1:12" x14ac:dyDescent="0.2">
      <c r="A1574" t="s">
        <v>1988</v>
      </c>
      <c r="B1574" t="s">
        <v>1989</v>
      </c>
      <c r="E1574" t="str">
        <f>IF(D1574&lt;&gt;"",C1574&amp;"/"&amp;D1574,"")</f>
        <v/>
      </c>
      <c r="G1574" s="5" t="str">
        <f t="shared" si="36"/>
        <v/>
      </c>
      <c r="I1574" s="6" t="str">
        <f t="shared" si="37"/>
        <v>0</v>
      </c>
    </row>
    <row r="1575" spans="1:12" x14ac:dyDescent="0.2">
      <c r="A1575" t="s">
        <v>1990</v>
      </c>
      <c r="B1575" t="s">
        <v>309</v>
      </c>
      <c r="E1575" t="str">
        <f>IF(D1575&lt;&gt;"",C1575&amp;"/"&amp;D1575,"")</f>
        <v/>
      </c>
      <c r="G1575" s="5" t="str">
        <f t="shared" si="36"/>
        <v/>
      </c>
      <c r="I1575" s="6" t="str">
        <f t="shared" si="37"/>
        <v>0</v>
      </c>
    </row>
    <row r="1576" spans="1:12" x14ac:dyDescent="0.2">
      <c r="A1576" t="s">
        <v>1991</v>
      </c>
      <c r="B1576" t="s">
        <v>309</v>
      </c>
      <c r="E1576" t="str">
        <f>IF(D1576&lt;&gt;"",C1576&amp;"/"&amp;D1576,"")</f>
        <v/>
      </c>
      <c r="G1576" s="5" t="str">
        <f t="shared" si="36"/>
        <v/>
      </c>
      <c r="I1576" s="6" t="str">
        <f t="shared" si="37"/>
        <v>0</v>
      </c>
    </row>
    <row r="1577" spans="1:12" x14ac:dyDescent="0.2">
      <c r="A1577" t="s">
        <v>1992</v>
      </c>
      <c r="B1577" t="s">
        <v>309</v>
      </c>
      <c r="E1577" t="str">
        <f>IF(D1577&lt;&gt;"",C1577&amp;"/"&amp;D1577,"")</f>
        <v/>
      </c>
      <c r="G1577" s="5" t="str">
        <f t="shared" si="36"/>
        <v/>
      </c>
      <c r="I1577" s="6" t="str">
        <f t="shared" si="37"/>
        <v>0</v>
      </c>
    </row>
    <row r="1578" spans="1:12" x14ac:dyDescent="0.2">
      <c r="A1578" t="s">
        <v>1993</v>
      </c>
      <c r="B1578" t="s">
        <v>309</v>
      </c>
      <c r="E1578" t="str">
        <f>IF(D1578&lt;&gt;"",C1578&amp;"/"&amp;D1578,"")</f>
        <v/>
      </c>
      <c r="G1578" s="5" t="str">
        <f t="shared" si="36"/>
        <v/>
      </c>
      <c r="I1578" s="6" t="str">
        <f t="shared" si="37"/>
        <v>0</v>
      </c>
    </row>
    <row r="1579" spans="1:12" x14ac:dyDescent="0.2">
      <c r="A1579" t="s">
        <v>1994</v>
      </c>
      <c r="B1579" t="s">
        <v>309</v>
      </c>
      <c r="E1579" t="str">
        <f>IF(D1579&lt;&gt;"",C1579&amp;"/"&amp;D1579,"")</f>
        <v/>
      </c>
      <c r="G1579" s="5" t="str">
        <f t="shared" si="36"/>
        <v/>
      </c>
      <c r="I1579" s="6" t="str">
        <f t="shared" si="37"/>
        <v>0</v>
      </c>
    </row>
    <row r="1580" spans="1:12" x14ac:dyDescent="0.2">
      <c r="A1580" t="s">
        <v>1995</v>
      </c>
      <c r="B1580" t="s">
        <v>309</v>
      </c>
      <c r="E1580" t="str">
        <f>IF(D1580&lt;&gt;"",C1580&amp;"/"&amp;D1580,"")</f>
        <v/>
      </c>
      <c r="G1580" s="5" t="str">
        <f t="shared" si="36"/>
        <v/>
      </c>
      <c r="I1580" s="6" t="str">
        <f t="shared" si="37"/>
        <v>0</v>
      </c>
    </row>
    <row r="1581" spans="1:12" x14ac:dyDescent="0.2">
      <c r="A1581" t="s">
        <v>1996</v>
      </c>
      <c r="B1581" t="s">
        <v>309</v>
      </c>
      <c r="E1581" t="str">
        <f>IF(D1581&lt;&gt;"",C1581&amp;"/"&amp;D1581,"")</f>
        <v/>
      </c>
      <c r="G1581" s="5" t="str">
        <f t="shared" si="36"/>
        <v/>
      </c>
      <c r="I1581" s="6" t="str">
        <f t="shared" si="37"/>
        <v>0</v>
      </c>
    </row>
    <row r="1582" spans="1:12" x14ac:dyDescent="0.2">
      <c r="A1582" t="s">
        <v>1997</v>
      </c>
      <c r="B1582" t="s">
        <v>309</v>
      </c>
      <c r="E1582" t="str">
        <f>IF(D1582&lt;&gt;"",C1582&amp;"/"&amp;D1582,"")</f>
        <v/>
      </c>
      <c r="G1582" s="5" t="str">
        <f t="shared" si="36"/>
        <v/>
      </c>
      <c r="I1582" s="6" t="str">
        <f t="shared" si="37"/>
        <v>0</v>
      </c>
    </row>
    <row r="1583" spans="1:12" x14ac:dyDescent="0.2">
      <c r="A1583" t="s">
        <v>1998</v>
      </c>
      <c r="B1583" t="s">
        <v>309</v>
      </c>
      <c r="E1583" t="str">
        <f>IF(D1583&lt;&gt;"",C1583&amp;"/"&amp;D1583,"")</f>
        <v/>
      </c>
      <c r="G1583" s="5" t="str">
        <f t="shared" si="36"/>
        <v/>
      </c>
      <c r="I1583" s="6" t="str">
        <f t="shared" si="37"/>
        <v>0</v>
      </c>
    </row>
    <row r="1584" spans="1:12" x14ac:dyDescent="0.2">
      <c r="A1584" t="s">
        <v>1999</v>
      </c>
      <c r="B1584" t="s">
        <v>309</v>
      </c>
      <c r="E1584" t="str">
        <f>IF(D1584&lt;&gt;"",C1584&amp;"/"&amp;D1584,"")</f>
        <v/>
      </c>
      <c r="G1584" s="5" t="str">
        <f t="shared" si="36"/>
        <v/>
      </c>
      <c r="I1584" s="6" t="str">
        <f t="shared" si="37"/>
        <v>0</v>
      </c>
    </row>
    <row r="1585" spans="1:9" x14ac:dyDescent="0.2">
      <c r="A1585" t="s">
        <v>2000</v>
      </c>
      <c r="B1585" t="s">
        <v>309</v>
      </c>
      <c r="E1585" t="str">
        <f>IF(D1585&lt;&gt;"",C1585&amp;"/"&amp;D1585,"")</f>
        <v/>
      </c>
      <c r="G1585" s="5" t="str">
        <f t="shared" si="36"/>
        <v/>
      </c>
      <c r="I1585" s="6" t="str">
        <f t="shared" si="37"/>
        <v>0</v>
      </c>
    </row>
    <row r="1586" spans="1:9" x14ac:dyDescent="0.2">
      <c r="A1586" t="s">
        <v>2001</v>
      </c>
      <c r="B1586" t="s">
        <v>2002</v>
      </c>
      <c r="E1586" t="str">
        <f>IF(D1586&lt;&gt;"",C1586&amp;"/"&amp;D1586,"")</f>
        <v/>
      </c>
      <c r="G1586" s="5" t="str">
        <f t="shared" si="36"/>
        <v/>
      </c>
      <c r="I1586" s="6" t="str">
        <f t="shared" si="37"/>
        <v>0</v>
      </c>
    </row>
    <row r="1587" spans="1:9" x14ac:dyDescent="0.2">
      <c r="A1587" t="s">
        <v>2003</v>
      </c>
      <c r="B1587" t="s">
        <v>309</v>
      </c>
      <c r="E1587" t="str">
        <f>IF(D1587&lt;&gt;"",C1587&amp;"/"&amp;D1587,"")</f>
        <v/>
      </c>
      <c r="G1587" s="5" t="str">
        <f t="shared" si="36"/>
        <v/>
      </c>
      <c r="I1587" s="6" t="str">
        <f t="shared" si="37"/>
        <v>0</v>
      </c>
    </row>
    <row r="1588" spans="1:9" x14ac:dyDescent="0.2">
      <c r="A1588" t="s">
        <v>2004</v>
      </c>
      <c r="B1588" t="s">
        <v>309</v>
      </c>
      <c r="E1588" t="str">
        <f>IF(D1588&lt;&gt;"",C1588&amp;"/"&amp;D1588,"")</f>
        <v/>
      </c>
      <c r="G1588" s="5" t="str">
        <f t="shared" si="36"/>
        <v/>
      </c>
      <c r="I1588" s="6" t="str">
        <f t="shared" si="37"/>
        <v>0</v>
      </c>
    </row>
    <row r="1589" spans="1:9" x14ac:dyDescent="0.2">
      <c r="A1589" t="s">
        <v>2005</v>
      </c>
      <c r="B1589" t="s">
        <v>309</v>
      </c>
      <c r="E1589" t="str">
        <f>IF(D1589&lt;&gt;"",C1589&amp;"/"&amp;D1589,"")</f>
        <v/>
      </c>
      <c r="G1589" s="5" t="str">
        <f t="shared" si="36"/>
        <v/>
      </c>
      <c r="I1589" s="6" t="str">
        <f t="shared" si="37"/>
        <v>0</v>
      </c>
    </row>
    <row r="1590" spans="1:9" x14ac:dyDescent="0.2">
      <c r="A1590" t="s">
        <v>2006</v>
      </c>
      <c r="B1590" t="s">
        <v>309</v>
      </c>
      <c r="E1590" t="str">
        <f>IF(D1590&lt;&gt;"",C1590&amp;"/"&amp;D1590,"")</f>
        <v/>
      </c>
      <c r="G1590" s="5" t="str">
        <f t="shared" si="36"/>
        <v/>
      </c>
      <c r="I1590" s="6" t="str">
        <f t="shared" si="37"/>
        <v>0</v>
      </c>
    </row>
    <row r="1591" spans="1:9" x14ac:dyDescent="0.2">
      <c r="A1591" t="s">
        <v>2007</v>
      </c>
      <c r="B1591" t="s">
        <v>309</v>
      </c>
      <c r="E1591" t="str">
        <f>IF(D1591&lt;&gt;"",C1591&amp;"/"&amp;D1591,"")</f>
        <v/>
      </c>
      <c r="G1591" s="5" t="str">
        <f t="shared" si="36"/>
        <v/>
      </c>
      <c r="I1591" s="6" t="str">
        <f t="shared" si="37"/>
        <v>0</v>
      </c>
    </row>
    <row r="1592" spans="1:9" x14ac:dyDescent="0.2">
      <c r="A1592" t="s">
        <v>2008</v>
      </c>
      <c r="B1592" t="s">
        <v>309</v>
      </c>
      <c r="E1592" t="str">
        <f>IF(D1592&lt;&gt;"",C1592&amp;"/"&amp;D1592,"")</f>
        <v/>
      </c>
      <c r="G1592" s="5" t="str">
        <f t="shared" si="36"/>
        <v/>
      </c>
      <c r="I1592" s="6" t="str">
        <f t="shared" si="37"/>
        <v>0</v>
      </c>
    </row>
    <row r="1593" spans="1:9" x14ac:dyDescent="0.2">
      <c r="A1593" t="s">
        <v>2009</v>
      </c>
      <c r="B1593" t="s">
        <v>309</v>
      </c>
      <c r="E1593" t="str">
        <f>IF(D1593&lt;&gt;"",C1593&amp;"/"&amp;D1593,"")</f>
        <v/>
      </c>
      <c r="G1593" s="5" t="str">
        <f t="shared" si="36"/>
        <v/>
      </c>
      <c r="I1593" s="6" t="str">
        <f t="shared" si="37"/>
        <v>0</v>
      </c>
    </row>
    <row r="1594" spans="1:9" x14ac:dyDescent="0.2">
      <c r="A1594" t="s">
        <v>2010</v>
      </c>
      <c r="B1594" t="s">
        <v>309</v>
      </c>
      <c r="E1594" t="str">
        <f>IF(D1594&lt;&gt;"",C1594&amp;"/"&amp;D1594,"")</f>
        <v/>
      </c>
      <c r="G1594" s="5" t="str">
        <f t="shared" si="36"/>
        <v/>
      </c>
      <c r="I1594" s="6" t="str">
        <f t="shared" si="37"/>
        <v>0</v>
      </c>
    </row>
    <row r="1595" spans="1:9" x14ac:dyDescent="0.2">
      <c r="A1595" t="s">
        <v>2011</v>
      </c>
      <c r="B1595" t="s">
        <v>309</v>
      </c>
      <c r="E1595" t="str">
        <f>IF(D1595&lt;&gt;"",C1595&amp;"/"&amp;D1595,"")</f>
        <v/>
      </c>
      <c r="G1595" s="5" t="str">
        <f t="shared" si="36"/>
        <v/>
      </c>
      <c r="I1595" s="6" t="str">
        <f t="shared" si="37"/>
        <v>0</v>
      </c>
    </row>
    <row r="1596" spans="1:9" x14ac:dyDescent="0.2">
      <c r="A1596" t="s">
        <v>2012</v>
      </c>
      <c r="B1596" t="s">
        <v>309</v>
      </c>
      <c r="E1596" t="str">
        <f>IF(D1596&lt;&gt;"",C1596&amp;"/"&amp;D1596,"")</f>
        <v/>
      </c>
      <c r="G1596" s="5" t="str">
        <f t="shared" si="36"/>
        <v/>
      </c>
      <c r="I1596" s="6" t="str">
        <f t="shared" si="37"/>
        <v>0</v>
      </c>
    </row>
    <row r="1597" spans="1:9" x14ac:dyDescent="0.2">
      <c r="A1597" t="s">
        <v>2013</v>
      </c>
      <c r="B1597" t="s">
        <v>2014</v>
      </c>
      <c r="E1597" t="str">
        <f>IF(D1597&lt;&gt;"",C1597&amp;"/"&amp;D1597,"")</f>
        <v/>
      </c>
      <c r="G1597" s="5" t="str">
        <f t="shared" si="36"/>
        <v/>
      </c>
      <c r="I1597" s="6" t="str">
        <f t="shared" si="37"/>
        <v>0</v>
      </c>
    </row>
    <row r="1598" spans="1:9" x14ac:dyDescent="0.2">
      <c r="A1598" t="s">
        <v>2015</v>
      </c>
      <c r="B1598" t="s">
        <v>309</v>
      </c>
      <c r="E1598" t="str">
        <f>IF(D1598&lt;&gt;"",C1598&amp;"/"&amp;D1598,"")</f>
        <v/>
      </c>
      <c r="G1598" s="5" t="str">
        <f t="shared" si="36"/>
        <v/>
      </c>
      <c r="I1598" s="6" t="str">
        <f t="shared" si="37"/>
        <v>0</v>
      </c>
    </row>
    <row r="1599" spans="1:9" x14ac:dyDescent="0.2">
      <c r="A1599" t="s">
        <v>2016</v>
      </c>
      <c r="B1599" t="s">
        <v>309</v>
      </c>
      <c r="E1599" t="str">
        <f>IF(D1599&lt;&gt;"",C1599&amp;"/"&amp;D1599,"")</f>
        <v/>
      </c>
      <c r="G1599" s="5" t="str">
        <f t="shared" si="36"/>
        <v/>
      </c>
      <c r="I1599" s="6" t="str">
        <f t="shared" si="37"/>
        <v>0</v>
      </c>
    </row>
    <row r="1600" spans="1:9" x14ac:dyDescent="0.2">
      <c r="A1600" t="s">
        <v>2017</v>
      </c>
      <c r="B1600" t="s">
        <v>309</v>
      </c>
      <c r="E1600" t="str">
        <f>IF(D1600&lt;&gt;"",C1600&amp;"/"&amp;D1600,"")</f>
        <v/>
      </c>
      <c r="G1600" s="5" t="str">
        <f t="shared" si="36"/>
        <v/>
      </c>
      <c r="I1600" s="6" t="str">
        <f t="shared" si="37"/>
        <v>0</v>
      </c>
    </row>
    <row r="1601" spans="1:11" x14ac:dyDescent="0.2">
      <c r="A1601" t="s">
        <v>2018</v>
      </c>
      <c r="B1601" t="s">
        <v>309</v>
      </c>
      <c r="E1601" t="str">
        <f>IF(D1601&lt;&gt;"",C1601&amp;"/"&amp;D1601,"")</f>
        <v/>
      </c>
      <c r="G1601" s="5" t="str">
        <f t="shared" si="36"/>
        <v/>
      </c>
      <c r="I1601" s="6" t="str">
        <f t="shared" si="37"/>
        <v>0</v>
      </c>
    </row>
    <row r="1602" spans="1:11" x14ac:dyDescent="0.2">
      <c r="A1602" t="s">
        <v>2019</v>
      </c>
      <c r="B1602" t="s">
        <v>5197</v>
      </c>
      <c r="C1602" s="5" t="s">
        <v>7</v>
      </c>
      <c r="F1602" s="5" t="s">
        <v>5172</v>
      </c>
      <c r="G1602" s="5">
        <f t="shared" si="36"/>
        <v>34798</v>
      </c>
      <c r="I1602" s="6" t="str">
        <f t="shared" si="37"/>
        <v>0</v>
      </c>
      <c r="K1602" s="21" t="s">
        <v>5198</v>
      </c>
    </row>
    <row r="1603" spans="1:11" x14ac:dyDescent="0.2">
      <c r="A1603" t="s">
        <v>2020</v>
      </c>
      <c r="B1603" t="s">
        <v>309</v>
      </c>
      <c r="E1603" t="str">
        <f>IF(D1603&lt;&gt;"",C1603&amp;"/"&amp;D1603,"")</f>
        <v/>
      </c>
      <c r="G1603" s="5" t="str">
        <f t="shared" si="36"/>
        <v/>
      </c>
      <c r="I1603" s="6" t="str">
        <f t="shared" si="37"/>
        <v>0</v>
      </c>
    </row>
    <row r="1604" spans="1:11" x14ac:dyDescent="0.2">
      <c r="A1604" t="s">
        <v>2021</v>
      </c>
      <c r="B1604" t="s">
        <v>309</v>
      </c>
      <c r="E1604" t="str">
        <f>IF(D1604&lt;&gt;"",C1604&amp;"/"&amp;D1604,"")</f>
        <v/>
      </c>
      <c r="G1604" s="5" t="str">
        <f t="shared" si="36"/>
        <v/>
      </c>
      <c r="I1604" s="6" t="str">
        <f t="shared" si="37"/>
        <v>0</v>
      </c>
    </row>
    <row r="1605" spans="1:11" x14ac:dyDescent="0.2">
      <c r="A1605" t="s">
        <v>2022</v>
      </c>
      <c r="B1605" t="s">
        <v>309</v>
      </c>
      <c r="E1605" t="str">
        <f>IF(D1605&lt;&gt;"",C1605&amp;"/"&amp;D1605,"")</f>
        <v/>
      </c>
      <c r="G1605" s="5" t="str">
        <f t="shared" si="36"/>
        <v/>
      </c>
      <c r="I1605" s="6" t="str">
        <f t="shared" si="37"/>
        <v>0</v>
      </c>
    </row>
    <row r="1606" spans="1:11" x14ac:dyDescent="0.2">
      <c r="A1606" t="s">
        <v>2023</v>
      </c>
      <c r="B1606" t="s">
        <v>309</v>
      </c>
      <c r="E1606" t="str">
        <f>IF(D1606&lt;&gt;"",C1606&amp;"/"&amp;D1606,"")</f>
        <v/>
      </c>
      <c r="G1606" s="5" t="str">
        <f t="shared" si="36"/>
        <v/>
      </c>
      <c r="I1606" s="6" t="str">
        <f t="shared" si="37"/>
        <v>0</v>
      </c>
    </row>
    <row r="1607" spans="1:11" x14ac:dyDescent="0.2">
      <c r="A1607" t="s">
        <v>2024</v>
      </c>
      <c r="B1607" t="s">
        <v>309</v>
      </c>
      <c r="E1607" t="str">
        <f>IF(D1607&lt;&gt;"",C1607&amp;"/"&amp;D1607,"")</f>
        <v/>
      </c>
      <c r="G1607" s="5" t="str">
        <f t="shared" si="36"/>
        <v/>
      </c>
      <c r="I1607" s="6" t="str">
        <f t="shared" si="37"/>
        <v>0</v>
      </c>
    </row>
    <row r="1608" spans="1:11" x14ac:dyDescent="0.2">
      <c r="A1608" t="s">
        <v>2025</v>
      </c>
      <c r="B1608" t="s">
        <v>309</v>
      </c>
      <c r="E1608" t="str">
        <f>IF(D1608&lt;&gt;"",C1608&amp;"/"&amp;D1608,"")</f>
        <v/>
      </c>
      <c r="G1608" s="5" t="str">
        <f t="shared" si="36"/>
        <v/>
      </c>
      <c r="I1608" s="6" t="str">
        <f t="shared" si="37"/>
        <v>0</v>
      </c>
    </row>
    <row r="1609" spans="1:11" x14ac:dyDescent="0.2">
      <c r="A1609" t="s">
        <v>2026</v>
      </c>
      <c r="B1609" t="s">
        <v>5135</v>
      </c>
      <c r="C1609" s="5" t="s">
        <v>7</v>
      </c>
      <c r="F1609" s="5" t="s">
        <v>5136</v>
      </c>
      <c r="G1609" s="5">
        <f t="shared" si="36"/>
        <v>34916</v>
      </c>
      <c r="I1609" s="6" t="str">
        <f t="shared" si="37"/>
        <v>0</v>
      </c>
      <c r="K1609" s="21" t="s">
        <v>5199</v>
      </c>
    </row>
    <row r="1610" spans="1:11" x14ac:dyDescent="0.2">
      <c r="A1610" t="s">
        <v>2027</v>
      </c>
      <c r="B1610" t="s">
        <v>2028</v>
      </c>
      <c r="E1610" t="str">
        <f>IF(D1610&lt;&gt;"",C1610&amp;"/"&amp;D1610,"")</f>
        <v/>
      </c>
      <c r="G1610" s="5" t="str">
        <f t="shared" si="36"/>
        <v/>
      </c>
      <c r="I1610" s="6" t="str">
        <f t="shared" si="37"/>
        <v>0</v>
      </c>
    </row>
    <row r="1611" spans="1:11" x14ac:dyDescent="0.2">
      <c r="A1611" t="s">
        <v>2029</v>
      </c>
      <c r="B1611" t="s">
        <v>2030</v>
      </c>
      <c r="E1611" t="str">
        <f>IF(D1611&lt;&gt;"",C1611&amp;"/"&amp;D1611,"")</f>
        <v/>
      </c>
      <c r="G1611" s="5" t="str">
        <f t="shared" si="36"/>
        <v/>
      </c>
      <c r="I1611" s="6" t="str">
        <f t="shared" si="37"/>
        <v>0</v>
      </c>
    </row>
    <row r="1612" spans="1:11" x14ac:dyDescent="0.2">
      <c r="A1612" t="s">
        <v>2031</v>
      </c>
      <c r="B1612" t="s">
        <v>3324</v>
      </c>
      <c r="E1612" t="str">
        <f>IF(D1612&lt;&gt;"",C1612&amp;"/"&amp;D1612,"")</f>
        <v/>
      </c>
      <c r="G1612" s="5" t="str">
        <f t="shared" si="36"/>
        <v/>
      </c>
      <c r="I1612" s="6" t="str">
        <f t="shared" si="37"/>
        <v>0</v>
      </c>
    </row>
    <row r="1613" spans="1:11" x14ac:dyDescent="0.2">
      <c r="A1613" t="s">
        <v>2032</v>
      </c>
      <c r="B1613" t="s">
        <v>3323</v>
      </c>
      <c r="E1613" t="str">
        <f>IF(D1613&lt;&gt;"",C1613&amp;"/"&amp;D1613,"")</f>
        <v/>
      </c>
      <c r="G1613" s="5" t="str">
        <f t="shared" si="36"/>
        <v/>
      </c>
      <c r="I1613" s="6" t="str">
        <f t="shared" si="37"/>
        <v>0</v>
      </c>
    </row>
    <row r="1614" spans="1:11" x14ac:dyDescent="0.2">
      <c r="A1614" t="s">
        <v>2033</v>
      </c>
      <c r="B1614" t="s">
        <v>2034</v>
      </c>
      <c r="E1614" t="str">
        <f>IF(D1614&lt;&gt;"",C1614&amp;"/"&amp;D1614,"")</f>
        <v/>
      </c>
      <c r="G1614" s="5" t="str">
        <f t="shared" si="36"/>
        <v/>
      </c>
      <c r="I1614" s="6" t="str">
        <f t="shared" si="37"/>
        <v>0</v>
      </c>
    </row>
    <row r="1615" spans="1:11" x14ac:dyDescent="0.2">
      <c r="A1615" t="s">
        <v>2035</v>
      </c>
      <c r="B1615" t="s">
        <v>5200</v>
      </c>
      <c r="C1615" s="5" t="s">
        <v>7</v>
      </c>
      <c r="F1615" s="5" t="s">
        <v>5201</v>
      </c>
      <c r="G1615" s="5">
        <f t="shared" si="36"/>
        <v>35004</v>
      </c>
      <c r="I1615" s="6" t="str">
        <f t="shared" si="37"/>
        <v>0</v>
      </c>
      <c r="K1615" s="21" t="s">
        <v>5202</v>
      </c>
    </row>
    <row r="1616" spans="1:11" x14ac:dyDescent="0.2">
      <c r="A1616" t="s">
        <v>2036</v>
      </c>
      <c r="B1616" t="s">
        <v>5203</v>
      </c>
      <c r="C1616" s="5" t="s">
        <v>7</v>
      </c>
      <c r="F1616" s="5" t="s">
        <v>5204</v>
      </c>
      <c r="G1616" s="5">
        <f t="shared" ref="G1616:G1679" si="38">IF(F1616&lt;&gt;"",HEX2DEC(SUBSTITUTE(SUBSTITUTE(F1616,"adrEA",""),"$","")),"")</f>
        <v>35038</v>
      </c>
      <c r="I1616" s="6" t="str">
        <f t="shared" ref="I1616:I1679" si="39">IFERROR(DEC2HEX(H1616),"")</f>
        <v>0</v>
      </c>
      <c r="K1616" s="21" t="s">
        <v>5205</v>
      </c>
    </row>
    <row r="1617" spans="1:9" x14ac:dyDescent="0.2">
      <c r="A1617" t="s">
        <v>2037</v>
      </c>
      <c r="B1617" t="s">
        <v>309</v>
      </c>
      <c r="E1617" t="str">
        <f>IF(D1617&lt;&gt;"",C1617&amp;"/"&amp;D1617,"")</f>
        <v/>
      </c>
      <c r="G1617" s="5" t="str">
        <f t="shared" si="38"/>
        <v/>
      </c>
      <c r="I1617" s="6" t="str">
        <f t="shared" si="39"/>
        <v>0</v>
      </c>
    </row>
    <row r="1618" spans="1:9" x14ac:dyDescent="0.2">
      <c r="A1618" t="s">
        <v>2038</v>
      </c>
      <c r="B1618" t="s">
        <v>309</v>
      </c>
      <c r="E1618" t="str">
        <f>IF(D1618&lt;&gt;"",C1618&amp;"/"&amp;D1618,"")</f>
        <v/>
      </c>
      <c r="G1618" s="5" t="str">
        <f t="shared" si="38"/>
        <v/>
      </c>
      <c r="I1618" s="6" t="str">
        <f t="shared" si="39"/>
        <v>0</v>
      </c>
    </row>
    <row r="1619" spans="1:9" x14ac:dyDescent="0.2">
      <c r="A1619" t="s">
        <v>2039</v>
      </c>
      <c r="B1619" t="s">
        <v>309</v>
      </c>
      <c r="E1619" t="str">
        <f>IF(D1619&lt;&gt;"",C1619&amp;"/"&amp;D1619,"")</f>
        <v/>
      </c>
      <c r="G1619" s="5" t="str">
        <f t="shared" si="38"/>
        <v/>
      </c>
      <c r="I1619" s="6" t="str">
        <f t="shared" si="39"/>
        <v>0</v>
      </c>
    </row>
    <row r="1620" spans="1:9" x14ac:dyDescent="0.2">
      <c r="A1620" t="s">
        <v>2040</v>
      </c>
      <c r="B1620" t="s">
        <v>309</v>
      </c>
      <c r="E1620" t="str">
        <f>IF(D1620&lt;&gt;"",C1620&amp;"/"&amp;D1620,"")</f>
        <v/>
      </c>
      <c r="G1620" s="5" t="str">
        <f t="shared" si="38"/>
        <v/>
      </c>
      <c r="I1620" s="6" t="str">
        <f t="shared" si="39"/>
        <v>0</v>
      </c>
    </row>
    <row r="1621" spans="1:9" x14ac:dyDescent="0.2">
      <c r="A1621" t="s">
        <v>2041</v>
      </c>
      <c r="B1621" t="s">
        <v>309</v>
      </c>
      <c r="E1621" t="str">
        <f>IF(D1621&lt;&gt;"",C1621&amp;"/"&amp;D1621,"")</f>
        <v/>
      </c>
      <c r="G1621" s="5" t="str">
        <f t="shared" si="38"/>
        <v/>
      </c>
      <c r="I1621" s="6" t="str">
        <f t="shared" si="39"/>
        <v>0</v>
      </c>
    </row>
    <row r="1622" spans="1:9" x14ac:dyDescent="0.2">
      <c r="A1622" t="s">
        <v>2042</v>
      </c>
      <c r="B1622" t="s">
        <v>309</v>
      </c>
      <c r="E1622" t="str">
        <f>IF(D1622&lt;&gt;"",C1622&amp;"/"&amp;D1622,"")</f>
        <v/>
      </c>
      <c r="G1622" s="5" t="str">
        <f t="shared" si="38"/>
        <v/>
      </c>
      <c r="I1622" s="6" t="str">
        <f t="shared" si="39"/>
        <v>0</v>
      </c>
    </row>
    <row r="1623" spans="1:9" x14ac:dyDescent="0.2">
      <c r="A1623" t="s">
        <v>2043</v>
      </c>
      <c r="B1623" t="s">
        <v>309</v>
      </c>
      <c r="E1623" t="str">
        <f>IF(D1623&lt;&gt;"",C1623&amp;"/"&amp;D1623,"")</f>
        <v/>
      </c>
      <c r="G1623" s="5" t="str">
        <f t="shared" si="38"/>
        <v/>
      </c>
      <c r="I1623" s="6" t="str">
        <f t="shared" si="39"/>
        <v>0</v>
      </c>
    </row>
    <row r="1624" spans="1:9" x14ac:dyDescent="0.2">
      <c r="A1624" t="s">
        <v>2044</v>
      </c>
      <c r="B1624" t="s">
        <v>309</v>
      </c>
      <c r="E1624" t="str">
        <f>IF(D1624&lt;&gt;"",C1624&amp;"/"&amp;D1624,"")</f>
        <v/>
      </c>
      <c r="G1624" s="5" t="str">
        <f t="shared" si="38"/>
        <v/>
      </c>
      <c r="I1624" s="6" t="str">
        <f t="shared" si="39"/>
        <v>0</v>
      </c>
    </row>
    <row r="1625" spans="1:9" x14ac:dyDescent="0.2">
      <c r="A1625" t="s">
        <v>2045</v>
      </c>
      <c r="B1625" t="s">
        <v>309</v>
      </c>
      <c r="E1625" t="str">
        <f>IF(D1625&lt;&gt;"",C1625&amp;"/"&amp;D1625,"")</f>
        <v/>
      </c>
      <c r="G1625" s="5" t="str">
        <f t="shared" si="38"/>
        <v/>
      </c>
      <c r="I1625" s="6" t="str">
        <f t="shared" si="39"/>
        <v>0</v>
      </c>
    </row>
    <row r="1626" spans="1:9" x14ac:dyDescent="0.2">
      <c r="A1626" t="s">
        <v>2046</v>
      </c>
      <c r="B1626" t="s">
        <v>309</v>
      </c>
      <c r="E1626" t="str">
        <f>IF(D1626&lt;&gt;"",C1626&amp;"/"&amp;D1626,"")</f>
        <v/>
      </c>
      <c r="G1626" s="5" t="str">
        <f t="shared" si="38"/>
        <v/>
      </c>
      <c r="I1626" s="6" t="str">
        <f t="shared" si="39"/>
        <v>0</v>
      </c>
    </row>
    <row r="1627" spans="1:9" x14ac:dyDescent="0.2">
      <c r="A1627" t="s">
        <v>2047</v>
      </c>
      <c r="B1627" t="s">
        <v>309</v>
      </c>
      <c r="E1627" t="str">
        <f>IF(D1627&lt;&gt;"",C1627&amp;"/"&amp;D1627,"")</f>
        <v/>
      </c>
      <c r="G1627" s="5" t="str">
        <f t="shared" si="38"/>
        <v/>
      </c>
      <c r="I1627" s="6" t="str">
        <f t="shared" si="39"/>
        <v>0</v>
      </c>
    </row>
    <row r="1628" spans="1:9" x14ac:dyDescent="0.2">
      <c r="A1628" t="s">
        <v>2048</v>
      </c>
      <c r="B1628" t="s">
        <v>309</v>
      </c>
      <c r="E1628" t="str">
        <f>IF(D1628&lt;&gt;"",C1628&amp;"/"&amp;D1628,"")</f>
        <v/>
      </c>
      <c r="G1628" s="5" t="str">
        <f t="shared" si="38"/>
        <v/>
      </c>
      <c r="I1628" s="6" t="str">
        <f t="shared" si="39"/>
        <v>0</v>
      </c>
    </row>
    <row r="1629" spans="1:9" x14ac:dyDescent="0.2">
      <c r="A1629" t="s">
        <v>2049</v>
      </c>
      <c r="B1629" t="s">
        <v>2049</v>
      </c>
      <c r="E1629" t="str">
        <f>IF(D1629&lt;&gt;"",C1629&amp;"/"&amp;D1629,"")</f>
        <v/>
      </c>
      <c r="G1629" s="5" t="str">
        <f t="shared" si="38"/>
        <v/>
      </c>
      <c r="I1629" s="6" t="str">
        <f t="shared" si="39"/>
        <v>0</v>
      </c>
    </row>
    <row r="1630" spans="1:9" x14ac:dyDescent="0.2">
      <c r="A1630" t="s">
        <v>2050</v>
      </c>
      <c r="B1630" t="s">
        <v>2050</v>
      </c>
      <c r="E1630" t="str">
        <f>IF(D1630&lt;&gt;"",C1630&amp;"/"&amp;D1630,"")</f>
        <v/>
      </c>
      <c r="G1630" s="5" t="str">
        <f t="shared" si="38"/>
        <v/>
      </c>
      <c r="I1630" s="6" t="str">
        <f t="shared" si="39"/>
        <v>0</v>
      </c>
    </row>
    <row r="1631" spans="1:9" x14ac:dyDescent="0.2">
      <c r="A1631" t="s">
        <v>2051</v>
      </c>
      <c r="B1631" t="s">
        <v>309</v>
      </c>
      <c r="E1631" t="str">
        <f>IF(D1631&lt;&gt;"",C1631&amp;"/"&amp;D1631,"")</f>
        <v/>
      </c>
      <c r="G1631" s="5" t="str">
        <f t="shared" si="38"/>
        <v/>
      </c>
      <c r="I1631" s="6" t="str">
        <f t="shared" si="39"/>
        <v>0</v>
      </c>
    </row>
    <row r="1632" spans="1:9" x14ac:dyDescent="0.2">
      <c r="A1632" t="s">
        <v>2052</v>
      </c>
      <c r="B1632" t="s">
        <v>309</v>
      </c>
      <c r="E1632" t="str">
        <f>IF(D1632&lt;&gt;"",C1632&amp;"/"&amp;D1632,"")</f>
        <v/>
      </c>
      <c r="G1632" s="5" t="str">
        <f t="shared" si="38"/>
        <v/>
      </c>
      <c r="I1632" s="6" t="str">
        <f t="shared" si="39"/>
        <v>0</v>
      </c>
    </row>
    <row r="1633" spans="1:11" x14ac:dyDescent="0.2">
      <c r="A1633" t="s">
        <v>2053</v>
      </c>
      <c r="B1633" t="s">
        <v>309</v>
      </c>
      <c r="E1633" t="str">
        <f>IF(D1633&lt;&gt;"",C1633&amp;"/"&amp;D1633,"")</f>
        <v/>
      </c>
      <c r="G1633" s="5" t="str">
        <f t="shared" si="38"/>
        <v/>
      </c>
      <c r="I1633" s="6" t="str">
        <f t="shared" si="39"/>
        <v>0</v>
      </c>
    </row>
    <row r="1634" spans="1:11" x14ac:dyDescent="0.2">
      <c r="A1634" t="s">
        <v>2054</v>
      </c>
      <c r="B1634" t="s">
        <v>309</v>
      </c>
      <c r="E1634" t="str">
        <f>IF(D1634&lt;&gt;"",C1634&amp;"/"&amp;D1634,"")</f>
        <v/>
      </c>
      <c r="G1634" s="5" t="str">
        <f t="shared" si="38"/>
        <v/>
      </c>
      <c r="I1634" s="6" t="str">
        <f t="shared" si="39"/>
        <v>0</v>
      </c>
    </row>
    <row r="1635" spans="1:11" x14ac:dyDescent="0.2">
      <c r="A1635" t="s">
        <v>2055</v>
      </c>
      <c r="B1635" t="s">
        <v>309</v>
      </c>
      <c r="E1635" t="str">
        <f>IF(D1635&lt;&gt;"",C1635&amp;"/"&amp;D1635,"")</f>
        <v/>
      </c>
      <c r="G1635" s="5" t="str">
        <f t="shared" si="38"/>
        <v/>
      </c>
      <c r="I1635" s="6" t="str">
        <f t="shared" si="39"/>
        <v>0</v>
      </c>
    </row>
    <row r="1636" spans="1:11" x14ac:dyDescent="0.2">
      <c r="A1636" t="s">
        <v>2056</v>
      </c>
      <c r="B1636" t="s">
        <v>309</v>
      </c>
      <c r="E1636" t="str">
        <f>IF(D1636&lt;&gt;"",C1636&amp;"/"&amp;D1636,"")</f>
        <v/>
      </c>
      <c r="G1636" s="5" t="str">
        <f t="shared" si="38"/>
        <v/>
      </c>
      <c r="I1636" s="6" t="str">
        <f t="shared" si="39"/>
        <v>0</v>
      </c>
    </row>
    <row r="1637" spans="1:11" x14ac:dyDescent="0.2">
      <c r="A1637" t="s">
        <v>2057</v>
      </c>
      <c r="B1637" t="s">
        <v>309</v>
      </c>
      <c r="E1637" t="str">
        <f>IF(D1637&lt;&gt;"",C1637&amp;"/"&amp;D1637,"")</f>
        <v/>
      </c>
      <c r="G1637" s="5" t="str">
        <f t="shared" si="38"/>
        <v/>
      </c>
      <c r="I1637" s="6" t="str">
        <f t="shared" si="39"/>
        <v>0</v>
      </c>
    </row>
    <row r="1638" spans="1:11" x14ac:dyDescent="0.2">
      <c r="A1638" t="s">
        <v>2058</v>
      </c>
      <c r="B1638" t="s">
        <v>309</v>
      </c>
      <c r="E1638" t="str">
        <f>IF(D1638&lt;&gt;"",C1638&amp;"/"&amp;D1638,"")</f>
        <v/>
      </c>
      <c r="G1638" s="5" t="str">
        <f t="shared" si="38"/>
        <v/>
      </c>
      <c r="I1638" s="6" t="str">
        <f t="shared" si="39"/>
        <v>0</v>
      </c>
    </row>
    <row r="1639" spans="1:11" x14ac:dyDescent="0.2">
      <c r="A1639" t="s">
        <v>2059</v>
      </c>
      <c r="B1639" t="s">
        <v>309</v>
      </c>
      <c r="E1639" t="str">
        <f>IF(D1639&lt;&gt;"",C1639&amp;"/"&amp;D1639,"")</f>
        <v/>
      </c>
      <c r="G1639" s="5" t="str">
        <f t="shared" si="38"/>
        <v/>
      </c>
      <c r="I1639" s="6" t="str">
        <f t="shared" si="39"/>
        <v>0</v>
      </c>
    </row>
    <row r="1640" spans="1:11" x14ac:dyDescent="0.2">
      <c r="A1640" t="s">
        <v>2060</v>
      </c>
      <c r="B1640" t="s">
        <v>309</v>
      </c>
      <c r="E1640" t="str">
        <f>IF(D1640&lt;&gt;"",C1640&amp;"/"&amp;D1640,"")</f>
        <v/>
      </c>
      <c r="G1640" s="5" t="str">
        <f t="shared" si="38"/>
        <v/>
      </c>
      <c r="I1640" s="6" t="str">
        <f t="shared" si="39"/>
        <v>0</v>
      </c>
    </row>
    <row r="1641" spans="1:11" x14ac:dyDescent="0.2">
      <c r="A1641" t="s">
        <v>2061</v>
      </c>
      <c r="B1641" t="s">
        <v>2061</v>
      </c>
      <c r="C1641" s="5" t="s">
        <v>3122</v>
      </c>
      <c r="D1641" t="s">
        <v>4630</v>
      </c>
      <c r="E1641" t="s">
        <v>4631</v>
      </c>
      <c r="F1641" s="5" t="s">
        <v>4632</v>
      </c>
      <c r="G1641" s="5">
        <f t="shared" si="38"/>
        <v>35404</v>
      </c>
      <c r="H1641" s="5">
        <v>64</v>
      </c>
      <c r="I1641" s="6" t="str">
        <f t="shared" si="39"/>
        <v>40</v>
      </c>
      <c r="K1641" s="21" t="s">
        <v>4633</v>
      </c>
    </row>
    <row r="1642" spans="1:11" x14ac:dyDescent="0.2">
      <c r="A1642" t="s">
        <v>2062</v>
      </c>
      <c r="B1642" t="s">
        <v>2062</v>
      </c>
      <c r="E1642" t="str">
        <f>IF(D1642&lt;&gt;"",C1642&amp;"/"&amp;D1642,"")</f>
        <v/>
      </c>
      <c r="G1642" s="5" t="str">
        <f t="shared" si="38"/>
        <v/>
      </c>
      <c r="I1642" s="6" t="str">
        <f t="shared" si="39"/>
        <v>0</v>
      </c>
    </row>
    <row r="1643" spans="1:11" x14ac:dyDescent="0.2">
      <c r="A1643" t="s">
        <v>2063</v>
      </c>
      <c r="B1643" t="s">
        <v>2063</v>
      </c>
      <c r="E1643" t="str">
        <f>IF(D1643&lt;&gt;"",C1643&amp;"/"&amp;D1643,"")</f>
        <v/>
      </c>
      <c r="G1643" s="5" t="str">
        <f t="shared" si="38"/>
        <v/>
      </c>
      <c r="I1643" s="6" t="str">
        <f t="shared" si="39"/>
        <v>0</v>
      </c>
    </row>
    <row r="1644" spans="1:11" x14ac:dyDescent="0.2">
      <c r="A1644" t="s">
        <v>2064</v>
      </c>
      <c r="B1644" t="s">
        <v>2065</v>
      </c>
      <c r="E1644" t="str">
        <f>IF(D1644&lt;&gt;"",C1644&amp;"/"&amp;D1644,"")</f>
        <v/>
      </c>
      <c r="G1644" s="5" t="str">
        <f t="shared" si="38"/>
        <v/>
      </c>
      <c r="I1644" s="6" t="str">
        <f t="shared" si="39"/>
        <v>0</v>
      </c>
    </row>
    <row r="1645" spans="1:11" x14ac:dyDescent="0.2">
      <c r="A1645" t="s">
        <v>2066</v>
      </c>
      <c r="E1645" t="str">
        <f>IF(D1645&lt;&gt;"",C1645&amp;"/"&amp;D1645,"")</f>
        <v/>
      </c>
      <c r="G1645" s="5" t="str">
        <f t="shared" si="38"/>
        <v/>
      </c>
      <c r="I1645" s="6" t="str">
        <f t="shared" si="39"/>
        <v>0</v>
      </c>
    </row>
    <row r="1646" spans="1:11" x14ac:dyDescent="0.2">
      <c r="A1646" t="s">
        <v>2067</v>
      </c>
      <c r="B1646" t="s">
        <v>2068</v>
      </c>
      <c r="E1646" t="str">
        <f>IF(D1646&lt;&gt;"",C1646&amp;"/"&amp;D1646,"")</f>
        <v/>
      </c>
      <c r="G1646" s="5" t="str">
        <f t="shared" si="38"/>
        <v/>
      </c>
      <c r="I1646" s="6" t="str">
        <f t="shared" si="39"/>
        <v>0</v>
      </c>
    </row>
    <row r="1647" spans="1:11" x14ac:dyDescent="0.2">
      <c r="A1647" t="s">
        <v>2069</v>
      </c>
      <c r="B1647" t="s">
        <v>2070</v>
      </c>
      <c r="E1647" t="str">
        <f>IF(D1647&lt;&gt;"",C1647&amp;"/"&amp;D1647,"")</f>
        <v/>
      </c>
      <c r="G1647" s="5" t="str">
        <f t="shared" si="38"/>
        <v/>
      </c>
      <c r="I1647" s="6" t="str">
        <f t="shared" si="39"/>
        <v>0</v>
      </c>
    </row>
    <row r="1648" spans="1:11" x14ac:dyDescent="0.2">
      <c r="A1648" t="s">
        <v>2071</v>
      </c>
      <c r="B1648" t="s">
        <v>2072</v>
      </c>
      <c r="E1648" t="str">
        <f>IF(D1648&lt;&gt;"",C1648&amp;"/"&amp;D1648,"")</f>
        <v/>
      </c>
      <c r="G1648" s="5" t="str">
        <f t="shared" si="38"/>
        <v/>
      </c>
      <c r="I1648" s="6" t="str">
        <f t="shared" si="39"/>
        <v>0</v>
      </c>
    </row>
    <row r="1649" spans="1:11" x14ac:dyDescent="0.2">
      <c r="A1649" t="s">
        <v>2073</v>
      </c>
      <c r="B1649" t="s">
        <v>309</v>
      </c>
      <c r="E1649" t="str">
        <f>IF(D1649&lt;&gt;"",C1649&amp;"/"&amp;D1649,"")</f>
        <v/>
      </c>
      <c r="G1649" s="5" t="str">
        <f t="shared" si="38"/>
        <v/>
      </c>
      <c r="I1649" s="6" t="str">
        <f t="shared" si="39"/>
        <v>0</v>
      </c>
    </row>
    <row r="1650" spans="1:11" x14ac:dyDescent="0.2">
      <c r="A1650" t="s">
        <v>2074</v>
      </c>
      <c r="B1650" t="s">
        <v>309</v>
      </c>
      <c r="E1650" t="str">
        <f>IF(D1650&lt;&gt;"",C1650&amp;"/"&amp;D1650,"")</f>
        <v/>
      </c>
      <c r="G1650" s="5" t="str">
        <f t="shared" si="38"/>
        <v/>
      </c>
      <c r="I1650" s="6" t="str">
        <f t="shared" si="39"/>
        <v>0</v>
      </c>
    </row>
    <row r="1651" spans="1:11" x14ac:dyDescent="0.2">
      <c r="A1651" t="s">
        <v>2075</v>
      </c>
      <c r="B1651" t="s">
        <v>309</v>
      </c>
      <c r="E1651" t="str">
        <f>IF(D1651&lt;&gt;"",C1651&amp;"/"&amp;D1651,"")</f>
        <v/>
      </c>
      <c r="G1651" s="5" t="str">
        <f t="shared" si="38"/>
        <v/>
      </c>
      <c r="I1651" s="6" t="str">
        <f t="shared" si="39"/>
        <v>0</v>
      </c>
    </row>
    <row r="1652" spans="1:11" x14ac:dyDescent="0.2">
      <c r="A1652" t="s">
        <v>2076</v>
      </c>
      <c r="B1652" t="s">
        <v>309</v>
      </c>
      <c r="E1652" t="str">
        <f>IF(D1652&lt;&gt;"",C1652&amp;"/"&amp;D1652,"")</f>
        <v/>
      </c>
      <c r="G1652" s="5" t="str">
        <f t="shared" si="38"/>
        <v/>
      </c>
      <c r="I1652" s="6" t="str">
        <f t="shared" si="39"/>
        <v>0</v>
      </c>
    </row>
    <row r="1653" spans="1:11" x14ac:dyDescent="0.2">
      <c r="A1653" t="s">
        <v>2077</v>
      </c>
      <c r="B1653" t="s">
        <v>309</v>
      </c>
      <c r="E1653" t="str">
        <f>IF(D1653&lt;&gt;"",C1653&amp;"/"&amp;D1653,"")</f>
        <v/>
      </c>
      <c r="G1653" s="5" t="str">
        <f t="shared" si="38"/>
        <v/>
      </c>
      <c r="I1653" s="6" t="str">
        <f t="shared" si="39"/>
        <v>0</v>
      </c>
    </row>
    <row r="1654" spans="1:11" x14ac:dyDescent="0.2">
      <c r="A1654" t="s">
        <v>2078</v>
      </c>
      <c r="B1654" t="s">
        <v>309</v>
      </c>
      <c r="E1654" t="str">
        <f>IF(D1654&lt;&gt;"",C1654&amp;"/"&amp;D1654,"")</f>
        <v/>
      </c>
      <c r="G1654" s="5" t="str">
        <f t="shared" si="38"/>
        <v/>
      </c>
      <c r="I1654" s="6" t="str">
        <f t="shared" si="39"/>
        <v>0</v>
      </c>
    </row>
    <row r="1655" spans="1:11" x14ac:dyDescent="0.2">
      <c r="A1655" t="s">
        <v>2079</v>
      </c>
      <c r="B1655" t="s">
        <v>309</v>
      </c>
      <c r="E1655" t="str">
        <f>IF(D1655&lt;&gt;"",C1655&amp;"/"&amp;D1655,"")</f>
        <v/>
      </c>
      <c r="G1655" s="5" t="str">
        <f t="shared" si="38"/>
        <v/>
      </c>
      <c r="I1655" s="6" t="str">
        <f t="shared" si="39"/>
        <v>0</v>
      </c>
    </row>
    <row r="1656" spans="1:11" x14ac:dyDescent="0.2">
      <c r="A1656" t="s">
        <v>2080</v>
      </c>
      <c r="B1656" t="s">
        <v>309</v>
      </c>
      <c r="E1656" t="str">
        <f>IF(D1656&lt;&gt;"",C1656&amp;"/"&amp;D1656,"")</f>
        <v/>
      </c>
      <c r="G1656" s="5" t="str">
        <f t="shared" si="38"/>
        <v/>
      </c>
      <c r="I1656" s="6" t="str">
        <f t="shared" si="39"/>
        <v>0</v>
      </c>
    </row>
    <row r="1657" spans="1:11" x14ac:dyDescent="0.2">
      <c r="A1657" t="s">
        <v>2081</v>
      </c>
      <c r="B1657" t="s">
        <v>309</v>
      </c>
      <c r="E1657" t="str">
        <f>IF(D1657&lt;&gt;"",C1657&amp;"/"&amp;D1657,"")</f>
        <v/>
      </c>
      <c r="G1657" s="5" t="str">
        <f t="shared" si="38"/>
        <v/>
      </c>
      <c r="I1657" s="6" t="str">
        <f t="shared" si="39"/>
        <v>0</v>
      </c>
    </row>
    <row r="1658" spans="1:11" ht="17" x14ac:dyDescent="0.25">
      <c r="A1658" t="s">
        <v>2082</v>
      </c>
      <c r="B1658" s="19" t="s">
        <v>3745</v>
      </c>
      <c r="D1658" s="19"/>
      <c r="E1658" t="str">
        <f>IF(D1658&lt;&gt;"",C1658&amp;"/"&amp;D1658,"")</f>
        <v/>
      </c>
      <c r="F1658" s="18"/>
      <c r="G1658" s="5" t="str">
        <f t="shared" si="38"/>
        <v/>
      </c>
      <c r="I1658" s="6" t="str">
        <f t="shared" si="39"/>
        <v>0</v>
      </c>
      <c r="K1658" s="21" t="s">
        <v>3746</v>
      </c>
    </row>
    <row r="1659" spans="1:11" x14ac:dyDescent="0.2">
      <c r="A1659" t="s">
        <v>2083</v>
      </c>
      <c r="B1659" t="s">
        <v>4670</v>
      </c>
      <c r="G1659" s="5" t="str">
        <f t="shared" si="38"/>
        <v/>
      </c>
      <c r="I1659" s="6" t="str">
        <f t="shared" si="39"/>
        <v>0</v>
      </c>
      <c r="K1659" s="21" t="s">
        <v>4671</v>
      </c>
    </row>
    <row r="1660" spans="1:11" x14ac:dyDescent="0.2">
      <c r="A1660" t="s">
        <v>2084</v>
      </c>
      <c r="B1660" t="s">
        <v>309</v>
      </c>
      <c r="E1660" t="str">
        <f>IF(D1660&lt;&gt;"",C1660&amp;"/"&amp;D1660,"")</f>
        <v/>
      </c>
      <c r="G1660" s="5" t="str">
        <f t="shared" si="38"/>
        <v/>
      </c>
      <c r="I1660" s="6" t="str">
        <f t="shared" si="39"/>
        <v>0</v>
      </c>
    </row>
    <row r="1661" spans="1:11" x14ac:dyDescent="0.2">
      <c r="A1661" t="s">
        <v>2085</v>
      </c>
      <c r="B1661" t="s">
        <v>309</v>
      </c>
      <c r="E1661" t="str">
        <f>IF(D1661&lt;&gt;"",C1661&amp;"/"&amp;D1661,"")</f>
        <v/>
      </c>
      <c r="G1661" s="5" t="str">
        <f t="shared" si="38"/>
        <v/>
      </c>
      <c r="I1661" s="6" t="str">
        <f t="shared" si="39"/>
        <v>0</v>
      </c>
    </row>
    <row r="1662" spans="1:11" x14ac:dyDescent="0.2">
      <c r="A1662" t="s">
        <v>2086</v>
      </c>
      <c r="B1662" t="s">
        <v>309</v>
      </c>
      <c r="E1662" t="str">
        <f>IF(D1662&lt;&gt;"",C1662&amp;"/"&amp;D1662,"")</f>
        <v/>
      </c>
      <c r="G1662" s="5" t="str">
        <f t="shared" si="38"/>
        <v/>
      </c>
      <c r="I1662" s="6" t="str">
        <f t="shared" si="39"/>
        <v>0</v>
      </c>
    </row>
    <row r="1663" spans="1:11" x14ac:dyDescent="0.2">
      <c r="A1663" t="s">
        <v>2087</v>
      </c>
      <c r="B1663" t="s">
        <v>309</v>
      </c>
      <c r="E1663" t="str">
        <f>IF(D1663&lt;&gt;"",C1663&amp;"/"&amp;D1663,"")</f>
        <v/>
      </c>
      <c r="G1663" s="5" t="str">
        <f t="shared" si="38"/>
        <v/>
      </c>
      <c r="I1663" s="6" t="str">
        <f t="shared" si="39"/>
        <v>0</v>
      </c>
    </row>
    <row r="1664" spans="1:11" x14ac:dyDescent="0.2">
      <c r="A1664" t="s">
        <v>2088</v>
      </c>
      <c r="B1664" t="s">
        <v>309</v>
      </c>
      <c r="E1664" t="str">
        <f>IF(D1664&lt;&gt;"",C1664&amp;"/"&amp;D1664,"")</f>
        <v/>
      </c>
      <c r="G1664" s="5" t="str">
        <f t="shared" si="38"/>
        <v/>
      </c>
      <c r="I1664" s="6" t="str">
        <f t="shared" si="39"/>
        <v>0</v>
      </c>
    </row>
    <row r="1665" spans="1:11" x14ac:dyDescent="0.2">
      <c r="A1665" t="s">
        <v>2089</v>
      </c>
      <c r="B1665" t="s">
        <v>309</v>
      </c>
      <c r="E1665" t="str">
        <f>IF(D1665&lt;&gt;"",C1665&amp;"/"&amp;D1665,"")</f>
        <v/>
      </c>
      <c r="G1665" s="5" t="str">
        <f t="shared" si="38"/>
        <v/>
      </c>
      <c r="I1665" s="6" t="str">
        <f t="shared" si="39"/>
        <v>0</v>
      </c>
    </row>
    <row r="1666" spans="1:11" x14ac:dyDescent="0.2">
      <c r="A1666" t="s">
        <v>2090</v>
      </c>
      <c r="B1666" t="s">
        <v>4672</v>
      </c>
      <c r="G1666" s="5" t="str">
        <f t="shared" si="38"/>
        <v/>
      </c>
      <c r="I1666" s="6" t="str">
        <f t="shared" si="39"/>
        <v>0</v>
      </c>
      <c r="K1666" s="21" t="s">
        <v>4673</v>
      </c>
    </row>
    <row r="1667" spans="1:11" x14ac:dyDescent="0.2">
      <c r="A1667" t="s">
        <v>2091</v>
      </c>
      <c r="B1667" t="s">
        <v>309</v>
      </c>
      <c r="E1667" t="str">
        <f>IF(D1667&lt;&gt;"",C1667&amp;"/"&amp;D1667,"")</f>
        <v/>
      </c>
      <c r="G1667" s="5" t="str">
        <f t="shared" si="38"/>
        <v/>
      </c>
      <c r="I1667" s="6" t="str">
        <f t="shared" si="39"/>
        <v>0</v>
      </c>
    </row>
    <row r="1668" spans="1:11" x14ac:dyDescent="0.2">
      <c r="A1668" t="s">
        <v>2092</v>
      </c>
      <c r="B1668" t="s">
        <v>4674</v>
      </c>
      <c r="G1668" s="5" t="str">
        <f t="shared" si="38"/>
        <v/>
      </c>
      <c r="I1668" s="6" t="str">
        <f t="shared" si="39"/>
        <v>0</v>
      </c>
      <c r="K1668" s="21" t="s">
        <v>4675</v>
      </c>
    </row>
    <row r="1669" spans="1:11" x14ac:dyDescent="0.2">
      <c r="A1669" t="s">
        <v>2093</v>
      </c>
      <c r="B1669" t="s">
        <v>309</v>
      </c>
      <c r="E1669" t="str">
        <f>IF(D1669&lt;&gt;"",C1669&amp;"/"&amp;D1669,"")</f>
        <v/>
      </c>
      <c r="G1669" s="5" t="str">
        <f t="shared" si="38"/>
        <v/>
      </c>
      <c r="I1669" s="6" t="str">
        <f t="shared" si="39"/>
        <v>0</v>
      </c>
    </row>
    <row r="1670" spans="1:11" ht="17" x14ac:dyDescent="0.25">
      <c r="A1670" t="s">
        <v>2094</v>
      </c>
      <c r="B1670" s="19" t="s">
        <v>3747</v>
      </c>
      <c r="D1670" s="19"/>
      <c r="E1670" t="str">
        <f>IF(D1670&lt;&gt;"",C1670&amp;"/"&amp;D1670,"")</f>
        <v/>
      </c>
      <c r="F1670" s="18"/>
      <c r="G1670" s="5" t="str">
        <f t="shared" si="38"/>
        <v/>
      </c>
      <c r="I1670" s="6" t="str">
        <f t="shared" si="39"/>
        <v>0</v>
      </c>
      <c r="K1670" s="21" t="s">
        <v>3748</v>
      </c>
    </row>
    <row r="1671" spans="1:11" x14ac:dyDescent="0.2">
      <c r="A1671" t="s">
        <v>2095</v>
      </c>
      <c r="B1671" t="s">
        <v>309</v>
      </c>
      <c r="E1671" t="str">
        <f>IF(D1671&lt;&gt;"",C1671&amp;"/"&amp;D1671,"")</f>
        <v/>
      </c>
      <c r="G1671" s="5" t="str">
        <f t="shared" si="38"/>
        <v/>
      </c>
      <c r="I1671" s="6" t="str">
        <f t="shared" si="39"/>
        <v>0</v>
      </c>
    </row>
    <row r="1672" spans="1:11" x14ac:dyDescent="0.2">
      <c r="A1672" t="s">
        <v>2096</v>
      </c>
      <c r="B1672" t="s">
        <v>309</v>
      </c>
      <c r="E1672" t="str">
        <f>IF(D1672&lt;&gt;"",C1672&amp;"/"&amp;D1672,"")</f>
        <v/>
      </c>
      <c r="G1672" s="5" t="str">
        <f t="shared" si="38"/>
        <v/>
      </c>
      <c r="I1672" s="6" t="str">
        <f t="shared" si="39"/>
        <v>0</v>
      </c>
    </row>
    <row r="1673" spans="1:11" x14ac:dyDescent="0.2">
      <c r="A1673" t="s">
        <v>2097</v>
      </c>
      <c r="B1673" t="s">
        <v>4676</v>
      </c>
      <c r="G1673" s="5" t="str">
        <f t="shared" si="38"/>
        <v/>
      </c>
      <c r="I1673" s="6" t="str">
        <f t="shared" si="39"/>
        <v>0</v>
      </c>
      <c r="K1673" s="21" t="s">
        <v>4677</v>
      </c>
    </row>
    <row r="1674" spans="1:11" x14ac:dyDescent="0.2">
      <c r="A1674" t="s">
        <v>2098</v>
      </c>
      <c r="B1674" t="s">
        <v>309</v>
      </c>
      <c r="E1674" t="str">
        <f>IF(D1674&lt;&gt;"",C1674&amp;"/"&amp;D1674,"")</f>
        <v/>
      </c>
      <c r="G1674" s="5" t="str">
        <f t="shared" si="38"/>
        <v/>
      </c>
      <c r="I1674" s="6" t="str">
        <f t="shared" si="39"/>
        <v>0</v>
      </c>
    </row>
    <row r="1675" spans="1:11" x14ac:dyDescent="0.2">
      <c r="A1675" t="s">
        <v>2099</v>
      </c>
      <c r="B1675" t="s">
        <v>309</v>
      </c>
      <c r="E1675" t="str">
        <f>IF(D1675&lt;&gt;"",C1675&amp;"/"&amp;D1675,"")</f>
        <v/>
      </c>
      <c r="G1675" s="5" t="str">
        <f t="shared" si="38"/>
        <v/>
      </c>
      <c r="I1675" s="6" t="str">
        <f t="shared" si="39"/>
        <v>0</v>
      </c>
    </row>
    <row r="1676" spans="1:11" x14ac:dyDescent="0.2">
      <c r="A1676" t="s">
        <v>2100</v>
      </c>
      <c r="B1676" t="s">
        <v>309</v>
      </c>
      <c r="E1676" t="str">
        <f>IF(D1676&lt;&gt;"",C1676&amp;"/"&amp;D1676,"")</f>
        <v/>
      </c>
      <c r="G1676" s="5" t="str">
        <f t="shared" si="38"/>
        <v/>
      </c>
      <c r="I1676" s="6" t="str">
        <f t="shared" si="39"/>
        <v>0</v>
      </c>
    </row>
    <row r="1677" spans="1:11" ht="17" x14ac:dyDescent="0.25">
      <c r="A1677" t="s">
        <v>2101</v>
      </c>
      <c r="B1677" s="19" t="s">
        <v>3688</v>
      </c>
      <c r="C1677" s="18" t="s">
        <v>3122</v>
      </c>
      <c r="D1677" t="s">
        <v>3689</v>
      </c>
      <c r="E1677" t="str">
        <f>IF(D1677&lt;&gt;"",C1677&amp;"/"&amp;D1677,"")</f>
        <v>gfx-data/AirbourneSpells_Stationary_DistanceGroups.lookup</v>
      </c>
      <c r="F1677" s="5" t="s">
        <v>3690</v>
      </c>
      <c r="G1677" s="5">
        <f t="shared" si="38"/>
        <v>36822</v>
      </c>
      <c r="H1677">
        <v>6</v>
      </c>
      <c r="I1677" s="6" t="str">
        <f t="shared" si="39"/>
        <v>6</v>
      </c>
      <c r="J1677" t="s">
        <v>3455</v>
      </c>
      <c r="K1677" s="17" t="s">
        <v>3701</v>
      </c>
    </row>
    <row r="1678" spans="1:11" ht="17" x14ac:dyDescent="0.25">
      <c r="A1678" t="s">
        <v>2102</v>
      </c>
      <c r="B1678" s="19" t="s">
        <v>3691</v>
      </c>
      <c r="C1678" s="18" t="s">
        <v>3122</v>
      </c>
      <c r="D1678" t="s">
        <v>3692</v>
      </c>
      <c r="E1678" t="str">
        <f>IF(D1678&lt;&gt;"",C1678&amp;"/"&amp;D1678,"")</f>
        <v>gfx-data/AirbourneSpells_Stationary.offsets</v>
      </c>
      <c r="F1678" s="5" t="s">
        <v>3693</v>
      </c>
      <c r="G1678" s="5">
        <f t="shared" si="38"/>
        <v>36828</v>
      </c>
      <c r="H1678">
        <v>8</v>
      </c>
      <c r="I1678" s="6" t="str">
        <f t="shared" si="39"/>
        <v>8</v>
      </c>
      <c r="J1678" t="s">
        <v>3460</v>
      </c>
      <c r="K1678" s="17" t="s">
        <v>3702</v>
      </c>
    </row>
    <row r="1679" spans="1:11" ht="17" x14ac:dyDescent="0.25">
      <c r="A1679" t="s">
        <v>2103</v>
      </c>
      <c r="B1679" s="19" t="s">
        <v>3694</v>
      </c>
      <c r="C1679" s="18" t="s">
        <v>3122</v>
      </c>
      <c r="D1679" t="s">
        <v>3695</v>
      </c>
      <c r="E1679" t="str">
        <f>IF(D1679&lt;&gt;"",C1679&amp;"/"&amp;D1679,"")</f>
        <v>gfx-data/AirbourneSpells_Stationary.positions</v>
      </c>
      <c r="F1679" s="5" t="s">
        <v>3696</v>
      </c>
      <c r="G1679" s="5">
        <f t="shared" si="38"/>
        <v>36836</v>
      </c>
      <c r="H1679">
        <v>16</v>
      </c>
      <c r="I1679" s="6" t="str">
        <f t="shared" si="39"/>
        <v>10</v>
      </c>
      <c r="J1679" t="s">
        <v>3460</v>
      </c>
      <c r="K1679" s="17" t="s">
        <v>3697</v>
      </c>
    </row>
    <row r="1680" spans="1:11" ht="17" x14ac:dyDescent="0.25">
      <c r="A1680" t="s">
        <v>2104</v>
      </c>
      <c r="B1680" s="19" t="s">
        <v>3698</v>
      </c>
      <c r="C1680" s="18"/>
      <c r="E1680" t="str">
        <f>IF(D1680&lt;&gt;"",C1680&amp;"/"&amp;D1680,"")</f>
        <v/>
      </c>
      <c r="G1680" s="5" t="str">
        <f t="shared" ref="G1680:G1743" si="40">IF(F1680&lt;&gt;"",HEX2DEC(SUBSTITUTE(SUBSTITUTE(F1680,"adrEA",""),"$","")),"")</f>
        <v/>
      </c>
      <c r="H1680"/>
      <c r="I1680" s="6" t="str">
        <f t="shared" ref="I1680:I1743" si="41">IFERROR(DEC2HEX(H1680),"")</f>
        <v>0</v>
      </c>
      <c r="J1680"/>
      <c r="K1680" s="17"/>
    </row>
    <row r="1681" spans="1:11" ht="17" x14ac:dyDescent="0.25">
      <c r="A1681" t="s">
        <v>2105</v>
      </c>
      <c r="B1681" s="19" t="s">
        <v>3699</v>
      </c>
      <c r="C1681" s="18"/>
      <c r="E1681" t="str">
        <f>IF(D1681&lt;&gt;"",C1681&amp;"/"&amp;D1681,"")</f>
        <v/>
      </c>
      <c r="G1681" s="5" t="str">
        <f t="shared" si="40"/>
        <v/>
      </c>
      <c r="H1681"/>
      <c r="I1681" s="6" t="str">
        <f t="shared" si="41"/>
        <v>0</v>
      </c>
      <c r="J1681"/>
      <c r="K1681" s="17"/>
    </row>
    <row r="1682" spans="1:11" ht="17" x14ac:dyDescent="0.25">
      <c r="A1682" t="s">
        <v>2106</v>
      </c>
      <c r="B1682" s="19" t="s">
        <v>3700</v>
      </c>
      <c r="C1682" s="18"/>
      <c r="E1682" t="str">
        <f>IF(D1682&lt;&gt;"",C1682&amp;"/"&amp;D1682,"")</f>
        <v/>
      </c>
      <c r="G1682" s="5" t="str">
        <f t="shared" si="40"/>
        <v/>
      </c>
      <c r="H1682"/>
      <c r="I1682" s="6" t="str">
        <f t="shared" si="41"/>
        <v>0</v>
      </c>
      <c r="J1682"/>
      <c r="K1682" s="17"/>
    </row>
    <row r="1683" spans="1:11" x14ac:dyDescent="0.2">
      <c r="A1683" t="s">
        <v>2107</v>
      </c>
      <c r="B1683" t="s">
        <v>4678</v>
      </c>
      <c r="G1683" s="5" t="str">
        <f t="shared" si="40"/>
        <v/>
      </c>
      <c r="I1683" s="6" t="str">
        <f t="shared" si="41"/>
        <v>0</v>
      </c>
      <c r="K1683" s="21" t="s">
        <v>4679</v>
      </c>
    </row>
    <row r="1684" spans="1:11" ht="17" x14ac:dyDescent="0.25">
      <c r="A1684" t="s">
        <v>2108</v>
      </c>
      <c r="B1684" s="19" t="s">
        <v>3749</v>
      </c>
      <c r="D1684" s="19"/>
      <c r="E1684" t="str">
        <f>IF(D1684&lt;&gt;"",C1684&amp;"/"&amp;D1684,"")</f>
        <v/>
      </c>
      <c r="F1684" s="18"/>
      <c r="G1684" s="5" t="str">
        <f t="shared" si="40"/>
        <v/>
      </c>
      <c r="I1684" s="6" t="str">
        <f t="shared" si="41"/>
        <v>0</v>
      </c>
      <c r="K1684" s="21" t="s">
        <v>3750</v>
      </c>
    </row>
    <row r="1685" spans="1:11" x14ac:dyDescent="0.2">
      <c r="A1685" t="s">
        <v>2109</v>
      </c>
      <c r="B1685" t="s">
        <v>309</v>
      </c>
      <c r="E1685" t="str">
        <f>IF(D1685&lt;&gt;"",C1685&amp;"/"&amp;D1685,"")</f>
        <v/>
      </c>
      <c r="G1685" s="5" t="str">
        <f t="shared" si="40"/>
        <v/>
      </c>
      <c r="I1685" s="6" t="str">
        <f t="shared" si="41"/>
        <v>0</v>
      </c>
    </row>
    <row r="1686" spans="1:11" x14ac:dyDescent="0.2">
      <c r="A1686" t="s">
        <v>2110</v>
      </c>
      <c r="B1686" t="s">
        <v>4680</v>
      </c>
      <c r="G1686" s="5" t="str">
        <f t="shared" si="40"/>
        <v/>
      </c>
      <c r="I1686" s="6" t="str">
        <f t="shared" si="41"/>
        <v>0</v>
      </c>
      <c r="K1686" s="21" t="s">
        <v>4681</v>
      </c>
    </row>
    <row r="1687" spans="1:11" x14ac:dyDescent="0.2">
      <c r="A1687" t="s">
        <v>2111</v>
      </c>
      <c r="B1687" t="s">
        <v>4682</v>
      </c>
      <c r="G1687" s="5" t="str">
        <f t="shared" si="40"/>
        <v/>
      </c>
      <c r="I1687" s="6" t="str">
        <f t="shared" si="41"/>
        <v>0</v>
      </c>
      <c r="K1687" s="21" t="s">
        <v>4683</v>
      </c>
    </row>
    <row r="1688" spans="1:11" x14ac:dyDescent="0.2">
      <c r="A1688" t="s">
        <v>2112</v>
      </c>
      <c r="B1688" t="s">
        <v>309</v>
      </c>
      <c r="E1688" t="str">
        <f>IF(D1688&lt;&gt;"",C1688&amp;"/"&amp;D1688,"")</f>
        <v/>
      </c>
      <c r="G1688" s="5" t="str">
        <f t="shared" si="40"/>
        <v/>
      </c>
      <c r="I1688" s="6" t="str">
        <f t="shared" si="41"/>
        <v>0</v>
      </c>
    </row>
    <row r="1689" spans="1:11" x14ac:dyDescent="0.2">
      <c r="A1689" t="s">
        <v>2113</v>
      </c>
      <c r="B1689" t="s">
        <v>309</v>
      </c>
      <c r="E1689" t="str">
        <f>IF(D1689&lt;&gt;"",C1689&amp;"/"&amp;D1689,"")</f>
        <v/>
      </c>
      <c r="G1689" s="5" t="str">
        <f t="shared" si="40"/>
        <v/>
      </c>
      <c r="I1689" s="6" t="str">
        <f t="shared" si="41"/>
        <v>0</v>
      </c>
    </row>
    <row r="1690" spans="1:11" x14ac:dyDescent="0.2">
      <c r="A1690" t="s">
        <v>2114</v>
      </c>
      <c r="B1690" t="s">
        <v>309</v>
      </c>
      <c r="E1690" t="str">
        <f>IF(D1690&lt;&gt;"",C1690&amp;"/"&amp;D1690,"")</f>
        <v/>
      </c>
      <c r="G1690" s="5" t="str">
        <f t="shared" si="40"/>
        <v/>
      </c>
      <c r="I1690" s="6" t="str">
        <f t="shared" si="41"/>
        <v>0</v>
      </c>
    </row>
    <row r="1691" spans="1:11" x14ac:dyDescent="0.2">
      <c r="A1691" t="s">
        <v>2115</v>
      </c>
      <c r="B1691" t="s">
        <v>309</v>
      </c>
      <c r="E1691" t="str">
        <f>IF(D1691&lt;&gt;"",C1691&amp;"/"&amp;D1691,"")</f>
        <v/>
      </c>
      <c r="G1691" s="5" t="str">
        <f t="shared" si="40"/>
        <v/>
      </c>
      <c r="I1691" s="6" t="str">
        <f t="shared" si="41"/>
        <v>0</v>
      </c>
    </row>
    <row r="1692" spans="1:11" x14ac:dyDescent="0.2">
      <c r="A1692" t="s">
        <v>2116</v>
      </c>
      <c r="B1692" t="s">
        <v>309</v>
      </c>
      <c r="E1692" t="str">
        <f>IF(D1692&lt;&gt;"",C1692&amp;"/"&amp;D1692,"")</f>
        <v/>
      </c>
      <c r="G1692" s="5" t="str">
        <f t="shared" si="40"/>
        <v/>
      </c>
      <c r="I1692" s="6" t="str">
        <f t="shared" si="41"/>
        <v>0</v>
      </c>
    </row>
    <row r="1693" spans="1:11" x14ac:dyDescent="0.2">
      <c r="A1693" t="s">
        <v>2118</v>
      </c>
      <c r="B1693" t="s">
        <v>309</v>
      </c>
      <c r="E1693" t="str">
        <f>IF(D1693&lt;&gt;"",C1693&amp;"/"&amp;D1693,"")</f>
        <v/>
      </c>
      <c r="G1693" s="5" t="str">
        <f t="shared" si="40"/>
        <v/>
      </c>
      <c r="I1693" s="6" t="str">
        <f t="shared" si="41"/>
        <v>0</v>
      </c>
    </row>
    <row r="1694" spans="1:11" x14ac:dyDescent="0.2">
      <c r="A1694" t="s">
        <v>2121</v>
      </c>
      <c r="B1694" t="s">
        <v>309</v>
      </c>
      <c r="E1694" t="str">
        <f>IF(D1694&lt;&gt;"",C1694&amp;"/"&amp;D1694,"")</f>
        <v/>
      </c>
      <c r="G1694" s="5" t="str">
        <f t="shared" si="40"/>
        <v/>
      </c>
      <c r="I1694" s="6" t="str">
        <f t="shared" si="41"/>
        <v>0</v>
      </c>
    </row>
    <row r="1695" spans="1:11" x14ac:dyDescent="0.2">
      <c r="A1695" t="s">
        <v>2122</v>
      </c>
      <c r="B1695" t="s">
        <v>309</v>
      </c>
      <c r="E1695" t="str">
        <f>IF(D1695&lt;&gt;"",C1695&amp;"/"&amp;D1695,"")</f>
        <v/>
      </c>
      <c r="G1695" s="5" t="str">
        <f t="shared" si="40"/>
        <v/>
      </c>
      <c r="I1695" s="6" t="str">
        <f t="shared" si="41"/>
        <v>0</v>
      </c>
    </row>
    <row r="1696" spans="1:11" x14ac:dyDescent="0.2">
      <c r="A1696" t="s">
        <v>2124</v>
      </c>
      <c r="B1696" t="s">
        <v>3780</v>
      </c>
      <c r="C1696" s="5" t="s">
        <v>3122</v>
      </c>
      <c r="D1696" t="s">
        <v>4634</v>
      </c>
      <c r="E1696" t="s">
        <v>4635</v>
      </c>
      <c r="F1696" s="5" t="s">
        <v>3781</v>
      </c>
      <c r="G1696" s="5">
        <f t="shared" si="40"/>
        <v>37200</v>
      </c>
      <c r="H1696" s="5">
        <v>8</v>
      </c>
      <c r="I1696" s="6" t="str">
        <f t="shared" si="41"/>
        <v>8</v>
      </c>
      <c r="K1696" s="21" t="s">
        <v>4636</v>
      </c>
    </row>
    <row r="1697" spans="1:11" x14ac:dyDescent="0.2">
      <c r="A1697" t="s">
        <v>2125</v>
      </c>
      <c r="B1697" t="s">
        <v>3782</v>
      </c>
      <c r="E1697" t="str">
        <f>IF(D1697&lt;&gt;"",C1697&amp;"/"&amp;D1697,"")</f>
        <v/>
      </c>
      <c r="G1697" s="5" t="str">
        <f t="shared" si="40"/>
        <v/>
      </c>
      <c r="I1697" s="6" t="str">
        <f t="shared" si="41"/>
        <v>0</v>
      </c>
    </row>
    <row r="1698" spans="1:11" x14ac:dyDescent="0.2">
      <c r="A1698" t="s">
        <v>2129</v>
      </c>
      <c r="B1698" t="s">
        <v>309</v>
      </c>
      <c r="E1698" t="str">
        <f>IF(D1698&lt;&gt;"",C1698&amp;"/"&amp;D1698,"")</f>
        <v/>
      </c>
      <c r="G1698" s="5" t="str">
        <f t="shared" si="40"/>
        <v/>
      </c>
      <c r="I1698" s="6" t="str">
        <f t="shared" si="41"/>
        <v>0</v>
      </c>
    </row>
    <row r="1699" spans="1:11" x14ac:dyDescent="0.2">
      <c r="A1699" t="s">
        <v>2130</v>
      </c>
      <c r="B1699" t="s">
        <v>309</v>
      </c>
      <c r="E1699" t="str">
        <f>IF(D1699&lt;&gt;"",C1699&amp;"/"&amp;D1699,"")</f>
        <v/>
      </c>
      <c r="G1699" s="5" t="str">
        <f t="shared" si="40"/>
        <v/>
      </c>
      <c r="I1699" s="6" t="str">
        <f t="shared" si="41"/>
        <v>0</v>
      </c>
    </row>
    <row r="1700" spans="1:11" x14ac:dyDescent="0.2">
      <c r="A1700" t="s">
        <v>2131</v>
      </c>
      <c r="B1700" t="s">
        <v>309</v>
      </c>
      <c r="E1700" t="str">
        <f>IF(D1700&lt;&gt;"",C1700&amp;"/"&amp;D1700,"")</f>
        <v/>
      </c>
      <c r="G1700" s="5" t="str">
        <f t="shared" si="40"/>
        <v/>
      </c>
      <c r="I1700" s="6" t="str">
        <f t="shared" si="41"/>
        <v>0</v>
      </c>
    </row>
    <row r="1701" spans="1:11" x14ac:dyDescent="0.2">
      <c r="A1701" t="s">
        <v>2133</v>
      </c>
      <c r="B1701" t="s">
        <v>3290</v>
      </c>
      <c r="G1701" s="5" t="str">
        <f t="shared" si="40"/>
        <v/>
      </c>
      <c r="I1701" s="6" t="str">
        <f t="shared" si="41"/>
        <v>0</v>
      </c>
      <c r="K1701" s="21" t="s">
        <v>4616</v>
      </c>
    </row>
    <row r="1702" spans="1:11" x14ac:dyDescent="0.2">
      <c r="A1702" t="s">
        <v>2135</v>
      </c>
      <c r="B1702" t="s">
        <v>3284</v>
      </c>
      <c r="G1702" s="5" t="str">
        <f t="shared" si="40"/>
        <v/>
      </c>
      <c r="I1702" s="6" t="str">
        <f t="shared" si="41"/>
        <v>0</v>
      </c>
      <c r="K1702" s="21" t="s">
        <v>4617</v>
      </c>
    </row>
    <row r="1703" spans="1:11" x14ac:dyDescent="0.2">
      <c r="A1703" t="s">
        <v>2134</v>
      </c>
      <c r="E1703" t="str">
        <f>IF(D1703&lt;&gt;"",C1703&amp;"/"&amp;D1703,"")</f>
        <v/>
      </c>
      <c r="G1703" s="5" t="str">
        <f t="shared" si="40"/>
        <v/>
      </c>
      <c r="I1703" s="6" t="str">
        <f t="shared" si="41"/>
        <v>0</v>
      </c>
    </row>
    <row r="1704" spans="1:11" ht="17" x14ac:dyDescent="0.25">
      <c r="A1704" t="s">
        <v>2137</v>
      </c>
      <c r="B1704" s="19" t="s">
        <v>3703</v>
      </c>
      <c r="C1704" s="5" t="s">
        <v>3122</v>
      </c>
      <c r="D1704" s="19" t="s">
        <v>3704</v>
      </c>
      <c r="E1704" t="str">
        <f>IF(D1704&lt;&gt;"",C1704&amp;"/"&amp;D1704,"")</f>
        <v>gfx-data/Dungeon_CentredComponents.lookup</v>
      </c>
      <c r="F1704" s="18" t="s">
        <v>3705</v>
      </c>
      <c r="G1704" s="5">
        <f t="shared" si="40"/>
        <v>37436</v>
      </c>
      <c r="H1704" s="5">
        <v>20</v>
      </c>
      <c r="I1704" s="6" t="str">
        <f t="shared" si="41"/>
        <v>14</v>
      </c>
      <c r="K1704" s="21" t="s">
        <v>3706</v>
      </c>
    </row>
    <row r="1705" spans="1:11" ht="17" x14ac:dyDescent="0.25">
      <c r="A1705" t="s">
        <v>2138</v>
      </c>
      <c r="B1705" s="19" t="s">
        <v>3751</v>
      </c>
      <c r="D1705" s="19"/>
      <c r="E1705" t="str">
        <f>IF(D1705&lt;&gt;"",C1705&amp;"/"&amp;D1705,"")</f>
        <v/>
      </c>
      <c r="F1705" s="18"/>
      <c r="G1705" s="5" t="str">
        <f t="shared" si="40"/>
        <v/>
      </c>
      <c r="I1705" s="6" t="str">
        <f t="shared" si="41"/>
        <v>0</v>
      </c>
      <c r="K1705" s="21" t="s">
        <v>3752</v>
      </c>
    </row>
    <row r="1706" spans="1:11" x14ac:dyDescent="0.2">
      <c r="A1706" t="s">
        <v>2139</v>
      </c>
      <c r="B1706" t="s">
        <v>309</v>
      </c>
      <c r="E1706" t="str">
        <f>IF(D1706&lt;&gt;"",C1706&amp;"/"&amp;D1706,"")</f>
        <v/>
      </c>
      <c r="G1706" s="5" t="str">
        <f t="shared" si="40"/>
        <v/>
      </c>
      <c r="I1706" s="6" t="str">
        <f t="shared" si="41"/>
        <v>0</v>
      </c>
    </row>
    <row r="1707" spans="1:11" x14ac:dyDescent="0.2">
      <c r="A1707" t="s">
        <v>2140</v>
      </c>
      <c r="B1707" t="s">
        <v>309</v>
      </c>
      <c r="E1707" t="str">
        <f>IF(D1707&lt;&gt;"",C1707&amp;"/"&amp;D1707,"")</f>
        <v/>
      </c>
      <c r="G1707" s="5" t="str">
        <f t="shared" si="40"/>
        <v/>
      </c>
      <c r="I1707" s="6" t="str">
        <f t="shared" si="41"/>
        <v>0</v>
      </c>
    </row>
    <row r="1708" spans="1:11" x14ac:dyDescent="0.2">
      <c r="A1708" t="s">
        <v>2141</v>
      </c>
      <c r="B1708" t="s">
        <v>309</v>
      </c>
      <c r="E1708" t="str">
        <f>IF(D1708&lt;&gt;"",C1708&amp;"/"&amp;D1708,"")</f>
        <v/>
      </c>
      <c r="G1708" s="5" t="str">
        <f t="shared" si="40"/>
        <v/>
      </c>
      <c r="I1708" s="6" t="str">
        <f t="shared" si="41"/>
        <v>0</v>
      </c>
    </row>
    <row r="1709" spans="1:11" x14ac:dyDescent="0.2">
      <c r="A1709" t="s">
        <v>2143</v>
      </c>
      <c r="B1709" t="s">
        <v>309</v>
      </c>
      <c r="E1709" t="str">
        <f>IF(D1709&lt;&gt;"",C1709&amp;"/"&amp;D1709,"")</f>
        <v/>
      </c>
      <c r="G1709" s="5" t="str">
        <f t="shared" si="40"/>
        <v/>
      </c>
      <c r="I1709" s="6" t="str">
        <f t="shared" si="41"/>
        <v>0</v>
      </c>
    </row>
    <row r="1710" spans="1:11" x14ac:dyDescent="0.2">
      <c r="A1710" t="s">
        <v>2144</v>
      </c>
      <c r="B1710" t="s">
        <v>309</v>
      </c>
      <c r="E1710" t="str">
        <f>IF(D1710&lt;&gt;"",C1710&amp;"/"&amp;D1710,"")</f>
        <v/>
      </c>
      <c r="G1710" s="5" t="str">
        <f t="shared" si="40"/>
        <v/>
      </c>
      <c r="I1710" s="6" t="str">
        <f t="shared" si="41"/>
        <v>0</v>
      </c>
    </row>
    <row r="1711" spans="1:11" x14ac:dyDescent="0.2">
      <c r="A1711" t="s">
        <v>2145</v>
      </c>
      <c r="B1711" t="s">
        <v>309</v>
      </c>
      <c r="E1711" t="str">
        <f>IF(D1711&lt;&gt;"",C1711&amp;"/"&amp;D1711,"")</f>
        <v/>
      </c>
      <c r="G1711" s="5" t="str">
        <f t="shared" si="40"/>
        <v/>
      </c>
      <c r="I1711" s="6" t="str">
        <f t="shared" si="41"/>
        <v>0</v>
      </c>
    </row>
    <row r="1712" spans="1:11" x14ac:dyDescent="0.2">
      <c r="A1712" t="s">
        <v>2148</v>
      </c>
      <c r="B1712" t="s">
        <v>309</v>
      </c>
      <c r="E1712" t="str">
        <f>IF(D1712&lt;&gt;"",C1712&amp;"/"&amp;D1712,"")</f>
        <v/>
      </c>
      <c r="G1712" s="5" t="str">
        <f t="shared" si="40"/>
        <v/>
      </c>
      <c r="I1712" s="6" t="str">
        <f t="shared" si="41"/>
        <v>0</v>
      </c>
    </row>
    <row r="1713" spans="1:11" x14ac:dyDescent="0.2">
      <c r="A1713" t="s">
        <v>2149</v>
      </c>
      <c r="B1713" t="s">
        <v>309</v>
      </c>
      <c r="E1713" t="str">
        <f>IF(D1713&lt;&gt;"",C1713&amp;"/"&amp;D1713,"")</f>
        <v/>
      </c>
      <c r="G1713" s="5" t="str">
        <f t="shared" si="40"/>
        <v/>
      </c>
      <c r="I1713" s="6" t="str">
        <f t="shared" si="41"/>
        <v>0</v>
      </c>
    </row>
    <row r="1714" spans="1:11" x14ac:dyDescent="0.2">
      <c r="A1714" t="s">
        <v>2150</v>
      </c>
      <c r="B1714" t="s">
        <v>3922</v>
      </c>
      <c r="C1714" s="5" t="s">
        <v>3122</v>
      </c>
      <c r="D1714" t="s">
        <v>3977</v>
      </c>
      <c r="E1714" t="s">
        <v>3978</v>
      </c>
      <c r="F1714" s="5" t="s">
        <v>3923</v>
      </c>
      <c r="G1714" s="5">
        <f t="shared" si="40"/>
        <v>37630</v>
      </c>
      <c r="H1714" s="5">
        <v>60</v>
      </c>
      <c r="I1714" s="6" t="str">
        <f t="shared" si="41"/>
        <v>3C</v>
      </c>
      <c r="K1714" s="21" t="s">
        <v>3979</v>
      </c>
    </row>
    <row r="1715" spans="1:11" x14ac:dyDescent="0.2">
      <c r="A1715" t="s">
        <v>2151</v>
      </c>
      <c r="B1715" t="s">
        <v>3980</v>
      </c>
      <c r="F1715" s="5" t="s">
        <v>3924</v>
      </c>
      <c r="G1715" s="5">
        <f t="shared" si="40"/>
        <v>37646</v>
      </c>
      <c r="I1715" s="6" t="str">
        <f t="shared" si="41"/>
        <v>0</v>
      </c>
    </row>
    <row r="1716" spans="1:11" x14ac:dyDescent="0.2">
      <c r="A1716" t="s">
        <v>2152</v>
      </c>
      <c r="B1716" t="s">
        <v>3981</v>
      </c>
      <c r="F1716" s="5" t="s">
        <v>3925</v>
      </c>
      <c r="G1716" s="5">
        <f t="shared" si="40"/>
        <v>37650</v>
      </c>
      <c r="I1716" s="6" t="str">
        <f t="shared" si="41"/>
        <v>0</v>
      </c>
    </row>
    <row r="1717" spans="1:11" x14ac:dyDescent="0.2">
      <c r="A1717" t="s">
        <v>2153</v>
      </c>
      <c r="B1717" t="s">
        <v>3982</v>
      </c>
      <c r="F1717" s="5" t="s">
        <v>3926</v>
      </c>
      <c r="G1717" s="5">
        <f t="shared" si="40"/>
        <v>37669</v>
      </c>
      <c r="I1717" s="6" t="str">
        <f t="shared" si="41"/>
        <v>0</v>
      </c>
    </row>
    <row r="1718" spans="1:11" x14ac:dyDescent="0.2">
      <c r="A1718" t="s">
        <v>2154</v>
      </c>
      <c r="B1718" t="s">
        <v>3983</v>
      </c>
      <c r="F1718" s="5" t="s">
        <v>3927</v>
      </c>
      <c r="G1718" s="5">
        <f t="shared" si="40"/>
        <v>37677</v>
      </c>
      <c r="I1718" s="6" t="str">
        <f t="shared" si="41"/>
        <v>0</v>
      </c>
    </row>
    <row r="1719" spans="1:11" x14ac:dyDescent="0.2">
      <c r="A1719" t="s">
        <v>2155</v>
      </c>
      <c r="B1719" t="s">
        <v>3984</v>
      </c>
      <c r="F1719" s="5" t="s">
        <v>3928</v>
      </c>
      <c r="G1719" s="5">
        <f t="shared" si="40"/>
        <v>37682</v>
      </c>
      <c r="I1719" s="6" t="str">
        <f t="shared" si="41"/>
        <v>0</v>
      </c>
    </row>
    <row r="1720" spans="1:11" x14ac:dyDescent="0.2">
      <c r="A1720" t="s">
        <v>2156</v>
      </c>
      <c r="B1720" t="s">
        <v>3884</v>
      </c>
      <c r="G1720" s="5" t="str">
        <f t="shared" si="40"/>
        <v/>
      </c>
      <c r="I1720" s="6" t="str">
        <f t="shared" si="41"/>
        <v>0</v>
      </c>
      <c r="K1720" s="21" t="s">
        <v>3885</v>
      </c>
    </row>
    <row r="1721" spans="1:11" x14ac:dyDescent="0.2">
      <c r="A1721" t="s">
        <v>2157</v>
      </c>
      <c r="B1721" t="s">
        <v>3886</v>
      </c>
      <c r="G1721" s="5" t="str">
        <f t="shared" si="40"/>
        <v/>
      </c>
      <c r="I1721" s="6" t="str">
        <f t="shared" si="41"/>
        <v>0</v>
      </c>
      <c r="K1721" s="21" t="s">
        <v>3887</v>
      </c>
    </row>
    <row r="1722" spans="1:11" x14ac:dyDescent="0.2">
      <c r="A1722" t="s">
        <v>2158</v>
      </c>
      <c r="B1722" t="s">
        <v>3888</v>
      </c>
      <c r="G1722" s="5" t="str">
        <f t="shared" si="40"/>
        <v/>
      </c>
      <c r="I1722" s="6" t="str">
        <f t="shared" si="41"/>
        <v>0</v>
      </c>
      <c r="K1722" s="21" t="s">
        <v>3889</v>
      </c>
    </row>
    <row r="1723" spans="1:11" x14ac:dyDescent="0.2">
      <c r="A1723" t="s">
        <v>2159</v>
      </c>
      <c r="B1723" t="s">
        <v>3890</v>
      </c>
      <c r="G1723" s="5" t="str">
        <f t="shared" si="40"/>
        <v/>
      </c>
      <c r="I1723" s="6" t="str">
        <f t="shared" si="41"/>
        <v>0</v>
      </c>
      <c r="K1723" s="21" t="s">
        <v>3891</v>
      </c>
    </row>
    <row r="1724" spans="1:11" x14ac:dyDescent="0.2">
      <c r="A1724" t="s">
        <v>2160</v>
      </c>
      <c r="B1724" t="s">
        <v>3257</v>
      </c>
      <c r="C1724" s="5" t="s">
        <v>3122</v>
      </c>
      <c r="D1724" t="s">
        <v>3929</v>
      </c>
      <c r="E1724" t="s">
        <v>3930</v>
      </c>
      <c r="F1724" s="5" t="s">
        <v>3931</v>
      </c>
      <c r="G1724" s="5">
        <f t="shared" si="40"/>
        <v>37938</v>
      </c>
      <c r="H1724" s="5">
        <v>6</v>
      </c>
      <c r="I1724" s="6" t="str">
        <f t="shared" si="41"/>
        <v>6</v>
      </c>
      <c r="J1724" s="6" t="s">
        <v>3455</v>
      </c>
      <c r="K1724" s="21" t="s">
        <v>3932</v>
      </c>
    </row>
    <row r="1725" spans="1:11" x14ac:dyDescent="0.2">
      <c r="A1725" t="s">
        <v>2161</v>
      </c>
      <c r="B1725" t="s">
        <v>3933</v>
      </c>
      <c r="C1725" s="5" t="s">
        <v>3122</v>
      </c>
      <c r="D1725" t="s">
        <v>3934</v>
      </c>
      <c r="E1725" t="s">
        <v>3935</v>
      </c>
      <c r="F1725" s="5" t="s">
        <v>3936</v>
      </c>
      <c r="G1725" s="5">
        <f t="shared" si="40"/>
        <v>37944</v>
      </c>
      <c r="H1725" s="5">
        <v>76</v>
      </c>
      <c r="I1725" s="6" t="str">
        <f t="shared" si="41"/>
        <v>4C</v>
      </c>
      <c r="J1725" s="6" t="s">
        <v>3460</v>
      </c>
      <c r="K1725" s="21" t="s">
        <v>3937</v>
      </c>
    </row>
    <row r="1726" spans="1:11" x14ac:dyDescent="0.2">
      <c r="A1726" t="s">
        <v>2162</v>
      </c>
      <c r="B1726" t="s">
        <v>3938</v>
      </c>
      <c r="C1726" s="5" t="s">
        <v>3122</v>
      </c>
      <c r="D1726" t="s">
        <v>3939</v>
      </c>
      <c r="E1726" t="s">
        <v>3940</v>
      </c>
      <c r="F1726" s="5" t="s">
        <v>3941</v>
      </c>
      <c r="G1726" s="5">
        <f t="shared" si="40"/>
        <v>38020</v>
      </c>
      <c r="H1726" s="5">
        <v>20</v>
      </c>
      <c r="I1726" s="6" t="str">
        <f t="shared" si="41"/>
        <v>14</v>
      </c>
      <c r="J1726" s="6" t="s">
        <v>3460</v>
      </c>
      <c r="K1726" s="21" t="s">
        <v>3942</v>
      </c>
    </row>
    <row r="1727" spans="1:11" x14ac:dyDescent="0.2">
      <c r="A1727" t="s">
        <v>2163</v>
      </c>
      <c r="B1727" t="s">
        <v>3943</v>
      </c>
      <c r="C1727" s="5" t="s">
        <v>3122</v>
      </c>
      <c r="D1727" t="s">
        <v>3944</v>
      </c>
      <c r="E1727" t="s">
        <v>3945</v>
      </c>
      <c r="F1727" s="5" t="s">
        <v>3946</v>
      </c>
      <c r="G1727" s="5">
        <f t="shared" si="40"/>
        <v>38040</v>
      </c>
      <c r="H1727" s="5">
        <v>136</v>
      </c>
      <c r="I1727" s="6" t="str">
        <f t="shared" si="41"/>
        <v>88</v>
      </c>
      <c r="J1727" s="6" t="s">
        <v>3460</v>
      </c>
      <c r="K1727" s="21" t="s">
        <v>3947</v>
      </c>
    </row>
    <row r="1728" spans="1:11" x14ac:dyDescent="0.2">
      <c r="A1728" t="s">
        <v>2164</v>
      </c>
      <c r="B1728" t="s">
        <v>309</v>
      </c>
      <c r="E1728" t="str">
        <f>IF(D1728&lt;&gt;"",C1728&amp;"/"&amp;D1728,"")</f>
        <v/>
      </c>
      <c r="G1728" s="5" t="str">
        <f t="shared" si="40"/>
        <v/>
      </c>
      <c r="I1728" s="6" t="str">
        <f t="shared" si="41"/>
        <v>0</v>
      </c>
    </row>
    <row r="1729" spans="1:11" x14ac:dyDescent="0.2">
      <c r="A1729" t="s">
        <v>2166</v>
      </c>
      <c r="B1729" t="s">
        <v>309</v>
      </c>
      <c r="E1729" t="str">
        <f>IF(D1729&lt;&gt;"",C1729&amp;"/"&amp;D1729,"")</f>
        <v/>
      </c>
      <c r="G1729" s="5" t="str">
        <f t="shared" si="40"/>
        <v/>
      </c>
      <c r="I1729" s="6" t="str">
        <f t="shared" si="41"/>
        <v>0</v>
      </c>
    </row>
    <row r="1730" spans="1:11" x14ac:dyDescent="0.2">
      <c r="A1730" t="s">
        <v>2167</v>
      </c>
      <c r="B1730" t="s">
        <v>309</v>
      </c>
      <c r="E1730" t="str">
        <f>IF(D1730&lt;&gt;"",C1730&amp;"/"&amp;D1730,"")</f>
        <v/>
      </c>
      <c r="G1730" s="5" t="str">
        <f t="shared" si="40"/>
        <v/>
      </c>
      <c r="I1730" s="6" t="str">
        <f t="shared" si="41"/>
        <v>0</v>
      </c>
    </row>
    <row r="1731" spans="1:11" x14ac:dyDescent="0.2">
      <c r="A1731" t="s">
        <v>2168</v>
      </c>
      <c r="B1731" t="s">
        <v>309</v>
      </c>
      <c r="E1731" t="str">
        <f>IF(D1731&lt;&gt;"",C1731&amp;"/"&amp;D1731,"")</f>
        <v/>
      </c>
      <c r="G1731" s="5" t="str">
        <f t="shared" si="40"/>
        <v/>
      </c>
      <c r="I1731" s="6" t="str">
        <f t="shared" si="41"/>
        <v>0</v>
      </c>
    </row>
    <row r="1732" spans="1:11" x14ac:dyDescent="0.2">
      <c r="A1732" t="s">
        <v>2169</v>
      </c>
      <c r="B1732" t="s">
        <v>309</v>
      </c>
      <c r="E1732" t="str">
        <f>IF(D1732&lt;&gt;"",C1732&amp;"/"&amp;D1732,"")</f>
        <v/>
      </c>
      <c r="G1732" s="5" t="str">
        <f t="shared" si="40"/>
        <v/>
      </c>
      <c r="I1732" s="6" t="str">
        <f t="shared" si="41"/>
        <v>0</v>
      </c>
    </row>
    <row r="1733" spans="1:11" x14ac:dyDescent="0.2">
      <c r="A1733" t="s">
        <v>2170</v>
      </c>
      <c r="B1733" t="s">
        <v>309</v>
      </c>
      <c r="E1733" t="str">
        <f>IF(D1733&lt;&gt;"",C1733&amp;"/"&amp;D1733,"")</f>
        <v/>
      </c>
      <c r="G1733" s="5" t="str">
        <f t="shared" si="40"/>
        <v/>
      </c>
      <c r="I1733" s="6" t="str">
        <f t="shared" si="41"/>
        <v>0</v>
      </c>
    </row>
    <row r="1734" spans="1:11" x14ac:dyDescent="0.2">
      <c r="A1734" t="s">
        <v>2171</v>
      </c>
      <c r="B1734" t="s">
        <v>309</v>
      </c>
      <c r="E1734" t="str">
        <f>IF(D1734&lt;&gt;"",C1734&amp;"/"&amp;D1734,"")</f>
        <v/>
      </c>
      <c r="G1734" s="5" t="str">
        <f t="shared" si="40"/>
        <v/>
      </c>
      <c r="I1734" s="6" t="str">
        <f t="shared" si="41"/>
        <v>0</v>
      </c>
    </row>
    <row r="1735" spans="1:11" x14ac:dyDescent="0.2">
      <c r="A1735" t="s">
        <v>2172</v>
      </c>
      <c r="B1735" t="s">
        <v>309</v>
      </c>
      <c r="E1735" t="str">
        <f>IF(D1735&lt;&gt;"",C1735&amp;"/"&amp;D1735,"")</f>
        <v/>
      </c>
      <c r="G1735" s="5" t="str">
        <f t="shared" si="40"/>
        <v/>
      </c>
      <c r="I1735" s="6" t="str">
        <f t="shared" si="41"/>
        <v>0</v>
      </c>
    </row>
    <row r="1736" spans="1:11" x14ac:dyDescent="0.2">
      <c r="A1736" t="s">
        <v>2173</v>
      </c>
      <c r="B1736" t="s">
        <v>309</v>
      </c>
      <c r="E1736" t="str">
        <f>IF(D1736&lt;&gt;"",C1736&amp;"/"&amp;D1736,"")</f>
        <v/>
      </c>
      <c r="G1736" s="5" t="str">
        <f t="shared" si="40"/>
        <v/>
      </c>
      <c r="I1736" s="6" t="str">
        <f t="shared" si="41"/>
        <v>0</v>
      </c>
    </row>
    <row r="1737" spans="1:11" ht="23" customHeight="1" x14ac:dyDescent="0.2">
      <c r="A1737" t="s">
        <v>2174</v>
      </c>
      <c r="B1737" t="s">
        <v>309</v>
      </c>
      <c r="E1737" t="str">
        <f>IF(D1737&lt;&gt;"",C1737&amp;"/"&amp;D1737,"")</f>
        <v/>
      </c>
      <c r="G1737" s="5" t="str">
        <f t="shared" si="40"/>
        <v/>
      </c>
      <c r="I1737" s="6" t="str">
        <f t="shared" si="41"/>
        <v>0</v>
      </c>
    </row>
    <row r="1738" spans="1:11" x14ac:dyDescent="0.2">
      <c r="A1738" t="s">
        <v>2180</v>
      </c>
      <c r="B1738" t="s">
        <v>3426</v>
      </c>
      <c r="G1738" s="5" t="str">
        <f t="shared" si="40"/>
        <v/>
      </c>
      <c r="I1738" s="6" t="str">
        <f t="shared" si="41"/>
        <v>0</v>
      </c>
      <c r="K1738" s="21" t="s">
        <v>4637</v>
      </c>
    </row>
    <row r="1739" spans="1:11" x14ac:dyDescent="0.2">
      <c r="A1739" t="s">
        <v>2181</v>
      </c>
      <c r="B1739" t="s">
        <v>309</v>
      </c>
      <c r="E1739" t="str">
        <f>IF(D1739&lt;&gt;"",C1739&amp;"/"&amp;D1739,"")</f>
        <v/>
      </c>
      <c r="G1739" s="5" t="str">
        <f t="shared" si="40"/>
        <v/>
      </c>
      <c r="I1739" s="6" t="str">
        <f t="shared" si="41"/>
        <v>0</v>
      </c>
    </row>
    <row r="1740" spans="1:11" x14ac:dyDescent="0.2">
      <c r="A1740" t="s">
        <v>2182</v>
      </c>
      <c r="B1740" t="s">
        <v>309</v>
      </c>
      <c r="E1740" t="str">
        <f>IF(D1740&lt;&gt;"",C1740&amp;"/"&amp;D1740,"")</f>
        <v/>
      </c>
      <c r="G1740" s="5" t="str">
        <f t="shared" si="40"/>
        <v/>
      </c>
      <c r="I1740" s="6" t="str">
        <f t="shared" si="41"/>
        <v>0</v>
      </c>
    </row>
    <row r="1741" spans="1:11" x14ac:dyDescent="0.2">
      <c r="A1741" t="s">
        <v>2183</v>
      </c>
      <c r="B1741" t="s">
        <v>309</v>
      </c>
      <c r="E1741" t="str">
        <f>IF(D1741&lt;&gt;"",C1741&amp;"/"&amp;D1741,"")</f>
        <v/>
      </c>
      <c r="G1741" s="5" t="str">
        <f t="shared" si="40"/>
        <v/>
      </c>
      <c r="I1741" s="6" t="str">
        <f t="shared" si="41"/>
        <v>0</v>
      </c>
    </row>
    <row r="1742" spans="1:11" x14ac:dyDescent="0.2">
      <c r="A1742" t="s">
        <v>2184</v>
      </c>
      <c r="B1742" t="s">
        <v>309</v>
      </c>
      <c r="E1742" t="str">
        <f>IF(D1742&lt;&gt;"",C1742&amp;"/"&amp;D1742,"")</f>
        <v/>
      </c>
      <c r="G1742" s="5" t="str">
        <f t="shared" si="40"/>
        <v/>
      </c>
      <c r="I1742" s="6" t="str">
        <f t="shared" si="41"/>
        <v>0</v>
      </c>
    </row>
    <row r="1743" spans="1:11" x14ac:dyDescent="0.2">
      <c r="A1743" t="s">
        <v>2185</v>
      </c>
      <c r="B1743" t="s">
        <v>309</v>
      </c>
      <c r="E1743" t="str">
        <f>IF(D1743&lt;&gt;"",C1743&amp;"/"&amp;D1743,"")</f>
        <v/>
      </c>
      <c r="G1743" s="5" t="str">
        <f t="shared" si="40"/>
        <v/>
      </c>
      <c r="I1743" s="6" t="str">
        <f t="shared" si="41"/>
        <v>0</v>
      </c>
    </row>
    <row r="1744" spans="1:11" x14ac:dyDescent="0.2">
      <c r="A1744" t="s">
        <v>2187</v>
      </c>
      <c r="B1744" t="s">
        <v>309</v>
      </c>
      <c r="E1744" t="str">
        <f>IF(D1744&lt;&gt;"",C1744&amp;"/"&amp;D1744,"")</f>
        <v/>
      </c>
      <c r="G1744" s="5" t="str">
        <f t="shared" ref="G1744:G1807" si="42">IF(F1744&lt;&gt;"",HEX2DEC(SUBSTITUTE(SUBSTITUTE(F1744,"adrEA",""),"$","")),"")</f>
        <v/>
      </c>
      <c r="I1744" s="6" t="str">
        <f t="shared" ref="I1744:I1807" si="43">IFERROR(DEC2HEX(H1744),"")</f>
        <v>0</v>
      </c>
    </row>
    <row r="1745" spans="1:11" x14ac:dyDescent="0.2">
      <c r="A1745" t="s">
        <v>2189</v>
      </c>
      <c r="B1745" t="s">
        <v>309</v>
      </c>
      <c r="E1745" t="str">
        <f>IF(D1745&lt;&gt;"",C1745&amp;"/"&amp;D1745,"")</f>
        <v/>
      </c>
      <c r="G1745" s="5" t="str">
        <f t="shared" si="42"/>
        <v/>
      </c>
      <c r="I1745" s="6" t="str">
        <f t="shared" si="43"/>
        <v>0</v>
      </c>
    </row>
    <row r="1746" spans="1:11" x14ac:dyDescent="0.2">
      <c r="A1746" t="s">
        <v>2190</v>
      </c>
      <c r="B1746" t="s">
        <v>309</v>
      </c>
      <c r="E1746" t="str">
        <f>IF(D1746&lt;&gt;"",C1746&amp;"/"&amp;D1746,"")</f>
        <v/>
      </c>
      <c r="G1746" s="5" t="str">
        <f t="shared" si="42"/>
        <v/>
      </c>
      <c r="I1746" s="6" t="str">
        <f t="shared" si="43"/>
        <v>0</v>
      </c>
    </row>
    <row r="1747" spans="1:11" x14ac:dyDescent="0.2">
      <c r="A1747" t="s">
        <v>2191</v>
      </c>
      <c r="B1747" t="s">
        <v>309</v>
      </c>
      <c r="E1747" t="str">
        <f>IF(D1747&lt;&gt;"",C1747&amp;"/"&amp;D1747,"")</f>
        <v/>
      </c>
      <c r="G1747" s="5" t="str">
        <f t="shared" si="42"/>
        <v/>
      </c>
      <c r="I1747" s="6" t="str">
        <f t="shared" si="43"/>
        <v>0</v>
      </c>
    </row>
    <row r="1748" spans="1:11" x14ac:dyDescent="0.2">
      <c r="A1748" t="s">
        <v>2192</v>
      </c>
      <c r="B1748" t="s">
        <v>309</v>
      </c>
      <c r="E1748" t="str">
        <f>IF(D1748&lt;&gt;"",C1748&amp;"/"&amp;D1748,"")</f>
        <v/>
      </c>
      <c r="G1748" s="5" t="str">
        <f t="shared" si="42"/>
        <v/>
      </c>
      <c r="I1748" s="6" t="str">
        <f t="shared" si="43"/>
        <v>0</v>
      </c>
    </row>
    <row r="1749" spans="1:11" x14ac:dyDescent="0.2">
      <c r="A1749" t="s">
        <v>2193</v>
      </c>
      <c r="B1749" t="s">
        <v>309</v>
      </c>
      <c r="E1749" t="str">
        <f>IF(D1749&lt;&gt;"",C1749&amp;"/"&amp;D1749,"")</f>
        <v/>
      </c>
      <c r="G1749" s="5" t="str">
        <f t="shared" si="42"/>
        <v/>
      </c>
      <c r="I1749" s="6" t="str">
        <f t="shared" si="43"/>
        <v>0</v>
      </c>
    </row>
    <row r="1750" spans="1:11" x14ac:dyDescent="0.2">
      <c r="A1750" t="s">
        <v>2194</v>
      </c>
      <c r="B1750" t="s">
        <v>309</v>
      </c>
      <c r="E1750" t="str">
        <f>IF(D1750&lt;&gt;"",C1750&amp;"/"&amp;D1750,"")</f>
        <v/>
      </c>
      <c r="G1750" s="5" t="str">
        <f t="shared" si="42"/>
        <v/>
      </c>
      <c r="I1750" s="6" t="str">
        <f t="shared" si="43"/>
        <v>0</v>
      </c>
    </row>
    <row r="1751" spans="1:11" x14ac:dyDescent="0.2">
      <c r="A1751" t="s">
        <v>2195</v>
      </c>
      <c r="B1751" t="s">
        <v>309</v>
      </c>
      <c r="E1751" t="str">
        <f>IF(D1751&lt;&gt;"",C1751&amp;"/"&amp;D1751,"")</f>
        <v/>
      </c>
      <c r="G1751" s="5" t="str">
        <f t="shared" si="42"/>
        <v/>
      </c>
      <c r="I1751" s="6" t="str">
        <f t="shared" si="43"/>
        <v>0</v>
      </c>
    </row>
    <row r="1752" spans="1:11" x14ac:dyDescent="0.2">
      <c r="A1752" t="s">
        <v>2196</v>
      </c>
      <c r="B1752" t="s">
        <v>2197</v>
      </c>
      <c r="E1752" t="str">
        <f>IF(D1752&lt;&gt;"",C1752&amp;"/"&amp;D1752,"")</f>
        <v/>
      </c>
      <c r="G1752" s="5" t="str">
        <f t="shared" si="42"/>
        <v/>
      </c>
      <c r="I1752" s="6" t="str">
        <f t="shared" si="43"/>
        <v>0</v>
      </c>
    </row>
    <row r="1753" spans="1:11" x14ac:dyDescent="0.2">
      <c r="A1753" t="s">
        <v>2198</v>
      </c>
      <c r="B1753" t="s">
        <v>309</v>
      </c>
      <c r="E1753" t="str">
        <f>IF(D1753&lt;&gt;"",C1753&amp;"/"&amp;D1753,"")</f>
        <v/>
      </c>
      <c r="G1753" s="5" t="str">
        <f t="shared" si="42"/>
        <v/>
      </c>
      <c r="I1753" s="6" t="str">
        <f t="shared" si="43"/>
        <v>0</v>
      </c>
    </row>
    <row r="1754" spans="1:11" x14ac:dyDescent="0.2">
      <c r="A1754" t="s">
        <v>2199</v>
      </c>
      <c r="B1754" t="s">
        <v>309</v>
      </c>
      <c r="E1754" t="str">
        <f>IF(D1754&lt;&gt;"",C1754&amp;"/"&amp;D1754,"")</f>
        <v/>
      </c>
      <c r="G1754" s="5" t="str">
        <f t="shared" si="42"/>
        <v/>
      </c>
      <c r="I1754" s="6" t="str">
        <f t="shared" si="43"/>
        <v>0</v>
      </c>
    </row>
    <row r="1755" spans="1:11" x14ac:dyDescent="0.2">
      <c r="A1755" t="s">
        <v>2200</v>
      </c>
      <c r="B1755" t="s">
        <v>309</v>
      </c>
      <c r="E1755" t="str">
        <f>IF(D1755&lt;&gt;"",C1755&amp;"/"&amp;D1755,"")</f>
        <v/>
      </c>
      <c r="G1755" s="5" t="str">
        <f t="shared" si="42"/>
        <v/>
      </c>
      <c r="I1755" s="6" t="str">
        <f t="shared" si="43"/>
        <v>0</v>
      </c>
    </row>
    <row r="1756" spans="1:11" x14ac:dyDescent="0.2">
      <c r="A1756" t="s">
        <v>2201</v>
      </c>
      <c r="B1756" t="s">
        <v>309</v>
      </c>
      <c r="E1756" t="str">
        <f>IF(D1756&lt;&gt;"",C1756&amp;"/"&amp;D1756,"")</f>
        <v/>
      </c>
      <c r="G1756" s="5" t="str">
        <f t="shared" si="42"/>
        <v/>
      </c>
      <c r="I1756" s="6" t="str">
        <f t="shared" si="43"/>
        <v>0</v>
      </c>
    </row>
    <row r="1757" spans="1:11" x14ac:dyDescent="0.2">
      <c r="A1757" t="s">
        <v>2202</v>
      </c>
      <c r="B1757" t="s">
        <v>309</v>
      </c>
      <c r="E1757" t="str">
        <f>IF(D1757&lt;&gt;"",C1757&amp;"/"&amp;D1757,"")</f>
        <v/>
      </c>
      <c r="G1757" s="5" t="str">
        <f t="shared" si="42"/>
        <v/>
      </c>
      <c r="I1757" s="6" t="str">
        <f t="shared" si="43"/>
        <v>0</v>
      </c>
    </row>
    <row r="1758" spans="1:11" x14ac:dyDescent="0.2">
      <c r="A1758" t="s">
        <v>2203</v>
      </c>
      <c r="B1758" t="s">
        <v>309</v>
      </c>
      <c r="E1758" t="str">
        <f>IF(D1758&lt;&gt;"",C1758&amp;"/"&amp;D1758,"")</f>
        <v/>
      </c>
      <c r="G1758" s="5" t="str">
        <f t="shared" si="42"/>
        <v/>
      </c>
      <c r="I1758" s="6" t="str">
        <f t="shared" si="43"/>
        <v>0</v>
      </c>
    </row>
    <row r="1759" spans="1:11" x14ac:dyDescent="0.2">
      <c r="A1759" t="s">
        <v>2204</v>
      </c>
      <c r="B1759" t="s">
        <v>309</v>
      </c>
      <c r="E1759" t="str">
        <f>IF(D1759&lt;&gt;"",C1759&amp;"/"&amp;D1759,"")</f>
        <v/>
      </c>
      <c r="G1759" s="5" t="str">
        <f t="shared" si="42"/>
        <v/>
      </c>
      <c r="I1759" s="6" t="str">
        <f t="shared" si="43"/>
        <v>0</v>
      </c>
    </row>
    <row r="1760" spans="1:11" ht="17" x14ac:dyDescent="0.25">
      <c r="A1760" t="s">
        <v>2205</v>
      </c>
      <c r="B1760" s="19" t="s">
        <v>3668</v>
      </c>
      <c r="C1760" s="18" t="s">
        <v>3122</v>
      </c>
      <c r="D1760" s="19" t="s">
        <v>3669</v>
      </c>
      <c r="E1760" t="str">
        <f>IF(D1760&lt;&gt;"",C1760&amp;"/"&amp;D1760,"")</f>
        <v>gfx-data/AirbourneSpells.colours</v>
      </c>
      <c r="F1760" s="18" t="s">
        <v>3670</v>
      </c>
      <c r="G1760" s="5">
        <f t="shared" si="42"/>
        <v>38892</v>
      </c>
      <c r="H1760" s="19">
        <v>80</v>
      </c>
      <c r="I1760" s="6" t="str">
        <f t="shared" si="43"/>
        <v>50</v>
      </c>
      <c r="J1760"/>
      <c r="K1760" s="17" t="s">
        <v>3671</v>
      </c>
    </row>
    <row r="1761" spans="1:11" x14ac:dyDescent="0.2">
      <c r="A1761" t="s">
        <v>2206</v>
      </c>
      <c r="B1761" t="s">
        <v>3427</v>
      </c>
      <c r="G1761" s="5" t="str">
        <f t="shared" si="42"/>
        <v/>
      </c>
      <c r="I1761" s="6" t="str">
        <f t="shared" si="43"/>
        <v>0</v>
      </c>
      <c r="K1761" s="21" t="s">
        <v>4638</v>
      </c>
    </row>
    <row r="1762" spans="1:11" ht="17" x14ac:dyDescent="0.25">
      <c r="A1762" t="s">
        <v>2208</v>
      </c>
      <c r="B1762" s="19" t="s">
        <v>3684</v>
      </c>
      <c r="C1762" s="18" t="s">
        <v>3123</v>
      </c>
      <c r="E1762" t="str">
        <f>IF(D1762&lt;&gt;"",C1762&amp;"/"&amp;D1762,"")</f>
        <v/>
      </c>
      <c r="G1762" s="5" t="str">
        <f t="shared" si="42"/>
        <v/>
      </c>
      <c r="H1762"/>
      <c r="I1762" s="6" t="str">
        <f t="shared" si="43"/>
        <v>0</v>
      </c>
      <c r="J1762"/>
      <c r="K1762" s="17" t="s">
        <v>3685</v>
      </c>
    </row>
    <row r="1763" spans="1:11" ht="17" x14ac:dyDescent="0.25">
      <c r="A1763" t="s">
        <v>2209</v>
      </c>
      <c r="B1763" s="19" t="s">
        <v>3686</v>
      </c>
      <c r="C1763" s="18" t="s">
        <v>3123</v>
      </c>
      <c r="E1763" t="str">
        <f>IF(D1763&lt;&gt;"",C1763&amp;"/"&amp;D1763,"")</f>
        <v/>
      </c>
      <c r="G1763" s="5" t="str">
        <f t="shared" si="42"/>
        <v/>
      </c>
      <c r="H1763"/>
      <c r="I1763" s="6" t="str">
        <f t="shared" si="43"/>
        <v>0</v>
      </c>
      <c r="K1763" s="17" t="s">
        <v>3687</v>
      </c>
    </row>
    <row r="1764" spans="1:11" ht="17" x14ac:dyDescent="0.25">
      <c r="A1764" t="s">
        <v>2210</v>
      </c>
      <c r="B1764" s="19" t="s">
        <v>3672</v>
      </c>
      <c r="C1764" s="18" t="s">
        <v>3122</v>
      </c>
      <c r="D1764" s="19" t="s">
        <v>3673</v>
      </c>
      <c r="E1764" t="str">
        <f>IF(D1764&lt;&gt;"",C1764&amp;"/"&amp;D1764,"")</f>
        <v>gfx-data/AirbourneSpell_DistanceGroups.lookup</v>
      </c>
      <c r="F1764" s="18" t="s">
        <v>3674</v>
      </c>
      <c r="G1764" s="5">
        <f t="shared" si="42"/>
        <v>39140</v>
      </c>
      <c r="H1764" s="19">
        <v>6</v>
      </c>
      <c r="I1764" s="6" t="str">
        <f t="shared" si="43"/>
        <v>6</v>
      </c>
      <c r="J1764"/>
      <c r="K1764" s="17" t="s">
        <v>3675</v>
      </c>
    </row>
    <row r="1765" spans="1:11" ht="17" x14ac:dyDescent="0.25">
      <c r="A1765" t="s">
        <v>2211</v>
      </c>
      <c r="B1765" s="19" t="s">
        <v>3676</v>
      </c>
      <c r="C1765" s="18" t="s">
        <v>3122</v>
      </c>
      <c r="D1765" s="19" t="s">
        <v>3677</v>
      </c>
      <c r="E1765" t="str">
        <f>IF(D1765&lt;&gt;"",C1765&amp;"/"&amp;D1765,"")</f>
        <v>gfx-data/AirbourneFireball.layout</v>
      </c>
      <c r="F1765" s="18" t="s">
        <v>3678</v>
      </c>
      <c r="G1765" s="5">
        <f t="shared" si="42"/>
        <v>39146</v>
      </c>
      <c r="H1765" s="19">
        <v>24</v>
      </c>
      <c r="I1765" s="6" t="str">
        <f t="shared" si="43"/>
        <v>18</v>
      </c>
      <c r="J1765"/>
      <c r="K1765" s="17" t="s">
        <v>3679</v>
      </c>
    </row>
    <row r="1766" spans="1:11" ht="17" x14ac:dyDescent="0.25">
      <c r="A1766" t="s">
        <v>2212</v>
      </c>
      <c r="B1766" s="19" t="s">
        <v>3680</v>
      </c>
      <c r="C1766" s="18" t="s">
        <v>3122</v>
      </c>
      <c r="D1766" s="19" t="s">
        <v>3681</v>
      </c>
      <c r="E1766" t="str">
        <f>IF(D1766&lt;&gt;"",C1766&amp;"/"&amp;D1766,"")</f>
        <v>gfx-data/AirbourneSpells_Flying.layout</v>
      </c>
      <c r="F1766" s="18" t="s">
        <v>3682</v>
      </c>
      <c r="G1766" s="5">
        <f t="shared" si="42"/>
        <v>39170</v>
      </c>
      <c r="H1766" s="19">
        <v>24</v>
      </c>
      <c r="I1766" s="6" t="str">
        <f t="shared" si="43"/>
        <v>18</v>
      </c>
      <c r="J1766"/>
      <c r="K1766" s="17" t="s">
        <v>3683</v>
      </c>
    </row>
    <row r="1767" spans="1:11" x14ac:dyDescent="0.2">
      <c r="A1767" t="s">
        <v>2214</v>
      </c>
      <c r="E1767" t="str">
        <f>IF(D1767&lt;&gt;"",C1767&amp;"/"&amp;D1767,"")</f>
        <v/>
      </c>
      <c r="G1767" s="5" t="str">
        <f t="shared" si="42"/>
        <v/>
      </c>
      <c r="I1767" s="6" t="str">
        <f t="shared" si="43"/>
        <v>0</v>
      </c>
    </row>
    <row r="1768" spans="1:11" x14ac:dyDescent="0.2">
      <c r="A1768" t="s">
        <v>2215</v>
      </c>
      <c r="B1768" t="s">
        <v>309</v>
      </c>
      <c r="E1768" t="str">
        <f>IF(D1768&lt;&gt;"",C1768&amp;"/"&amp;D1768,"")</f>
        <v/>
      </c>
      <c r="G1768" s="5" t="str">
        <f t="shared" si="42"/>
        <v/>
      </c>
      <c r="I1768" s="6" t="str">
        <f t="shared" si="43"/>
        <v>0</v>
      </c>
    </row>
    <row r="1769" spans="1:11" x14ac:dyDescent="0.2">
      <c r="A1769" t="s">
        <v>2216</v>
      </c>
      <c r="B1769" t="s">
        <v>2217</v>
      </c>
      <c r="E1769" t="str">
        <f>IF(D1769&lt;&gt;"",C1769&amp;"/"&amp;D1769,"")</f>
        <v/>
      </c>
      <c r="G1769" s="5" t="str">
        <f t="shared" si="42"/>
        <v/>
      </c>
      <c r="I1769" s="6" t="str">
        <f t="shared" si="43"/>
        <v>0</v>
      </c>
    </row>
    <row r="1770" spans="1:11" x14ac:dyDescent="0.2">
      <c r="A1770" t="s">
        <v>2218</v>
      </c>
      <c r="B1770" t="s">
        <v>2219</v>
      </c>
      <c r="E1770" t="str">
        <f>IF(D1770&lt;&gt;"",C1770&amp;"/"&amp;D1770,"")</f>
        <v/>
      </c>
      <c r="G1770" s="5" t="str">
        <f t="shared" si="42"/>
        <v/>
      </c>
      <c r="I1770" s="6" t="str">
        <f t="shared" si="43"/>
        <v>0</v>
      </c>
    </row>
    <row r="1771" spans="1:11" x14ac:dyDescent="0.2">
      <c r="A1771" t="s">
        <v>2220</v>
      </c>
      <c r="B1771" t="s">
        <v>309</v>
      </c>
      <c r="C1771" s="5" t="s">
        <v>3123</v>
      </c>
      <c r="E1771" t="str">
        <f>IF(D1771&lt;&gt;"",C1771&amp;"/"&amp;D1771,"")</f>
        <v/>
      </c>
      <c r="G1771" s="5" t="str">
        <f t="shared" si="42"/>
        <v/>
      </c>
      <c r="I1771" s="6" t="str">
        <f t="shared" si="43"/>
        <v>0</v>
      </c>
    </row>
    <row r="1772" spans="1:11" x14ac:dyDescent="0.2">
      <c r="A1772" t="s">
        <v>2221</v>
      </c>
      <c r="B1772" t="s">
        <v>309</v>
      </c>
      <c r="E1772" t="str">
        <f>IF(D1772&lt;&gt;"",C1772&amp;"/"&amp;D1772,"")</f>
        <v/>
      </c>
      <c r="G1772" s="5" t="str">
        <f t="shared" si="42"/>
        <v/>
      </c>
      <c r="I1772" s="6" t="str">
        <f t="shared" si="43"/>
        <v>0</v>
      </c>
    </row>
    <row r="1773" spans="1:11" x14ac:dyDescent="0.2">
      <c r="A1773" t="s">
        <v>2222</v>
      </c>
      <c r="B1773" t="s">
        <v>309</v>
      </c>
      <c r="E1773" t="str">
        <f>IF(D1773&lt;&gt;"",C1773&amp;"/"&amp;D1773,"")</f>
        <v/>
      </c>
      <c r="G1773" s="5" t="str">
        <f t="shared" si="42"/>
        <v/>
      </c>
      <c r="I1773" s="6" t="str">
        <f t="shared" si="43"/>
        <v>0</v>
      </c>
    </row>
    <row r="1774" spans="1:11" x14ac:dyDescent="0.2">
      <c r="A1774" t="s">
        <v>2223</v>
      </c>
      <c r="B1774" t="s">
        <v>309</v>
      </c>
      <c r="E1774" t="str">
        <f>IF(D1774&lt;&gt;"",C1774&amp;"/"&amp;D1774,"")</f>
        <v/>
      </c>
      <c r="G1774" s="5" t="str">
        <f t="shared" si="42"/>
        <v/>
      </c>
      <c r="I1774" s="6" t="str">
        <f t="shared" si="43"/>
        <v>0</v>
      </c>
    </row>
    <row r="1775" spans="1:11" x14ac:dyDescent="0.2">
      <c r="A1775" t="s">
        <v>2224</v>
      </c>
      <c r="B1775" t="s">
        <v>309</v>
      </c>
      <c r="E1775" t="str">
        <f>IF(D1775&lt;&gt;"",C1775&amp;"/"&amp;D1775,"")</f>
        <v/>
      </c>
      <c r="G1775" s="5" t="str">
        <f t="shared" si="42"/>
        <v/>
      </c>
      <c r="I1775" s="6" t="str">
        <f t="shared" si="43"/>
        <v>0</v>
      </c>
    </row>
    <row r="1776" spans="1:11" x14ac:dyDescent="0.2">
      <c r="A1776" t="s">
        <v>2225</v>
      </c>
      <c r="B1776" t="s">
        <v>309</v>
      </c>
      <c r="C1776" s="5" t="s">
        <v>3123</v>
      </c>
      <c r="E1776" t="str">
        <f>IF(D1776&lt;&gt;"",C1776&amp;"/"&amp;D1776,"")</f>
        <v/>
      </c>
      <c r="G1776" s="5" t="str">
        <f t="shared" si="42"/>
        <v/>
      </c>
      <c r="I1776" s="6" t="str">
        <f t="shared" si="43"/>
        <v>0</v>
      </c>
    </row>
    <row r="1777" spans="1:11" x14ac:dyDescent="0.2">
      <c r="A1777" t="s">
        <v>2233</v>
      </c>
      <c r="B1777" t="s">
        <v>2234</v>
      </c>
      <c r="G1777" s="5" t="str">
        <f t="shared" si="42"/>
        <v/>
      </c>
      <c r="I1777" s="6" t="str">
        <f t="shared" si="43"/>
        <v>0</v>
      </c>
      <c r="K1777" s="21" t="s">
        <v>4639</v>
      </c>
    </row>
    <row r="1778" spans="1:11" x14ac:dyDescent="0.2">
      <c r="A1778" t="s">
        <v>2235</v>
      </c>
      <c r="B1778" t="s">
        <v>2236</v>
      </c>
      <c r="E1778" t="str">
        <f>IF(D1778&lt;&gt;"",C1778&amp;"/"&amp;D1778,"")</f>
        <v/>
      </c>
      <c r="G1778" s="5" t="str">
        <f t="shared" si="42"/>
        <v/>
      </c>
      <c r="I1778" s="6" t="str">
        <f t="shared" si="43"/>
        <v>0</v>
      </c>
    </row>
    <row r="1779" spans="1:11" x14ac:dyDescent="0.2">
      <c r="A1779" t="s">
        <v>2237</v>
      </c>
      <c r="B1779" t="s">
        <v>2238</v>
      </c>
      <c r="E1779" t="str">
        <f>IF(D1779&lt;&gt;"",C1779&amp;"/"&amp;D1779,"")</f>
        <v/>
      </c>
      <c r="G1779" s="5" t="str">
        <f t="shared" si="42"/>
        <v/>
      </c>
      <c r="I1779" s="6" t="str">
        <f t="shared" si="43"/>
        <v>0</v>
      </c>
    </row>
    <row r="1780" spans="1:11" x14ac:dyDescent="0.2">
      <c r="A1780" t="s">
        <v>2241</v>
      </c>
      <c r="B1780" t="s">
        <v>2242</v>
      </c>
      <c r="E1780" t="str">
        <f>IF(D1780&lt;&gt;"",C1780&amp;"/"&amp;D1780,"")</f>
        <v/>
      </c>
      <c r="G1780" s="5" t="str">
        <f t="shared" si="42"/>
        <v/>
      </c>
      <c r="I1780" s="6" t="str">
        <f t="shared" si="43"/>
        <v>0</v>
      </c>
    </row>
    <row r="1781" spans="1:11" x14ac:dyDescent="0.2">
      <c r="A1781" t="s">
        <v>2244</v>
      </c>
      <c r="B1781" t="s">
        <v>309</v>
      </c>
      <c r="E1781" t="str">
        <f>IF(D1781&lt;&gt;"",C1781&amp;"/"&amp;D1781,"")</f>
        <v/>
      </c>
      <c r="G1781" s="5" t="str">
        <f t="shared" si="42"/>
        <v/>
      </c>
      <c r="I1781" s="6" t="str">
        <f t="shared" si="43"/>
        <v>0</v>
      </c>
    </row>
    <row r="1782" spans="1:11" x14ac:dyDescent="0.2">
      <c r="A1782" t="s">
        <v>2245</v>
      </c>
      <c r="B1782" t="s">
        <v>309</v>
      </c>
      <c r="E1782" t="str">
        <f>IF(D1782&lt;&gt;"",C1782&amp;"/"&amp;D1782,"")</f>
        <v/>
      </c>
      <c r="G1782" s="5" t="str">
        <f t="shared" si="42"/>
        <v/>
      </c>
      <c r="I1782" s="6" t="str">
        <f t="shared" si="43"/>
        <v>0</v>
      </c>
    </row>
    <row r="1783" spans="1:11" x14ac:dyDescent="0.2">
      <c r="A1783" t="s">
        <v>2246</v>
      </c>
      <c r="B1783" t="s">
        <v>309</v>
      </c>
      <c r="E1783" t="str">
        <f>IF(D1783&lt;&gt;"",C1783&amp;"/"&amp;D1783,"")</f>
        <v/>
      </c>
      <c r="G1783" s="5" t="str">
        <f t="shared" si="42"/>
        <v/>
      </c>
      <c r="I1783" s="6" t="str">
        <f t="shared" si="43"/>
        <v>0</v>
      </c>
    </row>
    <row r="1784" spans="1:11" x14ac:dyDescent="0.2">
      <c r="A1784" t="s">
        <v>2248</v>
      </c>
      <c r="B1784" t="s">
        <v>309</v>
      </c>
      <c r="E1784" t="str">
        <f>IF(D1784&lt;&gt;"",C1784&amp;"/"&amp;D1784,"")</f>
        <v/>
      </c>
      <c r="G1784" s="5" t="str">
        <f t="shared" si="42"/>
        <v/>
      </c>
      <c r="I1784" s="6" t="str">
        <f t="shared" si="43"/>
        <v>0</v>
      </c>
    </row>
    <row r="1785" spans="1:11" x14ac:dyDescent="0.2">
      <c r="A1785" t="s">
        <v>2249</v>
      </c>
      <c r="B1785" t="s">
        <v>309</v>
      </c>
      <c r="E1785" t="str">
        <f>IF(D1785&lt;&gt;"",C1785&amp;"/"&amp;D1785,"")</f>
        <v/>
      </c>
      <c r="G1785" s="5" t="str">
        <f t="shared" si="42"/>
        <v/>
      </c>
      <c r="I1785" s="6" t="str">
        <f t="shared" si="43"/>
        <v>0</v>
      </c>
    </row>
    <row r="1786" spans="1:11" x14ac:dyDescent="0.2">
      <c r="A1786" t="s">
        <v>2250</v>
      </c>
      <c r="B1786" t="s">
        <v>309</v>
      </c>
      <c r="E1786" t="str">
        <f>IF(D1786&lt;&gt;"",C1786&amp;"/"&amp;D1786,"")</f>
        <v/>
      </c>
      <c r="G1786" s="5" t="str">
        <f t="shared" si="42"/>
        <v/>
      </c>
      <c r="I1786" s="6" t="str">
        <f t="shared" si="43"/>
        <v>0</v>
      </c>
    </row>
    <row r="1787" spans="1:11" x14ac:dyDescent="0.2">
      <c r="A1787" t="s">
        <v>2251</v>
      </c>
      <c r="B1787" t="s">
        <v>309</v>
      </c>
      <c r="E1787" t="str">
        <f>IF(D1787&lt;&gt;"",C1787&amp;"/"&amp;D1787,"")</f>
        <v/>
      </c>
      <c r="G1787" s="5" t="str">
        <f t="shared" si="42"/>
        <v/>
      </c>
      <c r="I1787" s="6" t="str">
        <f t="shared" si="43"/>
        <v>0</v>
      </c>
    </row>
    <row r="1788" spans="1:11" x14ac:dyDescent="0.2">
      <c r="A1788" t="s">
        <v>2252</v>
      </c>
      <c r="B1788" t="s">
        <v>309</v>
      </c>
      <c r="E1788" t="str">
        <f>IF(D1788&lt;&gt;"",C1788&amp;"/"&amp;D1788,"")</f>
        <v/>
      </c>
      <c r="G1788" s="5" t="str">
        <f t="shared" si="42"/>
        <v/>
      </c>
      <c r="I1788" s="6" t="str">
        <f t="shared" si="43"/>
        <v>0</v>
      </c>
    </row>
    <row r="1789" spans="1:11" x14ac:dyDescent="0.2">
      <c r="A1789" t="s">
        <v>2253</v>
      </c>
      <c r="B1789" t="s">
        <v>309</v>
      </c>
      <c r="E1789" t="str">
        <f>IF(D1789&lt;&gt;"",C1789&amp;"/"&amp;D1789,"")</f>
        <v/>
      </c>
      <c r="G1789" s="5" t="str">
        <f t="shared" si="42"/>
        <v/>
      </c>
      <c r="I1789" s="6" t="str">
        <f t="shared" si="43"/>
        <v>0</v>
      </c>
    </row>
    <row r="1790" spans="1:11" x14ac:dyDescent="0.2">
      <c r="A1790" t="s">
        <v>2254</v>
      </c>
      <c r="B1790" t="s">
        <v>309</v>
      </c>
      <c r="E1790" t="str">
        <f>IF(D1790&lt;&gt;"",C1790&amp;"/"&amp;D1790,"")</f>
        <v/>
      </c>
      <c r="G1790" s="5" t="str">
        <f t="shared" si="42"/>
        <v/>
      </c>
      <c r="I1790" s="6" t="str">
        <f t="shared" si="43"/>
        <v>0</v>
      </c>
    </row>
    <row r="1791" spans="1:11" x14ac:dyDescent="0.2">
      <c r="A1791" t="s">
        <v>2255</v>
      </c>
      <c r="B1791" t="s">
        <v>309</v>
      </c>
      <c r="E1791" t="str">
        <f>IF(D1791&lt;&gt;"",C1791&amp;"/"&amp;D1791,"")</f>
        <v/>
      </c>
      <c r="G1791" s="5" t="str">
        <f t="shared" si="42"/>
        <v/>
      </c>
      <c r="I1791" s="6" t="str">
        <f t="shared" si="43"/>
        <v>0</v>
      </c>
    </row>
    <row r="1792" spans="1:11" x14ac:dyDescent="0.2">
      <c r="A1792" t="s">
        <v>2256</v>
      </c>
      <c r="B1792" t="s">
        <v>309</v>
      </c>
      <c r="E1792" t="str">
        <f>IF(D1792&lt;&gt;"",C1792&amp;"/"&amp;D1792,"")</f>
        <v/>
      </c>
      <c r="G1792" s="5" t="str">
        <f t="shared" si="42"/>
        <v/>
      </c>
      <c r="I1792" s="6" t="str">
        <f t="shared" si="43"/>
        <v>0</v>
      </c>
    </row>
    <row r="1793" spans="1:9" x14ac:dyDescent="0.2">
      <c r="A1793" t="s">
        <v>2258</v>
      </c>
      <c r="B1793" t="s">
        <v>309</v>
      </c>
      <c r="E1793" t="str">
        <f>IF(D1793&lt;&gt;"",C1793&amp;"/"&amp;D1793,"")</f>
        <v/>
      </c>
      <c r="G1793" s="5" t="str">
        <f t="shared" si="42"/>
        <v/>
      </c>
      <c r="I1793" s="6" t="str">
        <f t="shared" si="43"/>
        <v>0</v>
      </c>
    </row>
    <row r="1794" spans="1:9" x14ac:dyDescent="0.2">
      <c r="A1794" t="s">
        <v>2259</v>
      </c>
      <c r="B1794" t="s">
        <v>309</v>
      </c>
      <c r="E1794" t="str">
        <f>IF(D1794&lt;&gt;"",C1794&amp;"/"&amp;D1794,"")</f>
        <v/>
      </c>
      <c r="G1794" s="5" t="str">
        <f t="shared" si="42"/>
        <v/>
      </c>
      <c r="I1794" s="6" t="str">
        <f t="shared" si="43"/>
        <v>0</v>
      </c>
    </row>
    <row r="1795" spans="1:9" x14ac:dyDescent="0.2">
      <c r="A1795" t="s">
        <v>2260</v>
      </c>
      <c r="B1795" t="s">
        <v>309</v>
      </c>
      <c r="E1795" t="str">
        <f>IF(D1795&lt;&gt;"",C1795&amp;"/"&amp;D1795,"")</f>
        <v/>
      </c>
      <c r="G1795" s="5" t="str">
        <f t="shared" si="42"/>
        <v/>
      </c>
      <c r="I1795" s="6" t="str">
        <f t="shared" si="43"/>
        <v>0</v>
      </c>
    </row>
    <row r="1796" spans="1:9" x14ac:dyDescent="0.2">
      <c r="A1796" t="s">
        <v>2261</v>
      </c>
      <c r="B1796" t="s">
        <v>309</v>
      </c>
      <c r="E1796" t="str">
        <f>IF(D1796&lt;&gt;"",C1796&amp;"/"&amp;D1796,"")</f>
        <v/>
      </c>
      <c r="G1796" s="5" t="str">
        <f t="shared" si="42"/>
        <v/>
      </c>
      <c r="I1796" s="6" t="str">
        <f t="shared" si="43"/>
        <v>0</v>
      </c>
    </row>
    <row r="1797" spans="1:9" x14ac:dyDescent="0.2">
      <c r="A1797" t="s">
        <v>2262</v>
      </c>
      <c r="B1797" t="s">
        <v>309</v>
      </c>
      <c r="E1797" t="str">
        <f>IF(D1797&lt;&gt;"",C1797&amp;"/"&amp;D1797,"")</f>
        <v/>
      </c>
      <c r="G1797" s="5" t="str">
        <f t="shared" si="42"/>
        <v/>
      </c>
      <c r="I1797" s="6" t="str">
        <f t="shared" si="43"/>
        <v>0</v>
      </c>
    </row>
    <row r="1798" spans="1:9" x14ac:dyDescent="0.2">
      <c r="A1798" t="s">
        <v>2264</v>
      </c>
      <c r="B1798" t="s">
        <v>309</v>
      </c>
      <c r="E1798" t="str">
        <f>IF(D1798&lt;&gt;"",C1798&amp;"/"&amp;D1798,"")</f>
        <v/>
      </c>
      <c r="G1798" s="5" t="str">
        <f t="shared" si="42"/>
        <v/>
      </c>
      <c r="I1798" s="6" t="str">
        <f t="shared" si="43"/>
        <v>0</v>
      </c>
    </row>
    <row r="1799" spans="1:9" x14ac:dyDescent="0.2">
      <c r="A1799" t="s">
        <v>2265</v>
      </c>
      <c r="B1799" t="s">
        <v>309</v>
      </c>
      <c r="E1799" t="str">
        <f>IF(D1799&lt;&gt;"",C1799&amp;"/"&amp;D1799,"")</f>
        <v/>
      </c>
      <c r="G1799" s="5" t="str">
        <f t="shared" si="42"/>
        <v/>
      </c>
      <c r="I1799" s="6" t="str">
        <f t="shared" si="43"/>
        <v>0</v>
      </c>
    </row>
    <row r="1800" spans="1:9" x14ac:dyDescent="0.2">
      <c r="A1800" t="s">
        <v>2266</v>
      </c>
      <c r="B1800" t="s">
        <v>309</v>
      </c>
      <c r="E1800" t="str">
        <f>IF(D1800&lt;&gt;"",C1800&amp;"/"&amp;D1800,"")</f>
        <v/>
      </c>
      <c r="G1800" s="5" t="str">
        <f t="shared" si="42"/>
        <v/>
      </c>
      <c r="I1800" s="6" t="str">
        <f t="shared" si="43"/>
        <v>0</v>
      </c>
    </row>
    <row r="1801" spans="1:9" x14ac:dyDescent="0.2">
      <c r="A1801" t="s">
        <v>2267</v>
      </c>
      <c r="B1801" t="s">
        <v>309</v>
      </c>
      <c r="E1801" t="str">
        <f>IF(D1801&lt;&gt;"",C1801&amp;"/"&amp;D1801,"")</f>
        <v/>
      </c>
      <c r="G1801" s="5" t="str">
        <f t="shared" si="42"/>
        <v/>
      </c>
      <c r="I1801" s="6" t="str">
        <f t="shared" si="43"/>
        <v>0</v>
      </c>
    </row>
    <row r="1802" spans="1:9" x14ac:dyDescent="0.2">
      <c r="A1802" t="s">
        <v>2269</v>
      </c>
      <c r="B1802" t="s">
        <v>3283</v>
      </c>
      <c r="E1802" t="str">
        <f>IF(D1802&lt;&gt;"",C1802&amp;"/"&amp;D1802,"")</f>
        <v/>
      </c>
      <c r="G1802" s="5" t="str">
        <f t="shared" si="42"/>
        <v/>
      </c>
      <c r="I1802" s="6" t="str">
        <f t="shared" si="43"/>
        <v>0</v>
      </c>
    </row>
    <row r="1803" spans="1:9" x14ac:dyDescent="0.2">
      <c r="A1803" t="s">
        <v>2270</v>
      </c>
      <c r="B1803" t="s">
        <v>309</v>
      </c>
      <c r="E1803" t="str">
        <f>IF(D1803&lt;&gt;"",C1803&amp;"/"&amp;D1803,"")</f>
        <v/>
      </c>
      <c r="G1803" s="5" t="str">
        <f t="shared" si="42"/>
        <v/>
      </c>
      <c r="I1803" s="6" t="str">
        <f t="shared" si="43"/>
        <v>0</v>
      </c>
    </row>
    <row r="1804" spans="1:9" x14ac:dyDescent="0.2">
      <c r="A1804" t="s">
        <v>2271</v>
      </c>
      <c r="B1804" t="s">
        <v>309</v>
      </c>
      <c r="E1804" t="str">
        <f>IF(D1804&lt;&gt;"",C1804&amp;"/"&amp;D1804,"")</f>
        <v/>
      </c>
      <c r="G1804" s="5" t="str">
        <f t="shared" si="42"/>
        <v/>
      </c>
      <c r="I1804" s="6" t="str">
        <f t="shared" si="43"/>
        <v>0</v>
      </c>
    </row>
    <row r="1805" spans="1:9" x14ac:dyDescent="0.2">
      <c r="A1805" t="s">
        <v>2272</v>
      </c>
      <c r="B1805" t="s">
        <v>309</v>
      </c>
      <c r="E1805" t="str">
        <f>IF(D1805&lt;&gt;"",C1805&amp;"/"&amp;D1805,"")</f>
        <v/>
      </c>
      <c r="G1805" s="5" t="str">
        <f t="shared" si="42"/>
        <v/>
      </c>
      <c r="I1805" s="6" t="str">
        <f t="shared" si="43"/>
        <v>0</v>
      </c>
    </row>
    <row r="1806" spans="1:9" x14ac:dyDescent="0.2">
      <c r="A1806" t="s">
        <v>2273</v>
      </c>
      <c r="B1806" t="s">
        <v>309</v>
      </c>
      <c r="E1806" t="str">
        <f>IF(D1806&lt;&gt;"",C1806&amp;"/"&amp;D1806,"")</f>
        <v/>
      </c>
      <c r="G1806" s="5" t="str">
        <f t="shared" si="42"/>
        <v/>
      </c>
      <c r="I1806" s="6" t="str">
        <f t="shared" si="43"/>
        <v>0</v>
      </c>
    </row>
    <row r="1807" spans="1:9" x14ac:dyDescent="0.2">
      <c r="A1807" t="s">
        <v>2274</v>
      </c>
      <c r="B1807" t="s">
        <v>309</v>
      </c>
      <c r="E1807" t="str">
        <f>IF(D1807&lt;&gt;"",C1807&amp;"/"&amp;D1807,"")</f>
        <v/>
      </c>
      <c r="G1807" s="5" t="str">
        <f t="shared" si="42"/>
        <v/>
      </c>
      <c r="I1807" s="6" t="str">
        <f t="shared" si="43"/>
        <v>0</v>
      </c>
    </row>
    <row r="1808" spans="1:9" x14ac:dyDescent="0.2">
      <c r="A1808" t="s">
        <v>2275</v>
      </c>
      <c r="B1808" t="s">
        <v>309</v>
      </c>
      <c r="E1808" t="str">
        <f>IF(D1808&lt;&gt;"",C1808&amp;"/"&amp;D1808,"")</f>
        <v/>
      </c>
      <c r="G1808" s="5" t="str">
        <f t="shared" ref="G1808:G1871" si="44">IF(F1808&lt;&gt;"",HEX2DEC(SUBSTITUTE(SUBSTITUTE(F1808,"adrEA",""),"$","")),"")</f>
        <v/>
      </c>
      <c r="I1808" s="6" t="str">
        <f t="shared" ref="I1808:I1871" si="45">IFERROR(DEC2HEX(H1808),"")</f>
        <v>0</v>
      </c>
    </row>
    <row r="1809" spans="1:11" x14ac:dyDescent="0.2">
      <c r="A1809" t="s">
        <v>2277</v>
      </c>
      <c r="B1809" t="s">
        <v>309</v>
      </c>
      <c r="E1809" t="str">
        <f>IF(D1809&lt;&gt;"",C1809&amp;"/"&amp;D1809,"")</f>
        <v/>
      </c>
      <c r="G1809" s="5" t="str">
        <f t="shared" si="44"/>
        <v/>
      </c>
      <c r="I1809" s="6" t="str">
        <f t="shared" si="45"/>
        <v>0</v>
      </c>
    </row>
    <row r="1810" spans="1:11" x14ac:dyDescent="0.2">
      <c r="A1810" t="s">
        <v>2278</v>
      </c>
      <c r="B1810" t="s">
        <v>309</v>
      </c>
      <c r="E1810" t="str">
        <f>IF(D1810&lt;&gt;"",C1810&amp;"/"&amp;D1810,"")</f>
        <v/>
      </c>
      <c r="G1810" s="5" t="str">
        <f t="shared" si="44"/>
        <v/>
      </c>
      <c r="I1810" s="6" t="str">
        <f t="shared" si="45"/>
        <v>0</v>
      </c>
    </row>
    <row r="1811" spans="1:11" x14ac:dyDescent="0.2">
      <c r="A1811" t="s">
        <v>2279</v>
      </c>
      <c r="B1811" t="s">
        <v>309</v>
      </c>
      <c r="E1811" t="str">
        <f>IF(D1811&lt;&gt;"",C1811&amp;"/"&amp;D1811,"")</f>
        <v/>
      </c>
      <c r="G1811" s="5" t="str">
        <f t="shared" si="44"/>
        <v/>
      </c>
      <c r="I1811" s="6" t="str">
        <f t="shared" si="45"/>
        <v>0</v>
      </c>
    </row>
    <row r="1812" spans="1:11" x14ac:dyDescent="0.2">
      <c r="A1812" t="s">
        <v>2280</v>
      </c>
      <c r="B1812" t="s">
        <v>3430</v>
      </c>
      <c r="G1812" s="5" t="str">
        <f t="shared" si="44"/>
        <v/>
      </c>
      <c r="I1812" s="6" t="str">
        <f t="shared" si="45"/>
        <v>0</v>
      </c>
      <c r="K1812" s="21" t="s">
        <v>4640</v>
      </c>
    </row>
    <row r="1813" spans="1:11" x14ac:dyDescent="0.2">
      <c r="A1813" t="s">
        <v>2281</v>
      </c>
      <c r="B1813" t="s">
        <v>309</v>
      </c>
      <c r="E1813" t="str">
        <f>IF(D1813&lt;&gt;"",C1813&amp;"/"&amp;D1813,"")</f>
        <v/>
      </c>
      <c r="G1813" s="5" t="str">
        <f t="shared" si="44"/>
        <v/>
      </c>
      <c r="I1813" s="6" t="str">
        <f t="shared" si="45"/>
        <v>0</v>
      </c>
    </row>
    <row r="1814" spans="1:11" x14ac:dyDescent="0.2">
      <c r="A1814" t="s">
        <v>2282</v>
      </c>
      <c r="B1814" t="s">
        <v>309</v>
      </c>
      <c r="E1814" t="str">
        <f>IF(D1814&lt;&gt;"",C1814&amp;"/"&amp;D1814,"")</f>
        <v/>
      </c>
      <c r="G1814" s="5" t="str">
        <f t="shared" si="44"/>
        <v/>
      </c>
      <c r="I1814" s="6" t="str">
        <f t="shared" si="45"/>
        <v>0</v>
      </c>
    </row>
    <row r="1815" spans="1:11" x14ac:dyDescent="0.2">
      <c r="A1815" t="s">
        <v>2283</v>
      </c>
      <c r="B1815" t="s">
        <v>309</v>
      </c>
      <c r="E1815" t="str">
        <f>IF(D1815&lt;&gt;"",C1815&amp;"/"&amp;D1815,"")</f>
        <v/>
      </c>
      <c r="G1815" s="5" t="str">
        <f t="shared" si="44"/>
        <v/>
      </c>
      <c r="I1815" s="6" t="str">
        <f t="shared" si="45"/>
        <v>0</v>
      </c>
    </row>
    <row r="1816" spans="1:11" x14ac:dyDescent="0.2">
      <c r="A1816" t="s">
        <v>2285</v>
      </c>
      <c r="B1816" t="s">
        <v>309</v>
      </c>
      <c r="E1816" t="str">
        <f>IF(D1816&lt;&gt;"",C1816&amp;"/"&amp;D1816,"")</f>
        <v/>
      </c>
      <c r="G1816" s="5" t="str">
        <f t="shared" si="44"/>
        <v/>
      </c>
      <c r="I1816" s="6" t="str">
        <f t="shared" si="45"/>
        <v>0</v>
      </c>
    </row>
    <row r="1817" spans="1:11" x14ac:dyDescent="0.2">
      <c r="A1817" t="s">
        <v>2286</v>
      </c>
      <c r="B1817" t="s">
        <v>309</v>
      </c>
      <c r="E1817" t="str">
        <f>IF(D1817&lt;&gt;"",C1817&amp;"/"&amp;D1817,"")</f>
        <v/>
      </c>
      <c r="G1817" s="5" t="str">
        <f t="shared" si="44"/>
        <v/>
      </c>
      <c r="I1817" s="6" t="str">
        <f t="shared" si="45"/>
        <v>0</v>
      </c>
    </row>
    <row r="1818" spans="1:11" x14ac:dyDescent="0.2">
      <c r="A1818" t="s">
        <v>2288</v>
      </c>
      <c r="B1818" t="s">
        <v>309</v>
      </c>
      <c r="E1818" t="str">
        <f>IF(D1818&lt;&gt;"",C1818&amp;"/"&amp;D1818,"")</f>
        <v/>
      </c>
      <c r="G1818" s="5" t="str">
        <f t="shared" si="44"/>
        <v/>
      </c>
      <c r="I1818" s="6" t="str">
        <f t="shared" si="45"/>
        <v>0</v>
      </c>
    </row>
    <row r="1819" spans="1:11" x14ac:dyDescent="0.2">
      <c r="A1819" t="s">
        <v>2289</v>
      </c>
      <c r="B1819" t="s">
        <v>309</v>
      </c>
      <c r="E1819" t="str">
        <f>IF(D1819&lt;&gt;"",C1819&amp;"/"&amp;D1819,"")</f>
        <v/>
      </c>
      <c r="G1819" s="5" t="str">
        <f t="shared" si="44"/>
        <v/>
      </c>
      <c r="I1819" s="6" t="str">
        <f t="shared" si="45"/>
        <v>0</v>
      </c>
    </row>
    <row r="1820" spans="1:11" x14ac:dyDescent="0.2">
      <c r="A1820" t="s">
        <v>2290</v>
      </c>
      <c r="B1820" t="s">
        <v>309</v>
      </c>
      <c r="E1820" t="str">
        <f>IF(D1820&lt;&gt;"",C1820&amp;"/"&amp;D1820,"")</f>
        <v/>
      </c>
      <c r="G1820" s="5" t="str">
        <f t="shared" si="44"/>
        <v/>
      </c>
      <c r="I1820" s="6" t="str">
        <f t="shared" si="45"/>
        <v>0</v>
      </c>
    </row>
    <row r="1821" spans="1:11" x14ac:dyDescent="0.2">
      <c r="A1821" t="s">
        <v>2291</v>
      </c>
      <c r="B1821" t="s">
        <v>309</v>
      </c>
      <c r="E1821" t="str">
        <f>IF(D1821&lt;&gt;"",C1821&amp;"/"&amp;D1821,"")</f>
        <v/>
      </c>
      <c r="G1821" s="5" t="str">
        <f t="shared" si="44"/>
        <v/>
      </c>
      <c r="I1821" s="6" t="str">
        <f t="shared" si="45"/>
        <v>0</v>
      </c>
    </row>
    <row r="1822" spans="1:11" x14ac:dyDescent="0.2">
      <c r="A1822" t="s">
        <v>2292</v>
      </c>
      <c r="B1822" t="s">
        <v>309</v>
      </c>
      <c r="E1822" t="str">
        <f>IF(D1822&lt;&gt;"",C1822&amp;"/"&amp;D1822,"")</f>
        <v/>
      </c>
      <c r="G1822" s="5" t="str">
        <f t="shared" si="44"/>
        <v/>
      </c>
      <c r="I1822" s="6" t="str">
        <f t="shared" si="45"/>
        <v>0</v>
      </c>
    </row>
    <row r="1823" spans="1:11" x14ac:dyDescent="0.2">
      <c r="A1823" t="s">
        <v>2293</v>
      </c>
      <c r="B1823" t="s">
        <v>2294</v>
      </c>
      <c r="E1823" t="str">
        <f>IF(D1823&lt;&gt;"",C1823&amp;"/"&amp;D1823,"")</f>
        <v/>
      </c>
      <c r="G1823" s="5" t="str">
        <f t="shared" si="44"/>
        <v/>
      </c>
      <c r="I1823" s="6" t="str">
        <f t="shared" si="45"/>
        <v>0</v>
      </c>
    </row>
    <row r="1824" spans="1:11" x14ac:dyDescent="0.2">
      <c r="A1824" t="s">
        <v>2295</v>
      </c>
      <c r="E1824" t="str">
        <f>IF(D1824&lt;&gt;"",C1824&amp;"/"&amp;D1824,"")</f>
        <v/>
      </c>
      <c r="G1824" s="5" t="str">
        <f t="shared" si="44"/>
        <v/>
      </c>
      <c r="I1824" s="6" t="str">
        <f t="shared" si="45"/>
        <v>0</v>
      </c>
    </row>
    <row r="1825" spans="1:11" x14ac:dyDescent="0.2">
      <c r="A1825" t="s">
        <v>2299</v>
      </c>
      <c r="B1825" t="s">
        <v>3420</v>
      </c>
      <c r="E1825" t="str">
        <f>IF(D1825&lt;&gt;"",C1825&amp;"/"&amp;D1825,"")</f>
        <v/>
      </c>
      <c r="G1825" s="5" t="str">
        <f t="shared" si="44"/>
        <v/>
      </c>
      <c r="I1825" s="6" t="str">
        <f t="shared" si="45"/>
        <v>0</v>
      </c>
    </row>
    <row r="1826" spans="1:11" x14ac:dyDescent="0.2">
      <c r="A1826" t="s">
        <v>2300</v>
      </c>
      <c r="E1826" t="str">
        <f>IF(D1826&lt;&gt;"",C1826&amp;"/"&amp;D1826,"")</f>
        <v/>
      </c>
      <c r="G1826" s="5" t="str">
        <f t="shared" si="44"/>
        <v/>
      </c>
      <c r="I1826" s="6" t="str">
        <f t="shared" si="45"/>
        <v>0</v>
      </c>
    </row>
    <row r="1827" spans="1:11" x14ac:dyDescent="0.2">
      <c r="A1827" t="s">
        <v>2304</v>
      </c>
      <c r="B1827" t="s">
        <v>3421</v>
      </c>
      <c r="E1827" t="str">
        <f>IF(D1827&lt;&gt;"",C1827&amp;"/"&amp;D1827,"")</f>
        <v/>
      </c>
      <c r="G1827" s="5" t="str">
        <f t="shared" si="44"/>
        <v/>
      </c>
      <c r="I1827" s="6" t="str">
        <f t="shared" si="45"/>
        <v>0</v>
      </c>
    </row>
    <row r="1828" spans="1:11" x14ac:dyDescent="0.2">
      <c r="A1828" t="s">
        <v>2307</v>
      </c>
      <c r="B1828" t="s">
        <v>3422</v>
      </c>
      <c r="E1828" t="str">
        <f>IF(D1828&lt;&gt;"",C1828&amp;"/"&amp;D1828,"")</f>
        <v/>
      </c>
      <c r="G1828" s="5" t="str">
        <f t="shared" si="44"/>
        <v/>
      </c>
      <c r="I1828" s="6" t="str">
        <f t="shared" si="45"/>
        <v>0</v>
      </c>
    </row>
    <row r="1829" spans="1:11" x14ac:dyDescent="0.2">
      <c r="A1829" t="s">
        <v>2308</v>
      </c>
      <c r="E1829" t="str">
        <f>IF(D1829&lt;&gt;"",C1829&amp;"/"&amp;D1829,"")</f>
        <v/>
      </c>
      <c r="G1829" s="5" t="str">
        <f t="shared" si="44"/>
        <v/>
      </c>
      <c r="I1829" s="6" t="str">
        <f t="shared" si="45"/>
        <v>0</v>
      </c>
    </row>
    <row r="1830" spans="1:11" x14ac:dyDescent="0.2">
      <c r="A1830" t="s">
        <v>2313</v>
      </c>
      <c r="B1830" t="s">
        <v>3423</v>
      </c>
      <c r="E1830" t="str">
        <f>IF(D1830&lt;&gt;"",C1830&amp;"/"&amp;D1830,"")</f>
        <v/>
      </c>
      <c r="G1830" s="5" t="str">
        <f t="shared" si="44"/>
        <v/>
      </c>
      <c r="I1830" s="6" t="str">
        <f t="shared" si="45"/>
        <v>0</v>
      </c>
    </row>
    <row r="1831" spans="1:11" x14ac:dyDescent="0.2">
      <c r="A1831" t="s">
        <v>2314</v>
      </c>
      <c r="E1831" t="str">
        <f>IF(D1831&lt;&gt;"",C1831&amp;"/"&amp;D1831,"")</f>
        <v/>
      </c>
      <c r="G1831" s="5" t="str">
        <f t="shared" si="44"/>
        <v/>
      </c>
      <c r="I1831" s="6" t="str">
        <f t="shared" si="45"/>
        <v>0</v>
      </c>
    </row>
    <row r="1832" spans="1:11" x14ac:dyDescent="0.2">
      <c r="A1832" t="s">
        <v>2315</v>
      </c>
      <c r="B1832" t="s">
        <v>3424</v>
      </c>
      <c r="E1832" t="str">
        <f>IF(D1832&lt;&gt;"",C1832&amp;"/"&amp;D1832,"")</f>
        <v/>
      </c>
      <c r="G1832" s="5" t="str">
        <f t="shared" si="44"/>
        <v/>
      </c>
      <c r="I1832" s="6" t="str">
        <f t="shared" si="45"/>
        <v>0</v>
      </c>
    </row>
    <row r="1833" spans="1:11" x14ac:dyDescent="0.2">
      <c r="A1833" t="s">
        <v>2317</v>
      </c>
      <c r="B1833" t="s">
        <v>3425</v>
      </c>
      <c r="G1833" s="5" t="str">
        <f t="shared" si="44"/>
        <v/>
      </c>
      <c r="I1833" s="6" t="str">
        <f t="shared" si="45"/>
        <v>0</v>
      </c>
      <c r="K1833" s="21" t="s">
        <v>4641</v>
      </c>
    </row>
    <row r="1834" spans="1:11" x14ac:dyDescent="0.2">
      <c r="A1834" t="s">
        <v>2322</v>
      </c>
      <c r="B1834" t="s">
        <v>2323</v>
      </c>
      <c r="E1834" t="str">
        <f>IF(D1834&lt;&gt;"",C1834&amp;"/"&amp;D1834,"")</f>
        <v/>
      </c>
      <c r="G1834" s="5" t="str">
        <f t="shared" si="44"/>
        <v/>
      </c>
      <c r="I1834" s="6" t="str">
        <f t="shared" si="45"/>
        <v>0</v>
      </c>
    </row>
    <row r="1835" spans="1:11" x14ac:dyDescent="0.2">
      <c r="A1835" t="s">
        <v>2325</v>
      </c>
      <c r="B1835" t="s">
        <v>3256</v>
      </c>
      <c r="E1835" t="str">
        <f>IF(D1835&lt;&gt;"",C1835&amp;"/"&amp;D1835,"")</f>
        <v/>
      </c>
      <c r="G1835" s="5" t="str">
        <f t="shared" si="44"/>
        <v/>
      </c>
      <c r="I1835" s="6" t="str">
        <f t="shared" si="45"/>
        <v>0</v>
      </c>
    </row>
    <row r="1836" spans="1:11" x14ac:dyDescent="0.2">
      <c r="A1836" t="s">
        <v>2326</v>
      </c>
      <c r="B1836" t="s">
        <v>2327</v>
      </c>
      <c r="E1836" t="str">
        <f>IF(D1836&lt;&gt;"",C1836&amp;"/"&amp;D1836,"")</f>
        <v/>
      </c>
      <c r="G1836" s="5" t="str">
        <f t="shared" si="44"/>
        <v/>
      </c>
      <c r="I1836" s="6" t="str">
        <f t="shared" si="45"/>
        <v>0</v>
      </c>
    </row>
    <row r="1837" spans="1:11" x14ac:dyDescent="0.2">
      <c r="A1837" t="s">
        <v>2328</v>
      </c>
      <c r="B1837" t="s">
        <v>309</v>
      </c>
      <c r="E1837" t="str">
        <f>IF(D1837&lt;&gt;"",C1837&amp;"/"&amp;D1837,"")</f>
        <v/>
      </c>
      <c r="G1837" s="5" t="str">
        <f t="shared" si="44"/>
        <v/>
      </c>
      <c r="I1837" s="6" t="str">
        <f t="shared" si="45"/>
        <v>0</v>
      </c>
    </row>
    <row r="1838" spans="1:11" x14ac:dyDescent="0.2">
      <c r="A1838" t="s">
        <v>2329</v>
      </c>
      <c r="B1838" t="s">
        <v>309</v>
      </c>
      <c r="E1838" t="str">
        <f>IF(D1838&lt;&gt;"",C1838&amp;"/"&amp;D1838,"")</f>
        <v/>
      </c>
      <c r="G1838" s="5" t="str">
        <f t="shared" si="44"/>
        <v/>
      </c>
      <c r="I1838" s="6" t="str">
        <f t="shared" si="45"/>
        <v>0</v>
      </c>
    </row>
    <row r="1839" spans="1:11" x14ac:dyDescent="0.2">
      <c r="A1839" t="s">
        <v>2330</v>
      </c>
      <c r="B1839" t="s">
        <v>309</v>
      </c>
      <c r="E1839" t="str">
        <f>IF(D1839&lt;&gt;"",C1839&amp;"/"&amp;D1839,"")</f>
        <v/>
      </c>
      <c r="G1839" s="5" t="str">
        <f t="shared" si="44"/>
        <v/>
      </c>
      <c r="I1839" s="6" t="str">
        <f t="shared" si="45"/>
        <v>0</v>
      </c>
    </row>
    <row r="1840" spans="1:11" x14ac:dyDescent="0.2">
      <c r="A1840" t="s">
        <v>2333</v>
      </c>
      <c r="B1840" t="s">
        <v>309</v>
      </c>
      <c r="E1840" t="str">
        <f>IF(D1840&lt;&gt;"",C1840&amp;"/"&amp;D1840,"")</f>
        <v/>
      </c>
      <c r="G1840" s="5" t="str">
        <f t="shared" si="44"/>
        <v/>
      </c>
      <c r="I1840" s="6" t="str">
        <f t="shared" si="45"/>
        <v>0</v>
      </c>
    </row>
    <row r="1841" spans="1:9" x14ac:dyDescent="0.2">
      <c r="A1841" t="s">
        <v>2334</v>
      </c>
      <c r="B1841" t="s">
        <v>309</v>
      </c>
      <c r="E1841" t="str">
        <f>IF(D1841&lt;&gt;"",C1841&amp;"/"&amp;D1841,"")</f>
        <v/>
      </c>
      <c r="G1841" s="5" t="str">
        <f t="shared" si="44"/>
        <v/>
      </c>
      <c r="I1841" s="6" t="str">
        <f t="shared" si="45"/>
        <v>0</v>
      </c>
    </row>
    <row r="1842" spans="1:9" x14ac:dyDescent="0.2">
      <c r="A1842" t="s">
        <v>2335</v>
      </c>
      <c r="B1842" t="s">
        <v>309</v>
      </c>
      <c r="E1842" t="str">
        <f>IF(D1842&lt;&gt;"",C1842&amp;"/"&amp;D1842,"")</f>
        <v/>
      </c>
      <c r="G1842" s="5" t="str">
        <f t="shared" si="44"/>
        <v/>
      </c>
      <c r="I1842" s="6" t="str">
        <f t="shared" si="45"/>
        <v>0</v>
      </c>
    </row>
    <row r="1843" spans="1:9" x14ac:dyDescent="0.2">
      <c r="A1843" t="s">
        <v>2336</v>
      </c>
      <c r="B1843" t="s">
        <v>309</v>
      </c>
      <c r="E1843" t="str">
        <f>IF(D1843&lt;&gt;"",C1843&amp;"/"&amp;D1843,"")</f>
        <v/>
      </c>
      <c r="G1843" s="5" t="str">
        <f t="shared" si="44"/>
        <v/>
      </c>
      <c r="I1843" s="6" t="str">
        <f t="shared" si="45"/>
        <v>0</v>
      </c>
    </row>
    <row r="1844" spans="1:9" x14ac:dyDescent="0.2">
      <c r="A1844" t="s">
        <v>2337</v>
      </c>
      <c r="B1844" t="s">
        <v>309</v>
      </c>
      <c r="E1844" t="str">
        <f>IF(D1844&lt;&gt;"",C1844&amp;"/"&amp;D1844,"")</f>
        <v/>
      </c>
      <c r="G1844" s="5" t="str">
        <f t="shared" si="44"/>
        <v/>
      </c>
      <c r="I1844" s="6" t="str">
        <f t="shared" si="45"/>
        <v>0</v>
      </c>
    </row>
    <row r="1845" spans="1:9" x14ac:dyDescent="0.2">
      <c r="A1845" t="s">
        <v>2339</v>
      </c>
      <c r="B1845" t="s">
        <v>309</v>
      </c>
      <c r="E1845" t="str">
        <f>IF(D1845&lt;&gt;"",C1845&amp;"/"&amp;D1845,"")</f>
        <v/>
      </c>
      <c r="G1845" s="5" t="str">
        <f t="shared" si="44"/>
        <v/>
      </c>
      <c r="I1845" s="6" t="str">
        <f t="shared" si="45"/>
        <v>0</v>
      </c>
    </row>
    <row r="1846" spans="1:9" x14ac:dyDescent="0.2">
      <c r="A1846" t="s">
        <v>2340</v>
      </c>
      <c r="B1846" t="s">
        <v>309</v>
      </c>
      <c r="E1846" t="str">
        <f>IF(D1846&lt;&gt;"",C1846&amp;"/"&amp;D1846,"")</f>
        <v/>
      </c>
      <c r="G1846" s="5" t="str">
        <f t="shared" si="44"/>
        <v/>
      </c>
      <c r="I1846" s="6" t="str">
        <f t="shared" si="45"/>
        <v>0</v>
      </c>
    </row>
    <row r="1847" spans="1:9" x14ac:dyDescent="0.2">
      <c r="A1847" t="s">
        <v>2341</v>
      </c>
      <c r="B1847" t="s">
        <v>309</v>
      </c>
      <c r="E1847" t="str">
        <f>IF(D1847&lt;&gt;"",C1847&amp;"/"&amp;D1847,"")</f>
        <v/>
      </c>
      <c r="G1847" s="5" t="str">
        <f t="shared" si="44"/>
        <v/>
      </c>
      <c r="I1847" s="6" t="str">
        <f t="shared" si="45"/>
        <v>0</v>
      </c>
    </row>
    <row r="1848" spans="1:9" x14ac:dyDescent="0.2">
      <c r="A1848" t="s">
        <v>2343</v>
      </c>
      <c r="B1848" t="s">
        <v>309</v>
      </c>
      <c r="E1848" t="str">
        <f>IF(D1848&lt;&gt;"",C1848&amp;"/"&amp;D1848,"")</f>
        <v/>
      </c>
      <c r="G1848" s="5" t="str">
        <f t="shared" si="44"/>
        <v/>
      </c>
      <c r="I1848" s="6" t="str">
        <f t="shared" si="45"/>
        <v>0</v>
      </c>
    </row>
    <row r="1849" spans="1:9" x14ac:dyDescent="0.2">
      <c r="A1849" t="s">
        <v>2344</v>
      </c>
      <c r="B1849" t="s">
        <v>309</v>
      </c>
      <c r="E1849" t="str">
        <f>IF(D1849&lt;&gt;"",C1849&amp;"/"&amp;D1849,"")</f>
        <v/>
      </c>
      <c r="G1849" s="5" t="str">
        <f t="shared" si="44"/>
        <v/>
      </c>
      <c r="I1849" s="6" t="str">
        <f t="shared" si="45"/>
        <v>0</v>
      </c>
    </row>
    <row r="1850" spans="1:9" x14ac:dyDescent="0.2">
      <c r="A1850" t="s">
        <v>2345</v>
      </c>
      <c r="B1850" t="s">
        <v>309</v>
      </c>
      <c r="E1850" t="str">
        <f>IF(D1850&lt;&gt;"",C1850&amp;"/"&amp;D1850,"")</f>
        <v/>
      </c>
      <c r="G1850" s="5" t="str">
        <f t="shared" si="44"/>
        <v/>
      </c>
      <c r="I1850" s="6" t="str">
        <f t="shared" si="45"/>
        <v>0</v>
      </c>
    </row>
    <row r="1851" spans="1:9" x14ac:dyDescent="0.2">
      <c r="A1851" t="s">
        <v>2346</v>
      </c>
      <c r="B1851" t="s">
        <v>309</v>
      </c>
      <c r="E1851" t="str">
        <f>IF(D1851&lt;&gt;"",C1851&amp;"/"&amp;D1851,"")</f>
        <v/>
      </c>
      <c r="G1851" s="5" t="str">
        <f t="shared" si="44"/>
        <v/>
      </c>
      <c r="I1851" s="6" t="str">
        <f t="shared" si="45"/>
        <v>0</v>
      </c>
    </row>
    <row r="1852" spans="1:9" x14ac:dyDescent="0.2">
      <c r="A1852" t="s">
        <v>2347</v>
      </c>
      <c r="B1852" t="s">
        <v>309</v>
      </c>
      <c r="E1852" t="str">
        <f>IF(D1852&lt;&gt;"",C1852&amp;"/"&amp;D1852,"")</f>
        <v/>
      </c>
      <c r="G1852" s="5" t="str">
        <f t="shared" si="44"/>
        <v/>
      </c>
      <c r="I1852" s="6" t="str">
        <f t="shared" si="45"/>
        <v>0</v>
      </c>
    </row>
    <row r="1853" spans="1:9" x14ac:dyDescent="0.2">
      <c r="A1853" t="s">
        <v>2350</v>
      </c>
      <c r="B1853" t="s">
        <v>309</v>
      </c>
      <c r="E1853" t="str">
        <f>IF(D1853&lt;&gt;"",C1853&amp;"/"&amp;D1853,"")</f>
        <v/>
      </c>
      <c r="G1853" s="5" t="str">
        <f t="shared" si="44"/>
        <v/>
      </c>
      <c r="I1853" s="6" t="str">
        <f t="shared" si="45"/>
        <v>0</v>
      </c>
    </row>
    <row r="1854" spans="1:9" x14ac:dyDescent="0.2">
      <c r="A1854" t="s">
        <v>2351</v>
      </c>
      <c r="B1854" t="s">
        <v>2352</v>
      </c>
      <c r="E1854" t="str">
        <f>IF(D1854&lt;&gt;"",C1854&amp;"/"&amp;D1854,"")</f>
        <v/>
      </c>
      <c r="G1854" s="5" t="str">
        <f t="shared" si="44"/>
        <v/>
      </c>
      <c r="I1854" s="6" t="str">
        <f t="shared" si="45"/>
        <v>0</v>
      </c>
    </row>
    <row r="1855" spans="1:9" x14ac:dyDescent="0.2">
      <c r="A1855" t="s">
        <v>2355</v>
      </c>
      <c r="B1855" t="s">
        <v>2356</v>
      </c>
      <c r="E1855" t="str">
        <f>IF(D1855&lt;&gt;"",C1855&amp;"/"&amp;D1855,"")</f>
        <v/>
      </c>
      <c r="G1855" s="5" t="str">
        <f t="shared" si="44"/>
        <v/>
      </c>
      <c r="I1855" s="6" t="str">
        <f t="shared" si="45"/>
        <v>0</v>
      </c>
    </row>
    <row r="1856" spans="1:9" x14ac:dyDescent="0.2">
      <c r="A1856" t="s">
        <v>2357</v>
      </c>
      <c r="B1856" t="s">
        <v>309</v>
      </c>
      <c r="E1856" t="str">
        <f>IF(D1856&lt;&gt;"",C1856&amp;"/"&amp;D1856,"")</f>
        <v/>
      </c>
      <c r="G1856" s="5" t="str">
        <f t="shared" si="44"/>
        <v/>
      </c>
      <c r="I1856" s="6" t="str">
        <f t="shared" si="45"/>
        <v>0</v>
      </c>
    </row>
    <row r="1857" spans="1:11" x14ac:dyDescent="0.2">
      <c r="A1857" t="s">
        <v>2358</v>
      </c>
      <c r="B1857" t="s">
        <v>309</v>
      </c>
      <c r="E1857" t="str">
        <f>IF(D1857&lt;&gt;"",C1857&amp;"/"&amp;D1857,"")</f>
        <v/>
      </c>
      <c r="G1857" s="5" t="str">
        <f t="shared" si="44"/>
        <v/>
      </c>
      <c r="I1857" s="6" t="str">
        <f t="shared" si="45"/>
        <v>0</v>
      </c>
    </row>
    <row r="1858" spans="1:11" x14ac:dyDescent="0.2">
      <c r="A1858" t="s">
        <v>2359</v>
      </c>
      <c r="B1858" t="s">
        <v>309</v>
      </c>
      <c r="E1858" t="str">
        <f>IF(D1858&lt;&gt;"",C1858&amp;"/"&amp;D1858,"")</f>
        <v/>
      </c>
      <c r="G1858" s="5" t="str">
        <f t="shared" si="44"/>
        <v/>
      </c>
      <c r="I1858" s="6" t="str">
        <f t="shared" si="45"/>
        <v>0</v>
      </c>
    </row>
    <row r="1859" spans="1:11" x14ac:dyDescent="0.2">
      <c r="A1859" t="s">
        <v>2360</v>
      </c>
      <c r="B1859" t="s">
        <v>309</v>
      </c>
      <c r="E1859" t="str">
        <f>IF(D1859&lt;&gt;"",C1859&amp;"/"&amp;D1859,"")</f>
        <v/>
      </c>
      <c r="G1859" s="5" t="str">
        <f t="shared" si="44"/>
        <v/>
      </c>
      <c r="I1859" s="6" t="str">
        <f t="shared" si="45"/>
        <v>0</v>
      </c>
    </row>
    <row r="1860" spans="1:11" x14ac:dyDescent="0.2">
      <c r="A1860" t="s">
        <v>2361</v>
      </c>
      <c r="B1860" t="s">
        <v>309</v>
      </c>
      <c r="E1860" t="str">
        <f>IF(D1860&lt;&gt;"",C1860&amp;"/"&amp;D1860,"")</f>
        <v/>
      </c>
      <c r="G1860" s="5" t="str">
        <f t="shared" si="44"/>
        <v/>
      </c>
      <c r="I1860" s="6" t="str">
        <f t="shared" si="45"/>
        <v>0</v>
      </c>
    </row>
    <row r="1861" spans="1:11" x14ac:dyDescent="0.2">
      <c r="A1861" t="s">
        <v>2362</v>
      </c>
      <c r="B1861" t="s">
        <v>309</v>
      </c>
      <c r="E1861" t="str">
        <f>IF(D1861&lt;&gt;"",C1861&amp;"/"&amp;D1861,"")</f>
        <v/>
      </c>
      <c r="G1861" s="5" t="str">
        <f t="shared" si="44"/>
        <v/>
      </c>
      <c r="I1861" s="6" t="str">
        <f t="shared" si="45"/>
        <v>0</v>
      </c>
    </row>
    <row r="1862" spans="1:11" x14ac:dyDescent="0.2">
      <c r="A1862" t="s">
        <v>2363</v>
      </c>
      <c r="B1862" t="s">
        <v>309</v>
      </c>
      <c r="E1862" t="str">
        <f>IF(D1862&lt;&gt;"",C1862&amp;"/"&amp;D1862,"")</f>
        <v/>
      </c>
      <c r="G1862" s="5" t="str">
        <f t="shared" si="44"/>
        <v/>
      </c>
      <c r="I1862" s="6" t="str">
        <f t="shared" si="45"/>
        <v>0</v>
      </c>
    </row>
    <row r="1863" spans="1:11" x14ac:dyDescent="0.2">
      <c r="A1863" t="s">
        <v>2364</v>
      </c>
      <c r="B1863" t="s">
        <v>309</v>
      </c>
      <c r="E1863" t="str">
        <f>IF(D1863&lt;&gt;"",C1863&amp;"/"&amp;D1863,"")</f>
        <v/>
      </c>
      <c r="G1863" s="5" t="str">
        <f t="shared" si="44"/>
        <v/>
      </c>
      <c r="I1863" s="6" t="str">
        <f t="shared" si="45"/>
        <v>0</v>
      </c>
    </row>
    <row r="1864" spans="1:11" x14ac:dyDescent="0.2">
      <c r="A1864" t="s">
        <v>2365</v>
      </c>
      <c r="B1864" t="s">
        <v>309</v>
      </c>
      <c r="E1864" t="str">
        <f>IF(D1864&lt;&gt;"",C1864&amp;"/"&amp;D1864,"")</f>
        <v/>
      </c>
      <c r="G1864" s="5" t="str">
        <f t="shared" si="44"/>
        <v/>
      </c>
      <c r="I1864" s="6" t="str">
        <f t="shared" si="45"/>
        <v>0</v>
      </c>
    </row>
    <row r="1865" spans="1:11" x14ac:dyDescent="0.2">
      <c r="A1865" t="s">
        <v>3281</v>
      </c>
      <c r="B1865" t="s">
        <v>3282</v>
      </c>
      <c r="E1865" t="str">
        <f>IF(D1865&lt;&gt;"",C1865&amp;"/"&amp;D1865,"")</f>
        <v/>
      </c>
      <c r="G1865" s="5" t="str">
        <f t="shared" si="44"/>
        <v/>
      </c>
      <c r="H1865" s="5">
        <v>24</v>
      </c>
      <c r="I1865" s="6" t="str">
        <f t="shared" si="45"/>
        <v>18</v>
      </c>
    </row>
    <row r="1866" spans="1:11" x14ac:dyDescent="0.2">
      <c r="A1866" t="s">
        <v>2369</v>
      </c>
      <c r="B1866" t="s">
        <v>3428</v>
      </c>
      <c r="G1866" s="5" t="str">
        <f t="shared" si="44"/>
        <v/>
      </c>
      <c r="I1866" s="6" t="str">
        <f t="shared" si="45"/>
        <v>0</v>
      </c>
      <c r="K1866" s="21" t="s">
        <v>4642</v>
      </c>
    </row>
    <row r="1867" spans="1:11" x14ac:dyDescent="0.2">
      <c r="A1867" t="s">
        <v>2370</v>
      </c>
      <c r="B1867" t="s">
        <v>309</v>
      </c>
      <c r="E1867" t="str">
        <f>IF(D1867&lt;&gt;"",C1867&amp;"/"&amp;D1867,"")</f>
        <v/>
      </c>
      <c r="G1867" s="5" t="str">
        <f t="shared" si="44"/>
        <v/>
      </c>
      <c r="I1867" s="6" t="str">
        <f t="shared" si="45"/>
        <v>0</v>
      </c>
    </row>
    <row r="1868" spans="1:11" x14ac:dyDescent="0.2">
      <c r="A1868" t="s">
        <v>2371</v>
      </c>
      <c r="B1868" t="s">
        <v>309</v>
      </c>
      <c r="E1868" t="str">
        <f>IF(D1868&lt;&gt;"",C1868&amp;"/"&amp;D1868,"")</f>
        <v/>
      </c>
      <c r="G1868" s="5" t="str">
        <f t="shared" si="44"/>
        <v/>
      </c>
      <c r="I1868" s="6" t="str">
        <f t="shared" si="45"/>
        <v>0</v>
      </c>
    </row>
    <row r="1869" spans="1:11" x14ac:dyDescent="0.2">
      <c r="A1869" t="s">
        <v>2372</v>
      </c>
      <c r="B1869" t="s">
        <v>309</v>
      </c>
      <c r="E1869" t="str">
        <f>IF(D1869&lt;&gt;"",C1869&amp;"/"&amp;D1869,"")</f>
        <v/>
      </c>
      <c r="G1869" s="5" t="str">
        <f t="shared" si="44"/>
        <v/>
      </c>
      <c r="I1869" s="6" t="str">
        <f t="shared" si="45"/>
        <v>0</v>
      </c>
    </row>
    <row r="1870" spans="1:11" x14ac:dyDescent="0.2">
      <c r="A1870" t="s">
        <v>2373</v>
      </c>
      <c r="B1870" t="s">
        <v>309</v>
      </c>
      <c r="E1870" t="str">
        <f>IF(D1870&lt;&gt;"",C1870&amp;"/"&amp;D1870,"")</f>
        <v/>
      </c>
      <c r="G1870" s="5" t="str">
        <f t="shared" si="44"/>
        <v/>
      </c>
      <c r="I1870" s="6" t="str">
        <f t="shared" si="45"/>
        <v>0</v>
      </c>
    </row>
    <row r="1871" spans="1:11" x14ac:dyDescent="0.2">
      <c r="A1871" t="s">
        <v>2374</v>
      </c>
      <c r="B1871" t="s">
        <v>309</v>
      </c>
      <c r="E1871" t="str">
        <f>IF(D1871&lt;&gt;"",C1871&amp;"/"&amp;D1871,"")</f>
        <v/>
      </c>
      <c r="G1871" s="5" t="str">
        <f t="shared" si="44"/>
        <v/>
      </c>
      <c r="I1871" s="6" t="str">
        <f t="shared" si="45"/>
        <v>0</v>
      </c>
    </row>
    <row r="1872" spans="1:11" x14ac:dyDescent="0.2">
      <c r="A1872" t="s">
        <v>2375</v>
      </c>
      <c r="B1872" t="s">
        <v>2376</v>
      </c>
      <c r="E1872" t="str">
        <f>IF(D1872&lt;&gt;"",C1872&amp;"/"&amp;D1872,"")</f>
        <v/>
      </c>
      <c r="G1872" s="5" t="str">
        <f t="shared" ref="G1872:G1935" si="46">IF(F1872&lt;&gt;"",HEX2DEC(SUBSTITUTE(SUBSTITUTE(F1872,"adrEA",""),"$","")),"")</f>
        <v/>
      </c>
      <c r="I1872" s="6" t="str">
        <f t="shared" ref="I1872:I1935" si="47">IFERROR(DEC2HEX(H1872),"")</f>
        <v>0</v>
      </c>
    </row>
    <row r="1873" spans="1:11" x14ac:dyDescent="0.2">
      <c r="A1873" t="s">
        <v>2377</v>
      </c>
      <c r="B1873" t="s">
        <v>2378</v>
      </c>
      <c r="E1873" t="str">
        <f>IF(D1873&lt;&gt;"",C1873&amp;"/"&amp;D1873,"")</f>
        <v/>
      </c>
      <c r="G1873" s="5" t="str">
        <f t="shared" si="46"/>
        <v/>
      </c>
      <c r="I1873" s="6" t="str">
        <f t="shared" si="47"/>
        <v>0</v>
      </c>
    </row>
    <row r="1874" spans="1:11" x14ac:dyDescent="0.2">
      <c r="A1874" t="s">
        <v>2379</v>
      </c>
      <c r="B1874" t="s">
        <v>3917</v>
      </c>
      <c r="C1874" s="5" t="s">
        <v>48</v>
      </c>
      <c r="D1874" t="s">
        <v>3918</v>
      </c>
      <c r="E1874" t="s">
        <v>3919</v>
      </c>
      <c r="F1874" s="5" t="s">
        <v>3920</v>
      </c>
      <c r="G1874" s="5">
        <f t="shared" si="46"/>
        <v>41998</v>
      </c>
      <c r="H1874" s="5">
        <v>9</v>
      </c>
      <c r="I1874" s="6" t="str">
        <f t="shared" si="47"/>
        <v>9</v>
      </c>
      <c r="K1874" s="21" t="s">
        <v>3921</v>
      </c>
    </row>
    <row r="1875" spans="1:11" x14ac:dyDescent="0.2">
      <c r="A1875" t="s">
        <v>2381</v>
      </c>
      <c r="B1875" t="s">
        <v>309</v>
      </c>
      <c r="E1875" t="str">
        <f>IF(D1875&lt;&gt;"",C1875&amp;"/"&amp;D1875,"")</f>
        <v/>
      </c>
      <c r="G1875" s="5" t="str">
        <f t="shared" si="46"/>
        <v/>
      </c>
      <c r="I1875" s="6" t="str">
        <f t="shared" si="47"/>
        <v>0</v>
      </c>
    </row>
    <row r="1876" spans="1:11" x14ac:dyDescent="0.2">
      <c r="A1876" t="s">
        <v>2382</v>
      </c>
      <c r="B1876" t="s">
        <v>309</v>
      </c>
      <c r="E1876" t="str">
        <f>IF(D1876&lt;&gt;"",C1876&amp;"/"&amp;D1876,"")</f>
        <v/>
      </c>
      <c r="G1876" s="5" t="str">
        <f t="shared" si="46"/>
        <v/>
      </c>
      <c r="I1876" s="6" t="str">
        <f t="shared" si="47"/>
        <v>0</v>
      </c>
    </row>
    <row r="1877" spans="1:11" x14ac:dyDescent="0.2">
      <c r="A1877" t="s">
        <v>2383</v>
      </c>
      <c r="B1877" t="s">
        <v>309</v>
      </c>
      <c r="E1877" t="str">
        <f>IF(D1877&lt;&gt;"",C1877&amp;"/"&amp;D1877,"")</f>
        <v/>
      </c>
      <c r="G1877" s="5" t="str">
        <f t="shared" si="46"/>
        <v/>
      </c>
      <c r="I1877" s="6" t="str">
        <f t="shared" si="47"/>
        <v>0</v>
      </c>
    </row>
    <row r="1878" spans="1:11" x14ac:dyDescent="0.2">
      <c r="A1878" t="s">
        <v>2384</v>
      </c>
      <c r="B1878" t="s">
        <v>309</v>
      </c>
      <c r="E1878" t="str">
        <f>IF(D1878&lt;&gt;"",C1878&amp;"/"&amp;D1878,"")</f>
        <v/>
      </c>
      <c r="G1878" s="5" t="str">
        <f t="shared" si="46"/>
        <v/>
      </c>
      <c r="I1878" s="6" t="str">
        <f t="shared" si="47"/>
        <v>0</v>
      </c>
    </row>
    <row r="1879" spans="1:11" x14ac:dyDescent="0.2">
      <c r="A1879" t="s">
        <v>2385</v>
      </c>
      <c r="B1879" t="s">
        <v>309</v>
      </c>
      <c r="E1879" t="str">
        <f>IF(D1879&lt;&gt;"",C1879&amp;"/"&amp;D1879,"")</f>
        <v/>
      </c>
      <c r="G1879" s="5" t="str">
        <f t="shared" si="46"/>
        <v/>
      </c>
      <c r="I1879" s="6" t="str">
        <f t="shared" si="47"/>
        <v>0</v>
      </c>
    </row>
    <row r="1880" spans="1:11" x14ac:dyDescent="0.2">
      <c r="A1880" t="s">
        <v>2386</v>
      </c>
      <c r="B1880" t="s">
        <v>309</v>
      </c>
      <c r="E1880" t="str">
        <f>IF(D1880&lt;&gt;"",C1880&amp;"/"&amp;D1880,"")</f>
        <v/>
      </c>
      <c r="G1880" s="5" t="str">
        <f t="shared" si="46"/>
        <v/>
      </c>
      <c r="I1880" s="6" t="str">
        <f t="shared" si="47"/>
        <v>0</v>
      </c>
    </row>
    <row r="1881" spans="1:11" ht="17" x14ac:dyDescent="0.25">
      <c r="A1881" t="s">
        <v>2387</v>
      </c>
      <c r="B1881" s="19" t="s">
        <v>3630</v>
      </c>
      <c r="C1881" s="5" t="s">
        <v>48</v>
      </c>
      <c r="D1881" s="19" t="s">
        <v>3631</v>
      </c>
      <c r="E1881" t="str">
        <f>IF(D1881&lt;&gt;"",C1881&amp;"/"&amp;D1881,"")</f>
        <v>data/characters-body-definitions.layout</v>
      </c>
      <c r="F1881" s="5" t="s">
        <v>3632</v>
      </c>
      <c r="G1881" s="5">
        <f t="shared" si="46"/>
        <v>42250</v>
      </c>
      <c r="H1881" s="5">
        <v>140</v>
      </c>
      <c r="I1881" s="6" t="str">
        <f t="shared" si="47"/>
        <v>8C</v>
      </c>
      <c r="K1881" s="21" t="s">
        <v>3661</v>
      </c>
    </row>
    <row r="1882" spans="1:11" ht="17" x14ac:dyDescent="0.25">
      <c r="A1882" s="19" t="s">
        <v>2389</v>
      </c>
      <c r="B1882" s="19" t="s">
        <v>3636</v>
      </c>
      <c r="C1882" s="5" t="s">
        <v>48</v>
      </c>
      <c r="D1882" s="19" t="s">
        <v>3637</v>
      </c>
      <c r="E1882" t="str">
        <f>IF(D1882&lt;&gt;"",C1882&amp;"/"&amp;D1882,"")</f>
        <v>data/characters-render-table-offsets.lookup</v>
      </c>
      <c r="F1882" s="5" t="s">
        <v>3638</v>
      </c>
      <c r="G1882" s="5">
        <f t="shared" si="46"/>
        <v>42476</v>
      </c>
      <c r="H1882" s="5">
        <v>20</v>
      </c>
      <c r="I1882" s="6" t="str">
        <f t="shared" si="47"/>
        <v>14</v>
      </c>
      <c r="J1882"/>
      <c r="K1882" s="17" t="s">
        <v>3665</v>
      </c>
    </row>
    <row r="1883" spans="1:11" ht="17" x14ac:dyDescent="0.25">
      <c r="A1883" s="19" t="s">
        <v>2390</v>
      </c>
      <c r="B1883" s="19" t="s">
        <v>3666</v>
      </c>
      <c r="E1883" t="str">
        <f>IF(D1883&lt;&gt;"",C1883&amp;"/"&amp;D1883,"")</f>
        <v/>
      </c>
      <c r="G1883" s="5" t="str">
        <f t="shared" si="46"/>
        <v/>
      </c>
      <c r="I1883" s="6" t="str">
        <f t="shared" si="47"/>
        <v>0</v>
      </c>
      <c r="J1883"/>
      <c r="K1883" s="17"/>
    </row>
    <row r="1884" spans="1:11" ht="17" x14ac:dyDescent="0.25">
      <c r="A1884" t="s">
        <v>2391</v>
      </c>
      <c r="B1884" s="19" t="s">
        <v>3633</v>
      </c>
      <c r="C1884" s="5" t="s">
        <v>48</v>
      </c>
      <c r="D1884" s="19" t="s">
        <v>3634</v>
      </c>
      <c r="E1884" t="str">
        <f>IF(D1884&lt;&gt;"",C1884&amp;"/"&amp;D1884,"")</f>
        <v>data/characters-part-variants.lookup</v>
      </c>
      <c r="F1884" s="5" t="s">
        <v>3635</v>
      </c>
      <c r="G1884" s="5">
        <f t="shared" si="46"/>
        <v>42496</v>
      </c>
      <c r="H1884" s="5">
        <v>20</v>
      </c>
      <c r="I1884" s="6" t="str">
        <f t="shared" si="47"/>
        <v>14</v>
      </c>
      <c r="K1884" s="21" t="s">
        <v>3664</v>
      </c>
    </row>
    <row r="1885" spans="1:11" ht="17" x14ac:dyDescent="0.25">
      <c r="A1885" t="s">
        <v>2392</v>
      </c>
      <c r="B1885" s="19" t="s">
        <v>3660</v>
      </c>
      <c r="E1885" t="str">
        <f>IF(D1885&lt;&gt;"",C1885&amp;"/"&amp;D1885,"")</f>
        <v/>
      </c>
      <c r="G1885" s="5" t="str">
        <f t="shared" si="46"/>
        <v/>
      </c>
      <c r="I1885" s="6" t="str">
        <f t="shared" si="47"/>
        <v>0</v>
      </c>
      <c r="K1885" s="21" t="s">
        <v>3667</v>
      </c>
    </row>
    <row r="1886" spans="1:11" x14ac:dyDescent="0.2">
      <c r="A1886" t="s">
        <v>2393</v>
      </c>
      <c r="B1886" t="s">
        <v>309</v>
      </c>
      <c r="E1886" t="str">
        <f>IF(D1886&lt;&gt;"",C1886&amp;"/"&amp;D1886,"")</f>
        <v/>
      </c>
      <c r="G1886" s="5" t="str">
        <f t="shared" si="46"/>
        <v/>
      </c>
      <c r="I1886" s="6" t="str">
        <f t="shared" si="47"/>
        <v>0</v>
      </c>
    </row>
    <row r="1887" spans="1:11" x14ac:dyDescent="0.2">
      <c r="A1887" t="s">
        <v>2394</v>
      </c>
      <c r="B1887" t="s">
        <v>309</v>
      </c>
      <c r="E1887" t="str">
        <f>IF(D1887&lt;&gt;"",C1887&amp;"/"&amp;D1887,"")</f>
        <v/>
      </c>
      <c r="G1887" s="5" t="str">
        <f t="shared" si="46"/>
        <v/>
      </c>
      <c r="I1887" s="6" t="str">
        <f t="shared" si="47"/>
        <v>0</v>
      </c>
    </row>
    <row r="1888" spans="1:11" x14ac:dyDescent="0.2">
      <c r="A1888" t="s">
        <v>2395</v>
      </c>
      <c r="B1888" t="s">
        <v>309</v>
      </c>
      <c r="E1888" t="str">
        <f>IF(D1888&lt;&gt;"",C1888&amp;"/"&amp;D1888,"")</f>
        <v/>
      </c>
      <c r="G1888" s="5" t="str">
        <f t="shared" si="46"/>
        <v/>
      </c>
      <c r="I1888" s="6" t="str">
        <f t="shared" si="47"/>
        <v>0</v>
      </c>
    </row>
    <row r="1889" spans="1:11" x14ac:dyDescent="0.2">
      <c r="A1889" t="s">
        <v>2396</v>
      </c>
      <c r="B1889" t="s">
        <v>309</v>
      </c>
      <c r="E1889" t="str">
        <f>IF(D1889&lt;&gt;"",C1889&amp;"/"&amp;D1889,"")</f>
        <v/>
      </c>
      <c r="G1889" s="5" t="str">
        <f t="shared" si="46"/>
        <v/>
      </c>
      <c r="I1889" s="6" t="str">
        <f t="shared" si="47"/>
        <v>0</v>
      </c>
    </row>
    <row r="1890" spans="1:11" x14ac:dyDescent="0.2">
      <c r="A1890" t="s">
        <v>2397</v>
      </c>
      <c r="B1890" t="s">
        <v>309</v>
      </c>
      <c r="E1890" t="str">
        <f>IF(D1890&lt;&gt;"",C1890&amp;"/"&amp;D1890,"")</f>
        <v/>
      </c>
      <c r="G1890" s="5" t="str">
        <f t="shared" si="46"/>
        <v/>
      </c>
      <c r="I1890" s="6" t="str">
        <f t="shared" si="47"/>
        <v>0</v>
      </c>
    </row>
    <row r="1891" spans="1:11" x14ac:dyDescent="0.2">
      <c r="A1891" t="s">
        <v>2398</v>
      </c>
      <c r="B1891" t="s">
        <v>309</v>
      </c>
      <c r="E1891" t="str">
        <f>IF(D1891&lt;&gt;"",C1891&amp;"/"&amp;D1891,"")</f>
        <v/>
      </c>
      <c r="G1891" s="5" t="str">
        <f t="shared" si="46"/>
        <v/>
      </c>
      <c r="I1891" s="6" t="str">
        <f t="shared" si="47"/>
        <v>0</v>
      </c>
    </row>
    <row r="1892" spans="1:11" x14ac:dyDescent="0.2">
      <c r="A1892" t="s">
        <v>2399</v>
      </c>
      <c r="B1892" t="s">
        <v>309</v>
      </c>
      <c r="E1892" t="str">
        <f>IF(D1892&lt;&gt;"",C1892&amp;"/"&amp;D1892,"")</f>
        <v/>
      </c>
      <c r="G1892" s="5" t="str">
        <f t="shared" si="46"/>
        <v/>
      </c>
      <c r="I1892" s="6" t="str">
        <f t="shared" si="47"/>
        <v>0</v>
      </c>
    </row>
    <row r="1893" spans="1:11" x14ac:dyDescent="0.2">
      <c r="A1893" t="s">
        <v>2400</v>
      </c>
      <c r="B1893" t="s">
        <v>309</v>
      </c>
      <c r="E1893" t="str">
        <f>IF(D1893&lt;&gt;"",C1893&amp;"/"&amp;D1893,"")</f>
        <v/>
      </c>
      <c r="G1893" s="5" t="str">
        <f t="shared" si="46"/>
        <v/>
      </c>
      <c r="I1893" s="6" t="str">
        <f t="shared" si="47"/>
        <v>0</v>
      </c>
    </row>
    <row r="1894" spans="1:11" x14ac:dyDescent="0.2">
      <c r="A1894" t="s">
        <v>2401</v>
      </c>
      <c r="B1894" t="s">
        <v>309</v>
      </c>
      <c r="E1894" t="str">
        <f>IF(D1894&lt;&gt;"",C1894&amp;"/"&amp;D1894,"")</f>
        <v/>
      </c>
      <c r="G1894" s="5" t="str">
        <f t="shared" si="46"/>
        <v/>
      </c>
      <c r="I1894" s="6" t="str">
        <f t="shared" si="47"/>
        <v>0</v>
      </c>
    </row>
    <row r="1895" spans="1:11" x14ac:dyDescent="0.2">
      <c r="A1895" t="s">
        <v>2402</v>
      </c>
      <c r="B1895" t="s">
        <v>309</v>
      </c>
      <c r="E1895" t="str">
        <f>IF(D1895&lt;&gt;"",C1895&amp;"/"&amp;D1895,"")</f>
        <v/>
      </c>
      <c r="G1895" s="5" t="str">
        <f t="shared" si="46"/>
        <v/>
      </c>
      <c r="I1895" s="6" t="str">
        <f t="shared" si="47"/>
        <v>0</v>
      </c>
    </row>
    <row r="1896" spans="1:11" x14ac:dyDescent="0.2">
      <c r="A1896" t="s">
        <v>2403</v>
      </c>
      <c r="B1896" t="s">
        <v>309</v>
      </c>
      <c r="E1896" t="str">
        <f>IF(D1896&lt;&gt;"",C1896&amp;"/"&amp;D1896,"")</f>
        <v/>
      </c>
      <c r="G1896" s="5" t="str">
        <f t="shared" si="46"/>
        <v/>
      </c>
      <c r="I1896" s="6" t="str">
        <f t="shared" si="47"/>
        <v>0</v>
      </c>
    </row>
    <row r="1897" spans="1:11" x14ac:dyDescent="0.2">
      <c r="A1897" t="s">
        <v>2404</v>
      </c>
      <c r="B1897" t="s">
        <v>309</v>
      </c>
      <c r="E1897" t="str">
        <f>IF(D1897&lt;&gt;"",C1897&amp;"/"&amp;D1897,"")</f>
        <v/>
      </c>
      <c r="G1897" s="5" t="str">
        <f t="shared" si="46"/>
        <v/>
      </c>
      <c r="I1897" s="6" t="str">
        <f t="shared" si="47"/>
        <v>0</v>
      </c>
    </row>
    <row r="1898" spans="1:11" x14ac:dyDescent="0.2">
      <c r="A1898" t="s">
        <v>2405</v>
      </c>
      <c r="B1898" t="s">
        <v>309</v>
      </c>
      <c r="E1898" t="str">
        <f>IF(D1898&lt;&gt;"",C1898&amp;"/"&amp;D1898,"")</f>
        <v/>
      </c>
      <c r="G1898" s="5" t="str">
        <f t="shared" si="46"/>
        <v/>
      </c>
      <c r="I1898" s="6" t="str">
        <f t="shared" si="47"/>
        <v>0</v>
      </c>
    </row>
    <row r="1899" spans="1:11" x14ac:dyDescent="0.2">
      <c r="A1899" t="s">
        <v>2406</v>
      </c>
      <c r="B1899" t="s">
        <v>309</v>
      </c>
      <c r="E1899" t="str">
        <f>IF(D1899&lt;&gt;"",C1899&amp;"/"&amp;D1899,"")</f>
        <v/>
      </c>
      <c r="G1899" s="5" t="str">
        <f t="shared" si="46"/>
        <v/>
      </c>
      <c r="I1899" s="6" t="str">
        <f t="shared" si="47"/>
        <v>0</v>
      </c>
    </row>
    <row r="1900" spans="1:11" ht="17" x14ac:dyDescent="0.25">
      <c r="A1900" t="s">
        <v>2407</v>
      </c>
      <c r="B1900" s="19" t="s">
        <v>3639</v>
      </c>
      <c r="C1900" s="5" t="s">
        <v>48</v>
      </c>
      <c r="D1900" s="19" t="s">
        <v>3640</v>
      </c>
      <c r="E1900" t="str">
        <f>IF(D1900&lt;&gt;"",C1900&amp;"/"&amp;D1900,"")</f>
        <v>data/characters-arm-animation.positions</v>
      </c>
      <c r="F1900" s="5" t="s">
        <v>3641</v>
      </c>
      <c r="G1900" s="5">
        <f t="shared" si="46"/>
        <v>42872</v>
      </c>
      <c r="H1900" s="5">
        <v>72</v>
      </c>
      <c r="I1900" s="6" t="str">
        <f t="shared" si="47"/>
        <v>48</v>
      </c>
      <c r="K1900" s="21" t="s">
        <v>3663</v>
      </c>
    </row>
    <row r="1901" spans="1:11" ht="17" x14ac:dyDescent="0.25">
      <c r="A1901" t="s">
        <v>2408</v>
      </c>
      <c r="B1901" s="19" t="s">
        <v>3966</v>
      </c>
      <c r="D1901" s="19"/>
      <c r="F1901" s="18"/>
      <c r="G1901" s="5" t="str">
        <f t="shared" si="46"/>
        <v/>
      </c>
      <c r="I1901" s="6" t="str">
        <f t="shared" si="47"/>
        <v>0</v>
      </c>
      <c r="K1901" s="21" t="s">
        <v>3967</v>
      </c>
    </row>
    <row r="1902" spans="1:11" x14ac:dyDescent="0.2">
      <c r="A1902" t="s">
        <v>2409</v>
      </c>
      <c r="B1902" t="s">
        <v>309</v>
      </c>
      <c r="E1902" t="str">
        <f>IF(D1902&lt;&gt;"",C1902&amp;"/"&amp;D1902,"")</f>
        <v/>
      </c>
      <c r="G1902" s="5" t="str">
        <f t="shared" si="46"/>
        <v/>
      </c>
      <c r="I1902" s="6" t="str">
        <f t="shared" si="47"/>
        <v>0</v>
      </c>
    </row>
    <row r="1903" spans="1:11" x14ac:dyDescent="0.2">
      <c r="A1903" t="s">
        <v>2410</v>
      </c>
      <c r="B1903" t="s">
        <v>309</v>
      </c>
      <c r="E1903" t="str">
        <f>IF(D1903&lt;&gt;"",C1903&amp;"/"&amp;D1903,"")</f>
        <v/>
      </c>
      <c r="G1903" s="5" t="str">
        <f t="shared" si="46"/>
        <v/>
      </c>
      <c r="I1903" s="6" t="str">
        <f t="shared" si="47"/>
        <v>0</v>
      </c>
    </row>
    <row r="1904" spans="1:11" x14ac:dyDescent="0.2">
      <c r="A1904" t="s">
        <v>2411</v>
      </c>
      <c r="B1904" t="s">
        <v>309</v>
      </c>
      <c r="E1904" t="str">
        <f>IF(D1904&lt;&gt;"",C1904&amp;"/"&amp;D1904,"")</f>
        <v/>
      </c>
      <c r="G1904" s="5" t="str">
        <f t="shared" si="46"/>
        <v/>
      </c>
      <c r="I1904" s="6" t="str">
        <f t="shared" si="47"/>
        <v>0</v>
      </c>
    </row>
    <row r="1905" spans="1:11" x14ac:dyDescent="0.2">
      <c r="A1905" t="s">
        <v>2412</v>
      </c>
      <c r="B1905" t="s">
        <v>309</v>
      </c>
      <c r="E1905" t="str">
        <f>IF(D1905&lt;&gt;"",C1905&amp;"/"&amp;D1905,"")</f>
        <v/>
      </c>
      <c r="G1905" s="5" t="str">
        <f t="shared" si="46"/>
        <v/>
      </c>
      <c r="I1905" s="6" t="str">
        <f t="shared" si="47"/>
        <v>0</v>
      </c>
    </row>
    <row r="1906" spans="1:11" x14ac:dyDescent="0.2">
      <c r="A1906" t="s">
        <v>2413</v>
      </c>
      <c r="B1906" t="s">
        <v>309</v>
      </c>
      <c r="E1906" t="str">
        <f>IF(D1906&lt;&gt;"",C1906&amp;"/"&amp;D1906,"")</f>
        <v/>
      </c>
      <c r="G1906" s="5" t="str">
        <f t="shared" si="46"/>
        <v/>
      </c>
      <c r="I1906" s="6" t="str">
        <f t="shared" si="47"/>
        <v>0</v>
      </c>
    </row>
    <row r="1907" spans="1:11" x14ac:dyDescent="0.2">
      <c r="A1907" t="s">
        <v>2414</v>
      </c>
      <c r="B1907" t="s">
        <v>309</v>
      </c>
      <c r="E1907" t="str">
        <f>IF(D1907&lt;&gt;"",C1907&amp;"/"&amp;D1907,"")</f>
        <v/>
      </c>
      <c r="G1907" s="5" t="str">
        <f t="shared" si="46"/>
        <v/>
      </c>
      <c r="I1907" s="6" t="str">
        <f t="shared" si="47"/>
        <v>0</v>
      </c>
    </row>
    <row r="1908" spans="1:11" ht="17" x14ac:dyDescent="0.25">
      <c r="A1908" t="s">
        <v>2415</v>
      </c>
      <c r="B1908" s="19" t="s">
        <v>3953</v>
      </c>
      <c r="C1908" s="5" t="s">
        <v>48</v>
      </c>
      <c r="D1908" s="19" t="s">
        <v>3954</v>
      </c>
      <c r="E1908" t="s">
        <v>3955</v>
      </c>
      <c r="F1908" s="18" t="s">
        <v>3956</v>
      </c>
      <c r="G1908" s="5">
        <f t="shared" si="46"/>
        <v>43038</v>
      </c>
      <c r="H1908" s="5">
        <v>4</v>
      </c>
      <c r="I1908" s="6" t="str">
        <f t="shared" si="47"/>
        <v>4</v>
      </c>
      <c r="K1908" s="21" t="s">
        <v>3957</v>
      </c>
    </row>
    <row r="1909" spans="1:11" x14ac:dyDescent="0.2">
      <c r="A1909" t="s">
        <v>2416</v>
      </c>
      <c r="B1909" t="s">
        <v>309</v>
      </c>
      <c r="E1909" t="str">
        <f>IF(D1909&lt;&gt;"",C1909&amp;"/"&amp;D1909,"")</f>
        <v/>
      </c>
      <c r="G1909" s="5" t="str">
        <f t="shared" si="46"/>
        <v/>
      </c>
      <c r="I1909" s="6" t="str">
        <f t="shared" si="47"/>
        <v>0</v>
      </c>
    </row>
    <row r="1910" spans="1:11" x14ac:dyDescent="0.2">
      <c r="A1910" t="s">
        <v>2417</v>
      </c>
      <c r="B1910" t="s">
        <v>309</v>
      </c>
      <c r="E1910" t="str">
        <f>IF(D1910&lt;&gt;"",C1910&amp;"/"&amp;D1910,"")</f>
        <v/>
      </c>
      <c r="G1910" s="5" t="str">
        <f t="shared" si="46"/>
        <v/>
      </c>
      <c r="I1910" s="6" t="str">
        <f t="shared" si="47"/>
        <v>0</v>
      </c>
    </row>
    <row r="1911" spans="1:11" x14ac:dyDescent="0.2">
      <c r="A1911" t="s">
        <v>2418</v>
      </c>
      <c r="B1911" t="s">
        <v>309</v>
      </c>
      <c r="E1911" t="str">
        <f>IF(D1911&lt;&gt;"",C1911&amp;"/"&amp;D1911,"")</f>
        <v/>
      </c>
      <c r="G1911" s="5" t="str">
        <f t="shared" si="46"/>
        <v/>
      </c>
      <c r="I1911" s="6" t="str">
        <f t="shared" si="47"/>
        <v>0</v>
      </c>
    </row>
    <row r="1912" spans="1:11" x14ac:dyDescent="0.2">
      <c r="A1912" t="s">
        <v>2419</v>
      </c>
      <c r="B1912" t="s">
        <v>309</v>
      </c>
      <c r="E1912" t="str">
        <f>IF(D1912&lt;&gt;"",C1912&amp;"/"&amp;D1912,"")</f>
        <v/>
      </c>
      <c r="G1912" s="5" t="str">
        <f t="shared" si="46"/>
        <v/>
      </c>
      <c r="I1912" s="6" t="str">
        <f t="shared" si="47"/>
        <v>0</v>
      </c>
    </row>
    <row r="1913" spans="1:11" x14ac:dyDescent="0.2">
      <c r="A1913" t="s">
        <v>2420</v>
      </c>
      <c r="B1913" t="s">
        <v>309</v>
      </c>
      <c r="E1913" t="str">
        <f>IF(D1913&lt;&gt;"",C1913&amp;"/"&amp;D1913,"")</f>
        <v/>
      </c>
      <c r="G1913" s="5" t="str">
        <f t="shared" si="46"/>
        <v/>
      </c>
      <c r="I1913" s="6" t="str">
        <f t="shared" si="47"/>
        <v>0</v>
      </c>
    </row>
    <row r="1914" spans="1:11" x14ac:dyDescent="0.2">
      <c r="A1914" t="s">
        <v>2421</v>
      </c>
      <c r="B1914" t="s">
        <v>309</v>
      </c>
      <c r="E1914" t="str">
        <f>IF(D1914&lt;&gt;"",C1914&amp;"/"&amp;D1914,"")</f>
        <v/>
      </c>
      <c r="G1914" s="5" t="str">
        <f t="shared" si="46"/>
        <v/>
      </c>
      <c r="I1914" s="6" t="str">
        <f t="shared" si="47"/>
        <v>0</v>
      </c>
    </row>
    <row r="1915" spans="1:11" x14ac:dyDescent="0.2">
      <c r="A1915" t="s">
        <v>2422</v>
      </c>
      <c r="B1915" t="s">
        <v>309</v>
      </c>
      <c r="E1915" t="str">
        <f>IF(D1915&lt;&gt;"",C1915&amp;"/"&amp;D1915,"")</f>
        <v/>
      </c>
      <c r="G1915" s="5" t="str">
        <f t="shared" si="46"/>
        <v/>
      </c>
      <c r="I1915" s="6" t="str">
        <f t="shared" si="47"/>
        <v>0</v>
      </c>
    </row>
    <row r="1916" spans="1:11" x14ac:dyDescent="0.2">
      <c r="A1916" t="s">
        <v>2423</v>
      </c>
      <c r="B1916" t="s">
        <v>309</v>
      </c>
      <c r="E1916" t="str">
        <f>IF(D1916&lt;&gt;"",C1916&amp;"/"&amp;D1916,"")</f>
        <v/>
      </c>
      <c r="G1916" s="5" t="str">
        <f t="shared" si="46"/>
        <v/>
      </c>
      <c r="I1916" s="6" t="str">
        <f t="shared" si="47"/>
        <v>0</v>
      </c>
    </row>
    <row r="1917" spans="1:11" x14ac:dyDescent="0.2">
      <c r="A1917" t="s">
        <v>2424</v>
      </c>
      <c r="B1917" t="s">
        <v>309</v>
      </c>
      <c r="E1917" t="str">
        <f>IF(D1917&lt;&gt;"",C1917&amp;"/"&amp;D1917,"")</f>
        <v/>
      </c>
      <c r="G1917" s="5" t="str">
        <f t="shared" si="46"/>
        <v/>
      </c>
      <c r="I1917" s="6" t="str">
        <f t="shared" si="47"/>
        <v>0</v>
      </c>
    </row>
    <row r="1918" spans="1:11" x14ac:dyDescent="0.2">
      <c r="A1918" t="s">
        <v>2425</v>
      </c>
      <c r="B1918" t="s">
        <v>309</v>
      </c>
      <c r="E1918" t="str">
        <f>IF(D1918&lt;&gt;"",C1918&amp;"/"&amp;D1918,"")</f>
        <v/>
      </c>
      <c r="G1918" s="5" t="str">
        <f t="shared" si="46"/>
        <v/>
      </c>
      <c r="I1918" s="6" t="str">
        <f t="shared" si="47"/>
        <v>0</v>
      </c>
    </row>
    <row r="1919" spans="1:11" x14ac:dyDescent="0.2">
      <c r="A1919" t="s">
        <v>2426</v>
      </c>
      <c r="B1919" t="s">
        <v>309</v>
      </c>
      <c r="E1919" t="str">
        <f>IF(D1919&lt;&gt;"",C1919&amp;"/"&amp;D1919,"")</f>
        <v/>
      </c>
      <c r="G1919" s="5" t="str">
        <f t="shared" si="46"/>
        <v/>
      </c>
      <c r="I1919" s="6" t="str">
        <f t="shared" si="47"/>
        <v>0</v>
      </c>
    </row>
    <row r="1920" spans="1:11" x14ac:dyDescent="0.2">
      <c r="A1920" t="s">
        <v>2427</v>
      </c>
      <c r="B1920" t="s">
        <v>309</v>
      </c>
      <c r="E1920" t="str">
        <f>IF(D1920&lt;&gt;"",C1920&amp;"/"&amp;D1920,"")</f>
        <v/>
      </c>
      <c r="G1920" s="5" t="str">
        <f t="shared" si="46"/>
        <v/>
      </c>
      <c r="I1920" s="6" t="str">
        <f t="shared" si="47"/>
        <v>0</v>
      </c>
    </row>
    <row r="1921" spans="1:11" x14ac:dyDescent="0.2">
      <c r="A1921" t="s">
        <v>2428</v>
      </c>
      <c r="B1921" t="s">
        <v>309</v>
      </c>
      <c r="E1921" t="str">
        <f>IF(D1921&lt;&gt;"",C1921&amp;"/"&amp;D1921,"")</f>
        <v/>
      </c>
      <c r="G1921" s="5" t="str">
        <f t="shared" si="46"/>
        <v/>
      </c>
      <c r="I1921" s="6" t="str">
        <f t="shared" si="47"/>
        <v>0</v>
      </c>
    </row>
    <row r="1922" spans="1:11" x14ac:dyDescent="0.2">
      <c r="A1922" t="s">
        <v>2429</v>
      </c>
      <c r="B1922" t="s">
        <v>309</v>
      </c>
      <c r="E1922" t="str">
        <f>IF(D1922&lt;&gt;"",C1922&amp;"/"&amp;D1922,"")</f>
        <v/>
      </c>
      <c r="G1922" s="5" t="str">
        <f t="shared" si="46"/>
        <v/>
      </c>
      <c r="I1922" s="6" t="str">
        <f t="shared" si="47"/>
        <v>0</v>
      </c>
    </row>
    <row r="1923" spans="1:11" x14ac:dyDescent="0.2">
      <c r="A1923" t="s">
        <v>2430</v>
      </c>
      <c r="B1923" t="s">
        <v>309</v>
      </c>
      <c r="E1923" t="str">
        <f>IF(D1923&lt;&gt;"",C1923&amp;"/"&amp;D1923,"")</f>
        <v/>
      </c>
      <c r="G1923" s="5" t="str">
        <f t="shared" si="46"/>
        <v/>
      </c>
      <c r="I1923" s="6" t="str">
        <f t="shared" si="47"/>
        <v>0</v>
      </c>
    </row>
    <row r="1924" spans="1:11" x14ac:dyDescent="0.2">
      <c r="A1924" t="s">
        <v>2431</v>
      </c>
      <c r="B1924" t="s">
        <v>3429</v>
      </c>
      <c r="G1924" s="5" t="str">
        <f t="shared" si="46"/>
        <v/>
      </c>
      <c r="I1924" s="6" t="str">
        <f t="shared" si="47"/>
        <v>0</v>
      </c>
      <c r="K1924" s="21" t="s">
        <v>4643</v>
      </c>
    </row>
    <row r="1925" spans="1:11" x14ac:dyDescent="0.2">
      <c r="A1925" t="s">
        <v>2432</v>
      </c>
      <c r="B1925" t="s">
        <v>309</v>
      </c>
      <c r="E1925" t="str">
        <f>IF(D1925&lt;&gt;"",C1925&amp;"/"&amp;D1925,"")</f>
        <v/>
      </c>
      <c r="G1925" s="5" t="str">
        <f t="shared" si="46"/>
        <v/>
      </c>
      <c r="I1925" s="6" t="str">
        <f t="shared" si="47"/>
        <v>0</v>
      </c>
    </row>
    <row r="1926" spans="1:11" x14ac:dyDescent="0.2">
      <c r="A1926" t="s">
        <v>2437</v>
      </c>
      <c r="B1926" t="s">
        <v>309</v>
      </c>
      <c r="E1926" t="str">
        <f>IF(D1926&lt;&gt;"",C1926&amp;"/"&amp;D1926,"")</f>
        <v/>
      </c>
      <c r="G1926" s="5" t="str">
        <f t="shared" si="46"/>
        <v/>
      </c>
      <c r="I1926" s="6" t="str">
        <f t="shared" si="47"/>
        <v>0</v>
      </c>
    </row>
    <row r="1927" spans="1:11" x14ac:dyDescent="0.2">
      <c r="A1927" t="s">
        <v>2438</v>
      </c>
      <c r="B1927" t="s">
        <v>309</v>
      </c>
      <c r="E1927" t="str">
        <f>IF(D1927&lt;&gt;"",C1927&amp;"/"&amp;D1927,"")</f>
        <v/>
      </c>
      <c r="G1927" s="5" t="str">
        <f t="shared" si="46"/>
        <v/>
      </c>
      <c r="I1927" s="6" t="str">
        <f t="shared" si="47"/>
        <v>0</v>
      </c>
    </row>
    <row r="1928" spans="1:11" x14ac:dyDescent="0.2">
      <c r="A1928" t="s">
        <v>2439</v>
      </c>
      <c r="B1928" t="s">
        <v>309</v>
      </c>
      <c r="E1928" t="str">
        <f>IF(D1928&lt;&gt;"",C1928&amp;"/"&amp;D1928,"")</f>
        <v/>
      </c>
      <c r="G1928" s="5" t="str">
        <f t="shared" si="46"/>
        <v/>
      </c>
      <c r="I1928" s="6" t="str">
        <f t="shared" si="47"/>
        <v>0</v>
      </c>
    </row>
    <row r="1929" spans="1:11" x14ac:dyDescent="0.2">
      <c r="A1929" t="s">
        <v>2440</v>
      </c>
      <c r="B1929" t="s">
        <v>309</v>
      </c>
      <c r="E1929" t="str">
        <f>IF(D1929&lt;&gt;"",C1929&amp;"/"&amp;D1929,"")</f>
        <v/>
      </c>
      <c r="G1929" s="5" t="str">
        <f t="shared" si="46"/>
        <v/>
      </c>
      <c r="I1929" s="6" t="str">
        <f t="shared" si="47"/>
        <v>0</v>
      </c>
    </row>
    <row r="1930" spans="1:11" x14ac:dyDescent="0.2">
      <c r="A1930" t="s">
        <v>2441</v>
      </c>
      <c r="B1930" t="s">
        <v>309</v>
      </c>
      <c r="E1930" t="str">
        <f>IF(D1930&lt;&gt;"",C1930&amp;"/"&amp;D1930,"")</f>
        <v/>
      </c>
      <c r="G1930" s="5" t="str">
        <f t="shared" si="46"/>
        <v/>
      </c>
      <c r="I1930" s="6" t="str">
        <f t="shared" si="47"/>
        <v>0</v>
      </c>
    </row>
    <row r="1931" spans="1:11" x14ac:dyDescent="0.2">
      <c r="A1931" t="s">
        <v>2444</v>
      </c>
      <c r="B1931" t="s">
        <v>309</v>
      </c>
      <c r="E1931" t="str">
        <f>IF(D1931&lt;&gt;"",C1931&amp;"/"&amp;D1931,"")</f>
        <v/>
      </c>
      <c r="G1931" s="5" t="str">
        <f t="shared" si="46"/>
        <v/>
      </c>
      <c r="I1931" s="6" t="str">
        <f t="shared" si="47"/>
        <v>0</v>
      </c>
    </row>
    <row r="1932" spans="1:11" x14ac:dyDescent="0.2">
      <c r="A1932" t="s">
        <v>2445</v>
      </c>
      <c r="B1932" t="s">
        <v>309</v>
      </c>
      <c r="E1932" t="str">
        <f>IF(D1932&lt;&gt;"",C1932&amp;"/"&amp;D1932,"")</f>
        <v/>
      </c>
      <c r="G1932" s="5" t="str">
        <f t="shared" si="46"/>
        <v/>
      </c>
      <c r="I1932" s="6" t="str">
        <f t="shared" si="47"/>
        <v>0</v>
      </c>
    </row>
    <row r="1933" spans="1:11" x14ac:dyDescent="0.2">
      <c r="A1933" t="s">
        <v>2447</v>
      </c>
      <c r="B1933" t="s">
        <v>309</v>
      </c>
      <c r="E1933" t="str">
        <f>IF(D1933&lt;&gt;"",C1933&amp;"/"&amp;D1933,"")</f>
        <v/>
      </c>
      <c r="G1933" s="5" t="str">
        <f t="shared" si="46"/>
        <v/>
      </c>
      <c r="I1933" s="6" t="str">
        <f t="shared" si="47"/>
        <v>0</v>
      </c>
    </row>
    <row r="1934" spans="1:11" x14ac:dyDescent="0.2">
      <c r="A1934" t="s">
        <v>2449</v>
      </c>
      <c r="B1934" t="s">
        <v>309</v>
      </c>
      <c r="E1934" t="str">
        <f>IF(D1934&lt;&gt;"",C1934&amp;"/"&amp;D1934,"")</f>
        <v/>
      </c>
      <c r="G1934" s="5" t="str">
        <f t="shared" si="46"/>
        <v/>
      </c>
      <c r="I1934" s="6" t="str">
        <f t="shared" si="47"/>
        <v>0</v>
      </c>
    </row>
    <row r="1935" spans="1:11" x14ac:dyDescent="0.2">
      <c r="A1935" t="s">
        <v>2450</v>
      </c>
      <c r="B1935" t="s">
        <v>309</v>
      </c>
      <c r="E1935" t="str">
        <f>IF(D1935&lt;&gt;"",C1935&amp;"/"&amp;D1935,"")</f>
        <v/>
      </c>
      <c r="G1935" s="5" t="str">
        <f t="shared" si="46"/>
        <v/>
      </c>
      <c r="I1935" s="6" t="str">
        <f t="shared" si="47"/>
        <v>0</v>
      </c>
    </row>
    <row r="1936" spans="1:11" x14ac:dyDescent="0.2">
      <c r="A1936" t="s">
        <v>2451</v>
      </c>
      <c r="B1936" t="s">
        <v>309</v>
      </c>
      <c r="E1936" t="str">
        <f>IF(D1936&lt;&gt;"",C1936&amp;"/"&amp;D1936,"")</f>
        <v/>
      </c>
      <c r="G1936" s="5" t="str">
        <f t="shared" ref="G1936:G1971" si="48">IF(F1936&lt;&gt;"",HEX2DEC(SUBSTITUTE(SUBSTITUTE(F1936,"adrEA",""),"$","")),"")</f>
        <v/>
      </c>
      <c r="I1936" s="6" t="str">
        <f t="shared" ref="I1936:I1999" si="49">IFERROR(DEC2HEX(H1936),"")</f>
        <v>0</v>
      </c>
    </row>
    <row r="1937" spans="1:11" x14ac:dyDescent="0.2">
      <c r="A1937" t="s">
        <v>2452</v>
      </c>
      <c r="B1937" t="s">
        <v>309</v>
      </c>
      <c r="E1937" t="str">
        <f>IF(D1937&lt;&gt;"",C1937&amp;"/"&amp;D1937,"")</f>
        <v/>
      </c>
      <c r="G1937" s="5" t="str">
        <f t="shared" si="48"/>
        <v/>
      </c>
      <c r="I1937" s="6" t="str">
        <f t="shared" si="49"/>
        <v>0</v>
      </c>
    </row>
    <row r="1938" spans="1:11" x14ac:dyDescent="0.2">
      <c r="A1938" t="s">
        <v>2453</v>
      </c>
      <c r="B1938" t="s">
        <v>309</v>
      </c>
      <c r="E1938" t="str">
        <f>IF(D1938&lt;&gt;"",C1938&amp;"/"&amp;D1938,"")</f>
        <v/>
      </c>
      <c r="G1938" s="5" t="str">
        <f t="shared" si="48"/>
        <v/>
      </c>
      <c r="I1938" s="6" t="str">
        <f t="shared" si="49"/>
        <v>0</v>
      </c>
    </row>
    <row r="1939" spans="1:11" x14ac:dyDescent="0.2">
      <c r="A1939" t="s">
        <v>2454</v>
      </c>
      <c r="B1939" t="s">
        <v>309</v>
      </c>
      <c r="E1939" t="str">
        <f>IF(D1939&lt;&gt;"",C1939&amp;"/"&amp;D1939,"")</f>
        <v/>
      </c>
      <c r="G1939" s="5" t="str">
        <f t="shared" si="48"/>
        <v/>
      </c>
      <c r="I1939" s="6" t="str">
        <f t="shared" si="49"/>
        <v>0</v>
      </c>
    </row>
    <row r="1940" spans="1:11" x14ac:dyDescent="0.2">
      <c r="A1940" t="s">
        <v>2456</v>
      </c>
      <c r="B1940" t="s">
        <v>309</v>
      </c>
      <c r="E1940" t="str">
        <f>IF(D1940&lt;&gt;"",C1940&amp;"/"&amp;D1940,"")</f>
        <v/>
      </c>
      <c r="G1940" s="5" t="str">
        <f t="shared" si="48"/>
        <v/>
      </c>
      <c r="I1940" s="6" t="str">
        <f t="shared" si="49"/>
        <v>0</v>
      </c>
    </row>
    <row r="1941" spans="1:11" x14ac:dyDescent="0.2">
      <c r="A1941" t="s">
        <v>2457</v>
      </c>
      <c r="B1941" t="s">
        <v>309</v>
      </c>
      <c r="E1941" t="str">
        <f>IF(D1941&lt;&gt;"",C1941&amp;"/"&amp;D1941,"")</f>
        <v/>
      </c>
      <c r="G1941" s="5" t="str">
        <f t="shared" si="48"/>
        <v/>
      </c>
      <c r="I1941" s="6" t="str">
        <f t="shared" si="49"/>
        <v>0</v>
      </c>
    </row>
    <row r="1942" spans="1:11" x14ac:dyDescent="0.2">
      <c r="A1942" t="s">
        <v>2458</v>
      </c>
      <c r="B1942" t="s">
        <v>309</v>
      </c>
      <c r="E1942" t="str">
        <f>IF(D1942&lt;&gt;"",C1942&amp;"/"&amp;D1942,"")</f>
        <v/>
      </c>
      <c r="G1942" s="5" t="str">
        <f t="shared" si="48"/>
        <v/>
      </c>
      <c r="I1942" s="6" t="str">
        <f t="shared" si="49"/>
        <v>0</v>
      </c>
    </row>
    <row r="1943" spans="1:11" x14ac:dyDescent="0.2">
      <c r="A1943" t="s">
        <v>2459</v>
      </c>
      <c r="B1943" t="s">
        <v>309</v>
      </c>
      <c r="E1943" t="str">
        <f>IF(D1943&lt;&gt;"",C1943&amp;"/"&amp;D1943,"")</f>
        <v/>
      </c>
      <c r="G1943" s="5" t="str">
        <f t="shared" si="48"/>
        <v/>
      </c>
      <c r="I1943" s="6" t="str">
        <f t="shared" si="49"/>
        <v>0</v>
      </c>
    </row>
    <row r="1944" spans="1:11" x14ac:dyDescent="0.2">
      <c r="A1944" t="s">
        <v>2461</v>
      </c>
      <c r="B1944" t="s">
        <v>309</v>
      </c>
      <c r="E1944" t="str">
        <f>IF(D1944&lt;&gt;"",C1944&amp;"/"&amp;D1944,"")</f>
        <v/>
      </c>
      <c r="G1944" s="5" t="str">
        <f t="shared" si="48"/>
        <v/>
      </c>
      <c r="I1944" s="6" t="str">
        <f t="shared" si="49"/>
        <v>0</v>
      </c>
    </row>
    <row r="1945" spans="1:11" x14ac:dyDescent="0.2">
      <c r="A1945" t="s">
        <v>2462</v>
      </c>
      <c r="B1945" t="s">
        <v>309</v>
      </c>
      <c r="E1945" t="str">
        <f>IF(D1945&lt;&gt;"",C1945&amp;"/"&amp;D1945,"")</f>
        <v/>
      </c>
      <c r="G1945" s="5" t="str">
        <f t="shared" si="48"/>
        <v/>
      </c>
      <c r="I1945" s="6" t="str">
        <f t="shared" si="49"/>
        <v>0</v>
      </c>
    </row>
    <row r="1946" spans="1:11" x14ac:dyDescent="0.2">
      <c r="A1946" t="s">
        <v>2463</v>
      </c>
      <c r="B1946" t="s">
        <v>309</v>
      </c>
      <c r="E1946" t="str">
        <f>IF(D1946&lt;&gt;"",C1946&amp;"/"&amp;D1946,"")</f>
        <v/>
      </c>
      <c r="G1946" s="5" t="str">
        <f t="shared" si="48"/>
        <v/>
      </c>
      <c r="I1946" s="6" t="str">
        <f t="shared" si="49"/>
        <v>0</v>
      </c>
    </row>
    <row r="1947" spans="1:11" x14ac:dyDescent="0.2">
      <c r="A1947" t="s">
        <v>2464</v>
      </c>
      <c r="B1947" t="s">
        <v>309</v>
      </c>
      <c r="E1947" t="str">
        <f>IF(D1947&lt;&gt;"",C1947&amp;"/"&amp;D1947,"")</f>
        <v/>
      </c>
      <c r="G1947" s="5" t="str">
        <f t="shared" si="48"/>
        <v/>
      </c>
      <c r="I1947" s="6" t="str">
        <f t="shared" si="49"/>
        <v>0</v>
      </c>
    </row>
    <row r="1948" spans="1:11" x14ac:dyDescent="0.2">
      <c r="A1948" t="s">
        <v>2465</v>
      </c>
      <c r="B1948" t="s">
        <v>309</v>
      </c>
      <c r="E1948" t="str">
        <f>IF(D1948&lt;&gt;"",C1948&amp;"/"&amp;D1948,"")</f>
        <v/>
      </c>
      <c r="G1948" s="5" t="str">
        <f t="shared" si="48"/>
        <v/>
      </c>
      <c r="I1948" s="6" t="str">
        <f t="shared" si="49"/>
        <v>0</v>
      </c>
    </row>
    <row r="1949" spans="1:11" x14ac:dyDescent="0.2">
      <c r="A1949" t="s">
        <v>2467</v>
      </c>
      <c r="B1949" t="s">
        <v>309</v>
      </c>
      <c r="E1949" t="str">
        <f>IF(D1949&lt;&gt;"",C1949&amp;"/"&amp;D1949,"")</f>
        <v/>
      </c>
      <c r="G1949" s="5" t="str">
        <f t="shared" si="48"/>
        <v/>
      </c>
      <c r="I1949" s="6" t="str">
        <f t="shared" si="49"/>
        <v>0</v>
      </c>
    </row>
    <row r="1950" spans="1:11" x14ac:dyDescent="0.2">
      <c r="A1950" t="s">
        <v>2468</v>
      </c>
      <c r="B1950" t="s">
        <v>3292</v>
      </c>
      <c r="C1950" s="5" t="s">
        <v>3122</v>
      </c>
      <c r="D1950" t="s">
        <v>4775</v>
      </c>
      <c r="E1950" t="s">
        <v>4776</v>
      </c>
      <c r="F1950" s="5" t="s">
        <v>4777</v>
      </c>
      <c r="G1950" s="5">
        <f t="shared" si="48"/>
        <v>44256</v>
      </c>
      <c r="H1950" s="5">
        <v>16</v>
      </c>
      <c r="I1950" s="6" t="str">
        <f t="shared" si="49"/>
        <v>10</v>
      </c>
      <c r="K1950" s="21" t="s">
        <v>4778</v>
      </c>
    </row>
    <row r="1951" spans="1:11" x14ac:dyDescent="0.2">
      <c r="A1951" t="s">
        <v>2469</v>
      </c>
      <c r="B1951" t="s">
        <v>3789</v>
      </c>
      <c r="E1951" t="str">
        <f>IF(D1951&lt;&gt;"",C1951&amp;"/"&amp;D1951,"")</f>
        <v/>
      </c>
      <c r="G1951" s="5" t="str">
        <f t="shared" si="48"/>
        <v/>
      </c>
      <c r="I1951" s="6" t="str">
        <f t="shared" si="49"/>
        <v>0</v>
      </c>
      <c r="K1951" s="21" t="s">
        <v>3790</v>
      </c>
    </row>
    <row r="1952" spans="1:11" x14ac:dyDescent="0.2">
      <c r="A1952" t="s">
        <v>2470</v>
      </c>
      <c r="B1952" t="s">
        <v>3294</v>
      </c>
      <c r="G1952" s="5" t="str">
        <f t="shared" si="48"/>
        <v/>
      </c>
      <c r="I1952" s="6" t="str">
        <f t="shared" si="49"/>
        <v>0</v>
      </c>
      <c r="K1952" s="21" t="s">
        <v>4644</v>
      </c>
    </row>
    <row r="1953" spans="1:11" x14ac:dyDescent="0.2">
      <c r="A1953" t="s">
        <v>2472</v>
      </c>
      <c r="B1953" t="s">
        <v>3296</v>
      </c>
      <c r="G1953" s="5" t="str">
        <f t="shared" si="48"/>
        <v/>
      </c>
      <c r="I1953" s="6" t="str">
        <f t="shared" si="49"/>
        <v>0</v>
      </c>
      <c r="K1953" s="21" t="s">
        <v>4618</v>
      </c>
    </row>
    <row r="1954" spans="1:11" x14ac:dyDescent="0.2">
      <c r="A1954" t="s">
        <v>2474</v>
      </c>
      <c r="B1954" t="s">
        <v>3295</v>
      </c>
      <c r="G1954" s="5" t="str">
        <f t="shared" si="48"/>
        <v/>
      </c>
      <c r="I1954" s="6" t="str">
        <f t="shared" si="49"/>
        <v>0</v>
      </c>
      <c r="K1954" s="21" t="s">
        <v>4619</v>
      </c>
    </row>
    <row r="1955" spans="1:11" x14ac:dyDescent="0.2">
      <c r="A1955" t="s">
        <v>2479</v>
      </c>
      <c r="B1955" t="s">
        <v>309</v>
      </c>
      <c r="E1955" t="str">
        <f>IF(D1955&lt;&gt;"",C1955&amp;"/"&amp;D1955,"")</f>
        <v/>
      </c>
      <c r="G1955" s="5" t="str">
        <f t="shared" si="48"/>
        <v/>
      </c>
      <c r="I1955" s="6" t="str">
        <f t="shared" si="49"/>
        <v>0</v>
      </c>
    </row>
    <row r="1956" spans="1:11" x14ac:dyDescent="0.2">
      <c r="A1956" t="s">
        <v>2480</v>
      </c>
      <c r="B1956" t="s">
        <v>3797</v>
      </c>
      <c r="E1956" t="str">
        <f>IF(D1956&lt;&gt;"",C1956&amp;"/"&amp;D1956,"")</f>
        <v/>
      </c>
      <c r="G1956" s="5" t="str">
        <f t="shared" si="48"/>
        <v/>
      </c>
      <c r="I1956" s="6" t="str">
        <f t="shared" si="49"/>
        <v>0</v>
      </c>
      <c r="K1956" s="21" t="s">
        <v>3798</v>
      </c>
    </row>
    <row r="1957" spans="1:11" x14ac:dyDescent="0.2">
      <c r="A1957" t="s">
        <v>2481</v>
      </c>
      <c r="B1957" t="s">
        <v>3799</v>
      </c>
      <c r="E1957" t="str">
        <f>IF(D1957&lt;&gt;"",C1957&amp;"/"&amp;D1957,"")</f>
        <v/>
      </c>
      <c r="G1957" s="5" t="str">
        <f t="shared" si="48"/>
        <v/>
      </c>
      <c r="I1957" s="6" t="str">
        <f t="shared" si="49"/>
        <v>0</v>
      </c>
      <c r="K1957" s="21" t="s">
        <v>3800</v>
      </c>
    </row>
    <row r="1958" spans="1:11" x14ac:dyDescent="0.2">
      <c r="A1958" t="s">
        <v>2482</v>
      </c>
      <c r="B1958" t="s">
        <v>3801</v>
      </c>
      <c r="E1958" t="str">
        <f>IF(D1958&lt;&gt;"",C1958&amp;"/"&amp;D1958,"")</f>
        <v/>
      </c>
      <c r="G1958" s="5" t="str">
        <f t="shared" si="48"/>
        <v/>
      </c>
      <c r="I1958" s="6" t="str">
        <f t="shared" si="49"/>
        <v>0</v>
      </c>
      <c r="K1958" s="21" t="s">
        <v>3802</v>
      </c>
    </row>
    <row r="1959" spans="1:11" x14ac:dyDescent="0.2">
      <c r="A1959" t="s">
        <v>2483</v>
      </c>
      <c r="B1959" t="s">
        <v>3293</v>
      </c>
      <c r="G1959" s="5" t="str">
        <f t="shared" si="48"/>
        <v/>
      </c>
      <c r="I1959" s="6" t="str">
        <f t="shared" si="49"/>
        <v>0</v>
      </c>
      <c r="K1959" s="21" t="s">
        <v>4620</v>
      </c>
    </row>
    <row r="1960" spans="1:11" x14ac:dyDescent="0.2">
      <c r="A1960" t="s">
        <v>2485</v>
      </c>
      <c r="B1960" t="s">
        <v>3246</v>
      </c>
      <c r="C1960" s="5" t="s">
        <v>121</v>
      </c>
      <c r="D1960" t="s">
        <v>3072</v>
      </c>
      <c r="E1960" t="str">
        <f>IF(D1960&lt;&gt;"",C1960&amp;"/"&amp;D1960,"")</f>
        <v>gfx/Main_Slots.colours</v>
      </c>
      <c r="F1960" s="5" t="s">
        <v>3245</v>
      </c>
      <c r="G1960" s="5">
        <f t="shared" si="48"/>
        <v>44672</v>
      </c>
      <c r="H1960" s="5">
        <v>32</v>
      </c>
      <c r="I1960" s="6" t="str">
        <f t="shared" si="49"/>
        <v>20</v>
      </c>
      <c r="K1960" s="21" t="s">
        <v>3777</v>
      </c>
    </row>
    <row r="1961" spans="1:11" ht="17" x14ac:dyDescent="0.25">
      <c r="A1961" t="s">
        <v>2486</v>
      </c>
      <c r="B1961" s="19" t="s">
        <v>3753</v>
      </c>
      <c r="D1961" s="19"/>
      <c r="E1961" t="str">
        <f>IF(D1961&lt;&gt;"",C1961&amp;"/"&amp;D1961,"")</f>
        <v/>
      </c>
      <c r="F1961" s="18"/>
      <c r="G1961" s="5" t="str">
        <f t="shared" si="48"/>
        <v/>
      </c>
      <c r="I1961" s="6" t="str">
        <f t="shared" si="49"/>
        <v>0</v>
      </c>
      <c r="K1961" s="21" t="s">
        <v>3791</v>
      </c>
    </row>
    <row r="1962" spans="1:11" ht="17" x14ac:dyDescent="0.25">
      <c r="A1962" t="s">
        <v>2487</v>
      </c>
      <c r="B1962" s="19" t="s">
        <v>3291</v>
      </c>
      <c r="C1962" s="5" t="s">
        <v>3122</v>
      </c>
      <c r="D1962" s="19" t="s">
        <v>3707</v>
      </c>
      <c r="E1962" t="str">
        <f>IF(D1962&lt;&gt;"",C1962&amp;"/"&amp;D1962,"")</f>
        <v>gfx-data/Dungeon_MainWall_SpriteSelection.lookup</v>
      </c>
      <c r="F1962" s="18" t="s">
        <v>3708</v>
      </c>
      <c r="G1962" s="5">
        <f t="shared" si="48"/>
        <v>44854</v>
      </c>
      <c r="H1962" s="5">
        <v>28</v>
      </c>
      <c r="I1962" s="6" t="str">
        <f t="shared" si="49"/>
        <v>1C</v>
      </c>
      <c r="K1962" s="21" t="s">
        <v>3709</v>
      </c>
    </row>
    <row r="1963" spans="1:11" x14ac:dyDescent="0.2">
      <c r="A1963" t="s">
        <v>2488</v>
      </c>
      <c r="B1963" t="s">
        <v>3266</v>
      </c>
      <c r="C1963" s="5" t="s">
        <v>48</v>
      </c>
      <c r="D1963" t="s">
        <v>3267</v>
      </c>
      <c r="E1963" t="s">
        <v>4622</v>
      </c>
      <c r="F1963" s="5" t="s">
        <v>3268</v>
      </c>
      <c r="G1963" s="5">
        <f t="shared" si="48"/>
        <v>44882</v>
      </c>
      <c r="H1963" s="5">
        <v>8</v>
      </c>
      <c r="I1963" s="6" t="str">
        <f t="shared" si="49"/>
        <v>8</v>
      </c>
      <c r="K1963" s="21" t="s">
        <v>4623</v>
      </c>
    </row>
    <row r="1964" spans="1:11" x14ac:dyDescent="0.2">
      <c r="A1964" t="s">
        <v>2489</v>
      </c>
      <c r="B1964" t="s">
        <v>3803</v>
      </c>
      <c r="E1964" t="str">
        <f>IF(D1964&lt;&gt;"",C1964&amp;"/"&amp;D1964,"")</f>
        <v/>
      </c>
      <c r="G1964" s="5" t="str">
        <f t="shared" si="48"/>
        <v/>
      </c>
      <c r="I1964" s="6" t="str">
        <f t="shared" si="49"/>
        <v>0</v>
      </c>
      <c r="K1964" s="21" t="s">
        <v>3804</v>
      </c>
    </row>
    <row r="1965" spans="1:11" x14ac:dyDescent="0.2">
      <c r="A1965" t="s">
        <v>2494</v>
      </c>
      <c r="B1965" t="s">
        <v>309</v>
      </c>
      <c r="E1965" t="str">
        <f>IF(D1965&lt;&gt;"",C1965&amp;"/"&amp;D1965,"")</f>
        <v/>
      </c>
      <c r="G1965" s="5" t="str">
        <f t="shared" si="48"/>
        <v/>
      </c>
      <c r="I1965" s="6" t="str">
        <f t="shared" si="49"/>
        <v>0</v>
      </c>
    </row>
    <row r="1966" spans="1:11" x14ac:dyDescent="0.2">
      <c r="A1966" t="s">
        <v>2498</v>
      </c>
      <c r="B1966" t="s">
        <v>309</v>
      </c>
      <c r="E1966" t="str">
        <f>IF(D1966&lt;&gt;"",C1966&amp;"/"&amp;D1966,"")</f>
        <v/>
      </c>
      <c r="G1966" s="5" t="str">
        <f t="shared" si="48"/>
        <v/>
      </c>
      <c r="I1966" s="6" t="str">
        <f t="shared" si="49"/>
        <v>0</v>
      </c>
    </row>
    <row r="1967" spans="1:11" ht="17" x14ac:dyDescent="0.25">
      <c r="A1967" t="s">
        <v>2499</v>
      </c>
      <c r="B1967" s="19" t="s">
        <v>3754</v>
      </c>
      <c r="D1967" s="19"/>
      <c r="E1967" t="str">
        <f>IF(D1967&lt;&gt;"",C1967&amp;"/"&amp;D1967,"")</f>
        <v/>
      </c>
      <c r="F1967" s="18"/>
      <c r="G1967" s="5" t="str">
        <f t="shared" si="48"/>
        <v/>
      </c>
      <c r="I1967" s="6" t="str">
        <f t="shared" si="49"/>
        <v>0</v>
      </c>
      <c r="K1967" s="21" t="s">
        <v>3755</v>
      </c>
    </row>
    <row r="1968" spans="1:11" ht="17" x14ac:dyDescent="0.25">
      <c r="A1968" t="s">
        <v>2501</v>
      </c>
      <c r="B1968" s="19" t="s">
        <v>3756</v>
      </c>
      <c r="D1968" s="19"/>
      <c r="E1968" t="str">
        <f>IF(D1968&lt;&gt;"",C1968&amp;"/"&amp;D1968,"")</f>
        <v/>
      </c>
      <c r="F1968" s="18"/>
      <c r="G1968" s="5" t="str">
        <f t="shared" si="48"/>
        <v/>
      </c>
      <c r="I1968" s="6" t="str">
        <f t="shared" si="49"/>
        <v>0</v>
      </c>
      <c r="K1968" s="21" t="s">
        <v>3757</v>
      </c>
    </row>
    <row r="1969" spans="1:11" x14ac:dyDescent="0.2">
      <c r="A1969" t="s">
        <v>2502</v>
      </c>
      <c r="B1969" t="s">
        <v>309</v>
      </c>
      <c r="E1969" t="str">
        <f>IF(D1969&lt;&gt;"",C1969&amp;"/"&amp;D1969,"")</f>
        <v/>
      </c>
      <c r="G1969" s="5" t="str">
        <f t="shared" si="48"/>
        <v/>
      </c>
      <c r="I1969" s="6" t="str">
        <f t="shared" si="49"/>
        <v>0</v>
      </c>
    </row>
    <row r="1970" spans="1:11" x14ac:dyDescent="0.2">
      <c r="A1970" t="s">
        <v>2503</v>
      </c>
      <c r="B1970" t="s">
        <v>3289</v>
      </c>
      <c r="G1970" s="5" t="str">
        <f t="shared" si="48"/>
        <v/>
      </c>
      <c r="I1970" s="6" t="str">
        <f t="shared" si="49"/>
        <v>0</v>
      </c>
      <c r="K1970" s="21" t="s">
        <v>4621</v>
      </c>
    </row>
    <row r="1971" spans="1:11" ht="17" x14ac:dyDescent="0.25">
      <c r="A1971" t="s">
        <v>2504</v>
      </c>
      <c r="B1971" s="19" t="s">
        <v>3710</v>
      </c>
      <c r="C1971" s="5" t="s">
        <v>3122</v>
      </c>
      <c r="D1971" s="19" t="s">
        <v>3711</v>
      </c>
      <c r="E1971" t="str">
        <f>IF(D1971&lt;&gt;"",C1971&amp;"/"&amp;D1971,"")</f>
        <v>gfx-data/Dungeon_WallComponents.lookup</v>
      </c>
      <c r="F1971" s="18" t="s">
        <v>3712</v>
      </c>
      <c r="G1971" s="5">
        <f t="shared" si="48"/>
        <v>45240</v>
      </c>
      <c r="H1971" s="5">
        <v>28</v>
      </c>
      <c r="I1971" s="6" t="str">
        <f t="shared" si="49"/>
        <v>1C</v>
      </c>
      <c r="K1971" s="21" t="s">
        <v>3713</v>
      </c>
    </row>
    <row r="1972" spans="1:11" ht="17" x14ac:dyDescent="0.25">
      <c r="A1972" t="s">
        <v>2505</v>
      </c>
      <c r="B1972" s="19" t="s">
        <v>3758</v>
      </c>
      <c r="D1972" s="19"/>
      <c r="E1972" t="str">
        <f>IF(D1972&lt;&gt;"",C1972&amp;"/"&amp;D1972,"")</f>
        <v/>
      </c>
      <c r="F1972" s="18"/>
      <c r="G1972" s="5" t="str">
        <f t="shared" ref="G1972:G2014" si="50">IF(F1972&lt;&gt;"",HEX2DEC(SUBSTITUTE(SUBSTITUTE(F1972,"adrEA",""),"$","")),"")</f>
        <v/>
      </c>
      <c r="I1972" s="6" t="str">
        <f t="shared" si="49"/>
        <v>0</v>
      </c>
      <c r="K1972" s="21" t="s">
        <v>3759</v>
      </c>
    </row>
    <row r="1973" spans="1:11" ht="17" x14ac:dyDescent="0.25">
      <c r="A1973" t="s">
        <v>2506</v>
      </c>
      <c r="B1973" s="19" t="s">
        <v>3760</v>
      </c>
      <c r="D1973" s="19"/>
      <c r="E1973" t="str">
        <f>IF(D1973&lt;&gt;"",C1973&amp;"/"&amp;D1973,"")</f>
        <v/>
      </c>
      <c r="F1973" s="18"/>
      <c r="G1973" s="5" t="str">
        <f t="shared" si="50"/>
        <v/>
      </c>
      <c r="I1973" s="6" t="str">
        <f t="shared" si="49"/>
        <v>0</v>
      </c>
      <c r="K1973" s="21" t="s">
        <v>3761</v>
      </c>
    </row>
    <row r="1974" spans="1:11" ht="17" x14ac:dyDescent="0.25">
      <c r="A1974" t="s">
        <v>2507</v>
      </c>
      <c r="B1974" s="19" t="s">
        <v>3762</v>
      </c>
      <c r="D1974" s="19"/>
      <c r="E1974" t="str">
        <f>IF(D1974&lt;&gt;"",C1974&amp;"/"&amp;D1974,"")</f>
        <v/>
      </c>
      <c r="F1974" s="18"/>
      <c r="G1974" s="5" t="str">
        <f t="shared" si="50"/>
        <v/>
      </c>
      <c r="I1974" s="6" t="str">
        <f t="shared" si="49"/>
        <v>0</v>
      </c>
      <c r="K1974" s="21" t="s">
        <v>3763</v>
      </c>
    </row>
    <row r="1975" spans="1:11" x14ac:dyDescent="0.2">
      <c r="A1975" t="s">
        <v>2508</v>
      </c>
      <c r="B1975" t="s">
        <v>3259</v>
      </c>
      <c r="E1975" t="str">
        <f>IF(D1975&lt;&gt;"",C1975&amp;"/"&amp;D1975,"")</f>
        <v/>
      </c>
      <c r="G1975" s="5" t="str">
        <f t="shared" si="50"/>
        <v/>
      </c>
      <c r="I1975" s="6" t="str">
        <f t="shared" si="49"/>
        <v>0</v>
      </c>
    </row>
    <row r="1976" spans="1:11" x14ac:dyDescent="0.2">
      <c r="A1976" t="s">
        <v>2509</v>
      </c>
      <c r="B1976" t="s">
        <v>3258</v>
      </c>
      <c r="E1976" t="str">
        <f>IF(D1976&lt;&gt;"",C1976&amp;"/"&amp;D1976,"")</f>
        <v/>
      </c>
      <c r="G1976" s="5" t="str">
        <f t="shared" si="50"/>
        <v/>
      </c>
      <c r="I1976" s="6" t="str">
        <f t="shared" si="49"/>
        <v>0</v>
      </c>
    </row>
    <row r="1977" spans="1:11" x14ac:dyDescent="0.2">
      <c r="A1977" t="s">
        <v>2510</v>
      </c>
      <c r="B1977" t="s">
        <v>3269</v>
      </c>
      <c r="E1977" t="str">
        <f>IF(D1977&lt;&gt;"",C1977&amp;"/"&amp;D1977,"")</f>
        <v/>
      </c>
      <c r="G1977" s="5" t="str">
        <f t="shared" si="50"/>
        <v/>
      </c>
      <c r="I1977" s="6" t="str">
        <f t="shared" si="49"/>
        <v>0</v>
      </c>
    </row>
    <row r="1978" spans="1:11" ht="17" x14ac:dyDescent="0.25">
      <c r="A1978" t="s">
        <v>2511</v>
      </c>
      <c r="B1978" s="19" t="s">
        <v>3714</v>
      </c>
      <c r="C1978" s="5" t="s">
        <v>3122</v>
      </c>
      <c r="D1978" s="19" t="s">
        <v>3715</v>
      </c>
      <c r="E1978" t="str">
        <f>IF(D1978&lt;&gt;"",C1978&amp;"/"&amp;D1978,"")</f>
        <v>gfx-data/Dungeon_WallComponent_DrawTransform.flags</v>
      </c>
      <c r="F1978" s="18" t="s">
        <v>3716</v>
      </c>
      <c r="G1978" s="5">
        <f t="shared" si="50"/>
        <v>45376</v>
      </c>
      <c r="H1978" s="5">
        <v>28</v>
      </c>
      <c r="I1978" s="6" t="str">
        <f t="shared" si="49"/>
        <v>1C</v>
      </c>
      <c r="K1978" s="21" t="s">
        <v>3717</v>
      </c>
    </row>
    <row r="1979" spans="1:11" ht="17" x14ac:dyDescent="0.25">
      <c r="A1979" t="s">
        <v>2512</v>
      </c>
      <c r="B1979" s="19" t="s">
        <v>3764</v>
      </c>
      <c r="D1979" s="19"/>
      <c r="E1979" t="str">
        <f>IF(D1979&lt;&gt;"",C1979&amp;"/"&amp;D1979,"")</f>
        <v/>
      </c>
      <c r="F1979" s="18"/>
      <c r="G1979" s="5" t="str">
        <f t="shared" si="50"/>
        <v/>
      </c>
      <c r="I1979" s="6" t="str">
        <f t="shared" si="49"/>
        <v>0</v>
      </c>
      <c r="K1979" s="21" t="s">
        <v>3765</v>
      </c>
    </row>
    <row r="1980" spans="1:11" x14ac:dyDescent="0.2">
      <c r="A1980" t="s">
        <v>2513</v>
      </c>
      <c r="B1980" t="s">
        <v>309</v>
      </c>
      <c r="E1980" t="str">
        <f>IF(D1980&lt;&gt;"",C1980&amp;"/"&amp;D1980,"")</f>
        <v/>
      </c>
      <c r="G1980" s="5" t="str">
        <f t="shared" si="50"/>
        <v/>
      </c>
      <c r="I1980" s="6" t="str">
        <f t="shared" si="49"/>
        <v>0</v>
      </c>
    </row>
    <row r="1981" spans="1:11" x14ac:dyDescent="0.2">
      <c r="A1981" t="s">
        <v>2514</v>
      </c>
      <c r="B1981" t="s">
        <v>309</v>
      </c>
      <c r="E1981" t="str">
        <f>IF(D1981&lt;&gt;"",C1981&amp;"/"&amp;D1981,"")</f>
        <v/>
      </c>
      <c r="G1981" s="5" t="str">
        <f t="shared" si="50"/>
        <v/>
      </c>
      <c r="I1981" s="6" t="str">
        <f t="shared" si="49"/>
        <v>0</v>
      </c>
    </row>
    <row r="1982" spans="1:11" x14ac:dyDescent="0.2">
      <c r="A1982" t="s">
        <v>2515</v>
      </c>
      <c r="B1982" t="s">
        <v>309</v>
      </c>
      <c r="E1982" t="str">
        <f>IF(D1982&lt;&gt;"",C1982&amp;"/"&amp;D1982,"")</f>
        <v/>
      </c>
      <c r="G1982" s="5" t="str">
        <f t="shared" si="50"/>
        <v/>
      </c>
      <c r="I1982" s="6" t="str">
        <f t="shared" si="49"/>
        <v>0</v>
      </c>
    </row>
    <row r="1983" spans="1:11" x14ac:dyDescent="0.2">
      <c r="A1983" t="s">
        <v>2516</v>
      </c>
      <c r="B1983" t="s">
        <v>309</v>
      </c>
      <c r="E1983" t="str">
        <f>IF(D1983&lt;&gt;"",C1983&amp;"/"&amp;D1983,"")</f>
        <v/>
      </c>
      <c r="G1983" s="5" t="str">
        <f t="shared" si="50"/>
        <v/>
      </c>
      <c r="I1983" s="6" t="str">
        <f t="shared" si="49"/>
        <v>0</v>
      </c>
    </row>
    <row r="1984" spans="1:11" ht="17" x14ac:dyDescent="0.25">
      <c r="A1984" t="s">
        <v>2517</v>
      </c>
      <c r="B1984" s="19" t="s">
        <v>3718</v>
      </c>
      <c r="C1984" s="5" t="s">
        <v>3122</v>
      </c>
      <c r="D1984" s="19" t="s">
        <v>3719</v>
      </c>
      <c r="E1984" t="str">
        <f>IF(D1984&lt;&gt;"",C1984&amp;"/"&amp;D1984,"")</f>
        <v>gfx-data/Dungeon_WallComponent_PerspectiveTrim.lookup</v>
      </c>
      <c r="F1984" s="18" t="s">
        <v>3720</v>
      </c>
      <c r="G1984" s="5">
        <f t="shared" si="50"/>
        <v>45524</v>
      </c>
      <c r="H1984" s="5">
        <v>8</v>
      </c>
      <c r="I1984" s="6" t="str">
        <f t="shared" si="49"/>
        <v>8</v>
      </c>
      <c r="K1984" s="21" t="s">
        <v>3721</v>
      </c>
    </row>
    <row r="1985" spans="1:11" ht="17" x14ac:dyDescent="0.25">
      <c r="A1985" t="s">
        <v>2518</v>
      </c>
      <c r="B1985" s="19" t="s">
        <v>3766</v>
      </c>
      <c r="D1985" s="19"/>
      <c r="E1985" t="str">
        <f>IF(D1985&lt;&gt;"",C1985&amp;"/"&amp;D1985,"")</f>
        <v/>
      </c>
      <c r="F1985" s="18"/>
      <c r="G1985" s="5" t="str">
        <f t="shared" si="50"/>
        <v/>
      </c>
      <c r="I1985" s="6" t="str">
        <f t="shared" si="49"/>
        <v>0</v>
      </c>
      <c r="K1985" s="21" t="s">
        <v>3767</v>
      </c>
    </row>
    <row r="1986" spans="1:11" x14ac:dyDescent="0.2">
      <c r="A1986" t="s">
        <v>2519</v>
      </c>
      <c r="B1986" t="s">
        <v>309</v>
      </c>
      <c r="E1986" t="str">
        <f>IF(D1986&lt;&gt;"",C1986&amp;"/"&amp;D1986,"")</f>
        <v/>
      </c>
      <c r="G1986" s="5" t="str">
        <f t="shared" si="50"/>
        <v/>
      </c>
      <c r="I1986" s="6" t="str">
        <f t="shared" si="49"/>
        <v>0</v>
      </c>
    </row>
    <row r="1987" spans="1:11" x14ac:dyDescent="0.2">
      <c r="A1987" t="s">
        <v>2522</v>
      </c>
      <c r="B1987" t="s">
        <v>309</v>
      </c>
      <c r="E1987" t="str">
        <f>IF(D1987&lt;&gt;"",C1987&amp;"/"&amp;D1987,"")</f>
        <v/>
      </c>
      <c r="G1987" s="5" t="str">
        <f t="shared" si="50"/>
        <v/>
      </c>
      <c r="I1987" s="6" t="str">
        <f t="shared" si="49"/>
        <v>0</v>
      </c>
    </row>
    <row r="1988" spans="1:11" x14ac:dyDescent="0.2">
      <c r="A1988" t="s">
        <v>2524</v>
      </c>
      <c r="B1988" t="s">
        <v>309</v>
      </c>
      <c r="E1988" t="str">
        <f>IF(D1988&lt;&gt;"",C1988&amp;"/"&amp;D1988,"")</f>
        <v/>
      </c>
      <c r="G1988" s="5" t="str">
        <f t="shared" si="50"/>
        <v/>
      </c>
      <c r="I1988" s="6" t="str">
        <f t="shared" si="49"/>
        <v>0</v>
      </c>
    </row>
    <row r="1989" spans="1:11" x14ac:dyDescent="0.2">
      <c r="A1989" t="s">
        <v>2525</v>
      </c>
      <c r="B1989" t="s">
        <v>309</v>
      </c>
      <c r="E1989" t="str">
        <f>IF(D1989&lt;&gt;"",C1989&amp;"/"&amp;D1989,"")</f>
        <v/>
      </c>
      <c r="G1989" s="5" t="str">
        <f t="shared" si="50"/>
        <v/>
      </c>
      <c r="I1989" s="6" t="str">
        <f t="shared" si="49"/>
        <v>0</v>
      </c>
    </row>
    <row r="1990" spans="1:11" ht="17" x14ac:dyDescent="0.25">
      <c r="A1990" t="s">
        <v>2526</v>
      </c>
      <c r="B1990" s="19" t="s">
        <v>3722</v>
      </c>
      <c r="C1990" s="5" t="s">
        <v>3122</v>
      </c>
      <c r="D1990" s="19" t="s">
        <v>3723</v>
      </c>
      <c r="E1990" t="str">
        <f>IF(D1990&lt;&gt;"",C1990&amp;"/"&amp;D1990,"")</f>
        <v>gfx-data/Dungeon_MainWall_DrawTransform.flags</v>
      </c>
      <c r="F1990" s="18" t="s">
        <v>3724</v>
      </c>
      <c r="G1990" s="5">
        <f t="shared" si="50"/>
        <v>45766</v>
      </c>
      <c r="H1990" s="5">
        <v>28</v>
      </c>
      <c r="I1990" s="6" t="str">
        <f t="shared" si="49"/>
        <v>1C</v>
      </c>
      <c r="K1990" s="21" t="s">
        <v>3725</v>
      </c>
    </row>
    <row r="1991" spans="1:11" ht="17" x14ac:dyDescent="0.25">
      <c r="A1991" t="s">
        <v>2527</v>
      </c>
      <c r="B1991" s="19" t="s">
        <v>3768</v>
      </c>
      <c r="D1991" s="19"/>
      <c r="E1991" t="str">
        <f>IF(D1991&lt;&gt;"",C1991&amp;"/"&amp;D1991,"")</f>
        <v/>
      </c>
      <c r="F1991" s="18"/>
      <c r="G1991" s="5" t="str">
        <f t="shared" si="50"/>
        <v/>
      </c>
      <c r="I1991" s="6" t="str">
        <f t="shared" si="49"/>
        <v>0</v>
      </c>
      <c r="K1991" s="21" t="s">
        <v>3769</v>
      </c>
    </row>
    <row r="1992" spans="1:11" x14ac:dyDescent="0.2">
      <c r="A1992" t="s">
        <v>2528</v>
      </c>
      <c r="B1992" t="s">
        <v>309</v>
      </c>
      <c r="E1992" t="str">
        <f>IF(D1992&lt;&gt;"",C1992&amp;"/"&amp;D1992,"")</f>
        <v/>
      </c>
      <c r="G1992" s="5" t="str">
        <f t="shared" si="50"/>
        <v/>
      </c>
      <c r="I1992" s="6" t="str">
        <f t="shared" si="49"/>
        <v>0</v>
      </c>
    </row>
    <row r="1993" spans="1:11" x14ac:dyDescent="0.2">
      <c r="A1993" t="s">
        <v>2529</v>
      </c>
      <c r="B1993" t="s">
        <v>309</v>
      </c>
      <c r="E1993" t="str">
        <f>IF(D1993&lt;&gt;"",C1993&amp;"/"&amp;D1993,"")</f>
        <v/>
      </c>
      <c r="G1993" s="5" t="str">
        <f t="shared" si="50"/>
        <v/>
      </c>
      <c r="I1993" s="6" t="str">
        <f t="shared" si="49"/>
        <v>0</v>
      </c>
    </row>
    <row r="1994" spans="1:11" x14ac:dyDescent="0.2">
      <c r="A1994" t="s">
        <v>2530</v>
      </c>
      <c r="B1994" t="s">
        <v>309</v>
      </c>
      <c r="E1994" t="str">
        <f>IF(D1994&lt;&gt;"",C1994&amp;"/"&amp;D1994,"")</f>
        <v/>
      </c>
      <c r="G1994" s="5" t="str">
        <f t="shared" si="50"/>
        <v/>
      </c>
      <c r="I1994" s="6" t="str">
        <f t="shared" si="49"/>
        <v>0</v>
      </c>
    </row>
    <row r="1995" spans="1:11" x14ac:dyDescent="0.2">
      <c r="A1995" t="s">
        <v>2531</v>
      </c>
      <c r="B1995" t="s">
        <v>309</v>
      </c>
      <c r="E1995" t="str">
        <f>IF(D1995&lt;&gt;"",C1995&amp;"/"&amp;D1995,"")</f>
        <v/>
      </c>
      <c r="G1995" s="5" t="str">
        <f t="shared" si="50"/>
        <v/>
      </c>
      <c r="I1995" s="6" t="str">
        <f t="shared" si="49"/>
        <v>0</v>
      </c>
    </row>
    <row r="1996" spans="1:11" ht="17" x14ac:dyDescent="0.25">
      <c r="A1996" t="s">
        <v>2532</v>
      </c>
      <c r="B1996" s="19" t="s">
        <v>3726</v>
      </c>
      <c r="C1996" s="5" t="s">
        <v>3122</v>
      </c>
      <c r="D1996" s="19" t="s">
        <v>3727</v>
      </c>
      <c r="E1996" t="str">
        <f>IF(D1996&lt;&gt;"",C1996&amp;"/"&amp;D1996,"")</f>
        <v>gfx-data/Dungeon_MainWall_PerspectiveTrim.lookup</v>
      </c>
      <c r="F1996" s="18" t="s">
        <v>3728</v>
      </c>
      <c r="G1996" s="5">
        <f t="shared" si="50"/>
        <v>45934</v>
      </c>
      <c r="H1996" s="5">
        <v>8</v>
      </c>
      <c r="I1996" s="6" t="str">
        <f t="shared" si="49"/>
        <v>8</v>
      </c>
      <c r="K1996" s="21" t="s">
        <v>3729</v>
      </c>
    </row>
    <row r="1997" spans="1:11" ht="17" x14ac:dyDescent="0.25">
      <c r="A1997" t="s">
        <v>2533</v>
      </c>
      <c r="B1997" s="19" t="s">
        <v>3770</v>
      </c>
      <c r="D1997" s="19"/>
      <c r="E1997" t="str">
        <f>IF(D1997&lt;&gt;"",C1997&amp;"/"&amp;D1997,"")</f>
        <v/>
      </c>
      <c r="F1997" s="18"/>
      <c r="G1997" s="5" t="str">
        <f t="shared" si="50"/>
        <v/>
      </c>
      <c r="I1997" s="6" t="str">
        <f t="shared" si="49"/>
        <v>0</v>
      </c>
      <c r="K1997" s="21" t="s">
        <v>3771</v>
      </c>
    </row>
    <row r="1998" spans="1:11" x14ac:dyDescent="0.2">
      <c r="A1998" t="s">
        <v>2534</v>
      </c>
      <c r="B1998" t="s">
        <v>309</v>
      </c>
      <c r="E1998" t="str">
        <f>IF(D1998&lt;&gt;"",C1998&amp;"/"&amp;D1998,"")</f>
        <v/>
      </c>
      <c r="G1998" s="5" t="str">
        <f t="shared" si="50"/>
        <v/>
      </c>
      <c r="I1998" s="6" t="str">
        <f t="shared" si="49"/>
        <v>0</v>
      </c>
    </row>
    <row r="1999" spans="1:11" ht="17" x14ac:dyDescent="0.25">
      <c r="A1999" t="s">
        <v>2535</v>
      </c>
      <c r="B1999" s="19" t="s">
        <v>3772</v>
      </c>
      <c r="D1999" s="19"/>
      <c r="E1999" t="str">
        <f>IF(D1999&lt;&gt;"",C1999&amp;"/"&amp;D1999,"")</f>
        <v/>
      </c>
      <c r="F1999" s="18"/>
      <c r="G1999" s="5" t="str">
        <f t="shared" si="50"/>
        <v/>
      </c>
      <c r="I1999" s="6" t="str">
        <f t="shared" si="49"/>
        <v>0</v>
      </c>
      <c r="K1999" s="21" t="s">
        <v>3773</v>
      </c>
    </row>
    <row r="2000" spans="1:11" x14ac:dyDescent="0.2">
      <c r="A2000" t="s">
        <v>2538</v>
      </c>
      <c r="B2000" t="s">
        <v>309</v>
      </c>
      <c r="E2000" t="str">
        <f>IF(D2000&lt;&gt;"",C2000&amp;"/"&amp;D2000,"")</f>
        <v/>
      </c>
      <c r="G2000" s="5" t="str">
        <f t="shared" si="50"/>
        <v/>
      </c>
      <c r="I2000" s="6" t="str">
        <f t="shared" ref="I2000:I2064" si="51">IFERROR(DEC2HEX(H2000),"")</f>
        <v>0</v>
      </c>
    </row>
    <row r="2001" spans="1:12" x14ac:dyDescent="0.2">
      <c r="A2001" t="s">
        <v>2539</v>
      </c>
      <c r="B2001" t="s">
        <v>309</v>
      </c>
      <c r="E2001" t="str">
        <f>IF(D2001&lt;&gt;"",C2001&amp;"/"&amp;D2001,"")</f>
        <v/>
      </c>
      <c r="G2001" s="5" t="str">
        <f t="shared" si="50"/>
        <v/>
      </c>
      <c r="I2001" s="6" t="str">
        <f t="shared" si="51"/>
        <v>0</v>
      </c>
    </row>
    <row r="2002" spans="1:12" x14ac:dyDescent="0.2">
      <c r="A2002" t="s">
        <v>2542</v>
      </c>
      <c r="B2002" t="s">
        <v>309</v>
      </c>
      <c r="E2002" t="str">
        <f>IF(D2002&lt;&gt;"",C2002&amp;"/"&amp;D2002,"")</f>
        <v/>
      </c>
      <c r="G2002" s="5" t="str">
        <f t="shared" si="50"/>
        <v/>
      </c>
      <c r="I2002" s="6" t="str">
        <f t="shared" si="51"/>
        <v>0</v>
      </c>
    </row>
    <row r="2003" spans="1:12" x14ac:dyDescent="0.2">
      <c r="A2003" t="s">
        <v>2544</v>
      </c>
      <c r="B2003" t="s">
        <v>309</v>
      </c>
      <c r="E2003" t="str">
        <f>IF(D2003&lt;&gt;"",C2003&amp;"/"&amp;D2003,"")</f>
        <v/>
      </c>
      <c r="G2003" s="5" t="str">
        <f t="shared" si="50"/>
        <v/>
      </c>
      <c r="I2003" s="6" t="str">
        <f t="shared" si="51"/>
        <v>0</v>
      </c>
    </row>
    <row r="2004" spans="1:12" x14ac:dyDescent="0.2">
      <c r="A2004" t="s">
        <v>2547</v>
      </c>
      <c r="B2004" t="s">
        <v>309</v>
      </c>
      <c r="E2004" t="str">
        <f>IF(D2004&lt;&gt;"",C2004&amp;"/"&amp;D2004,"")</f>
        <v/>
      </c>
      <c r="G2004" s="5" t="str">
        <f t="shared" si="50"/>
        <v/>
      </c>
      <c r="I2004" s="6" t="str">
        <f t="shared" si="51"/>
        <v>0</v>
      </c>
    </row>
    <row r="2005" spans="1:12" x14ac:dyDescent="0.2">
      <c r="A2005" t="s">
        <v>1905</v>
      </c>
      <c r="B2005" t="s">
        <v>5315</v>
      </c>
      <c r="C2005" s="5" t="s">
        <v>7</v>
      </c>
      <c r="F2005" s="5" t="s">
        <v>5316</v>
      </c>
      <c r="G2005" s="5">
        <f t="shared" si="50"/>
        <v>32518</v>
      </c>
      <c r="I2005" s="6" t="str">
        <f t="shared" si="51"/>
        <v>0</v>
      </c>
      <c r="L2005" s="6" t="s">
        <v>5317</v>
      </c>
    </row>
    <row r="2006" spans="1:12" x14ac:dyDescent="0.2">
      <c r="A2006" t="s">
        <v>2548</v>
      </c>
      <c r="B2006" t="s">
        <v>3730</v>
      </c>
      <c r="C2006" s="5" t="s">
        <v>3122</v>
      </c>
      <c r="D2006" t="s">
        <v>3731</v>
      </c>
      <c r="E2006" t="str">
        <f>IF(D2006&lt;&gt;"",C2006&amp;"/"&amp;D2006,"")</f>
        <v>gfx-data/Dungeon_ViewCell_RelativeCoordinates.positions</v>
      </c>
      <c r="F2006" s="5" t="s">
        <v>3805</v>
      </c>
      <c r="G2006" s="5">
        <f>IF(F2006&lt;&gt;"",HEX2DEC(SUBSTITUTE(SUBSTITUTE(F2006,"adrEA",""),"$","")),"")</f>
        <v>46378</v>
      </c>
      <c r="H2006" s="5">
        <v>152</v>
      </c>
      <c r="I2006" s="6" t="str">
        <f>IFERROR(DEC2HEX(H2006),"")</f>
        <v>98</v>
      </c>
      <c r="J2006" s="6" t="s">
        <v>3455</v>
      </c>
      <c r="K2006" s="21" t="s">
        <v>3732</v>
      </c>
    </row>
    <row r="2007" spans="1:12" x14ac:dyDescent="0.2">
      <c r="A2007" t="s">
        <v>2548</v>
      </c>
      <c r="B2007" t="s">
        <v>3733</v>
      </c>
      <c r="C2007" s="5" t="s">
        <v>3122</v>
      </c>
      <c r="D2007" t="s">
        <v>3734</v>
      </c>
      <c r="E2007" t="str">
        <f>IF(D2007&lt;&gt;"",C2007&amp;"/"&amp;D2007,"")</f>
        <v>gfx-data/Dungeon_ViewCell_Occlusion.flags</v>
      </c>
      <c r="F2007" s="29" t="s">
        <v>3806</v>
      </c>
      <c r="G2007" s="5">
        <f t="shared" si="50"/>
        <v>46530</v>
      </c>
      <c r="H2007" s="5">
        <v>76</v>
      </c>
      <c r="I2007" s="6" t="str">
        <f t="shared" si="51"/>
        <v>4C</v>
      </c>
      <c r="J2007" s="6" t="s">
        <v>3460</v>
      </c>
    </row>
    <row r="2008" spans="1:12" x14ac:dyDescent="0.2">
      <c r="A2008" t="s">
        <v>2548</v>
      </c>
      <c r="B2008" t="s">
        <v>3735</v>
      </c>
      <c r="C2008" s="5" t="s">
        <v>3122</v>
      </c>
      <c r="D2008" t="s">
        <v>3736</v>
      </c>
      <c r="E2008" t="str">
        <f>IF(D2008&lt;&gt;"",C2008&amp;"/"&amp;D2008,"")</f>
        <v>gfx-data/Dungeon_ViewCell_VisibleFaces.flags</v>
      </c>
      <c r="F2008" s="29" t="s">
        <v>3807</v>
      </c>
      <c r="G2008" s="5">
        <f t="shared" si="50"/>
        <v>46606</v>
      </c>
      <c r="H2008" s="5">
        <v>76</v>
      </c>
      <c r="I2008" s="6" t="str">
        <f t="shared" si="51"/>
        <v>4C</v>
      </c>
      <c r="J2008" s="6" t="s">
        <v>3460</v>
      </c>
    </row>
    <row r="2009" spans="1:12" ht="17" x14ac:dyDescent="0.25">
      <c r="A2009" t="s">
        <v>2549</v>
      </c>
      <c r="B2009" s="19" t="s">
        <v>3778</v>
      </c>
      <c r="E2009" t="str">
        <f>IF(D2009&lt;&gt;"",C2009&amp;"/"&amp;D2009,"")</f>
        <v/>
      </c>
      <c r="G2009" s="5" t="str">
        <f t="shared" si="50"/>
        <v/>
      </c>
      <c r="I2009" s="6" t="str">
        <f t="shared" si="51"/>
        <v>0</v>
      </c>
    </row>
    <row r="2010" spans="1:12" ht="17" x14ac:dyDescent="0.25">
      <c r="A2010" t="s">
        <v>2550</v>
      </c>
      <c r="B2010" s="19" t="s">
        <v>3779</v>
      </c>
      <c r="E2010" t="str">
        <f>IF(D2010&lt;&gt;"",C2010&amp;"/"&amp;D2010,"")</f>
        <v/>
      </c>
      <c r="G2010" s="5" t="str">
        <f t="shared" si="50"/>
        <v/>
      </c>
      <c r="I2010" s="6" t="str">
        <f t="shared" si="51"/>
        <v>0</v>
      </c>
    </row>
    <row r="2011" spans="1:12" ht="17" x14ac:dyDescent="0.25">
      <c r="A2011" t="s">
        <v>2551</v>
      </c>
      <c r="B2011" s="19" t="s">
        <v>3737</v>
      </c>
      <c r="C2011" s="5" t="s">
        <v>3122</v>
      </c>
      <c r="D2011" s="19" t="s">
        <v>3738</v>
      </c>
      <c r="E2011" t="str">
        <f>IF(D2011&lt;&gt;"",C2011&amp;"/"&amp;D2011,"")</f>
        <v>gfx-data/Dungeon_ViewCell_CentredSlots.lookup</v>
      </c>
      <c r="F2011" s="18" t="s">
        <v>3739</v>
      </c>
      <c r="G2011" s="5">
        <f t="shared" si="50"/>
        <v>46682</v>
      </c>
      <c r="H2011" s="5">
        <v>20</v>
      </c>
      <c r="I2011" s="6" t="str">
        <f t="shared" si="51"/>
        <v>14</v>
      </c>
      <c r="K2011" s="21" t="s">
        <v>3740</v>
      </c>
    </row>
    <row r="2012" spans="1:12" ht="17" x14ac:dyDescent="0.25">
      <c r="A2012" t="s">
        <v>2552</v>
      </c>
      <c r="B2012" s="19" t="s">
        <v>3741</v>
      </c>
      <c r="C2012" s="5" t="s">
        <v>3122</v>
      </c>
      <c r="D2012" s="19" t="s">
        <v>3742</v>
      </c>
      <c r="E2012" t="str">
        <f>IF(D2012&lt;&gt;"",C2012&amp;"/"&amp;D2012,"")</f>
        <v>gfx-data/Dungeon_ViewCell_WallFaces.lookup</v>
      </c>
      <c r="F2012" s="18" t="s">
        <v>3743</v>
      </c>
      <c r="G2012" s="5">
        <f t="shared" si="50"/>
        <v>46702</v>
      </c>
      <c r="H2012" s="5">
        <v>76</v>
      </c>
      <c r="I2012" s="6" t="str">
        <f t="shared" si="51"/>
        <v>4C</v>
      </c>
      <c r="K2012" s="21" t="s">
        <v>3744</v>
      </c>
    </row>
    <row r="2013" spans="1:12" x14ac:dyDescent="0.2">
      <c r="A2013" t="s">
        <v>2553</v>
      </c>
      <c r="B2013" t="s">
        <v>309</v>
      </c>
      <c r="E2013" t="str">
        <f>IF(D2013&lt;&gt;"",C2013&amp;"/"&amp;D2013,"")</f>
        <v/>
      </c>
      <c r="G2013" s="5" t="str">
        <f t="shared" si="50"/>
        <v/>
      </c>
      <c r="I2013" s="6" t="str">
        <f t="shared" si="51"/>
        <v>0</v>
      </c>
    </row>
    <row r="2014" spans="1:12" x14ac:dyDescent="0.2">
      <c r="A2014" t="s">
        <v>2554</v>
      </c>
      <c r="B2014" t="s">
        <v>309</v>
      </c>
      <c r="E2014" t="str">
        <f>IF(D2014&lt;&gt;"",C2014&amp;"/"&amp;D2014,"")</f>
        <v/>
      </c>
      <c r="G2014" s="5" t="str">
        <f t="shared" si="50"/>
        <v/>
      </c>
      <c r="I2014" s="6" t="str">
        <f t="shared" si="51"/>
        <v>0</v>
      </c>
    </row>
    <row r="2015" spans="1:12" x14ac:dyDescent="0.2">
      <c r="A2015" t="s">
        <v>2555</v>
      </c>
      <c r="B2015" t="s">
        <v>309</v>
      </c>
      <c r="E2015" t="str">
        <f>IF(D2015&lt;&gt;"",C2015&amp;"/"&amp;D2015,"")</f>
        <v/>
      </c>
      <c r="G2015" s="5" t="str">
        <f t="shared" ref="G2015:G2078" si="52">IF(F2015&lt;&gt;"",HEX2DEC(SUBSTITUTE(SUBSTITUTE(F2015,"adrEA",""),"$","")),"")</f>
        <v/>
      </c>
      <c r="I2015" s="6" t="str">
        <f t="shared" si="51"/>
        <v>0</v>
      </c>
    </row>
    <row r="2016" spans="1:12" x14ac:dyDescent="0.2">
      <c r="A2016" t="s">
        <v>2556</v>
      </c>
      <c r="B2016" t="s">
        <v>309</v>
      </c>
      <c r="E2016" t="str">
        <f>IF(D2016&lt;&gt;"",C2016&amp;"/"&amp;D2016,"")</f>
        <v/>
      </c>
      <c r="G2016" s="5" t="str">
        <f t="shared" si="52"/>
        <v/>
      </c>
      <c r="I2016" s="6" t="str">
        <f t="shared" si="51"/>
        <v>0</v>
      </c>
    </row>
    <row r="2017" spans="1:11" x14ac:dyDescent="0.2">
      <c r="A2017" t="s">
        <v>2557</v>
      </c>
      <c r="B2017" t="s">
        <v>309</v>
      </c>
      <c r="E2017" t="str">
        <f>IF(D2017&lt;&gt;"",C2017&amp;"/"&amp;D2017,"")</f>
        <v/>
      </c>
      <c r="G2017" s="5" t="str">
        <f t="shared" si="52"/>
        <v/>
      </c>
      <c r="I2017" s="6" t="str">
        <f t="shared" si="51"/>
        <v>0</v>
      </c>
    </row>
    <row r="2018" spans="1:11" x14ac:dyDescent="0.2">
      <c r="A2018" t="s">
        <v>2558</v>
      </c>
      <c r="B2018" t="s">
        <v>5275</v>
      </c>
      <c r="C2018" s="5" t="s">
        <v>7</v>
      </c>
      <c r="F2018" s="5" t="s">
        <v>5276</v>
      </c>
      <c r="G2018" s="5">
        <f t="shared" si="52"/>
        <v>48438</v>
      </c>
      <c r="I2018" s="6" t="str">
        <f t="shared" si="51"/>
        <v>0</v>
      </c>
      <c r="K2018" s="21" t="s">
        <v>5277</v>
      </c>
    </row>
    <row r="2019" spans="1:11" x14ac:dyDescent="0.2">
      <c r="A2019" t="s">
        <v>2559</v>
      </c>
      <c r="B2019" t="s">
        <v>309</v>
      </c>
      <c r="E2019" t="str">
        <f>IF(D2019&lt;&gt;"",C2019&amp;"/"&amp;D2019,"")</f>
        <v/>
      </c>
      <c r="G2019" s="5" t="str">
        <f t="shared" si="52"/>
        <v/>
      </c>
      <c r="I2019" s="6" t="str">
        <f t="shared" si="51"/>
        <v>0</v>
      </c>
    </row>
    <row r="2020" spans="1:11" x14ac:dyDescent="0.2">
      <c r="A2020" t="s">
        <v>2560</v>
      </c>
      <c r="B2020" t="s">
        <v>2561</v>
      </c>
      <c r="E2020" t="str">
        <f>IF(D2020&lt;&gt;"",C2020&amp;"/"&amp;D2020,"")</f>
        <v/>
      </c>
      <c r="G2020" s="5" t="str">
        <f t="shared" si="52"/>
        <v/>
      </c>
      <c r="I2020" s="6" t="str">
        <f t="shared" si="51"/>
        <v>0</v>
      </c>
    </row>
    <row r="2021" spans="1:11" x14ac:dyDescent="0.2">
      <c r="A2021" t="s">
        <v>2562</v>
      </c>
      <c r="B2021" t="s">
        <v>309</v>
      </c>
      <c r="E2021" t="str">
        <f>IF(D2021&lt;&gt;"",C2021&amp;"/"&amp;D2021,"")</f>
        <v/>
      </c>
      <c r="G2021" s="5" t="str">
        <f t="shared" si="52"/>
        <v/>
      </c>
      <c r="I2021" s="6" t="str">
        <f t="shared" si="51"/>
        <v>0</v>
      </c>
    </row>
    <row r="2022" spans="1:11" x14ac:dyDescent="0.2">
      <c r="A2022" t="s">
        <v>2563</v>
      </c>
      <c r="B2022" t="s">
        <v>309</v>
      </c>
      <c r="E2022" t="str">
        <f>IF(D2022&lt;&gt;"",C2022&amp;"/"&amp;D2022,"")</f>
        <v/>
      </c>
      <c r="G2022" s="5" t="str">
        <f t="shared" si="52"/>
        <v/>
      </c>
      <c r="I2022" s="6" t="str">
        <f t="shared" si="51"/>
        <v>0</v>
      </c>
    </row>
    <row r="2023" spans="1:11" x14ac:dyDescent="0.2">
      <c r="A2023" t="s">
        <v>2564</v>
      </c>
      <c r="B2023" t="s">
        <v>309</v>
      </c>
      <c r="E2023" t="str">
        <f>IF(D2023&lt;&gt;"",C2023&amp;"/"&amp;D2023,"")</f>
        <v/>
      </c>
      <c r="G2023" s="5" t="str">
        <f t="shared" si="52"/>
        <v/>
      </c>
      <c r="I2023" s="6" t="str">
        <f t="shared" si="51"/>
        <v>0</v>
      </c>
    </row>
    <row r="2024" spans="1:11" x14ac:dyDescent="0.2">
      <c r="A2024" t="s">
        <v>2565</v>
      </c>
      <c r="B2024" t="s">
        <v>2566</v>
      </c>
      <c r="E2024" t="str">
        <f>IF(D2024&lt;&gt;"",C2024&amp;"/"&amp;D2024,"")</f>
        <v/>
      </c>
      <c r="G2024" s="5" t="str">
        <f t="shared" si="52"/>
        <v/>
      </c>
      <c r="I2024" s="6" t="str">
        <f t="shared" si="51"/>
        <v>0</v>
      </c>
    </row>
    <row r="2025" spans="1:11" x14ac:dyDescent="0.2">
      <c r="A2025" t="s">
        <v>2567</v>
      </c>
      <c r="B2025" t="s">
        <v>309</v>
      </c>
      <c r="E2025" t="str">
        <f>IF(D2025&lt;&gt;"",C2025&amp;"/"&amp;D2025,"")</f>
        <v/>
      </c>
      <c r="G2025" s="5" t="str">
        <f t="shared" si="52"/>
        <v/>
      </c>
      <c r="I2025" s="6" t="str">
        <f t="shared" si="51"/>
        <v>0</v>
      </c>
    </row>
    <row r="2026" spans="1:11" x14ac:dyDescent="0.2">
      <c r="A2026" t="s">
        <v>2569</v>
      </c>
      <c r="B2026" t="s">
        <v>309</v>
      </c>
      <c r="E2026" t="str">
        <f>IF(D2026&lt;&gt;"",C2026&amp;"/"&amp;D2026,"")</f>
        <v/>
      </c>
      <c r="G2026" s="5" t="str">
        <f t="shared" si="52"/>
        <v/>
      </c>
      <c r="I2026" s="6" t="str">
        <f t="shared" si="51"/>
        <v>0</v>
      </c>
    </row>
    <row r="2027" spans="1:11" x14ac:dyDescent="0.2">
      <c r="A2027" t="s">
        <v>2572</v>
      </c>
      <c r="B2027" t="s">
        <v>2573</v>
      </c>
      <c r="E2027" t="str">
        <f>IF(D2027&lt;&gt;"",C2027&amp;"/"&amp;D2027,"")</f>
        <v/>
      </c>
      <c r="G2027" s="5" t="str">
        <f t="shared" si="52"/>
        <v/>
      </c>
      <c r="I2027" s="6" t="str">
        <f t="shared" si="51"/>
        <v>0</v>
      </c>
    </row>
    <row r="2028" spans="1:11" x14ac:dyDescent="0.2">
      <c r="A2028" t="s">
        <v>2574</v>
      </c>
      <c r="B2028" t="s">
        <v>2575</v>
      </c>
      <c r="E2028" t="str">
        <f>IF(D2028&lt;&gt;"",C2028&amp;"/"&amp;D2028,"")</f>
        <v/>
      </c>
      <c r="G2028" s="5" t="str">
        <f t="shared" si="52"/>
        <v/>
      </c>
      <c r="I2028" s="6" t="str">
        <f t="shared" si="51"/>
        <v>0</v>
      </c>
    </row>
    <row r="2029" spans="1:11" x14ac:dyDescent="0.2">
      <c r="A2029" t="s">
        <v>2576</v>
      </c>
      <c r="B2029" t="s">
        <v>309</v>
      </c>
      <c r="E2029" t="str">
        <f>IF(D2029&lt;&gt;"",C2029&amp;"/"&amp;D2029,"")</f>
        <v/>
      </c>
      <c r="G2029" s="5" t="str">
        <f t="shared" si="52"/>
        <v/>
      </c>
      <c r="I2029" s="6" t="str">
        <f t="shared" si="51"/>
        <v>0</v>
      </c>
    </row>
    <row r="2030" spans="1:11" x14ac:dyDescent="0.2">
      <c r="A2030" t="s">
        <v>2577</v>
      </c>
      <c r="B2030" t="s">
        <v>5377</v>
      </c>
      <c r="C2030" s="5" t="s">
        <v>7</v>
      </c>
      <c r="F2030" s="5" t="s">
        <v>5378</v>
      </c>
      <c r="G2030" s="5">
        <f t="shared" si="52"/>
        <v>48936</v>
      </c>
      <c r="I2030" s="6" t="str">
        <f t="shared" si="51"/>
        <v>0</v>
      </c>
      <c r="K2030" s="21" t="s">
        <v>5379</v>
      </c>
    </row>
    <row r="2031" spans="1:11" ht="17" x14ac:dyDescent="0.25">
      <c r="A2031" t="s">
        <v>2578</v>
      </c>
      <c r="B2031" t="s">
        <v>5380</v>
      </c>
      <c r="C2031" s="5" t="s">
        <v>7</v>
      </c>
      <c r="F2031" s="5" t="s">
        <v>5381</v>
      </c>
      <c r="G2031" s="5">
        <f t="shared" si="52"/>
        <v>48976</v>
      </c>
      <c r="I2031" s="6" t="str">
        <f t="shared" si="51"/>
        <v>0</v>
      </c>
      <c r="K2031" s="21" t="s">
        <v>5382</v>
      </c>
    </row>
    <row r="2032" spans="1:11" x14ac:dyDescent="0.2">
      <c r="A2032" t="s">
        <v>2579</v>
      </c>
      <c r="B2032" t="s">
        <v>309</v>
      </c>
      <c r="E2032" t="str">
        <f>IF(D2032&lt;&gt;"",C2032&amp;"/"&amp;D2032,"")</f>
        <v/>
      </c>
      <c r="G2032" s="5" t="str">
        <f t="shared" si="52"/>
        <v/>
      </c>
      <c r="I2032" s="6" t="str">
        <f t="shared" si="51"/>
        <v>0</v>
      </c>
    </row>
    <row r="2033" spans="1:11" x14ac:dyDescent="0.2">
      <c r="A2033" t="s">
        <v>2580</v>
      </c>
      <c r="B2033" t="s">
        <v>309</v>
      </c>
      <c r="E2033" t="str">
        <f>IF(D2033&lt;&gt;"",C2033&amp;"/"&amp;D2033,"")</f>
        <v/>
      </c>
      <c r="G2033" s="5" t="str">
        <f t="shared" si="52"/>
        <v/>
      </c>
      <c r="I2033" s="6" t="str">
        <f t="shared" si="51"/>
        <v>0</v>
      </c>
    </row>
    <row r="2034" spans="1:11" x14ac:dyDescent="0.2">
      <c r="A2034" t="s">
        <v>2581</v>
      </c>
      <c r="B2034" t="s">
        <v>2582</v>
      </c>
      <c r="E2034" t="str">
        <f>IF(D2034&lt;&gt;"",C2034&amp;"/"&amp;D2034,"")</f>
        <v/>
      </c>
      <c r="G2034" s="5" t="str">
        <f t="shared" si="52"/>
        <v/>
      </c>
      <c r="I2034" s="6" t="str">
        <f t="shared" si="51"/>
        <v>0</v>
      </c>
    </row>
    <row r="2035" spans="1:11" x14ac:dyDescent="0.2">
      <c r="A2035" t="s">
        <v>2583</v>
      </c>
      <c r="B2035" t="s">
        <v>309</v>
      </c>
      <c r="E2035" t="str">
        <f>IF(D2035&lt;&gt;"",C2035&amp;"/"&amp;D2035,"")</f>
        <v/>
      </c>
      <c r="G2035" s="5" t="str">
        <f t="shared" si="52"/>
        <v/>
      </c>
      <c r="I2035" s="6" t="str">
        <f t="shared" si="51"/>
        <v>0</v>
      </c>
    </row>
    <row r="2036" spans="1:11" x14ac:dyDescent="0.2">
      <c r="A2036" t="s">
        <v>2584</v>
      </c>
      <c r="B2036" t="s">
        <v>309</v>
      </c>
      <c r="E2036" t="str">
        <f>IF(D2036&lt;&gt;"",C2036&amp;"/"&amp;D2036,"")</f>
        <v/>
      </c>
      <c r="G2036" s="5" t="str">
        <f t="shared" si="52"/>
        <v/>
      </c>
      <c r="I2036" s="6" t="str">
        <f t="shared" si="51"/>
        <v>0</v>
      </c>
    </row>
    <row r="2037" spans="1:11" x14ac:dyDescent="0.2">
      <c r="A2037" t="s">
        <v>2585</v>
      </c>
      <c r="B2037" t="s">
        <v>5383</v>
      </c>
      <c r="C2037" s="5" t="s">
        <v>7</v>
      </c>
      <c r="F2037" s="5" t="s">
        <v>5384</v>
      </c>
      <c r="G2037" s="5">
        <f t="shared" si="52"/>
        <v>49054</v>
      </c>
      <c r="I2037" s="6" t="str">
        <f t="shared" si="51"/>
        <v>0</v>
      </c>
      <c r="K2037" s="21" t="s">
        <v>5385</v>
      </c>
    </row>
    <row r="2038" spans="1:11" x14ac:dyDescent="0.2">
      <c r="A2038" t="s">
        <v>2586</v>
      </c>
      <c r="B2038" t="s">
        <v>309</v>
      </c>
      <c r="E2038" t="str">
        <f>IF(D2038&lt;&gt;"",C2038&amp;"/"&amp;D2038,"")</f>
        <v/>
      </c>
      <c r="G2038" s="5" t="str">
        <f t="shared" si="52"/>
        <v/>
      </c>
      <c r="I2038" s="6" t="str">
        <f t="shared" si="51"/>
        <v>0</v>
      </c>
    </row>
    <row r="2039" spans="1:11" x14ac:dyDescent="0.2">
      <c r="A2039" t="s">
        <v>2587</v>
      </c>
      <c r="B2039" t="s">
        <v>309</v>
      </c>
      <c r="E2039" t="str">
        <f>IF(D2039&lt;&gt;"",C2039&amp;"/"&amp;D2039,"")</f>
        <v/>
      </c>
      <c r="G2039" s="5" t="str">
        <f t="shared" si="52"/>
        <v/>
      </c>
      <c r="I2039" s="6" t="str">
        <f t="shared" si="51"/>
        <v>0</v>
      </c>
    </row>
    <row r="2040" spans="1:11" x14ac:dyDescent="0.2">
      <c r="A2040" t="s">
        <v>2588</v>
      </c>
      <c r="B2040" t="s">
        <v>309</v>
      </c>
      <c r="E2040" t="str">
        <f>IF(D2040&lt;&gt;"",C2040&amp;"/"&amp;D2040,"")</f>
        <v/>
      </c>
      <c r="G2040" s="5" t="str">
        <f t="shared" si="52"/>
        <v/>
      </c>
      <c r="I2040" s="6" t="str">
        <f t="shared" si="51"/>
        <v>0</v>
      </c>
    </row>
    <row r="2041" spans="1:11" x14ac:dyDescent="0.2">
      <c r="A2041" t="s">
        <v>2589</v>
      </c>
      <c r="B2041" t="s">
        <v>5386</v>
      </c>
      <c r="C2041" s="5" t="s">
        <v>7</v>
      </c>
      <c r="F2041" s="5" t="s">
        <v>5387</v>
      </c>
      <c r="G2041" s="5">
        <f t="shared" si="52"/>
        <v>49186</v>
      </c>
      <c r="I2041" s="6" t="str">
        <f t="shared" si="51"/>
        <v>0</v>
      </c>
      <c r="K2041" s="21" t="s">
        <v>5388</v>
      </c>
    </row>
    <row r="2042" spans="1:11" x14ac:dyDescent="0.2">
      <c r="A2042" t="s">
        <v>2590</v>
      </c>
      <c r="B2042" t="s">
        <v>309</v>
      </c>
      <c r="E2042" t="str">
        <f>IF(D2042&lt;&gt;"",C2042&amp;"/"&amp;D2042,"")</f>
        <v/>
      </c>
      <c r="G2042" s="5" t="str">
        <f t="shared" si="52"/>
        <v/>
      </c>
      <c r="I2042" s="6" t="str">
        <f t="shared" si="51"/>
        <v>0</v>
      </c>
    </row>
    <row r="2043" spans="1:11" x14ac:dyDescent="0.2">
      <c r="A2043" t="s">
        <v>2591</v>
      </c>
      <c r="B2043" t="s">
        <v>5166</v>
      </c>
      <c r="C2043" s="5" t="s">
        <v>7</v>
      </c>
      <c r="F2043" s="5" t="s">
        <v>5167</v>
      </c>
      <c r="G2043" s="5">
        <f t="shared" si="52"/>
        <v>49242</v>
      </c>
      <c r="I2043" s="6" t="str">
        <f t="shared" si="51"/>
        <v>0</v>
      </c>
      <c r="K2043" s="21" t="s">
        <v>5168</v>
      </c>
    </row>
    <row r="2044" spans="1:11" x14ac:dyDescent="0.2">
      <c r="A2044" t="s">
        <v>2592</v>
      </c>
      <c r="B2044" t="s">
        <v>309</v>
      </c>
      <c r="E2044" t="str">
        <f>IF(D2044&lt;&gt;"",C2044&amp;"/"&amp;D2044,"")</f>
        <v/>
      </c>
      <c r="G2044" s="5" t="str">
        <f t="shared" si="52"/>
        <v/>
      </c>
      <c r="I2044" s="6" t="str">
        <f t="shared" si="51"/>
        <v>0</v>
      </c>
    </row>
    <row r="2045" spans="1:11" x14ac:dyDescent="0.2">
      <c r="A2045" t="s">
        <v>2593</v>
      </c>
      <c r="B2045" t="s">
        <v>2594</v>
      </c>
      <c r="E2045" t="str">
        <f>IF(D2045&lt;&gt;"",C2045&amp;"/"&amp;D2045,"")</f>
        <v/>
      </c>
      <c r="G2045" s="5" t="str">
        <f t="shared" si="52"/>
        <v/>
      </c>
      <c r="I2045" s="6" t="str">
        <f t="shared" si="51"/>
        <v>0</v>
      </c>
    </row>
    <row r="2046" spans="1:11" x14ac:dyDescent="0.2">
      <c r="A2046" t="s">
        <v>2595</v>
      </c>
      <c r="B2046" t="s">
        <v>309</v>
      </c>
      <c r="E2046" t="str">
        <f>IF(D2046&lt;&gt;"",C2046&amp;"/"&amp;D2046,"")</f>
        <v/>
      </c>
      <c r="G2046" s="5" t="str">
        <f t="shared" si="52"/>
        <v/>
      </c>
      <c r="I2046" s="6" t="str">
        <f t="shared" si="51"/>
        <v>0</v>
      </c>
    </row>
    <row r="2047" spans="1:11" x14ac:dyDescent="0.2">
      <c r="A2047" t="s">
        <v>2596</v>
      </c>
      <c r="B2047" t="s">
        <v>309</v>
      </c>
      <c r="E2047" t="str">
        <f>IF(D2047&lt;&gt;"",C2047&amp;"/"&amp;D2047,"")</f>
        <v/>
      </c>
      <c r="G2047" s="5" t="str">
        <f t="shared" si="52"/>
        <v/>
      </c>
      <c r="I2047" s="6" t="str">
        <f t="shared" si="51"/>
        <v>0</v>
      </c>
    </row>
    <row r="2048" spans="1:11" x14ac:dyDescent="0.2">
      <c r="A2048" t="s">
        <v>2597</v>
      </c>
      <c r="B2048" t="s">
        <v>309</v>
      </c>
      <c r="E2048" t="str">
        <f>IF(D2048&lt;&gt;"",C2048&amp;"/"&amp;D2048,"")</f>
        <v/>
      </c>
      <c r="G2048" s="5" t="str">
        <f t="shared" si="52"/>
        <v/>
      </c>
      <c r="I2048" s="6" t="str">
        <f t="shared" si="51"/>
        <v>0</v>
      </c>
    </row>
    <row r="2049" spans="1:9" x14ac:dyDescent="0.2">
      <c r="A2049" t="s">
        <v>2598</v>
      </c>
      <c r="B2049" t="s">
        <v>2599</v>
      </c>
      <c r="E2049" t="str">
        <f>IF(D2049&lt;&gt;"",C2049&amp;"/"&amp;D2049,"")</f>
        <v/>
      </c>
      <c r="G2049" s="5" t="str">
        <f t="shared" si="52"/>
        <v/>
      </c>
      <c r="I2049" s="6" t="str">
        <f t="shared" si="51"/>
        <v>0</v>
      </c>
    </row>
    <row r="2050" spans="1:9" x14ac:dyDescent="0.2">
      <c r="A2050" t="s">
        <v>2600</v>
      </c>
      <c r="B2050" t="s">
        <v>309</v>
      </c>
      <c r="E2050" t="str">
        <f>IF(D2050&lt;&gt;"",C2050&amp;"/"&amp;D2050,"")</f>
        <v/>
      </c>
      <c r="G2050" s="5" t="str">
        <f t="shared" si="52"/>
        <v/>
      </c>
      <c r="I2050" s="6" t="str">
        <f t="shared" si="51"/>
        <v>0</v>
      </c>
    </row>
    <row r="2051" spans="1:9" x14ac:dyDescent="0.2">
      <c r="A2051" t="s">
        <v>2601</v>
      </c>
      <c r="B2051" t="s">
        <v>309</v>
      </c>
      <c r="E2051" t="str">
        <f>IF(D2051&lt;&gt;"",C2051&amp;"/"&amp;D2051,"")</f>
        <v/>
      </c>
      <c r="G2051" s="5" t="str">
        <f t="shared" si="52"/>
        <v/>
      </c>
      <c r="I2051" s="6" t="str">
        <f t="shared" si="51"/>
        <v>0</v>
      </c>
    </row>
    <row r="2052" spans="1:9" x14ac:dyDescent="0.2">
      <c r="A2052" t="s">
        <v>2602</v>
      </c>
      <c r="B2052" t="s">
        <v>309</v>
      </c>
      <c r="E2052" t="str">
        <f>IF(D2052&lt;&gt;"",C2052&amp;"/"&amp;D2052,"")</f>
        <v/>
      </c>
      <c r="G2052" s="5" t="str">
        <f t="shared" si="52"/>
        <v/>
      </c>
      <c r="I2052" s="6" t="str">
        <f t="shared" si="51"/>
        <v>0</v>
      </c>
    </row>
    <row r="2053" spans="1:9" x14ac:dyDescent="0.2">
      <c r="A2053" t="s">
        <v>2603</v>
      </c>
      <c r="B2053" t="s">
        <v>309</v>
      </c>
      <c r="E2053" t="str">
        <f>IF(D2053&lt;&gt;"",C2053&amp;"/"&amp;D2053,"")</f>
        <v/>
      </c>
      <c r="G2053" s="5" t="str">
        <f t="shared" si="52"/>
        <v/>
      </c>
      <c r="I2053" s="6" t="str">
        <f t="shared" si="51"/>
        <v>0</v>
      </c>
    </row>
    <row r="2054" spans="1:9" x14ac:dyDescent="0.2">
      <c r="A2054" t="s">
        <v>2604</v>
      </c>
      <c r="B2054" t="s">
        <v>2605</v>
      </c>
      <c r="E2054" t="str">
        <f>IF(D2054&lt;&gt;"",C2054&amp;"/"&amp;D2054,"")</f>
        <v/>
      </c>
      <c r="G2054" s="5" t="str">
        <f t="shared" si="52"/>
        <v/>
      </c>
      <c r="I2054" s="6" t="str">
        <f t="shared" si="51"/>
        <v>0</v>
      </c>
    </row>
    <row r="2055" spans="1:9" x14ac:dyDescent="0.2">
      <c r="A2055" t="s">
        <v>2606</v>
      </c>
      <c r="B2055" t="s">
        <v>2607</v>
      </c>
      <c r="E2055" t="str">
        <f>IF(D2055&lt;&gt;"",C2055&amp;"/"&amp;D2055,"")</f>
        <v/>
      </c>
      <c r="G2055" s="5" t="str">
        <f t="shared" si="52"/>
        <v/>
      </c>
      <c r="I2055" s="6" t="str">
        <f t="shared" si="51"/>
        <v>0</v>
      </c>
    </row>
    <row r="2056" spans="1:9" x14ac:dyDescent="0.2">
      <c r="A2056" t="s">
        <v>2608</v>
      </c>
      <c r="B2056" t="s">
        <v>309</v>
      </c>
      <c r="E2056" t="str">
        <f>IF(D2056&lt;&gt;"",C2056&amp;"/"&amp;D2056,"")</f>
        <v/>
      </c>
      <c r="G2056" s="5" t="str">
        <f t="shared" si="52"/>
        <v/>
      </c>
      <c r="I2056" s="6" t="str">
        <f t="shared" si="51"/>
        <v>0</v>
      </c>
    </row>
    <row r="2057" spans="1:9" x14ac:dyDescent="0.2">
      <c r="A2057" t="s">
        <v>2609</v>
      </c>
      <c r="B2057" t="s">
        <v>309</v>
      </c>
      <c r="E2057" t="str">
        <f>IF(D2057&lt;&gt;"",C2057&amp;"/"&amp;D2057,"")</f>
        <v/>
      </c>
      <c r="G2057" s="5" t="str">
        <f t="shared" si="52"/>
        <v/>
      </c>
      <c r="I2057" s="6" t="str">
        <f t="shared" si="51"/>
        <v>0</v>
      </c>
    </row>
    <row r="2058" spans="1:9" x14ac:dyDescent="0.2">
      <c r="A2058" t="s">
        <v>2610</v>
      </c>
      <c r="B2058" t="s">
        <v>309</v>
      </c>
      <c r="E2058" t="str">
        <f>IF(D2058&lt;&gt;"",C2058&amp;"/"&amp;D2058,"")</f>
        <v/>
      </c>
      <c r="G2058" s="5" t="str">
        <f t="shared" si="52"/>
        <v/>
      </c>
      <c r="I2058" s="6" t="str">
        <f t="shared" si="51"/>
        <v>0</v>
      </c>
    </row>
    <row r="2059" spans="1:9" x14ac:dyDescent="0.2">
      <c r="A2059" t="s">
        <v>2611</v>
      </c>
      <c r="B2059" t="s">
        <v>309</v>
      </c>
      <c r="E2059" t="str">
        <f>IF(D2059&lt;&gt;"",C2059&amp;"/"&amp;D2059,"")</f>
        <v/>
      </c>
      <c r="G2059" s="5" t="str">
        <f t="shared" si="52"/>
        <v/>
      </c>
      <c r="I2059" s="6" t="str">
        <f t="shared" si="51"/>
        <v>0</v>
      </c>
    </row>
    <row r="2060" spans="1:9" x14ac:dyDescent="0.2">
      <c r="A2060" t="s">
        <v>2612</v>
      </c>
      <c r="B2060" t="s">
        <v>309</v>
      </c>
      <c r="E2060" t="str">
        <f>IF(D2060&lt;&gt;"",C2060&amp;"/"&amp;D2060,"")</f>
        <v/>
      </c>
      <c r="G2060" s="5" t="str">
        <f t="shared" si="52"/>
        <v/>
      </c>
      <c r="I2060" s="6" t="str">
        <f t="shared" si="51"/>
        <v>0</v>
      </c>
    </row>
    <row r="2061" spans="1:9" x14ac:dyDescent="0.2">
      <c r="A2061" t="s">
        <v>2613</v>
      </c>
      <c r="B2061" t="s">
        <v>309</v>
      </c>
      <c r="E2061" t="str">
        <f>IF(D2061&lt;&gt;"",C2061&amp;"/"&amp;D2061,"")</f>
        <v/>
      </c>
      <c r="G2061" s="5" t="str">
        <f t="shared" si="52"/>
        <v/>
      </c>
      <c r="I2061" s="6" t="str">
        <f t="shared" si="51"/>
        <v>0</v>
      </c>
    </row>
    <row r="2062" spans="1:9" x14ac:dyDescent="0.2">
      <c r="A2062" t="s">
        <v>2614</v>
      </c>
      <c r="B2062" t="s">
        <v>309</v>
      </c>
      <c r="E2062" t="str">
        <f>IF(D2062&lt;&gt;"",C2062&amp;"/"&amp;D2062,"")</f>
        <v/>
      </c>
      <c r="G2062" s="5" t="str">
        <f t="shared" si="52"/>
        <v/>
      </c>
      <c r="I2062" s="6" t="str">
        <f t="shared" si="51"/>
        <v>0</v>
      </c>
    </row>
    <row r="2063" spans="1:9" x14ac:dyDescent="0.2">
      <c r="A2063" t="s">
        <v>2615</v>
      </c>
      <c r="B2063" t="s">
        <v>309</v>
      </c>
      <c r="E2063" t="str">
        <f>IF(D2063&lt;&gt;"",C2063&amp;"/"&amp;D2063,"")</f>
        <v/>
      </c>
      <c r="G2063" s="5" t="str">
        <f t="shared" si="52"/>
        <v/>
      </c>
      <c r="I2063" s="6" t="str">
        <f t="shared" si="51"/>
        <v>0</v>
      </c>
    </row>
    <row r="2064" spans="1:9" x14ac:dyDescent="0.2">
      <c r="A2064" t="s">
        <v>2616</v>
      </c>
      <c r="B2064" t="s">
        <v>309</v>
      </c>
      <c r="E2064" t="str">
        <f>IF(D2064&lt;&gt;"",C2064&amp;"/"&amp;D2064,"")</f>
        <v/>
      </c>
      <c r="G2064" s="5" t="str">
        <f t="shared" si="52"/>
        <v/>
      </c>
      <c r="I2064" s="6" t="str">
        <f t="shared" si="51"/>
        <v>0</v>
      </c>
    </row>
    <row r="2065" spans="1:11" x14ac:dyDescent="0.2">
      <c r="A2065" t="s">
        <v>2617</v>
      </c>
      <c r="B2065" t="s">
        <v>5389</v>
      </c>
      <c r="C2065" s="5" t="s">
        <v>7</v>
      </c>
      <c r="F2065" s="5" t="s">
        <v>5390</v>
      </c>
      <c r="G2065" s="5">
        <f t="shared" si="52"/>
        <v>49868</v>
      </c>
      <c r="I2065" s="6" t="str">
        <f t="shared" ref="I2065:I2128" si="53">IFERROR(DEC2HEX(H2065),"")</f>
        <v>0</v>
      </c>
      <c r="K2065" s="21" t="s">
        <v>5391</v>
      </c>
    </row>
    <row r="2066" spans="1:11" x14ac:dyDescent="0.2">
      <c r="A2066" t="s">
        <v>2618</v>
      </c>
      <c r="B2066" t="s">
        <v>309</v>
      </c>
      <c r="E2066" t="str">
        <f>IF(D2066&lt;&gt;"",C2066&amp;"/"&amp;D2066,"")</f>
        <v/>
      </c>
      <c r="G2066" s="5" t="str">
        <f t="shared" si="52"/>
        <v/>
      </c>
      <c r="I2066" s="6" t="str">
        <f t="shared" si="53"/>
        <v>0</v>
      </c>
    </row>
    <row r="2067" spans="1:11" x14ac:dyDescent="0.2">
      <c r="A2067" t="s">
        <v>2619</v>
      </c>
      <c r="B2067" t="s">
        <v>309</v>
      </c>
      <c r="E2067" t="str">
        <f>IF(D2067&lt;&gt;"",C2067&amp;"/"&amp;D2067,"")</f>
        <v/>
      </c>
      <c r="G2067" s="5" t="str">
        <f t="shared" si="52"/>
        <v/>
      </c>
      <c r="I2067" s="6" t="str">
        <f t="shared" si="53"/>
        <v>0</v>
      </c>
    </row>
    <row r="2068" spans="1:11" x14ac:dyDescent="0.2">
      <c r="A2068" t="s">
        <v>2620</v>
      </c>
      <c r="B2068" t="s">
        <v>309</v>
      </c>
      <c r="E2068" t="str">
        <f>IF(D2068&lt;&gt;"",C2068&amp;"/"&amp;D2068,"")</f>
        <v/>
      </c>
      <c r="G2068" s="5" t="str">
        <f t="shared" si="52"/>
        <v/>
      </c>
      <c r="I2068" s="6" t="str">
        <f t="shared" si="53"/>
        <v>0</v>
      </c>
    </row>
    <row r="2069" spans="1:11" x14ac:dyDescent="0.2">
      <c r="A2069" t="s">
        <v>2621</v>
      </c>
      <c r="B2069" t="s">
        <v>309</v>
      </c>
      <c r="E2069" t="str">
        <f>IF(D2069&lt;&gt;"",C2069&amp;"/"&amp;D2069,"")</f>
        <v/>
      </c>
      <c r="G2069" s="5" t="str">
        <f t="shared" si="52"/>
        <v/>
      </c>
      <c r="I2069" s="6" t="str">
        <f t="shared" si="53"/>
        <v>0</v>
      </c>
    </row>
    <row r="2070" spans="1:11" x14ac:dyDescent="0.2">
      <c r="A2070" t="s">
        <v>2622</v>
      </c>
      <c r="B2070" t="s">
        <v>309</v>
      </c>
      <c r="E2070" t="str">
        <f>IF(D2070&lt;&gt;"",C2070&amp;"/"&amp;D2070,"")</f>
        <v/>
      </c>
      <c r="G2070" s="5" t="str">
        <f t="shared" si="52"/>
        <v/>
      </c>
      <c r="I2070" s="6" t="str">
        <f t="shared" si="53"/>
        <v>0</v>
      </c>
    </row>
    <row r="2071" spans="1:11" x14ac:dyDescent="0.2">
      <c r="A2071" t="s">
        <v>2623</v>
      </c>
      <c r="B2071" t="s">
        <v>309</v>
      </c>
      <c r="E2071" t="str">
        <f>IF(D2071&lt;&gt;"",C2071&amp;"/"&amp;D2071,"")</f>
        <v/>
      </c>
      <c r="G2071" s="5" t="str">
        <f t="shared" si="52"/>
        <v/>
      </c>
      <c r="I2071" s="6" t="str">
        <f t="shared" si="53"/>
        <v>0</v>
      </c>
    </row>
    <row r="2072" spans="1:11" x14ac:dyDescent="0.2">
      <c r="A2072" t="s">
        <v>2624</v>
      </c>
      <c r="B2072" t="s">
        <v>309</v>
      </c>
      <c r="E2072" t="str">
        <f>IF(D2072&lt;&gt;"",C2072&amp;"/"&amp;D2072,"")</f>
        <v/>
      </c>
      <c r="G2072" s="5" t="str">
        <f t="shared" si="52"/>
        <v/>
      </c>
      <c r="I2072" s="6" t="str">
        <f t="shared" si="53"/>
        <v>0</v>
      </c>
    </row>
    <row r="2073" spans="1:11" x14ac:dyDescent="0.2">
      <c r="A2073" t="s">
        <v>2625</v>
      </c>
      <c r="B2073" t="s">
        <v>309</v>
      </c>
      <c r="E2073" t="str">
        <f>IF(D2073&lt;&gt;"",C2073&amp;"/"&amp;D2073,"")</f>
        <v/>
      </c>
      <c r="G2073" s="5" t="str">
        <f t="shared" si="52"/>
        <v/>
      </c>
      <c r="I2073" s="6" t="str">
        <f t="shared" si="53"/>
        <v>0</v>
      </c>
    </row>
    <row r="2074" spans="1:11" x14ac:dyDescent="0.2">
      <c r="A2074" t="s">
        <v>2626</v>
      </c>
      <c r="B2074" t="s">
        <v>309</v>
      </c>
      <c r="E2074" t="str">
        <f>IF(D2074&lt;&gt;"",C2074&amp;"/"&amp;D2074,"")</f>
        <v/>
      </c>
      <c r="G2074" s="5" t="str">
        <f t="shared" si="52"/>
        <v/>
      </c>
      <c r="I2074" s="6" t="str">
        <f t="shared" si="53"/>
        <v>0</v>
      </c>
    </row>
    <row r="2075" spans="1:11" x14ac:dyDescent="0.2">
      <c r="A2075" t="s">
        <v>2627</v>
      </c>
      <c r="B2075" t="s">
        <v>309</v>
      </c>
      <c r="E2075" t="str">
        <f>IF(D2075&lt;&gt;"",C2075&amp;"/"&amp;D2075,"")</f>
        <v/>
      </c>
      <c r="G2075" s="5" t="str">
        <f t="shared" si="52"/>
        <v/>
      </c>
      <c r="I2075" s="6" t="str">
        <f t="shared" si="53"/>
        <v>0</v>
      </c>
    </row>
    <row r="2076" spans="1:11" x14ac:dyDescent="0.2">
      <c r="A2076" t="s">
        <v>2628</v>
      </c>
      <c r="B2076" t="s">
        <v>309</v>
      </c>
      <c r="E2076" t="str">
        <f>IF(D2076&lt;&gt;"",C2076&amp;"/"&amp;D2076,"")</f>
        <v/>
      </c>
      <c r="G2076" s="5" t="str">
        <f t="shared" si="52"/>
        <v/>
      </c>
      <c r="I2076" s="6" t="str">
        <f t="shared" si="53"/>
        <v>0</v>
      </c>
    </row>
    <row r="2077" spans="1:11" x14ac:dyDescent="0.2">
      <c r="A2077" t="s">
        <v>2629</v>
      </c>
      <c r="B2077" t="s">
        <v>309</v>
      </c>
      <c r="E2077" t="str">
        <f>IF(D2077&lt;&gt;"",C2077&amp;"/"&amp;D2077,"")</f>
        <v/>
      </c>
      <c r="G2077" s="5" t="str">
        <f t="shared" si="52"/>
        <v/>
      </c>
      <c r="I2077" s="6" t="str">
        <f t="shared" si="53"/>
        <v>0</v>
      </c>
    </row>
    <row r="2078" spans="1:11" x14ac:dyDescent="0.2">
      <c r="A2078" t="s">
        <v>2630</v>
      </c>
      <c r="B2078" t="s">
        <v>309</v>
      </c>
      <c r="E2078" t="str">
        <f>IF(D2078&lt;&gt;"",C2078&amp;"/"&amp;D2078,"")</f>
        <v/>
      </c>
      <c r="G2078" s="5" t="str">
        <f t="shared" si="52"/>
        <v/>
      </c>
      <c r="I2078" s="6" t="str">
        <f t="shared" si="53"/>
        <v>0</v>
      </c>
    </row>
    <row r="2079" spans="1:11" x14ac:dyDescent="0.2">
      <c r="A2079" t="s">
        <v>2631</v>
      </c>
      <c r="B2079" t="s">
        <v>309</v>
      </c>
      <c r="E2079" t="str">
        <f>IF(D2079&lt;&gt;"",C2079&amp;"/"&amp;D2079,"")</f>
        <v/>
      </c>
      <c r="G2079" s="5" t="str">
        <f t="shared" ref="G2079:G2142" si="54">IF(F2079&lt;&gt;"",HEX2DEC(SUBSTITUTE(SUBSTITUTE(F2079,"adrEA",""),"$","")),"")</f>
        <v/>
      </c>
      <c r="I2079" s="6" t="str">
        <f t="shared" si="53"/>
        <v>0</v>
      </c>
    </row>
    <row r="2080" spans="1:11" x14ac:dyDescent="0.2">
      <c r="A2080" t="s">
        <v>2632</v>
      </c>
      <c r="B2080" t="s">
        <v>309</v>
      </c>
      <c r="E2080" t="str">
        <f>IF(D2080&lt;&gt;"",C2080&amp;"/"&amp;D2080,"")</f>
        <v/>
      </c>
      <c r="G2080" s="5" t="str">
        <f t="shared" si="54"/>
        <v/>
      </c>
      <c r="I2080" s="6" t="str">
        <f t="shared" si="53"/>
        <v>0</v>
      </c>
    </row>
    <row r="2081" spans="1:11" x14ac:dyDescent="0.2">
      <c r="A2081" t="s">
        <v>2633</v>
      </c>
      <c r="B2081" t="s">
        <v>309</v>
      </c>
      <c r="E2081" t="str">
        <f>IF(D2081&lt;&gt;"",C2081&amp;"/"&amp;D2081,"")</f>
        <v/>
      </c>
      <c r="G2081" s="5" t="str">
        <f t="shared" si="54"/>
        <v/>
      </c>
      <c r="I2081" s="6" t="str">
        <f t="shared" si="53"/>
        <v>0</v>
      </c>
    </row>
    <row r="2082" spans="1:11" x14ac:dyDescent="0.2">
      <c r="A2082" t="s">
        <v>2634</v>
      </c>
      <c r="B2082" t="s">
        <v>309</v>
      </c>
      <c r="E2082" t="str">
        <f>IF(D2082&lt;&gt;"",C2082&amp;"/"&amp;D2082,"")</f>
        <v/>
      </c>
      <c r="G2082" s="5" t="str">
        <f t="shared" si="54"/>
        <v/>
      </c>
      <c r="I2082" s="6" t="str">
        <f t="shared" si="53"/>
        <v>0</v>
      </c>
    </row>
    <row r="2083" spans="1:11" x14ac:dyDescent="0.2">
      <c r="A2083" t="s">
        <v>2635</v>
      </c>
      <c r="B2083" t="s">
        <v>5154</v>
      </c>
      <c r="C2083" s="5" t="s">
        <v>7</v>
      </c>
      <c r="F2083" s="5" t="s">
        <v>5155</v>
      </c>
      <c r="G2083" s="5">
        <f t="shared" si="54"/>
        <v>50244</v>
      </c>
      <c r="I2083" s="6" t="str">
        <f t="shared" si="53"/>
        <v>0</v>
      </c>
      <c r="K2083" s="21" t="s">
        <v>5156</v>
      </c>
    </row>
    <row r="2084" spans="1:11" x14ac:dyDescent="0.2">
      <c r="A2084" t="s">
        <v>2636</v>
      </c>
      <c r="B2084" t="s">
        <v>5157</v>
      </c>
      <c r="C2084" s="5" t="s">
        <v>7</v>
      </c>
      <c r="F2084" s="5" t="s">
        <v>5158</v>
      </c>
      <c r="G2084" s="5">
        <f t="shared" si="54"/>
        <v>50296</v>
      </c>
      <c r="I2084" s="6" t="str">
        <f t="shared" si="53"/>
        <v>0</v>
      </c>
      <c r="K2084" s="21" t="s">
        <v>5159</v>
      </c>
    </row>
    <row r="2085" spans="1:11" x14ac:dyDescent="0.2">
      <c r="A2085" t="s">
        <v>2637</v>
      </c>
      <c r="B2085" t="s">
        <v>5160</v>
      </c>
      <c r="C2085" s="5" t="s">
        <v>7</v>
      </c>
      <c r="F2085" s="5" t="s">
        <v>5161</v>
      </c>
      <c r="G2085" s="5">
        <f t="shared" si="54"/>
        <v>50318</v>
      </c>
      <c r="I2085" s="6" t="str">
        <f t="shared" si="53"/>
        <v>0</v>
      </c>
      <c r="K2085" s="21" t="s">
        <v>5162</v>
      </c>
    </row>
    <row r="2086" spans="1:11" x14ac:dyDescent="0.2">
      <c r="A2086" t="s">
        <v>2638</v>
      </c>
      <c r="B2086" t="s">
        <v>309</v>
      </c>
      <c r="E2086" t="str">
        <f>IF(D2086&lt;&gt;"",C2086&amp;"/"&amp;D2086,"")</f>
        <v/>
      </c>
      <c r="G2086" s="5" t="str">
        <f t="shared" si="54"/>
        <v/>
      </c>
      <c r="I2086" s="6" t="str">
        <f t="shared" si="53"/>
        <v>0</v>
      </c>
    </row>
    <row r="2087" spans="1:11" x14ac:dyDescent="0.2">
      <c r="A2087" t="s">
        <v>2639</v>
      </c>
      <c r="B2087" t="s">
        <v>309</v>
      </c>
      <c r="E2087" t="str">
        <f>IF(D2087&lt;&gt;"",C2087&amp;"/"&amp;D2087,"")</f>
        <v/>
      </c>
      <c r="G2087" s="5" t="str">
        <f t="shared" si="54"/>
        <v/>
      </c>
      <c r="I2087" s="6" t="str">
        <f t="shared" si="53"/>
        <v>0</v>
      </c>
    </row>
    <row r="2088" spans="1:11" x14ac:dyDescent="0.2">
      <c r="A2088" t="s">
        <v>2640</v>
      </c>
      <c r="B2088" t="s">
        <v>309</v>
      </c>
      <c r="E2088" t="str">
        <f>IF(D2088&lt;&gt;"",C2088&amp;"/"&amp;D2088,"")</f>
        <v/>
      </c>
      <c r="G2088" s="5" t="str">
        <f t="shared" si="54"/>
        <v/>
      </c>
      <c r="I2088" s="6" t="str">
        <f t="shared" si="53"/>
        <v>0</v>
      </c>
    </row>
    <row r="2089" spans="1:11" x14ac:dyDescent="0.2">
      <c r="A2089" t="s">
        <v>2641</v>
      </c>
      <c r="B2089" t="s">
        <v>5163</v>
      </c>
      <c r="C2089" s="5" t="s">
        <v>7</v>
      </c>
      <c r="F2089" s="5" t="s">
        <v>5164</v>
      </c>
      <c r="G2089" s="5">
        <f t="shared" si="54"/>
        <v>50406</v>
      </c>
      <c r="I2089" s="6" t="str">
        <f t="shared" si="53"/>
        <v>0</v>
      </c>
      <c r="K2089" s="21" t="s">
        <v>5165</v>
      </c>
    </row>
    <row r="2090" spans="1:11" x14ac:dyDescent="0.2">
      <c r="A2090" t="s">
        <v>2642</v>
      </c>
      <c r="B2090" t="s">
        <v>309</v>
      </c>
      <c r="E2090" t="str">
        <f>IF(D2090&lt;&gt;"",C2090&amp;"/"&amp;D2090,"")</f>
        <v/>
      </c>
      <c r="G2090" s="5" t="str">
        <f t="shared" si="54"/>
        <v/>
      </c>
      <c r="I2090" s="6" t="str">
        <f t="shared" si="53"/>
        <v>0</v>
      </c>
    </row>
    <row r="2091" spans="1:11" x14ac:dyDescent="0.2">
      <c r="A2091" t="s">
        <v>2643</v>
      </c>
      <c r="B2091" t="s">
        <v>309</v>
      </c>
      <c r="E2091" t="str">
        <f>IF(D2091&lt;&gt;"",C2091&amp;"/"&amp;D2091,"")</f>
        <v/>
      </c>
      <c r="G2091" s="5" t="str">
        <f t="shared" si="54"/>
        <v/>
      </c>
      <c r="I2091" s="6" t="str">
        <f t="shared" si="53"/>
        <v>0</v>
      </c>
    </row>
    <row r="2092" spans="1:11" x14ac:dyDescent="0.2">
      <c r="A2092" t="s">
        <v>2644</v>
      </c>
      <c r="B2092" t="s">
        <v>309</v>
      </c>
      <c r="E2092" t="str">
        <f>IF(D2092&lt;&gt;"",C2092&amp;"/"&amp;D2092,"")</f>
        <v/>
      </c>
      <c r="G2092" s="5" t="str">
        <f t="shared" si="54"/>
        <v/>
      </c>
      <c r="I2092" s="6" t="str">
        <f t="shared" si="53"/>
        <v>0</v>
      </c>
    </row>
    <row r="2093" spans="1:11" x14ac:dyDescent="0.2">
      <c r="A2093" t="s">
        <v>2645</v>
      </c>
      <c r="B2093" t="s">
        <v>309</v>
      </c>
      <c r="E2093" t="str">
        <f>IF(D2093&lt;&gt;"",C2093&amp;"/"&amp;D2093,"")</f>
        <v/>
      </c>
      <c r="G2093" s="5" t="str">
        <f t="shared" si="54"/>
        <v/>
      </c>
      <c r="I2093" s="6" t="str">
        <f t="shared" si="53"/>
        <v>0</v>
      </c>
    </row>
    <row r="2094" spans="1:11" x14ac:dyDescent="0.2">
      <c r="A2094" t="s">
        <v>2646</v>
      </c>
      <c r="B2094" t="s">
        <v>309</v>
      </c>
      <c r="E2094" t="str">
        <f>IF(D2094&lt;&gt;"",C2094&amp;"/"&amp;D2094,"")</f>
        <v/>
      </c>
      <c r="G2094" s="5" t="str">
        <f t="shared" si="54"/>
        <v/>
      </c>
      <c r="I2094" s="6" t="str">
        <f t="shared" si="53"/>
        <v>0</v>
      </c>
    </row>
    <row r="2095" spans="1:11" x14ac:dyDescent="0.2">
      <c r="A2095" t="s">
        <v>2647</v>
      </c>
      <c r="B2095" t="s">
        <v>309</v>
      </c>
      <c r="E2095" t="str">
        <f>IF(D2095&lt;&gt;"",C2095&amp;"/"&amp;D2095,"")</f>
        <v/>
      </c>
      <c r="G2095" s="5" t="str">
        <f t="shared" si="54"/>
        <v/>
      </c>
      <c r="I2095" s="6" t="str">
        <f t="shared" si="53"/>
        <v>0</v>
      </c>
    </row>
    <row r="2096" spans="1:11" x14ac:dyDescent="0.2">
      <c r="A2096" t="s">
        <v>2648</v>
      </c>
      <c r="B2096" t="s">
        <v>309</v>
      </c>
      <c r="E2096" t="str">
        <f>IF(D2096&lt;&gt;"",C2096&amp;"/"&amp;D2096,"")</f>
        <v/>
      </c>
      <c r="G2096" s="5" t="str">
        <f t="shared" si="54"/>
        <v/>
      </c>
      <c r="I2096" s="6" t="str">
        <f t="shared" si="53"/>
        <v>0</v>
      </c>
    </row>
    <row r="2097" spans="1:12" x14ac:dyDescent="0.2">
      <c r="A2097" t="s">
        <v>2649</v>
      </c>
      <c r="B2097" t="s">
        <v>309</v>
      </c>
      <c r="E2097" t="str">
        <f>IF(D2097&lt;&gt;"",C2097&amp;"/"&amp;D2097,"")</f>
        <v/>
      </c>
      <c r="G2097" s="5" t="str">
        <f t="shared" si="54"/>
        <v/>
      </c>
      <c r="I2097" s="6" t="str">
        <f t="shared" si="53"/>
        <v>0</v>
      </c>
    </row>
    <row r="2098" spans="1:12" x14ac:dyDescent="0.2">
      <c r="A2098" t="s">
        <v>2650</v>
      </c>
      <c r="B2098" t="s">
        <v>5318</v>
      </c>
      <c r="C2098" s="5" t="s">
        <v>7</v>
      </c>
      <c r="F2098" s="5" t="s">
        <v>5319</v>
      </c>
      <c r="G2098" s="5">
        <f t="shared" si="54"/>
        <v>50612</v>
      </c>
      <c r="I2098" s="6" t="str">
        <f t="shared" si="53"/>
        <v>0</v>
      </c>
      <c r="L2098" s="6" t="s">
        <v>5320</v>
      </c>
    </row>
    <row r="2099" spans="1:12" x14ac:dyDescent="0.2">
      <c r="A2099" t="s">
        <v>2651</v>
      </c>
      <c r="B2099" t="s">
        <v>5321</v>
      </c>
      <c r="C2099" s="5" t="s">
        <v>7</v>
      </c>
      <c r="F2099" s="5" t="s">
        <v>5322</v>
      </c>
      <c r="G2099" s="5">
        <f t="shared" si="54"/>
        <v>50688</v>
      </c>
      <c r="I2099" s="6" t="str">
        <f t="shared" si="53"/>
        <v>0</v>
      </c>
      <c r="L2099" s="6" t="s">
        <v>5323</v>
      </c>
    </row>
    <row r="2100" spans="1:12" x14ac:dyDescent="0.2">
      <c r="A2100" t="s">
        <v>2652</v>
      </c>
      <c r="B2100" t="s">
        <v>309</v>
      </c>
      <c r="E2100" t="str">
        <f>IF(D2100&lt;&gt;"",C2100&amp;"/"&amp;D2100,"")</f>
        <v/>
      </c>
      <c r="G2100" s="5" t="str">
        <f t="shared" si="54"/>
        <v/>
      </c>
      <c r="I2100" s="6" t="str">
        <f t="shared" si="53"/>
        <v>0</v>
      </c>
    </row>
    <row r="2101" spans="1:12" x14ac:dyDescent="0.2">
      <c r="A2101" t="s">
        <v>2653</v>
      </c>
      <c r="B2101" t="s">
        <v>5150</v>
      </c>
      <c r="C2101" s="5" t="s">
        <v>7</v>
      </c>
      <c r="F2101" s="5" t="s">
        <v>5151</v>
      </c>
      <c r="G2101" s="5">
        <f t="shared" si="54"/>
        <v>50744</v>
      </c>
      <c r="I2101" s="6" t="str">
        <f t="shared" si="53"/>
        <v>0</v>
      </c>
      <c r="K2101" s="21" t="s">
        <v>5152</v>
      </c>
    </row>
    <row r="2102" spans="1:12" x14ac:dyDescent="0.2">
      <c r="A2102" t="s">
        <v>2654</v>
      </c>
      <c r="B2102" t="s">
        <v>5324</v>
      </c>
      <c r="C2102" s="5" t="s">
        <v>7</v>
      </c>
      <c r="F2102" s="5" t="s">
        <v>5325</v>
      </c>
      <c r="G2102" s="5">
        <f t="shared" si="54"/>
        <v>50776</v>
      </c>
      <c r="I2102" s="6" t="str">
        <f t="shared" si="53"/>
        <v>0</v>
      </c>
      <c r="L2102" s="6" t="s">
        <v>5326</v>
      </c>
    </row>
    <row r="2103" spans="1:12" x14ac:dyDescent="0.2">
      <c r="A2103" t="s">
        <v>2655</v>
      </c>
      <c r="B2103" t="s">
        <v>5210</v>
      </c>
      <c r="G2103" s="5" t="str">
        <f t="shared" si="54"/>
        <v/>
      </c>
      <c r="I2103" s="6" t="str">
        <f t="shared" si="53"/>
        <v>0</v>
      </c>
      <c r="K2103" s="21" t="s">
        <v>5211</v>
      </c>
    </row>
    <row r="2104" spans="1:12" x14ac:dyDescent="0.2">
      <c r="A2104" t="s">
        <v>2656</v>
      </c>
      <c r="B2104" t="s">
        <v>309</v>
      </c>
      <c r="E2104" t="str">
        <f>IF(D2104&lt;&gt;"",C2104&amp;"/"&amp;D2104,"")</f>
        <v/>
      </c>
      <c r="G2104" s="5" t="str">
        <f t="shared" si="54"/>
        <v/>
      </c>
      <c r="I2104" s="6" t="str">
        <f t="shared" si="53"/>
        <v>0</v>
      </c>
    </row>
    <row r="2105" spans="1:12" x14ac:dyDescent="0.2">
      <c r="A2105" t="s">
        <v>2657</v>
      </c>
      <c r="B2105" t="s">
        <v>309</v>
      </c>
      <c r="E2105" t="str">
        <f>IF(D2105&lt;&gt;"",C2105&amp;"/"&amp;D2105,"")</f>
        <v/>
      </c>
      <c r="G2105" s="5" t="str">
        <f t="shared" si="54"/>
        <v/>
      </c>
      <c r="I2105" s="6" t="str">
        <f t="shared" si="53"/>
        <v>0</v>
      </c>
    </row>
    <row r="2106" spans="1:12" x14ac:dyDescent="0.2">
      <c r="A2106" t="s">
        <v>2658</v>
      </c>
      <c r="B2106" t="s">
        <v>309</v>
      </c>
      <c r="E2106" t="str">
        <f>IF(D2106&lt;&gt;"",C2106&amp;"/"&amp;D2106,"")</f>
        <v/>
      </c>
      <c r="G2106" s="5" t="str">
        <f t="shared" si="54"/>
        <v/>
      </c>
      <c r="I2106" s="6" t="str">
        <f t="shared" si="53"/>
        <v>0</v>
      </c>
    </row>
    <row r="2107" spans="1:12" x14ac:dyDescent="0.2">
      <c r="A2107" t="s">
        <v>2659</v>
      </c>
      <c r="B2107" t="s">
        <v>309</v>
      </c>
      <c r="E2107" t="str">
        <f>IF(D2107&lt;&gt;"",C2107&amp;"/"&amp;D2107,"")</f>
        <v/>
      </c>
      <c r="G2107" s="5" t="str">
        <f t="shared" si="54"/>
        <v/>
      </c>
      <c r="I2107" s="6" t="str">
        <f t="shared" si="53"/>
        <v>0</v>
      </c>
    </row>
    <row r="2108" spans="1:12" x14ac:dyDescent="0.2">
      <c r="A2108" t="s">
        <v>2660</v>
      </c>
      <c r="B2108" t="s">
        <v>309</v>
      </c>
      <c r="E2108" t="str">
        <f>IF(D2108&lt;&gt;"",C2108&amp;"/"&amp;D2108,"")</f>
        <v/>
      </c>
      <c r="G2108" s="5" t="str">
        <f t="shared" si="54"/>
        <v/>
      </c>
      <c r="I2108" s="6" t="str">
        <f t="shared" si="53"/>
        <v>0</v>
      </c>
    </row>
    <row r="2109" spans="1:12" x14ac:dyDescent="0.2">
      <c r="A2109" t="s">
        <v>2661</v>
      </c>
      <c r="B2109" t="s">
        <v>309</v>
      </c>
      <c r="E2109" t="str">
        <f>IF(D2109&lt;&gt;"",C2109&amp;"/"&amp;D2109,"")</f>
        <v/>
      </c>
      <c r="G2109" s="5" t="str">
        <f t="shared" si="54"/>
        <v/>
      </c>
      <c r="I2109" s="6" t="str">
        <f t="shared" si="53"/>
        <v>0</v>
      </c>
    </row>
    <row r="2110" spans="1:12" x14ac:dyDescent="0.2">
      <c r="A2110" t="s">
        <v>2662</v>
      </c>
      <c r="B2110" t="s">
        <v>2663</v>
      </c>
      <c r="E2110" t="str">
        <f>IF(D2110&lt;&gt;"",C2110&amp;"/"&amp;D2110,"")</f>
        <v/>
      </c>
      <c r="G2110" s="5" t="str">
        <f t="shared" si="54"/>
        <v/>
      </c>
      <c r="I2110" s="6" t="str">
        <f t="shared" si="53"/>
        <v>0</v>
      </c>
    </row>
    <row r="2111" spans="1:12" x14ac:dyDescent="0.2">
      <c r="A2111" t="s">
        <v>2664</v>
      </c>
      <c r="B2111" t="s">
        <v>2665</v>
      </c>
      <c r="E2111" t="str">
        <f>IF(D2111&lt;&gt;"",C2111&amp;"/"&amp;D2111,"")</f>
        <v/>
      </c>
      <c r="G2111" s="5" t="str">
        <f t="shared" si="54"/>
        <v/>
      </c>
      <c r="I2111" s="6" t="str">
        <f t="shared" si="53"/>
        <v>0</v>
      </c>
    </row>
    <row r="2112" spans="1:12" x14ac:dyDescent="0.2">
      <c r="A2112" t="s">
        <v>2666</v>
      </c>
      <c r="B2112" t="s">
        <v>2667</v>
      </c>
      <c r="E2112" t="str">
        <f>IF(D2112&lt;&gt;"",C2112&amp;"/"&amp;D2112,"")</f>
        <v/>
      </c>
      <c r="G2112" s="5" t="str">
        <f t="shared" si="54"/>
        <v/>
      </c>
      <c r="I2112" s="6" t="str">
        <f t="shared" si="53"/>
        <v>0</v>
      </c>
    </row>
    <row r="2113" spans="1:12" x14ac:dyDescent="0.2">
      <c r="A2113" t="s">
        <v>2668</v>
      </c>
      <c r="B2113" t="s">
        <v>309</v>
      </c>
      <c r="E2113" t="str">
        <f>IF(D2113&lt;&gt;"",C2113&amp;"/"&amp;D2113,"")</f>
        <v/>
      </c>
      <c r="G2113" s="5" t="str">
        <f t="shared" si="54"/>
        <v/>
      </c>
      <c r="I2113" s="6" t="str">
        <f t="shared" si="53"/>
        <v>0</v>
      </c>
    </row>
    <row r="2114" spans="1:12" x14ac:dyDescent="0.2">
      <c r="A2114" t="s">
        <v>2669</v>
      </c>
      <c r="B2114" t="s">
        <v>309</v>
      </c>
      <c r="E2114" t="str">
        <f>IF(D2114&lt;&gt;"",C2114&amp;"/"&amp;D2114,"")</f>
        <v/>
      </c>
      <c r="G2114" s="5" t="str">
        <f t="shared" si="54"/>
        <v/>
      </c>
      <c r="I2114" s="6" t="str">
        <f t="shared" si="53"/>
        <v>0</v>
      </c>
    </row>
    <row r="2115" spans="1:12" x14ac:dyDescent="0.2">
      <c r="A2115" t="s">
        <v>2670</v>
      </c>
      <c r="B2115" t="s">
        <v>2670</v>
      </c>
      <c r="E2115" t="str">
        <f>IF(D2115&lt;&gt;"",C2115&amp;"/"&amp;D2115,"")</f>
        <v/>
      </c>
      <c r="G2115" s="5" t="str">
        <f t="shared" si="54"/>
        <v/>
      </c>
      <c r="I2115" s="6" t="str">
        <f t="shared" si="53"/>
        <v>0</v>
      </c>
    </row>
    <row r="2116" spans="1:12" x14ac:dyDescent="0.2">
      <c r="A2116" t="s">
        <v>2671</v>
      </c>
      <c r="B2116" t="s">
        <v>5153</v>
      </c>
      <c r="G2116" s="5" t="str">
        <f t="shared" si="54"/>
        <v/>
      </c>
      <c r="I2116" s="6" t="str">
        <f t="shared" si="53"/>
        <v>0</v>
      </c>
      <c r="K2116" s="21" t="s">
        <v>5212</v>
      </c>
    </row>
    <row r="2117" spans="1:12" x14ac:dyDescent="0.2">
      <c r="A2117" t="s">
        <v>2672</v>
      </c>
      <c r="B2117" t="s">
        <v>5327</v>
      </c>
      <c r="C2117" s="5" t="s">
        <v>7</v>
      </c>
      <c r="F2117" s="5" t="s">
        <v>5328</v>
      </c>
      <c r="G2117" s="5">
        <f t="shared" si="54"/>
        <v>51062</v>
      </c>
      <c r="I2117" s="6" t="str">
        <f t="shared" si="53"/>
        <v>0</v>
      </c>
      <c r="L2117" s="6" t="s">
        <v>5329</v>
      </c>
    </row>
    <row r="2118" spans="1:12" x14ac:dyDescent="0.2">
      <c r="A2118" t="s">
        <v>2673</v>
      </c>
      <c r="B2118" t="s">
        <v>309</v>
      </c>
      <c r="E2118" t="str">
        <f>IF(D2118&lt;&gt;"",C2118&amp;"/"&amp;D2118,"")</f>
        <v/>
      </c>
      <c r="G2118" s="5" t="str">
        <f t="shared" si="54"/>
        <v/>
      </c>
      <c r="I2118" s="6" t="str">
        <f t="shared" si="53"/>
        <v>0</v>
      </c>
    </row>
    <row r="2119" spans="1:12" x14ac:dyDescent="0.2">
      <c r="A2119" t="s">
        <v>2674</v>
      </c>
      <c r="B2119" t="s">
        <v>309</v>
      </c>
      <c r="E2119" t="str">
        <f>IF(D2119&lt;&gt;"",C2119&amp;"/"&amp;D2119,"")</f>
        <v/>
      </c>
      <c r="G2119" s="5" t="str">
        <f t="shared" si="54"/>
        <v/>
      </c>
      <c r="I2119" s="6" t="str">
        <f t="shared" si="53"/>
        <v>0</v>
      </c>
    </row>
    <row r="2120" spans="1:12" ht="17" x14ac:dyDescent="0.25">
      <c r="A2120" t="s">
        <v>2675</v>
      </c>
      <c r="B2120" s="19" t="s">
        <v>3851</v>
      </c>
      <c r="D2120" s="19"/>
      <c r="F2120" s="18"/>
      <c r="G2120" s="5" t="str">
        <f t="shared" si="54"/>
        <v/>
      </c>
      <c r="I2120" s="6" t="str">
        <f t="shared" si="53"/>
        <v>0</v>
      </c>
      <c r="K2120" s="21" t="s">
        <v>3859</v>
      </c>
    </row>
    <row r="2121" spans="1:12" ht="17" x14ac:dyDescent="0.25">
      <c r="A2121" t="s">
        <v>2676</v>
      </c>
      <c r="B2121" s="19" t="s">
        <v>3843</v>
      </c>
      <c r="D2121" s="19"/>
      <c r="F2121" s="18"/>
      <c r="G2121" s="5" t="str">
        <f t="shared" si="54"/>
        <v/>
      </c>
      <c r="I2121" s="6" t="str">
        <f t="shared" si="53"/>
        <v>0</v>
      </c>
      <c r="K2121" s="21" t="s">
        <v>3860</v>
      </c>
    </row>
    <row r="2122" spans="1:12" ht="17" x14ac:dyDescent="0.25">
      <c r="A2122" t="s">
        <v>2677</v>
      </c>
      <c r="B2122" s="19" t="s">
        <v>3861</v>
      </c>
      <c r="D2122" s="19"/>
      <c r="F2122" s="18"/>
      <c r="G2122" s="5" t="str">
        <f t="shared" si="54"/>
        <v/>
      </c>
      <c r="I2122" s="6" t="str">
        <f t="shared" si="53"/>
        <v>0</v>
      </c>
      <c r="K2122" s="21" t="s">
        <v>3862</v>
      </c>
    </row>
    <row r="2123" spans="1:12" x14ac:dyDescent="0.2">
      <c r="A2123" t="s">
        <v>2678</v>
      </c>
      <c r="B2123" t="s">
        <v>309</v>
      </c>
      <c r="E2123" t="str">
        <f>IF(D2123&lt;&gt;"",C2123&amp;"/"&amp;D2123,"")</f>
        <v/>
      </c>
      <c r="G2123" s="5" t="str">
        <f t="shared" si="54"/>
        <v/>
      </c>
      <c r="I2123" s="6" t="str">
        <f t="shared" si="53"/>
        <v>0</v>
      </c>
    </row>
    <row r="2124" spans="1:12" x14ac:dyDescent="0.2">
      <c r="A2124" t="s">
        <v>2679</v>
      </c>
      <c r="B2124" t="s">
        <v>309</v>
      </c>
      <c r="E2124" t="str">
        <f>IF(D2124&lt;&gt;"",C2124&amp;"/"&amp;D2124,"")</f>
        <v/>
      </c>
      <c r="G2124" s="5" t="str">
        <f t="shared" si="54"/>
        <v/>
      </c>
      <c r="I2124" s="6" t="str">
        <f t="shared" si="53"/>
        <v>0</v>
      </c>
    </row>
    <row r="2125" spans="1:12" ht="17" x14ac:dyDescent="0.25">
      <c r="A2125" t="s">
        <v>2680</v>
      </c>
      <c r="B2125" s="19" t="s">
        <v>3863</v>
      </c>
      <c r="C2125" s="5" t="s">
        <v>48</v>
      </c>
      <c r="D2125" s="19" t="s">
        <v>3864</v>
      </c>
      <c r="E2125" t="s">
        <v>3865</v>
      </c>
      <c r="F2125" s="18" t="s">
        <v>3866</v>
      </c>
      <c r="G2125" s="5">
        <f t="shared" si="54"/>
        <v>51264</v>
      </c>
      <c r="H2125" s="5">
        <v>14</v>
      </c>
      <c r="I2125" s="6" t="str">
        <f t="shared" si="53"/>
        <v>E</v>
      </c>
      <c r="K2125" s="21" t="s">
        <v>3867</v>
      </c>
    </row>
    <row r="2126" spans="1:12" ht="17" x14ac:dyDescent="0.25">
      <c r="A2126" t="s">
        <v>2681</v>
      </c>
      <c r="B2126" s="19" t="s">
        <v>3868</v>
      </c>
      <c r="C2126" s="5" t="s">
        <v>48</v>
      </c>
      <c r="D2126" s="19" t="s">
        <v>3869</v>
      </c>
      <c r="E2126" t="s">
        <v>3870</v>
      </c>
      <c r="F2126" s="18" t="s">
        <v>3871</v>
      </c>
      <c r="G2126" s="5">
        <f t="shared" si="54"/>
        <v>51278</v>
      </c>
      <c r="H2126" s="5">
        <v>104</v>
      </c>
      <c r="I2126" s="6" t="str">
        <f t="shared" si="53"/>
        <v>68</v>
      </c>
      <c r="K2126" s="21" t="s">
        <v>3872</v>
      </c>
    </row>
    <row r="2127" spans="1:12" ht="17" x14ac:dyDescent="0.25">
      <c r="A2127" t="s">
        <v>2682</v>
      </c>
      <c r="B2127" s="19" t="s">
        <v>3857</v>
      </c>
      <c r="D2127" s="19"/>
      <c r="F2127" s="18"/>
      <c r="G2127" s="5" t="str">
        <f t="shared" si="54"/>
        <v/>
      </c>
      <c r="I2127" s="6" t="str">
        <f t="shared" si="53"/>
        <v>0</v>
      </c>
      <c r="K2127" s="21" t="s">
        <v>3873</v>
      </c>
    </row>
    <row r="2128" spans="1:12" ht="17" x14ac:dyDescent="0.25">
      <c r="A2128" t="s">
        <v>2683</v>
      </c>
      <c r="B2128" s="19" t="s">
        <v>3874</v>
      </c>
      <c r="D2128" s="19"/>
      <c r="F2128" s="18"/>
      <c r="G2128" s="5" t="str">
        <f t="shared" si="54"/>
        <v/>
      </c>
      <c r="I2128" s="6" t="str">
        <f t="shared" si="53"/>
        <v>0</v>
      </c>
      <c r="K2128" s="21" t="s">
        <v>3875</v>
      </c>
    </row>
    <row r="2129" spans="1:11" x14ac:dyDescent="0.2">
      <c r="A2129" t="s">
        <v>2684</v>
      </c>
      <c r="B2129" t="s">
        <v>5278</v>
      </c>
      <c r="C2129" s="5" t="s">
        <v>7</v>
      </c>
      <c r="F2129" s="5" t="s">
        <v>5279</v>
      </c>
      <c r="G2129" s="5">
        <f t="shared" si="54"/>
        <v>51514</v>
      </c>
      <c r="I2129" s="6" t="str">
        <f t="shared" ref="I2129:I2192" si="55">IFERROR(DEC2HEX(H2129),"")</f>
        <v>0</v>
      </c>
      <c r="K2129" s="21" t="s">
        <v>5280</v>
      </c>
    </row>
    <row r="2130" spans="1:11" x14ac:dyDescent="0.2">
      <c r="A2130" t="s">
        <v>2685</v>
      </c>
      <c r="B2130" t="s">
        <v>5281</v>
      </c>
      <c r="C2130" s="5" t="s">
        <v>7</v>
      </c>
      <c r="F2130" s="5" t="s">
        <v>5282</v>
      </c>
      <c r="G2130" s="5">
        <f t="shared" si="54"/>
        <v>51540</v>
      </c>
      <c r="I2130" s="6" t="str">
        <f t="shared" si="55"/>
        <v>0</v>
      </c>
      <c r="K2130" s="21" t="s">
        <v>5283</v>
      </c>
    </row>
    <row r="2131" spans="1:11" x14ac:dyDescent="0.2">
      <c r="A2131" t="s">
        <v>2686</v>
      </c>
      <c r="B2131" t="s">
        <v>5261</v>
      </c>
      <c r="C2131" s="5" t="s">
        <v>7</v>
      </c>
      <c r="F2131" s="5" t="s">
        <v>5262</v>
      </c>
      <c r="G2131" s="5">
        <f t="shared" si="54"/>
        <v>51578</v>
      </c>
      <c r="I2131" s="6" t="str">
        <f t="shared" si="55"/>
        <v>0</v>
      </c>
      <c r="K2131" s="21" t="s">
        <v>5263</v>
      </c>
    </row>
    <row r="2132" spans="1:11" x14ac:dyDescent="0.2">
      <c r="A2132" t="s">
        <v>2687</v>
      </c>
      <c r="B2132" t="s">
        <v>309</v>
      </c>
      <c r="E2132" t="str">
        <f>IF(D2132&lt;&gt;"",C2132&amp;"/"&amp;D2132,"")</f>
        <v/>
      </c>
      <c r="G2132" s="5" t="str">
        <f t="shared" si="54"/>
        <v/>
      </c>
      <c r="I2132" s="6" t="str">
        <f t="shared" si="55"/>
        <v>0</v>
      </c>
    </row>
    <row r="2133" spans="1:11" x14ac:dyDescent="0.2">
      <c r="A2133" t="s">
        <v>2688</v>
      </c>
      <c r="B2133" t="s">
        <v>5264</v>
      </c>
      <c r="C2133" s="5" t="s">
        <v>7</v>
      </c>
      <c r="F2133" s="5" t="s">
        <v>5265</v>
      </c>
      <c r="G2133" s="5">
        <f t="shared" si="54"/>
        <v>51600</v>
      </c>
      <c r="I2133" s="6" t="str">
        <f t="shared" si="55"/>
        <v>0</v>
      </c>
      <c r="K2133" s="21" t="s">
        <v>5266</v>
      </c>
    </row>
    <row r="2134" spans="1:11" x14ac:dyDescent="0.2">
      <c r="A2134" t="s">
        <v>2689</v>
      </c>
      <c r="B2134" t="s">
        <v>3844</v>
      </c>
      <c r="G2134" s="5" t="str">
        <f t="shared" si="54"/>
        <v/>
      </c>
      <c r="I2134" s="6" t="str">
        <f t="shared" si="55"/>
        <v>0</v>
      </c>
      <c r="K2134" s="6" t="s">
        <v>3845</v>
      </c>
    </row>
    <row r="2135" spans="1:11" x14ac:dyDescent="0.2">
      <c r="A2135" t="s">
        <v>2690</v>
      </c>
      <c r="B2135" t="s">
        <v>3846</v>
      </c>
      <c r="G2135" s="5" t="str">
        <f t="shared" si="54"/>
        <v/>
      </c>
      <c r="I2135" s="6" t="str">
        <f t="shared" si="55"/>
        <v>0</v>
      </c>
      <c r="K2135" s="6" t="s">
        <v>3847</v>
      </c>
    </row>
    <row r="2136" spans="1:11" x14ac:dyDescent="0.2">
      <c r="A2136" t="s">
        <v>2691</v>
      </c>
      <c r="B2136" t="s">
        <v>309</v>
      </c>
      <c r="E2136" t="str">
        <f>IF(D2136&lt;&gt;"",C2136&amp;"/"&amp;D2136,"")</f>
        <v/>
      </c>
      <c r="G2136" s="5" t="str">
        <f t="shared" si="54"/>
        <v/>
      </c>
      <c r="I2136" s="6" t="str">
        <f t="shared" si="55"/>
        <v>0</v>
      </c>
    </row>
    <row r="2137" spans="1:11" x14ac:dyDescent="0.2">
      <c r="A2137" t="s">
        <v>2692</v>
      </c>
      <c r="B2137" t="s">
        <v>2693</v>
      </c>
      <c r="E2137" t="str">
        <f>IF(D2137&lt;&gt;"",C2137&amp;"/"&amp;D2137,"")</f>
        <v/>
      </c>
      <c r="G2137" s="5" t="str">
        <f t="shared" si="54"/>
        <v/>
      </c>
      <c r="I2137" s="6" t="str">
        <f t="shared" si="55"/>
        <v>0</v>
      </c>
    </row>
    <row r="2138" spans="1:11" x14ac:dyDescent="0.2">
      <c r="A2138" t="s">
        <v>2694</v>
      </c>
      <c r="B2138" t="s">
        <v>2695</v>
      </c>
      <c r="E2138" t="str">
        <f>IF(D2138&lt;&gt;"",C2138&amp;"/"&amp;D2138,"")</f>
        <v/>
      </c>
      <c r="G2138" s="5" t="str">
        <f t="shared" si="54"/>
        <v/>
      </c>
      <c r="I2138" s="6" t="str">
        <f t="shared" si="55"/>
        <v>0</v>
      </c>
    </row>
    <row r="2139" spans="1:11" x14ac:dyDescent="0.2">
      <c r="A2139" t="s">
        <v>2696</v>
      </c>
      <c r="B2139" t="s">
        <v>2697</v>
      </c>
      <c r="E2139" t="str">
        <f>IF(D2139&lt;&gt;"",C2139&amp;"/"&amp;D2139,"")</f>
        <v/>
      </c>
      <c r="G2139" s="5" t="str">
        <f t="shared" si="54"/>
        <v/>
      </c>
      <c r="I2139" s="6" t="str">
        <f t="shared" si="55"/>
        <v>0</v>
      </c>
    </row>
    <row r="2140" spans="1:11" x14ac:dyDescent="0.2">
      <c r="A2140" t="s">
        <v>2698</v>
      </c>
      <c r="B2140" t="s">
        <v>2698</v>
      </c>
      <c r="E2140" t="str">
        <f>IF(D2140&lt;&gt;"",C2140&amp;"/"&amp;D2140,"")</f>
        <v/>
      </c>
      <c r="G2140" s="5" t="str">
        <f t="shared" si="54"/>
        <v/>
      </c>
      <c r="I2140" s="6" t="str">
        <f t="shared" si="55"/>
        <v>0</v>
      </c>
    </row>
    <row r="2141" spans="1:11" x14ac:dyDescent="0.2">
      <c r="A2141" t="s">
        <v>2699</v>
      </c>
      <c r="B2141" t="s">
        <v>2700</v>
      </c>
      <c r="G2141" s="5" t="str">
        <f t="shared" si="54"/>
        <v/>
      </c>
      <c r="I2141" s="6" t="str">
        <f t="shared" si="55"/>
        <v>0</v>
      </c>
      <c r="K2141" s="21" t="s">
        <v>4645</v>
      </c>
    </row>
    <row r="2142" spans="1:11" x14ac:dyDescent="0.2">
      <c r="A2142" t="s">
        <v>2701</v>
      </c>
      <c r="B2142" t="s">
        <v>5267</v>
      </c>
      <c r="C2142" s="5" t="s">
        <v>7</v>
      </c>
      <c r="F2142" s="5" t="s">
        <v>5268</v>
      </c>
      <c r="G2142" s="5">
        <f t="shared" si="54"/>
        <v>51768</v>
      </c>
      <c r="I2142" s="6" t="str">
        <f t="shared" si="55"/>
        <v>0</v>
      </c>
      <c r="K2142" s="21" t="s">
        <v>5269</v>
      </c>
    </row>
    <row r="2143" spans="1:11" x14ac:dyDescent="0.2">
      <c r="A2143" t="s">
        <v>2702</v>
      </c>
      <c r="E2143" t="str">
        <f>IF(D2143&lt;&gt;"",C2143&amp;"/"&amp;D2143,"")</f>
        <v/>
      </c>
      <c r="G2143" s="5" t="str">
        <f t="shared" ref="G2143:G2206" si="56">IF(F2143&lt;&gt;"",HEX2DEC(SUBSTITUTE(SUBSTITUTE(F2143,"adrEA",""),"$","")),"")</f>
        <v/>
      </c>
      <c r="I2143" s="6" t="str">
        <f t="shared" si="55"/>
        <v>0</v>
      </c>
    </row>
    <row r="2144" spans="1:11" x14ac:dyDescent="0.2">
      <c r="A2144" t="s">
        <v>2703</v>
      </c>
      <c r="B2144" t="s">
        <v>5213</v>
      </c>
      <c r="G2144" s="5" t="str">
        <f t="shared" si="56"/>
        <v/>
      </c>
      <c r="I2144" s="6" t="str">
        <f t="shared" si="55"/>
        <v>0</v>
      </c>
      <c r="K2144" s="21" t="s">
        <v>5214</v>
      </c>
    </row>
    <row r="2145" spans="1:11" x14ac:dyDescent="0.2">
      <c r="A2145" t="s">
        <v>2704</v>
      </c>
      <c r="E2145" t="str">
        <f>IF(D2145&lt;&gt;"",C2145&amp;"/"&amp;D2145,"")</f>
        <v/>
      </c>
      <c r="G2145" s="5" t="str">
        <f t="shared" si="56"/>
        <v/>
      </c>
      <c r="I2145" s="6" t="str">
        <f t="shared" si="55"/>
        <v>0</v>
      </c>
    </row>
    <row r="2146" spans="1:11" x14ac:dyDescent="0.2">
      <c r="A2146" t="s">
        <v>2705</v>
      </c>
      <c r="B2146" t="s">
        <v>309</v>
      </c>
      <c r="E2146" t="str">
        <f>IF(D2146&lt;&gt;"",C2146&amp;"/"&amp;D2146,"")</f>
        <v/>
      </c>
      <c r="G2146" s="5" t="str">
        <f t="shared" si="56"/>
        <v/>
      </c>
      <c r="I2146" s="6" t="str">
        <f t="shared" si="55"/>
        <v>0</v>
      </c>
    </row>
    <row r="2147" spans="1:11" x14ac:dyDescent="0.2">
      <c r="A2147" t="s">
        <v>2706</v>
      </c>
      <c r="B2147" t="s">
        <v>309</v>
      </c>
      <c r="E2147" t="str">
        <f>IF(D2147&lt;&gt;"",C2147&amp;"/"&amp;D2147,"")</f>
        <v/>
      </c>
      <c r="G2147" s="5" t="str">
        <f t="shared" si="56"/>
        <v/>
      </c>
      <c r="I2147" s="6" t="str">
        <f t="shared" si="55"/>
        <v>0</v>
      </c>
    </row>
    <row r="2148" spans="1:11" x14ac:dyDescent="0.2">
      <c r="A2148" t="s">
        <v>2707</v>
      </c>
      <c r="B2148" t="s">
        <v>5215</v>
      </c>
      <c r="G2148" s="5" t="str">
        <f t="shared" si="56"/>
        <v/>
      </c>
      <c r="I2148" s="6" t="str">
        <f t="shared" si="55"/>
        <v>0</v>
      </c>
      <c r="K2148" s="21" t="s">
        <v>5216</v>
      </c>
    </row>
    <row r="2149" spans="1:11" ht="17" x14ac:dyDescent="0.25">
      <c r="A2149" t="s">
        <v>2708</v>
      </c>
      <c r="B2149" s="19" t="s">
        <v>3876</v>
      </c>
      <c r="D2149" s="19"/>
      <c r="F2149" s="18"/>
      <c r="G2149" s="5" t="str">
        <f t="shared" si="56"/>
        <v/>
      </c>
      <c r="I2149" s="6" t="str">
        <f t="shared" si="55"/>
        <v>0</v>
      </c>
      <c r="K2149" s="21" t="s">
        <v>3877</v>
      </c>
    </row>
    <row r="2150" spans="1:11" ht="17" x14ac:dyDescent="0.25">
      <c r="A2150" t="s">
        <v>2709</v>
      </c>
      <c r="B2150" s="19" t="s">
        <v>3878</v>
      </c>
      <c r="D2150" s="19"/>
      <c r="F2150" s="18"/>
      <c r="G2150" s="5" t="str">
        <f t="shared" si="56"/>
        <v/>
      </c>
      <c r="I2150" s="6" t="str">
        <f t="shared" si="55"/>
        <v>0</v>
      </c>
      <c r="K2150" s="21" t="s">
        <v>3879</v>
      </c>
    </row>
    <row r="2151" spans="1:11" ht="17" x14ac:dyDescent="0.25">
      <c r="A2151" t="s">
        <v>2710</v>
      </c>
      <c r="B2151" s="19" t="s">
        <v>3880</v>
      </c>
      <c r="D2151" s="19"/>
      <c r="F2151" s="18"/>
      <c r="G2151" s="5" t="str">
        <f t="shared" si="56"/>
        <v/>
      </c>
      <c r="I2151" s="6" t="str">
        <f t="shared" si="55"/>
        <v>0</v>
      </c>
      <c r="K2151" s="21" t="s">
        <v>3881</v>
      </c>
    </row>
    <row r="2152" spans="1:11" ht="17" x14ac:dyDescent="0.25">
      <c r="A2152" t="s">
        <v>2711</v>
      </c>
      <c r="B2152" s="19" t="s">
        <v>3882</v>
      </c>
      <c r="D2152" s="19"/>
      <c r="F2152" s="18"/>
      <c r="G2152" s="5" t="str">
        <f t="shared" si="56"/>
        <v/>
      </c>
      <c r="I2152" s="6" t="str">
        <f t="shared" si="55"/>
        <v>0</v>
      </c>
      <c r="K2152" s="21" t="s">
        <v>3883</v>
      </c>
    </row>
    <row r="2153" spans="1:11" x14ac:dyDescent="0.2">
      <c r="A2153" t="s">
        <v>2712</v>
      </c>
      <c r="B2153" t="s">
        <v>309</v>
      </c>
      <c r="E2153" t="str">
        <f>IF(D2153&lt;&gt;"",C2153&amp;"/"&amp;D2153,"")</f>
        <v/>
      </c>
      <c r="G2153" s="5" t="str">
        <f t="shared" si="56"/>
        <v/>
      </c>
      <c r="I2153" s="6" t="str">
        <f t="shared" si="55"/>
        <v>0</v>
      </c>
    </row>
    <row r="2154" spans="1:11" x14ac:dyDescent="0.2">
      <c r="A2154" t="s">
        <v>2713</v>
      </c>
      <c r="B2154" t="s">
        <v>309</v>
      </c>
      <c r="E2154" t="str">
        <f>IF(D2154&lt;&gt;"",C2154&amp;"/"&amp;D2154,"")</f>
        <v/>
      </c>
      <c r="G2154" s="5" t="str">
        <f t="shared" si="56"/>
        <v/>
      </c>
      <c r="I2154" s="6" t="str">
        <f t="shared" si="55"/>
        <v>0</v>
      </c>
    </row>
    <row r="2155" spans="1:11" x14ac:dyDescent="0.2">
      <c r="A2155" t="s">
        <v>2714</v>
      </c>
      <c r="B2155" t="s">
        <v>309</v>
      </c>
      <c r="E2155" t="str">
        <f>IF(D2155&lt;&gt;"",C2155&amp;"/"&amp;D2155,"")</f>
        <v/>
      </c>
      <c r="G2155" s="5" t="str">
        <f t="shared" si="56"/>
        <v/>
      </c>
      <c r="I2155" s="6" t="str">
        <f t="shared" si="55"/>
        <v>0</v>
      </c>
    </row>
    <row r="2156" spans="1:11" x14ac:dyDescent="0.2">
      <c r="A2156" t="s">
        <v>2715</v>
      </c>
      <c r="B2156" t="s">
        <v>309</v>
      </c>
      <c r="E2156" t="str">
        <f>IF(D2156&lt;&gt;"",C2156&amp;"/"&amp;D2156,"")</f>
        <v/>
      </c>
      <c r="G2156" s="5" t="str">
        <f t="shared" si="56"/>
        <v/>
      </c>
      <c r="I2156" s="6" t="str">
        <f t="shared" si="55"/>
        <v>0</v>
      </c>
    </row>
    <row r="2157" spans="1:11" x14ac:dyDescent="0.2">
      <c r="A2157" t="s">
        <v>2716</v>
      </c>
      <c r="B2157" t="s">
        <v>2716</v>
      </c>
      <c r="E2157" t="str">
        <f>IF(D2157&lt;&gt;"",C2157&amp;"/"&amp;D2157,"")</f>
        <v/>
      </c>
      <c r="G2157" s="5" t="str">
        <f t="shared" si="56"/>
        <v/>
      </c>
      <c r="I2157" s="6" t="str">
        <f t="shared" si="55"/>
        <v>0</v>
      </c>
    </row>
    <row r="2158" spans="1:11" x14ac:dyDescent="0.2">
      <c r="A2158" t="s">
        <v>2717</v>
      </c>
      <c r="B2158" t="s">
        <v>309</v>
      </c>
      <c r="E2158" t="str">
        <f>IF(D2158&lt;&gt;"",C2158&amp;"/"&amp;D2158,"")</f>
        <v/>
      </c>
      <c r="G2158" s="5" t="str">
        <f t="shared" si="56"/>
        <v/>
      </c>
      <c r="I2158" s="6" t="str">
        <f t="shared" si="55"/>
        <v>0</v>
      </c>
    </row>
    <row r="2159" spans="1:11" x14ac:dyDescent="0.2">
      <c r="A2159" t="s">
        <v>2718</v>
      </c>
      <c r="B2159" t="s">
        <v>309</v>
      </c>
      <c r="E2159" t="str">
        <f>IF(D2159&lt;&gt;"",C2159&amp;"/"&amp;D2159,"")</f>
        <v/>
      </c>
      <c r="G2159" s="5" t="str">
        <f t="shared" si="56"/>
        <v/>
      </c>
      <c r="I2159" s="6" t="str">
        <f t="shared" si="55"/>
        <v>0</v>
      </c>
    </row>
    <row r="2160" spans="1:11" x14ac:dyDescent="0.2">
      <c r="A2160" t="s">
        <v>2719</v>
      </c>
      <c r="B2160" t="s">
        <v>309</v>
      </c>
      <c r="E2160" t="str">
        <f>IF(D2160&lt;&gt;"",C2160&amp;"/"&amp;D2160,"")</f>
        <v/>
      </c>
      <c r="G2160" s="5" t="str">
        <f t="shared" si="56"/>
        <v/>
      </c>
      <c r="I2160" s="6" t="str">
        <f t="shared" si="55"/>
        <v>0</v>
      </c>
    </row>
    <row r="2161" spans="1:9" x14ac:dyDescent="0.2">
      <c r="A2161" t="s">
        <v>2720</v>
      </c>
      <c r="B2161" t="s">
        <v>309</v>
      </c>
      <c r="E2161" t="str">
        <f>IF(D2161&lt;&gt;"",C2161&amp;"/"&amp;D2161,"")</f>
        <v/>
      </c>
      <c r="G2161" s="5" t="str">
        <f t="shared" si="56"/>
        <v/>
      </c>
      <c r="I2161" s="6" t="str">
        <f t="shared" si="55"/>
        <v>0</v>
      </c>
    </row>
    <row r="2162" spans="1:9" x14ac:dyDescent="0.2">
      <c r="A2162" t="s">
        <v>2721</v>
      </c>
      <c r="B2162" t="s">
        <v>2722</v>
      </c>
      <c r="E2162" t="str">
        <f>IF(D2162&lt;&gt;"",C2162&amp;"/"&amp;D2162,"")</f>
        <v/>
      </c>
      <c r="G2162" s="5" t="str">
        <f t="shared" si="56"/>
        <v/>
      </c>
      <c r="I2162" s="6" t="str">
        <f t="shared" si="55"/>
        <v>0</v>
      </c>
    </row>
    <row r="2163" spans="1:9" x14ac:dyDescent="0.2">
      <c r="A2163" t="s">
        <v>2723</v>
      </c>
      <c r="B2163" t="s">
        <v>309</v>
      </c>
      <c r="E2163" t="str">
        <f>IF(D2163&lt;&gt;"",C2163&amp;"/"&amp;D2163,"")</f>
        <v/>
      </c>
      <c r="G2163" s="5" t="str">
        <f t="shared" si="56"/>
        <v/>
      </c>
      <c r="I2163" s="6" t="str">
        <f t="shared" si="55"/>
        <v>0</v>
      </c>
    </row>
    <row r="2164" spans="1:9" x14ac:dyDescent="0.2">
      <c r="A2164" t="s">
        <v>2724</v>
      </c>
      <c r="B2164" t="s">
        <v>309</v>
      </c>
      <c r="E2164" t="str">
        <f>IF(D2164&lt;&gt;"",C2164&amp;"/"&amp;D2164,"")</f>
        <v/>
      </c>
      <c r="G2164" s="5" t="str">
        <f t="shared" si="56"/>
        <v/>
      </c>
      <c r="I2164" s="6" t="str">
        <f t="shared" si="55"/>
        <v>0</v>
      </c>
    </row>
    <row r="2165" spans="1:9" x14ac:dyDescent="0.2">
      <c r="A2165" t="s">
        <v>2725</v>
      </c>
      <c r="B2165" t="s">
        <v>309</v>
      </c>
      <c r="E2165" t="str">
        <f>IF(D2165&lt;&gt;"",C2165&amp;"/"&amp;D2165,"")</f>
        <v/>
      </c>
      <c r="G2165" s="5" t="str">
        <f t="shared" si="56"/>
        <v/>
      </c>
      <c r="I2165" s="6" t="str">
        <f t="shared" si="55"/>
        <v>0</v>
      </c>
    </row>
    <row r="2166" spans="1:9" x14ac:dyDescent="0.2">
      <c r="A2166" t="s">
        <v>2726</v>
      </c>
      <c r="E2166" t="str">
        <f>IF(D2166&lt;&gt;"",C2166&amp;"/"&amp;D2166,"")</f>
        <v/>
      </c>
      <c r="G2166" s="5" t="str">
        <f t="shared" si="56"/>
        <v/>
      </c>
      <c r="I2166" s="6" t="str">
        <f t="shared" si="55"/>
        <v>0</v>
      </c>
    </row>
    <row r="2167" spans="1:9" x14ac:dyDescent="0.2">
      <c r="A2167" t="s">
        <v>2727</v>
      </c>
      <c r="B2167" t="s">
        <v>2728</v>
      </c>
      <c r="E2167" t="str">
        <f>IF(D2167&lt;&gt;"",C2167&amp;"/"&amp;D2167,"")</f>
        <v/>
      </c>
      <c r="G2167" s="5" t="str">
        <f t="shared" si="56"/>
        <v/>
      </c>
      <c r="I2167" s="6" t="str">
        <f t="shared" si="55"/>
        <v>0</v>
      </c>
    </row>
    <row r="2168" spans="1:9" x14ac:dyDescent="0.2">
      <c r="A2168" t="s">
        <v>2729</v>
      </c>
      <c r="E2168" t="str">
        <f>IF(D2168&lt;&gt;"",C2168&amp;"/"&amp;D2168,"")</f>
        <v/>
      </c>
      <c r="G2168" s="5" t="str">
        <f t="shared" si="56"/>
        <v/>
      </c>
      <c r="I2168" s="6" t="str">
        <f t="shared" si="55"/>
        <v>0</v>
      </c>
    </row>
    <row r="2169" spans="1:9" x14ac:dyDescent="0.2">
      <c r="A2169" t="s">
        <v>2730</v>
      </c>
      <c r="B2169" t="s">
        <v>2731</v>
      </c>
      <c r="E2169" t="str">
        <f>IF(D2169&lt;&gt;"",C2169&amp;"/"&amp;D2169,"")</f>
        <v/>
      </c>
      <c r="G2169" s="5" t="str">
        <f t="shared" si="56"/>
        <v/>
      </c>
      <c r="I2169" s="6" t="str">
        <f t="shared" si="55"/>
        <v>0</v>
      </c>
    </row>
    <row r="2170" spans="1:9" x14ac:dyDescent="0.2">
      <c r="A2170" t="s">
        <v>2732</v>
      </c>
      <c r="B2170" t="s">
        <v>309</v>
      </c>
      <c r="E2170" t="str">
        <f>IF(D2170&lt;&gt;"",C2170&amp;"/"&amp;D2170,"")</f>
        <v/>
      </c>
      <c r="G2170" s="5" t="str">
        <f t="shared" si="56"/>
        <v/>
      </c>
      <c r="I2170" s="6" t="str">
        <f t="shared" si="55"/>
        <v>0</v>
      </c>
    </row>
    <row r="2171" spans="1:9" x14ac:dyDescent="0.2">
      <c r="A2171" t="s">
        <v>2733</v>
      </c>
      <c r="B2171" t="s">
        <v>2734</v>
      </c>
      <c r="E2171" t="str">
        <f>IF(D2171&lt;&gt;"",C2171&amp;"/"&amp;D2171,"")</f>
        <v/>
      </c>
      <c r="G2171" s="5" t="str">
        <f t="shared" si="56"/>
        <v/>
      </c>
      <c r="I2171" s="6" t="str">
        <f t="shared" si="55"/>
        <v>0</v>
      </c>
    </row>
    <row r="2172" spans="1:9" x14ac:dyDescent="0.2">
      <c r="A2172" t="s">
        <v>2735</v>
      </c>
      <c r="B2172" t="s">
        <v>2735</v>
      </c>
      <c r="E2172" t="str">
        <f>IF(D2172&lt;&gt;"",C2172&amp;"/"&amp;D2172,"")</f>
        <v/>
      </c>
      <c r="G2172" s="5" t="str">
        <f t="shared" si="56"/>
        <v/>
      </c>
      <c r="I2172" s="6" t="str">
        <f t="shared" si="55"/>
        <v>0</v>
      </c>
    </row>
    <row r="2173" spans="1:9" x14ac:dyDescent="0.2">
      <c r="A2173" t="s">
        <v>2736</v>
      </c>
      <c r="B2173" t="s">
        <v>2737</v>
      </c>
      <c r="E2173" t="str">
        <f>IF(D2173&lt;&gt;"",C2173&amp;"/"&amp;D2173,"")</f>
        <v/>
      </c>
      <c r="G2173" s="5" t="str">
        <f t="shared" si="56"/>
        <v/>
      </c>
      <c r="I2173" s="6" t="str">
        <f t="shared" si="55"/>
        <v>0</v>
      </c>
    </row>
    <row r="2174" spans="1:9" x14ac:dyDescent="0.2">
      <c r="A2174" t="s">
        <v>2738</v>
      </c>
      <c r="B2174" t="s">
        <v>2739</v>
      </c>
      <c r="E2174" t="str">
        <f>IF(D2174&lt;&gt;"",C2174&amp;"/"&amp;D2174,"")</f>
        <v/>
      </c>
      <c r="G2174" s="5" t="str">
        <f t="shared" si="56"/>
        <v/>
      </c>
      <c r="I2174" s="6" t="str">
        <f t="shared" si="55"/>
        <v>0</v>
      </c>
    </row>
    <row r="2175" spans="1:9" x14ac:dyDescent="0.2">
      <c r="A2175" t="s">
        <v>2740</v>
      </c>
      <c r="B2175" t="s">
        <v>2741</v>
      </c>
      <c r="E2175" t="str">
        <f>IF(D2175&lt;&gt;"",C2175&amp;"/"&amp;D2175,"")</f>
        <v/>
      </c>
      <c r="G2175" s="5" t="str">
        <f t="shared" si="56"/>
        <v/>
      </c>
      <c r="I2175" s="6" t="str">
        <f t="shared" si="55"/>
        <v>0</v>
      </c>
    </row>
    <row r="2176" spans="1:9" x14ac:dyDescent="0.2">
      <c r="A2176" t="s">
        <v>2742</v>
      </c>
      <c r="B2176" t="s">
        <v>2743</v>
      </c>
      <c r="E2176" t="str">
        <f>IF(D2176&lt;&gt;"",C2176&amp;"/"&amp;D2176,"")</f>
        <v/>
      </c>
      <c r="G2176" s="5" t="str">
        <f t="shared" si="56"/>
        <v/>
      </c>
      <c r="I2176" s="6" t="str">
        <f t="shared" si="55"/>
        <v>0</v>
      </c>
    </row>
    <row r="2177" spans="1:9" x14ac:dyDescent="0.2">
      <c r="A2177" t="s">
        <v>2744</v>
      </c>
      <c r="B2177" t="s">
        <v>2745</v>
      </c>
      <c r="E2177" t="str">
        <f>IF(D2177&lt;&gt;"",C2177&amp;"/"&amp;D2177,"")</f>
        <v/>
      </c>
      <c r="G2177" s="5" t="str">
        <f t="shared" si="56"/>
        <v/>
      </c>
      <c r="I2177" s="6" t="str">
        <f t="shared" si="55"/>
        <v>0</v>
      </c>
    </row>
    <row r="2178" spans="1:9" x14ac:dyDescent="0.2">
      <c r="A2178" t="s">
        <v>2746</v>
      </c>
      <c r="B2178" t="s">
        <v>2747</v>
      </c>
      <c r="E2178" t="str">
        <f>IF(D2178&lt;&gt;"",C2178&amp;"/"&amp;D2178,"")</f>
        <v/>
      </c>
      <c r="G2178" s="5" t="str">
        <f t="shared" si="56"/>
        <v/>
      </c>
      <c r="I2178" s="6" t="str">
        <f t="shared" si="55"/>
        <v>0</v>
      </c>
    </row>
    <row r="2179" spans="1:9" x14ac:dyDescent="0.2">
      <c r="A2179" t="s">
        <v>2748</v>
      </c>
      <c r="B2179" t="s">
        <v>2749</v>
      </c>
      <c r="E2179" t="str">
        <f>IF(D2179&lt;&gt;"",C2179&amp;"/"&amp;D2179,"")</f>
        <v/>
      </c>
      <c r="G2179" s="5" t="str">
        <f t="shared" si="56"/>
        <v/>
      </c>
      <c r="I2179" s="6" t="str">
        <f t="shared" si="55"/>
        <v>0</v>
      </c>
    </row>
    <row r="2180" spans="1:9" x14ac:dyDescent="0.2">
      <c r="A2180" t="s">
        <v>2750</v>
      </c>
      <c r="B2180" t="s">
        <v>2751</v>
      </c>
      <c r="E2180" t="str">
        <f>IF(D2180&lt;&gt;"",C2180&amp;"/"&amp;D2180,"")</f>
        <v/>
      </c>
      <c r="G2180" s="5" t="str">
        <f t="shared" si="56"/>
        <v/>
      </c>
      <c r="I2180" s="6" t="str">
        <f t="shared" si="55"/>
        <v>0</v>
      </c>
    </row>
    <row r="2181" spans="1:9" x14ac:dyDescent="0.2">
      <c r="A2181" t="s">
        <v>2752</v>
      </c>
      <c r="B2181" t="s">
        <v>2753</v>
      </c>
      <c r="E2181" t="str">
        <f>IF(D2181&lt;&gt;"",C2181&amp;"/"&amp;D2181,"")</f>
        <v/>
      </c>
      <c r="G2181" s="5" t="str">
        <f t="shared" si="56"/>
        <v/>
      </c>
      <c r="I2181" s="6" t="str">
        <f t="shared" si="55"/>
        <v>0</v>
      </c>
    </row>
    <row r="2182" spans="1:9" x14ac:dyDescent="0.2">
      <c r="A2182" t="s">
        <v>2754</v>
      </c>
      <c r="B2182" t="s">
        <v>2755</v>
      </c>
      <c r="E2182" t="str">
        <f>IF(D2182&lt;&gt;"",C2182&amp;"/"&amp;D2182,"")</f>
        <v/>
      </c>
      <c r="G2182" s="5" t="str">
        <f t="shared" si="56"/>
        <v/>
      </c>
      <c r="I2182" s="6" t="str">
        <f t="shared" si="55"/>
        <v>0</v>
      </c>
    </row>
    <row r="2183" spans="1:9" x14ac:dyDescent="0.2">
      <c r="A2183" t="s">
        <v>2756</v>
      </c>
      <c r="B2183" t="s">
        <v>2756</v>
      </c>
      <c r="E2183" t="str">
        <f>IF(D2183&lt;&gt;"",C2183&amp;"/"&amp;D2183,"")</f>
        <v/>
      </c>
      <c r="G2183" s="5" t="str">
        <f t="shared" si="56"/>
        <v/>
      </c>
      <c r="I2183" s="6" t="str">
        <f t="shared" si="55"/>
        <v>0</v>
      </c>
    </row>
    <row r="2184" spans="1:9" x14ac:dyDescent="0.2">
      <c r="A2184" t="s">
        <v>2757</v>
      </c>
      <c r="B2184" t="s">
        <v>309</v>
      </c>
      <c r="E2184" t="str">
        <f>IF(D2184&lt;&gt;"",C2184&amp;"/"&amp;D2184,"")</f>
        <v/>
      </c>
      <c r="G2184" s="5" t="str">
        <f t="shared" si="56"/>
        <v/>
      </c>
      <c r="I2184" s="6" t="str">
        <f t="shared" si="55"/>
        <v>0</v>
      </c>
    </row>
    <row r="2185" spans="1:9" x14ac:dyDescent="0.2">
      <c r="A2185" t="s">
        <v>2758</v>
      </c>
      <c r="E2185" t="str">
        <f>IF(D2185&lt;&gt;"",C2185&amp;"/"&amp;D2185,"")</f>
        <v/>
      </c>
      <c r="G2185" s="5" t="str">
        <f t="shared" si="56"/>
        <v/>
      </c>
      <c r="I2185" s="6" t="str">
        <f t="shared" si="55"/>
        <v>0</v>
      </c>
    </row>
    <row r="2186" spans="1:9" x14ac:dyDescent="0.2">
      <c r="A2186" t="s">
        <v>2759</v>
      </c>
      <c r="B2186" t="s">
        <v>309</v>
      </c>
      <c r="E2186" t="str">
        <f>IF(D2186&lt;&gt;"",C2186&amp;"/"&amp;D2186,"")</f>
        <v/>
      </c>
      <c r="G2186" s="5" t="str">
        <f t="shared" si="56"/>
        <v/>
      </c>
      <c r="I2186" s="6" t="str">
        <f t="shared" si="55"/>
        <v>0</v>
      </c>
    </row>
    <row r="2187" spans="1:9" x14ac:dyDescent="0.2">
      <c r="A2187" t="s">
        <v>2760</v>
      </c>
      <c r="B2187" t="s">
        <v>309</v>
      </c>
      <c r="E2187" t="str">
        <f>IF(D2187&lt;&gt;"",C2187&amp;"/"&amp;D2187,"")</f>
        <v/>
      </c>
      <c r="G2187" s="5" t="str">
        <f t="shared" si="56"/>
        <v/>
      </c>
      <c r="I2187" s="6" t="str">
        <f t="shared" si="55"/>
        <v>0</v>
      </c>
    </row>
    <row r="2188" spans="1:9" x14ac:dyDescent="0.2">
      <c r="A2188" t="s">
        <v>2761</v>
      </c>
      <c r="B2188" t="s">
        <v>309</v>
      </c>
      <c r="E2188" t="str">
        <f>IF(D2188&lt;&gt;"",C2188&amp;"/"&amp;D2188,"")</f>
        <v/>
      </c>
      <c r="G2188" s="5" t="str">
        <f t="shared" si="56"/>
        <v/>
      </c>
      <c r="I2188" s="6" t="str">
        <f t="shared" si="55"/>
        <v>0</v>
      </c>
    </row>
    <row r="2189" spans="1:9" x14ac:dyDescent="0.2">
      <c r="A2189" t="s">
        <v>2762</v>
      </c>
      <c r="B2189" t="s">
        <v>309</v>
      </c>
      <c r="E2189" t="str">
        <f>IF(D2189&lt;&gt;"",C2189&amp;"/"&amp;D2189,"")</f>
        <v/>
      </c>
      <c r="G2189" s="5" t="str">
        <f t="shared" si="56"/>
        <v/>
      </c>
      <c r="I2189" s="6" t="str">
        <f t="shared" si="55"/>
        <v>0</v>
      </c>
    </row>
    <row r="2190" spans="1:9" x14ac:dyDescent="0.2">
      <c r="A2190" t="s">
        <v>2763</v>
      </c>
      <c r="B2190" t="s">
        <v>309</v>
      </c>
      <c r="E2190" t="str">
        <f>IF(D2190&lt;&gt;"",C2190&amp;"/"&amp;D2190,"")</f>
        <v/>
      </c>
      <c r="G2190" s="5" t="str">
        <f t="shared" si="56"/>
        <v/>
      </c>
      <c r="I2190" s="6" t="str">
        <f t="shared" si="55"/>
        <v>0</v>
      </c>
    </row>
    <row r="2191" spans="1:9" x14ac:dyDescent="0.2">
      <c r="A2191" t="s">
        <v>2764</v>
      </c>
      <c r="B2191" t="s">
        <v>309</v>
      </c>
      <c r="E2191" t="str">
        <f>IF(D2191&lt;&gt;"",C2191&amp;"/"&amp;D2191,"")</f>
        <v/>
      </c>
      <c r="G2191" s="5" t="str">
        <f t="shared" si="56"/>
        <v/>
      </c>
      <c r="I2191" s="6" t="str">
        <f t="shared" si="55"/>
        <v>0</v>
      </c>
    </row>
    <row r="2192" spans="1:9" x14ac:dyDescent="0.2">
      <c r="A2192" t="s">
        <v>2765</v>
      </c>
      <c r="B2192" t="s">
        <v>309</v>
      </c>
      <c r="E2192" t="str">
        <f>IF(D2192&lt;&gt;"",C2192&amp;"/"&amp;D2192,"")</f>
        <v/>
      </c>
      <c r="G2192" s="5" t="str">
        <f t="shared" si="56"/>
        <v/>
      </c>
      <c r="I2192" s="6" t="str">
        <f t="shared" si="55"/>
        <v>0</v>
      </c>
    </row>
    <row r="2193" spans="1:9" x14ac:dyDescent="0.2">
      <c r="A2193" t="s">
        <v>2766</v>
      </c>
      <c r="B2193" t="s">
        <v>309</v>
      </c>
      <c r="E2193" t="str">
        <f>IF(D2193&lt;&gt;"",C2193&amp;"/"&amp;D2193,"")</f>
        <v/>
      </c>
      <c r="G2193" s="5" t="str">
        <f t="shared" si="56"/>
        <v/>
      </c>
      <c r="I2193" s="6" t="str">
        <f t="shared" ref="I2193:I2256" si="57">IFERROR(DEC2HEX(H2193),"")</f>
        <v>0</v>
      </c>
    </row>
    <row r="2194" spans="1:9" x14ac:dyDescent="0.2">
      <c r="A2194" t="s">
        <v>2767</v>
      </c>
      <c r="B2194" t="s">
        <v>309</v>
      </c>
      <c r="E2194" t="str">
        <f>IF(D2194&lt;&gt;"",C2194&amp;"/"&amp;D2194,"")</f>
        <v/>
      </c>
      <c r="G2194" s="5" t="str">
        <f t="shared" si="56"/>
        <v/>
      </c>
      <c r="I2194" s="6" t="str">
        <f t="shared" si="57"/>
        <v>0</v>
      </c>
    </row>
    <row r="2195" spans="1:9" x14ac:dyDescent="0.2">
      <c r="A2195" t="s">
        <v>2768</v>
      </c>
      <c r="B2195" t="s">
        <v>309</v>
      </c>
      <c r="E2195" t="str">
        <f>IF(D2195&lt;&gt;"",C2195&amp;"/"&amp;D2195,"")</f>
        <v/>
      </c>
      <c r="G2195" s="5" t="str">
        <f t="shared" si="56"/>
        <v/>
      </c>
      <c r="I2195" s="6" t="str">
        <f t="shared" si="57"/>
        <v>0</v>
      </c>
    </row>
    <row r="2196" spans="1:9" x14ac:dyDescent="0.2">
      <c r="A2196" t="s">
        <v>2769</v>
      </c>
      <c r="B2196" t="s">
        <v>309</v>
      </c>
      <c r="E2196" t="str">
        <f>IF(D2196&lt;&gt;"",C2196&amp;"/"&amp;D2196,"")</f>
        <v/>
      </c>
      <c r="G2196" s="5" t="str">
        <f t="shared" si="56"/>
        <v/>
      </c>
      <c r="I2196" s="6" t="str">
        <f t="shared" si="57"/>
        <v>0</v>
      </c>
    </row>
    <row r="2197" spans="1:9" x14ac:dyDescent="0.2">
      <c r="A2197" t="s">
        <v>2770</v>
      </c>
      <c r="B2197" t="s">
        <v>309</v>
      </c>
      <c r="E2197" t="str">
        <f>IF(D2197&lt;&gt;"",C2197&amp;"/"&amp;D2197,"")</f>
        <v/>
      </c>
      <c r="G2197" s="5" t="str">
        <f t="shared" si="56"/>
        <v/>
      </c>
      <c r="I2197" s="6" t="str">
        <f t="shared" si="57"/>
        <v>0</v>
      </c>
    </row>
    <row r="2198" spans="1:9" x14ac:dyDescent="0.2">
      <c r="A2198" t="s">
        <v>2771</v>
      </c>
      <c r="B2198" t="s">
        <v>309</v>
      </c>
      <c r="E2198" t="str">
        <f>IF(D2198&lt;&gt;"",C2198&amp;"/"&amp;D2198,"")</f>
        <v/>
      </c>
      <c r="G2198" s="5" t="str">
        <f t="shared" si="56"/>
        <v/>
      </c>
      <c r="I2198" s="6" t="str">
        <f t="shared" si="57"/>
        <v>0</v>
      </c>
    </row>
    <row r="2199" spans="1:9" x14ac:dyDescent="0.2">
      <c r="A2199" t="s">
        <v>2772</v>
      </c>
      <c r="B2199" t="s">
        <v>309</v>
      </c>
      <c r="E2199" t="str">
        <f>IF(D2199&lt;&gt;"",C2199&amp;"/"&amp;D2199,"")</f>
        <v/>
      </c>
      <c r="G2199" s="5" t="str">
        <f t="shared" si="56"/>
        <v/>
      </c>
      <c r="I2199" s="6" t="str">
        <f t="shared" si="57"/>
        <v>0</v>
      </c>
    </row>
    <row r="2200" spans="1:9" x14ac:dyDescent="0.2">
      <c r="A2200" t="s">
        <v>2773</v>
      </c>
      <c r="B2200" t="s">
        <v>309</v>
      </c>
      <c r="E2200" t="str">
        <f>IF(D2200&lt;&gt;"",C2200&amp;"/"&amp;D2200,"")</f>
        <v/>
      </c>
      <c r="G2200" s="5" t="str">
        <f t="shared" si="56"/>
        <v/>
      </c>
      <c r="I2200" s="6" t="str">
        <f t="shared" si="57"/>
        <v>0</v>
      </c>
    </row>
    <row r="2201" spans="1:9" x14ac:dyDescent="0.2">
      <c r="A2201" t="s">
        <v>2774</v>
      </c>
      <c r="B2201" t="s">
        <v>309</v>
      </c>
      <c r="E2201" t="str">
        <f>IF(D2201&lt;&gt;"",C2201&amp;"/"&amp;D2201,"")</f>
        <v/>
      </c>
      <c r="G2201" s="5" t="str">
        <f t="shared" si="56"/>
        <v/>
      </c>
      <c r="I2201" s="6" t="str">
        <f t="shared" si="57"/>
        <v>0</v>
      </c>
    </row>
    <row r="2202" spans="1:9" x14ac:dyDescent="0.2">
      <c r="A2202" t="s">
        <v>2775</v>
      </c>
      <c r="B2202" t="s">
        <v>2776</v>
      </c>
      <c r="E2202" t="str">
        <f>IF(D2202&lt;&gt;"",C2202&amp;"/"&amp;D2202,"")</f>
        <v/>
      </c>
      <c r="G2202" s="5" t="str">
        <f t="shared" si="56"/>
        <v/>
      </c>
      <c r="I2202" s="6" t="str">
        <f t="shared" si="57"/>
        <v>0</v>
      </c>
    </row>
    <row r="2203" spans="1:9" x14ac:dyDescent="0.2">
      <c r="A2203" t="s">
        <v>2777</v>
      </c>
      <c r="B2203" t="s">
        <v>2778</v>
      </c>
      <c r="E2203" t="str">
        <f>IF(D2203&lt;&gt;"",C2203&amp;"/"&amp;D2203,"")</f>
        <v/>
      </c>
      <c r="G2203" s="5" t="str">
        <f t="shared" si="56"/>
        <v/>
      </c>
      <c r="I2203" s="6" t="str">
        <f t="shared" si="57"/>
        <v>0</v>
      </c>
    </row>
    <row r="2204" spans="1:9" x14ac:dyDescent="0.2">
      <c r="A2204" t="s">
        <v>2779</v>
      </c>
      <c r="B2204" t="s">
        <v>2780</v>
      </c>
      <c r="E2204" t="str">
        <f>IF(D2204&lt;&gt;"",C2204&amp;"/"&amp;D2204,"")</f>
        <v/>
      </c>
      <c r="G2204" s="5" t="str">
        <f t="shared" si="56"/>
        <v/>
      </c>
      <c r="I2204" s="6" t="str">
        <f t="shared" si="57"/>
        <v>0</v>
      </c>
    </row>
    <row r="2205" spans="1:9" x14ac:dyDescent="0.2">
      <c r="A2205" t="s">
        <v>2781</v>
      </c>
      <c r="B2205" t="s">
        <v>2782</v>
      </c>
      <c r="E2205" t="str">
        <f>IF(D2205&lt;&gt;"",C2205&amp;"/"&amp;D2205,"")</f>
        <v/>
      </c>
      <c r="G2205" s="5" t="str">
        <f t="shared" si="56"/>
        <v/>
      </c>
      <c r="I2205" s="6" t="str">
        <f t="shared" si="57"/>
        <v>0</v>
      </c>
    </row>
    <row r="2206" spans="1:9" x14ac:dyDescent="0.2">
      <c r="A2206" t="s">
        <v>2783</v>
      </c>
      <c r="E2206" t="str">
        <f>IF(D2206&lt;&gt;"",C2206&amp;"/"&amp;D2206,"")</f>
        <v/>
      </c>
      <c r="G2206" s="5" t="str">
        <f t="shared" si="56"/>
        <v/>
      </c>
      <c r="I2206" s="6" t="str">
        <f t="shared" si="57"/>
        <v>0</v>
      </c>
    </row>
    <row r="2207" spans="1:9" x14ac:dyDescent="0.2">
      <c r="A2207" t="s">
        <v>2784</v>
      </c>
      <c r="B2207" t="s">
        <v>2785</v>
      </c>
      <c r="E2207" t="str">
        <f>IF(D2207&lt;&gt;"",C2207&amp;"/"&amp;D2207,"")</f>
        <v/>
      </c>
      <c r="G2207" s="5" t="str">
        <f t="shared" ref="G2207:G2229" si="58">IF(F2207&lt;&gt;"",HEX2DEC(SUBSTITUTE(SUBSTITUTE(F2207,"adrEA",""),"$","")),"")</f>
        <v/>
      </c>
      <c r="I2207" s="6" t="str">
        <f t="shared" si="57"/>
        <v>0</v>
      </c>
    </row>
    <row r="2208" spans="1:9" x14ac:dyDescent="0.2">
      <c r="A2208" t="s">
        <v>2786</v>
      </c>
      <c r="B2208" t="s">
        <v>2787</v>
      </c>
      <c r="E2208" t="str">
        <f>IF(D2208&lt;&gt;"",C2208&amp;"/"&amp;D2208,"")</f>
        <v/>
      </c>
      <c r="G2208" s="5" t="str">
        <f t="shared" si="58"/>
        <v/>
      </c>
      <c r="I2208" s="6" t="str">
        <f t="shared" si="57"/>
        <v>0</v>
      </c>
    </row>
    <row r="2209" spans="1:9" x14ac:dyDescent="0.2">
      <c r="A2209" t="s">
        <v>2788</v>
      </c>
      <c r="B2209" t="s">
        <v>2789</v>
      </c>
      <c r="E2209" t="str">
        <f>IF(D2209&lt;&gt;"",C2209&amp;"/"&amp;D2209,"")</f>
        <v/>
      </c>
      <c r="G2209" s="5" t="str">
        <f t="shared" si="58"/>
        <v/>
      </c>
      <c r="I2209" s="6" t="str">
        <f t="shared" si="57"/>
        <v>0</v>
      </c>
    </row>
    <row r="2210" spans="1:9" x14ac:dyDescent="0.2">
      <c r="A2210" t="s">
        <v>2790</v>
      </c>
      <c r="B2210" t="s">
        <v>2791</v>
      </c>
      <c r="E2210" t="str">
        <f>IF(D2210&lt;&gt;"",C2210&amp;"/"&amp;D2210,"")</f>
        <v/>
      </c>
      <c r="G2210" s="5" t="str">
        <f t="shared" si="58"/>
        <v/>
      </c>
      <c r="I2210" s="6" t="str">
        <f t="shared" si="57"/>
        <v>0</v>
      </c>
    </row>
    <row r="2211" spans="1:9" x14ac:dyDescent="0.2">
      <c r="A2211" t="s">
        <v>2792</v>
      </c>
      <c r="B2211" t="s">
        <v>2793</v>
      </c>
      <c r="E2211" t="str">
        <f>IF(D2211&lt;&gt;"",C2211&amp;"/"&amp;D2211,"")</f>
        <v/>
      </c>
      <c r="G2211" s="5" t="str">
        <f t="shared" si="58"/>
        <v/>
      </c>
      <c r="I2211" s="6" t="str">
        <f t="shared" si="57"/>
        <v>0</v>
      </c>
    </row>
    <row r="2212" spans="1:9" x14ac:dyDescent="0.2">
      <c r="A2212" t="s">
        <v>2794</v>
      </c>
      <c r="B2212" t="s">
        <v>2795</v>
      </c>
      <c r="E2212" t="str">
        <f>IF(D2212&lt;&gt;"",C2212&amp;"/"&amp;D2212,"")</f>
        <v/>
      </c>
      <c r="G2212" s="5" t="str">
        <f t="shared" si="58"/>
        <v/>
      </c>
      <c r="I2212" s="6" t="str">
        <f t="shared" si="57"/>
        <v>0</v>
      </c>
    </row>
    <row r="2213" spans="1:9" x14ac:dyDescent="0.2">
      <c r="A2213" t="s">
        <v>2796</v>
      </c>
      <c r="B2213" t="s">
        <v>2797</v>
      </c>
      <c r="E2213" t="str">
        <f>IF(D2213&lt;&gt;"",C2213&amp;"/"&amp;D2213,"")</f>
        <v/>
      </c>
      <c r="G2213" s="5" t="str">
        <f t="shared" si="58"/>
        <v/>
      </c>
      <c r="I2213" s="6" t="str">
        <f t="shared" si="57"/>
        <v>0</v>
      </c>
    </row>
    <row r="2214" spans="1:9" x14ac:dyDescent="0.2">
      <c r="A2214" t="s">
        <v>2798</v>
      </c>
      <c r="B2214" t="s">
        <v>2799</v>
      </c>
      <c r="E2214" t="str">
        <f>IF(D2214&lt;&gt;"",C2214&amp;"/"&amp;D2214,"")</f>
        <v/>
      </c>
      <c r="G2214" s="5" t="str">
        <f t="shared" si="58"/>
        <v/>
      </c>
      <c r="I2214" s="6" t="str">
        <f t="shared" si="57"/>
        <v>0</v>
      </c>
    </row>
    <row r="2215" spans="1:9" x14ac:dyDescent="0.2">
      <c r="A2215" t="s">
        <v>2800</v>
      </c>
      <c r="B2215" t="s">
        <v>2801</v>
      </c>
      <c r="E2215" t="str">
        <f>IF(D2215&lt;&gt;"",C2215&amp;"/"&amp;D2215,"")</f>
        <v/>
      </c>
      <c r="G2215" s="5" t="str">
        <f t="shared" si="58"/>
        <v/>
      </c>
      <c r="I2215" s="6" t="str">
        <f t="shared" si="57"/>
        <v>0</v>
      </c>
    </row>
    <row r="2216" spans="1:9" x14ac:dyDescent="0.2">
      <c r="A2216" t="s">
        <v>2802</v>
      </c>
      <c r="B2216" t="s">
        <v>2803</v>
      </c>
      <c r="E2216" t="str">
        <f>IF(D2216&lt;&gt;"",C2216&amp;"/"&amp;D2216,"")</f>
        <v/>
      </c>
      <c r="G2216" s="5" t="str">
        <f t="shared" si="58"/>
        <v/>
      </c>
      <c r="I2216" s="6" t="str">
        <f t="shared" si="57"/>
        <v>0</v>
      </c>
    </row>
    <row r="2217" spans="1:9" x14ac:dyDescent="0.2">
      <c r="A2217" t="s">
        <v>2804</v>
      </c>
      <c r="B2217" t="s">
        <v>2805</v>
      </c>
      <c r="E2217" t="str">
        <f>IF(D2217&lt;&gt;"",C2217&amp;"/"&amp;D2217,"")</f>
        <v/>
      </c>
      <c r="G2217" s="5" t="str">
        <f t="shared" si="58"/>
        <v/>
      </c>
      <c r="I2217" s="6" t="str">
        <f t="shared" si="57"/>
        <v>0</v>
      </c>
    </row>
    <row r="2218" spans="1:9" x14ac:dyDescent="0.2">
      <c r="A2218" t="s">
        <v>2806</v>
      </c>
      <c r="B2218" t="s">
        <v>2807</v>
      </c>
      <c r="E2218" t="str">
        <f>IF(D2218&lt;&gt;"",C2218&amp;"/"&amp;D2218,"")</f>
        <v/>
      </c>
      <c r="G2218" s="5" t="str">
        <f t="shared" si="58"/>
        <v/>
      </c>
      <c r="I2218" s="6" t="str">
        <f t="shared" si="57"/>
        <v>0</v>
      </c>
    </row>
    <row r="2219" spans="1:9" x14ac:dyDescent="0.2">
      <c r="A2219" t="s">
        <v>2808</v>
      </c>
      <c r="B2219" t="s">
        <v>2809</v>
      </c>
      <c r="E2219" t="str">
        <f>IF(D2219&lt;&gt;"",C2219&amp;"/"&amp;D2219,"")</f>
        <v/>
      </c>
      <c r="G2219" s="5" t="str">
        <f t="shared" si="58"/>
        <v/>
      </c>
      <c r="I2219" s="6" t="str">
        <f t="shared" si="57"/>
        <v>0</v>
      </c>
    </row>
    <row r="2220" spans="1:9" x14ac:dyDescent="0.2">
      <c r="A2220" t="s">
        <v>2810</v>
      </c>
      <c r="B2220" t="s">
        <v>2811</v>
      </c>
      <c r="E2220" t="str">
        <f>IF(D2220&lt;&gt;"",C2220&amp;"/"&amp;D2220,"")</f>
        <v/>
      </c>
      <c r="G2220" s="5" t="str">
        <f t="shared" si="58"/>
        <v/>
      </c>
      <c r="I2220" s="6" t="str">
        <f t="shared" si="57"/>
        <v>0</v>
      </c>
    </row>
    <row r="2221" spans="1:9" x14ac:dyDescent="0.2">
      <c r="A2221" t="s">
        <v>2812</v>
      </c>
      <c r="B2221" t="s">
        <v>309</v>
      </c>
      <c r="E2221" t="str">
        <f>IF(D2221&lt;&gt;"",C2221&amp;"/"&amp;D2221,"")</f>
        <v/>
      </c>
      <c r="G2221" s="5" t="str">
        <f t="shared" si="58"/>
        <v/>
      </c>
      <c r="I2221" s="6" t="str">
        <f t="shared" si="57"/>
        <v>0</v>
      </c>
    </row>
    <row r="2222" spans="1:9" x14ac:dyDescent="0.2">
      <c r="A2222" t="s">
        <v>2813</v>
      </c>
      <c r="B2222" t="s">
        <v>309</v>
      </c>
      <c r="E2222" t="str">
        <f>IF(D2222&lt;&gt;"",C2222&amp;"/"&amp;D2222,"")</f>
        <v/>
      </c>
      <c r="G2222" s="5" t="str">
        <f t="shared" si="58"/>
        <v/>
      </c>
      <c r="I2222" s="6" t="str">
        <f t="shared" si="57"/>
        <v>0</v>
      </c>
    </row>
    <row r="2223" spans="1:9" x14ac:dyDescent="0.2">
      <c r="A2223" t="s">
        <v>2814</v>
      </c>
      <c r="B2223" t="s">
        <v>2815</v>
      </c>
      <c r="E2223" t="str">
        <f>IF(D2223&lt;&gt;"",C2223&amp;"/"&amp;D2223,"")</f>
        <v/>
      </c>
      <c r="G2223" s="5" t="str">
        <f t="shared" si="58"/>
        <v/>
      </c>
      <c r="I2223" s="6" t="str">
        <f t="shared" si="57"/>
        <v>0</v>
      </c>
    </row>
    <row r="2224" spans="1:9" x14ac:dyDescent="0.2">
      <c r="A2224" t="s">
        <v>2816</v>
      </c>
      <c r="B2224" t="s">
        <v>2817</v>
      </c>
      <c r="E2224" t="str">
        <f>IF(D2224&lt;&gt;"",C2224&amp;"/"&amp;D2224,"")</f>
        <v/>
      </c>
      <c r="G2224" s="5" t="str">
        <f t="shared" si="58"/>
        <v/>
      </c>
      <c r="I2224" s="6" t="str">
        <f t="shared" si="57"/>
        <v>0</v>
      </c>
    </row>
    <row r="2225" spans="1:9" x14ac:dyDescent="0.2">
      <c r="A2225" t="s">
        <v>2818</v>
      </c>
      <c r="B2225" t="s">
        <v>2819</v>
      </c>
      <c r="E2225" t="str">
        <f>IF(D2225&lt;&gt;"",C2225&amp;"/"&amp;D2225,"")</f>
        <v/>
      </c>
      <c r="G2225" s="5" t="str">
        <f t="shared" si="58"/>
        <v/>
      </c>
      <c r="I2225" s="6" t="str">
        <f t="shared" si="57"/>
        <v>0</v>
      </c>
    </row>
    <row r="2226" spans="1:9" x14ac:dyDescent="0.2">
      <c r="A2226" t="s">
        <v>2820</v>
      </c>
      <c r="B2226" t="s">
        <v>2821</v>
      </c>
      <c r="E2226" t="str">
        <f>IF(D2226&lt;&gt;"",C2226&amp;"/"&amp;D2226,"")</f>
        <v/>
      </c>
      <c r="G2226" s="5" t="str">
        <f t="shared" si="58"/>
        <v/>
      </c>
      <c r="I2226" s="6" t="str">
        <f t="shared" si="57"/>
        <v>0</v>
      </c>
    </row>
    <row r="2227" spans="1:9" x14ac:dyDescent="0.2">
      <c r="A2227" t="s">
        <v>2822</v>
      </c>
      <c r="B2227" t="s">
        <v>309</v>
      </c>
      <c r="E2227" t="str">
        <f>IF(D2227&lt;&gt;"",C2227&amp;"/"&amp;D2227,"")</f>
        <v/>
      </c>
      <c r="G2227" s="5" t="str">
        <f t="shared" si="58"/>
        <v/>
      </c>
      <c r="I2227" s="6" t="str">
        <f t="shared" si="57"/>
        <v>0</v>
      </c>
    </row>
    <row r="2228" spans="1:9" x14ac:dyDescent="0.2">
      <c r="A2228" t="s">
        <v>2823</v>
      </c>
      <c r="B2228" t="s">
        <v>309</v>
      </c>
      <c r="E2228" t="str">
        <f>IF(D2228&lt;&gt;"",C2228&amp;"/"&amp;D2228,"")</f>
        <v/>
      </c>
      <c r="G2228" s="5" t="str">
        <f t="shared" si="58"/>
        <v/>
      </c>
      <c r="I2228" s="6" t="str">
        <f t="shared" si="57"/>
        <v>0</v>
      </c>
    </row>
    <row r="2229" spans="1:9" x14ac:dyDescent="0.2">
      <c r="A2229" t="s">
        <v>2824</v>
      </c>
      <c r="B2229" t="s">
        <v>2825</v>
      </c>
      <c r="E2229" t="str">
        <f>IF(D2229&lt;&gt;"",C2229&amp;"/"&amp;D2229,"")</f>
        <v/>
      </c>
      <c r="G2229" s="5" t="str">
        <f t="shared" si="58"/>
        <v/>
      </c>
      <c r="I2229" s="6" t="str">
        <f t="shared" si="57"/>
        <v>0</v>
      </c>
    </row>
    <row r="2230" spans="1:9" x14ac:dyDescent="0.2">
      <c r="A2230" t="s">
        <v>2826</v>
      </c>
      <c r="E2230" t="str">
        <f>IF(D2230&lt;&gt;"",C2230&amp;"/"&amp;D2230,"")</f>
        <v/>
      </c>
      <c r="G2230" s="5" t="str">
        <f t="shared" ref="G2230:G2277" si="59">IF(F2230&lt;&gt;"",HEX2DEC(SUBSTITUTE(SUBSTITUTE(F2230,"adrEA",""),"$","")),"")</f>
        <v/>
      </c>
      <c r="I2230" s="6" t="str">
        <f t="shared" si="57"/>
        <v>0</v>
      </c>
    </row>
    <row r="2231" spans="1:9" x14ac:dyDescent="0.2">
      <c r="A2231" t="s">
        <v>2827</v>
      </c>
      <c r="B2231" t="s">
        <v>309</v>
      </c>
      <c r="E2231" t="str">
        <f>IF(D2231&lt;&gt;"",C2231&amp;"/"&amp;D2231,"")</f>
        <v/>
      </c>
      <c r="G2231" s="5" t="str">
        <f t="shared" si="59"/>
        <v/>
      </c>
      <c r="I2231" s="6" t="str">
        <f t="shared" si="57"/>
        <v>0</v>
      </c>
    </row>
    <row r="2232" spans="1:9" x14ac:dyDescent="0.2">
      <c r="A2232" t="s">
        <v>2828</v>
      </c>
      <c r="B2232" t="s">
        <v>309</v>
      </c>
      <c r="E2232" t="str">
        <f>IF(D2232&lt;&gt;"",C2232&amp;"/"&amp;D2232,"")</f>
        <v/>
      </c>
      <c r="G2232" s="5" t="str">
        <f t="shared" si="59"/>
        <v/>
      </c>
      <c r="I2232" s="6" t="str">
        <f t="shared" si="57"/>
        <v>0</v>
      </c>
    </row>
    <row r="2233" spans="1:9" x14ac:dyDescent="0.2">
      <c r="A2233" t="s">
        <v>2829</v>
      </c>
      <c r="B2233" t="s">
        <v>309</v>
      </c>
      <c r="E2233" t="str">
        <f>IF(D2233&lt;&gt;"",C2233&amp;"/"&amp;D2233,"")</f>
        <v/>
      </c>
      <c r="G2233" s="5" t="str">
        <f t="shared" si="59"/>
        <v/>
      </c>
      <c r="I2233" s="6" t="str">
        <f t="shared" si="57"/>
        <v>0</v>
      </c>
    </row>
    <row r="2234" spans="1:9" x14ac:dyDescent="0.2">
      <c r="A2234" t="s">
        <v>2830</v>
      </c>
      <c r="B2234" t="s">
        <v>309</v>
      </c>
      <c r="E2234" t="str">
        <f>IF(D2234&lt;&gt;"",C2234&amp;"/"&amp;D2234,"")</f>
        <v/>
      </c>
      <c r="G2234" s="5" t="str">
        <f t="shared" si="59"/>
        <v/>
      </c>
      <c r="I2234" s="6" t="str">
        <f t="shared" si="57"/>
        <v>0</v>
      </c>
    </row>
    <row r="2235" spans="1:9" x14ac:dyDescent="0.2">
      <c r="A2235" t="s">
        <v>2831</v>
      </c>
      <c r="B2235" t="s">
        <v>309</v>
      </c>
      <c r="E2235" t="str">
        <f>IF(D2235&lt;&gt;"",C2235&amp;"/"&amp;D2235,"")</f>
        <v/>
      </c>
      <c r="G2235" s="5" t="str">
        <f t="shared" si="59"/>
        <v/>
      </c>
      <c r="I2235" s="6" t="str">
        <f t="shared" si="57"/>
        <v>0</v>
      </c>
    </row>
    <row r="2236" spans="1:9" x14ac:dyDescent="0.2">
      <c r="A2236" t="s">
        <v>2832</v>
      </c>
      <c r="B2236" t="s">
        <v>309</v>
      </c>
      <c r="E2236" t="str">
        <f>IF(D2236&lt;&gt;"",C2236&amp;"/"&amp;D2236,"")</f>
        <v/>
      </c>
      <c r="G2236" s="5" t="str">
        <f t="shared" si="59"/>
        <v/>
      </c>
      <c r="I2236" s="6" t="str">
        <f t="shared" si="57"/>
        <v>0</v>
      </c>
    </row>
    <row r="2237" spans="1:9" x14ac:dyDescent="0.2">
      <c r="A2237" t="s">
        <v>2833</v>
      </c>
      <c r="B2237" t="s">
        <v>309</v>
      </c>
      <c r="E2237" t="str">
        <f>IF(D2237&lt;&gt;"",C2237&amp;"/"&amp;D2237,"")</f>
        <v/>
      </c>
      <c r="G2237" s="5" t="str">
        <f t="shared" si="59"/>
        <v/>
      </c>
      <c r="I2237" s="6" t="str">
        <f t="shared" si="57"/>
        <v>0</v>
      </c>
    </row>
    <row r="2238" spans="1:9" x14ac:dyDescent="0.2">
      <c r="A2238" t="s">
        <v>2834</v>
      </c>
      <c r="E2238" t="str">
        <f>IF(D2238&lt;&gt;"",C2238&amp;"/"&amp;D2238,"")</f>
        <v/>
      </c>
      <c r="G2238" s="5" t="str">
        <f t="shared" si="59"/>
        <v/>
      </c>
      <c r="I2238" s="6" t="str">
        <f t="shared" si="57"/>
        <v>0</v>
      </c>
    </row>
    <row r="2239" spans="1:9" x14ac:dyDescent="0.2">
      <c r="A2239" t="s">
        <v>2835</v>
      </c>
      <c r="E2239" t="str">
        <f>IF(D2239&lt;&gt;"",C2239&amp;"/"&amp;D2239,"")</f>
        <v/>
      </c>
      <c r="G2239" s="5" t="str">
        <f t="shared" si="59"/>
        <v/>
      </c>
      <c r="I2239" s="6" t="str">
        <f t="shared" si="57"/>
        <v>0</v>
      </c>
    </row>
    <row r="2240" spans="1:9" x14ac:dyDescent="0.2">
      <c r="A2240" t="s">
        <v>2836</v>
      </c>
      <c r="E2240" t="str">
        <f>IF(D2240&lt;&gt;"",C2240&amp;"/"&amp;D2240,"")</f>
        <v/>
      </c>
      <c r="G2240" s="5" t="str">
        <f t="shared" si="59"/>
        <v/>
      </c>
      <c r="I2240" s="6" t="str">
        <f t="shared" si="57"/>
        <v>0</v>
      </c>
    </row>
    <row r="2241" spans="1:9" x14ac:dyDescent="0.2">
      <c r="A2241" t="s">
        <v>2837</v>
      </c>
      <c r="B2241" t="s">
        <v>2838</v>
      </c>
      <c r="E2241" t="str">
        <f>IF(D2241&lt;&gt;"",C2241&amp;"/"&amp;D2241,"")</f>
        <v/>
      </c>
      <c r="G2241" s="5" t="str">
        <f t="shared" si="59"/>
        <v/>
      </c>
      <c r="I2241" s="6" t="str">
        <f t="shared" si="57"/>
        <v>0</v>
      </c>
    </row>
    <row r="2242" spans="1:9" x14ac:dyDescent="0.2">
      <c r="A2242" t="s">
        <v>2839</v>
      </c>
      <c r="B2242" t="s">
        <v>2840</v>
      </c>
      <c r="E2242" t="str">
        <f>IF(D2242&lt;&gt;"",C2242&amp;"/"&amp;D2242,"")</f>
        <v/>
      </c>
      <c r="G2242" s="5" t="str">
        <f t="shared" si="59"/>
        <v/>
      </c>
      <c r="I2242" s="6" t="str">
        <f t="shared" si="57"/>
        <v>0</v>
      </c>
    </row>
    <row r="2243" spans="1:9" x14ac:dyDescent="0.2">
      <c r="A2243" t="s">
        <v>2841</v>
      </c>
      <c r="B2243" t="s">
        <v>2842</v>
      </c>
      <c r="E2243" t="str">
        <f>IF(D2243&lt;&gt;"",C2243&amp;"/"&amp;D2243,"")</f>
        <v/>
      </c>
      <c r="G2243" s="5" t="str">
        <f t="shared" si="59"/>
        <v/>
      </c>
      <c r="I2243" s="6" t="str">
        <f t="shared" si="57"/>
        <v>0</v>
      </c>
    </row>
    <row r="2244" spans="1:9" x14ac:dyDescent="0.2">
      <c r="A2244" t="s">
        <v>2843</v>
      </c>
      <c r="B2244" t="s">
        <v>2843</v>
      </c>
      <c r="E2244" t="str">
        <f>IF(D2244&lt;&gt;"",C2244&amp;"/"&amp;D2244,"")</f>
        <v/>
      </c>
      <c r="G2244" s="5" t="str">
        <f t="shared" si="59"/>
        <v/>
      </c>
      <c r="I2244" s="6" t="str">
        <f t="shared" si="57"/>
        <v>0</v>
      </c>
    </row>
    <row r="2245" spans="1:9" x14ac:dyDescent="0.2">
      <c r="A2245" t="s">
        <v>2844</v>
      </c>
      <c r="B2245" t="s">
        <v>305</v>
      </c>
      <c r="E2245" t="str">
        <f>IF(D2245&lt;&gt;"",C2245&amp;"/"&amp;D2245,"")</f>
        <v/>
      </c>
      <c r="G2245" s="5" t="str">
        <f t="shared" si="59"/>
        <v/>
      </c>
      <c r="I2245" s="6" t="str">
        <f t="shared" si="57"/>
        <v>0</v>
      </c>
    </row>
    <row r="2246" spans="1:9" x14ac:dyDescent="0.2">
      <c r="A2246" t="s">
        <v>2845</v>
      </c>
      <c r="B2246" t="s">
        <v>2845</v>
      </c>
      <c r="E2246" t="str">
        <f>IF(D2246&lt;&gt;"",C2246&amp;"/"&amp;D2246,"")</f>
        <v/>
      </c>
      <c r="G2246" s="5" t="str">
        <f t="shared" si="59"/>
        <v/>
      </c>
      <c r="I2246" s="6" t="str">
        <f t="shared" si="57"/>
        <v>0</v>
      </c>
    </row>
    <row r="2247" spans="1:9" x14ac:dyDescent="0.2">
      <c r="A2247" t="s">
        <v>2846</v>
      </c>
      <c r="B2247" t="s">
        <v>2846</v>
      </c>
      <c r="E2247" t="str">
        <f>IF(D2247&lt;&gt;"",C2247&amp;"/"&amp;D2247,"")</f>
        <v/>
      </c>
      <c r="G2247" s="5" t="str">
        <f t="shared" si="59"/>
        <v/>
      </c>
      <c r="I2247" s="6" t="str">
        <f t="shared" si="57"/>
        <v>0</v>
      </c>
    </row>
    <row r="2248" spans="1:9" x14ac:dyDescent="0.2">
      <c r="A2248" t="s">
        <v>2847</v>
      </c>
      <c r="B2248" t="s">
        <v>2847</v>
      </c>
      <c r="E2248" t="str">
        <f>IF(D2248&lt;&gt;"",C2248&amp;"/"&amp;D2248,"")</f>
        <v/>
      </c>
      <c r="G2248" s="5" t="str">
        <f t="shared" si="59"/>
        <v/>
      </c>
      <c r="I2248" s="6" t="str">
        <f t="shared" si="57"/>
        <v>0</v>
      </c>
    </row>
    <row r="2249" spans="1:9" x14ac:dyDescent="0.2">
      <c r="A2249" t="s">
        <v>2848</v>
      </c>
      <c r="B2249" t="s">
        <v>2848</v>
      </c>
      <c r="E2249" t="str">
        <f>IF(D2249&lt;&gt;"",C2249&amp;"/"&amp;D2249,"")</f>
        <v/>
      </c>
      <c r="G2249" s="5" t="str">
        <f t="shared" si="59"/>
        <v/>
      </c>
      <c r="I2249" s="6" t="str">
        <f t="shared" si="57"/>
        <v>0</v>
      </c>
    </row>
    <row r="2250" spans="1:9" x14ac:dyDescent="0.2">
      <c r="A2250" t="s">
        <v>2849</v>
      </c>
      <c r="B2250" t="s">
        <v>2849</v>
      </c>
      <c r="E2250" t="str">
        <f>IF(D2250&lt;&gt;"",C2250&amp;"/"&amp;D2250,"")</f>
        <v/>
      </c>
      <c r="G2250" s="5" t="str">
        <f t="shared" si="59"/>
        <v/>
      </c>
      <c r="I2250" s="6" t="str">
        <f t="shared" si="57"/>
        <v>0</v>
      </c>
    </row>
    <row r="2251" spans="1:9" x14ac:dyDescent="0.2">
      <c r="A2251" t="s">
        <v>2850</v>
      </c>
      <c r="B2251" t="s">
        <v>2851</v>
      </c>
      <c r="E2251" t="str">
        <f>IF(D2251&lt;&gt;"",C2251&amp;"/"&amp;D2251,"")</f>
        <v/>
      </c>
      <c r="G2251" s="5" t="str">
        <f t="shared" si="59"/>
        <v/>
      </c>
      <c r="I2251" s="6" t="str">
        <f t="shared" si="57"/>
        <v>0</v>
      </c>
    </row>
    <row r="2252" spans="1:9" x14ac:dyDescent="0.2">
      <c r="A2252" t="s">
        <v>2852</v>
      </c>
      <c r="B2252" t="s">
        <v>2852</v>
      </c>
      <c r="E2252" t="str">
        <f>IF(D2252&lt;&gt;"",C2252&amp;"/"&amp;D2252,"")</f>
        <v/>
      </c>
      <c r="G2252" s="5" t="str">
        <f t="shared" si="59"/>
        <v/>
      </c>
      <c r="I2252" s="6" t="str">
        <f t="shared" si="57"/>
        <v>0</v>
      </c>
    </row>
    <row r="2253" spans="1:9" x14ac:dyDescent="0.2">
      <c r="A2253" t="s">
        <v>2853</v>
      </c>
      <c r="B2253" t="s">
        <v>2853</v>
      </c>
      <c r="E2253" t="str">
        <f>IF(D2253&lt;&gt;"",C2253&amp;"/"&amp;D2253,"")</f>
        <v/>
      </c>
      <c r="G2253" s="5" t="str">
        <f t="shared" si="59"/>
        <v/>
      </c>
      <c r="I2253" s="6" t="str">
        <f t="shared" si="57"/>
        <v>0</v>
      </c>
    </row>
    <row r="2254" spans="1:9" x14ac:dyDescent="0.2">
      <c r="A2254" t="s">
        <v>2854</v>
      </c>
      <c r="B2254" t="s">
        <v>2854</v>
      </c>
      <c r="E2254" t="str">
        <f>IF(D2254&lt;&gt;"",C2254&amp;"/"&amp;D2254,"")</f>
        <v/>
      </c>
      <c r="G2254" s="5" t="str">
        <f t="shared" si="59"/>
        <v/>
      </c>
      <c r="I2254" s="6" t="str">
        <f t="shared" si="57"/>
        <v>0</v>
      </c>
    </row>
    <row r="2255" spans="1:9" x14ac:dyDescent="0.2">
      <c r="A2255" t="s">
        <v>2855</v>
      </c>
      <c r="B2255" t="s">
        <v>309</v>
      </c>
      <c r="E2255" t="str">
        <f>IF(D2255&lt;&gt;"",C2255&amp;"/"&amp;D2255,"")</f>
        <v/>
      </c>
      <c r="G2255" s="5" t="str">
        <f t="shared" si="59"/>
        <v/>
      </c>
      <c r="I2255" s="6" t="str">
        <f t="shared" si="57"/>
        <v>0</v>
      </c>
    </row>
    <row r="2256" spans="1:9" x14ac:dyDescent="0.2">
      <c r="A2256" t="s">
        <v>2856</v>
      </c>
      <c r="B2256" t="s">
        <v>2856</v>
      </c>
      <c r="E2256" t="str">
        <f>IF(D2256&lt;&gt;"",C2256&amp;"/"&amp;D2256,"")</f>
        <v/>
      </c>
      <c r="G2256" s="5" t="str">
        <f t="shared" si="59"/>
        <v/>
      </c>
      <c r="I2256" s="6" t="str">
        <f t="shared" si="57"/>
        <v>0</v>
      </c>
    </row>
    <row r="2257" spans="1:11" x14ac:dyDescent="0.2">
      <c r="A2257" t="s">
        <v>2857</v>
      </c>
      <c r="E2257" t="str">
        <f>IF(D2257&lt;&gt;"",C2257&amp;"/"&amp;D2257,"")</f>
        <v/>
      </c>
      <c r="G2257" s="5" t="str">
        <f t="shared" si="59"/>
        <v/>
      </c>
      <c r="I2257" s="6" t="str">
        <f t="shared" ref="I2257:I2320" si="60">IFERROR(DEC2HEX(H2257),"")</f>
        <v>0</v>
      </c>
    </row>
    <row r="2258" spans="1:11" x14ac:dyDescent="0.2">
      <c r="A2258" t="s">
        <v>2858</v>
      </c>
      <c r="B2258" t="s">
        <v>309</v>
      </c>
      <c r="E2258" t="str">
        <f>IF(D2258&lt;&gt;"",C2258&amp;"/"&amp;D2258,"")</f>
        <v/>
      </c>
      <c r="G2258" s="5" t="str">
        <f t="shared" si="59"/>
        <v/>
      </c>
      <c r="I2258" s="6" t="str">
        <f t="shared" si="60"/>
        <v>0</v>
      </c>
    </row>
    <row r="2259" spans="1:11" x14ac:dyDescent="0.2">
      <c r="A2259" t="s">
        <v>2859</v>
      </c>
      <c r="B2259" t="s">
        <v>309</v>
      </c>
      <c r="E2259" t="str">
        <f>IF(D2259&lt;&gt;"",C2259&amp;"/"&amp;D2259,"")</f>
        <v/>
      </c>
      <c r="G2259" s="5" t="str">
        <f t="shared" si="59"/>
        <v/>
      </c>
      <c r="I2259" s="6" t="str">
        <f t="shared" si="60"/>
        <v>0</v>
      </c>
    </row>
    <row r="2260" spans="1:11" x14ac:dyDescent="0.2">
      <c r="A2260" t="s">
        <v>2860</v>
      </c>
      <c r="B2260" t="s">
        <v>309</v>
      </c>
      <c r="E2260" t="str">
        <f>IF(D2260&lt;&gt;"",C2260&amp;"/"&amp;D2260,"")</f>
        <v/>
      </c>
      <c r="G2260" s="5" t="str">
        <f t="shared" si="59"/>
        <v/>
      </c>
      <c r="I2260" s="6" t="str">
        <f t="shared" si="60"/>
        <v>0</v>
      </c>
    </row>
    <row r="2261" spans="1:11" x14ac:dyDescent="0.2">
      <c r="A2261" t="s">
        <v>2861</v>
      </c>
      <c r="B2261" t="s">
        <v>309</v>
      </c>
      <c r="E2261" t="str">
        <f>IF(D2261&lt;&gt;"",C2261&amp;"/"&amp;D2261,"")</f>
        <v/>
      </c>
      <c r="G2261" s="5" t="str">
        <f t="shared" si="59"/>
        <v/>
      </c>
      <c r="I2261" s="6" t="str">
        <f t="shared" si="60"/>
        <v>0</v>
      </c>
    </row>
    <row r="2262" spans="1:11" x14ac:dyDescent="0.2">
      <c r="A2262" t="s">
        <v>2862</v>
      </c>
      <c r="B2262" t="s">
        <v>309</v>
      </c>
      <c r="E2262" t="str">
        <f>IF(D2262&lt;&gt;"",C2262&amp;"/"&amp;D2262,"")</f>
        <v/>
      </c>
      <c r="G2262" s="5" t="str">
        <f t="shared" si="59"/>
        <v/>
      </c>
      <c r="I2262" s="6" t="str">
        <f t="shared" si="60"/>
        <v>0</v>
      </c>
    </row>
    <row r="2263" spans="1:11" x14ac:dyDescent="0.2">
      <c r="A2263" t="s">
        <v>2863</v>
      </c>
      <c r="B2263" t="s">
        <v>2863</v>
      </c>
      <c r="E2263" t="str">
        <f>IF(D2263&lt;&gt;"",C2263&amp;"/"&amp;D2263,"")</f>
        <v/>
      </c>
      <c r="G2263" s="5" t="str">
        <f t="shared" si="59"/>
        <v/>
      </c>
      <c r="I2263" s="6" t="str">
        <f t="shared" si="60"/>
        <v>0</v>
      </c>
    </row>
    <row r="2264" spans="1:11" x14ac:dyDescent="0.2">
      <c r="A2264" t="s">
        <v>2864</v>
      </c>
      <c r="B2264" t="s">
        <v>2864</v>
      </c>
      <c r="E2264" t="str">
        <f>IF(D2264&lt;&gt;"",C2264&amp;"/"&amp;D2264,"")</f>
        <v/>
      </c>
      <c r="G2264" s="5" t="str">
        <f t="shared" si="59"/>
        <v/>
      </c>
      <c r="I2264" s="6" t="str">
        <f t="shared" si="60"/>
        <v>0</v>
      </c>
    </row>
    <row r="2265" spans="1:11" x14ac:dyDescent="0.2">
      <c r="A2265" t="s">
        <v>2866</v>
      </c>
      <c r="B2265" t="s">
        <v>4033</v>
      </c>
      <c r="E2265" t="str">
        <f>IF(D2265&lt;&gt;"",C2265&amp;"/"&amp;D2265,"")</f>
        <v/>
      </c>
      <c r="G2265" s="5" t="str">
        <f t="shared" si="59"/>
        <v/>
      </c>
      <c r="I2265" s="6" t="str">
        <f t="shared" si="60"/>
        <v>0</v>
      </c>
    </row>
    <row r="2266" spans="1:11" x14ac:dyDescent="0.2">
      <c r="A2266" t="s">
        <v>2867</v>
      </c>
      <c r="B2266" t="s">
        <v>4034</v>
      </c>
      <c r="E2266" t="str">
        <f>IF(D2266&lt;&gt;"",C2266&amp;"/"&amp;D2266,"")</f>
        <v/>
      </c>
      <c r="G2266" s="5" t="str">
        <f t="shared" si="59"/>
        <v/>
      </c>
      <c r="I2266" s="6" t="str">
        <f t="shared" si="60"/>
        <v>0</v>
      </c>
    </row>
    <row r="2267" spans="1:11" ht="17" x14ac:dyDescent="0.25">
      <c r="A2267" t="s">
        <v>2868</v>
      </c>
      <c r="B2267" t="s">
        <v>3968</v>
      </c>
      <c r="C2267" s="5" t="s">
        <v>48</v>
      </c>
      <c r="D2267" t="s">
        <v>3970</v>
      </c>
      <c r="E2267" t="s">
        <v>3971</v>
      </c>
      <c r="F2267" s="5" t="s">
        <v>3969</v>
      </c>
      <c r="G2267" s="5">
        <f t="shared" si="59"/>
        <v>57662</v>
      </c>
      <c r="H2267" s="5">
        <v>440</v>
      </c>
      <c r="I2267" s="6" t="str">
        <f t="shared" si="60"/>
        <v>1B8</v>
      </c>
      <c r="K2267" s="21" t="s">
        <v>3972</v>
      </c>
    </row>
    <row r="2268" spans="1:11" ht="17" x14ac:dyDescent="0.25">
      <c r="A2268" t="s">
        <v>2869</v>
      </c>
      <c r="B2268" t="s">
        <v>3973</v>
      </c>
      <c r="G2268" s="5" t="str">
        <f t="shared" si="59"/>
        <v/>
      </c>
      <c r="I2268" s="6" t="str">
        <f t="shared" si="60"/>
        <v>0</v>
      </c>
      <c r="K2268" s="21" t="s">
        <v>3974</v>
      </c>
    </row>
    <row r="2269" spans="1:11" ht="17" x14ac:dyDescent="0.25">
      <c r="A2269" t="s">
        <v>2870</v>
      </c>
      <c r="B2269" t="s">
        <v>3975</v>
      </c>
      <c r="G2269" s="5" t="str">
        <f t="shared" si="59"/>
        <v/>
      </c>
      <c r="I2269" s="6" t="str">
        <f t="shared" si="60"/>
        <v>0</v>
      </c>
      <c r="K2269" s="21" t="s">
        <v>3976</v>
      </c>
    </row>
    <row r="2270" spans="1:11" x14ac:dyDescent="0.2">
      <c r="A2270" t="s">
        <v>2876</v>
      </c>
      <c r="B2270" t="s">
        <v>309</v>
      </c>
      <c r="E2270" t="str">
        <f>IF(D2270&lt;&gt;"",C2270&amp;"/"&amp;D2270,"")</f>
        <v/>
      </c>
      <c r="G2270" s="5" t="str">
        <f t="shared" si="59"/>
        <v/>
      </c>
      <c r="I2270" s="6" t="str">
        <f t="shared" si="60"/>
        <v>0</v>
      </c>
    </row>
    <row r="2271" spans="1:11" x14ac:dyDescent="0.2">
      <c r="A2271" t="s">
        <v>2877</v>
      </c>
      <c r="B2271" t="s">
        <v>2878</v>
      </c>
      <c r="E2271" t="str">
        <f>IF(D2271&lt;&gt;"",C2271&amp;"/"&amp;D2271,"")</f>
        <v/>
      </c>
      <c r="G2271" s="5" t="str">
        <f t="shared" si="59"/>
        <v/>
      </c>
      <c r="I2271" s="6" t="str">
        <f t="shared" si="60"/>
        <v>0</v>
      </c>
    </row>
    <row r="2272" spans="1:11" ht="17" x14ac:dyDescent="0.25">
      <c r="A2272" t="s">
        <v>2879</v>
      </c>
      <c r="B2272" s="19" t="s">
        <v>3852</v>
      </c>
      <c r="C2272" s="5" t="s">
        <v>48</v>
      </c>
      <c r="D2272" s="19" t="s">
        <v>3853</v>
      </c>
      <c r="E2272" t="s">
        <v>3854</v>
      </c>
      <c r="F2272" s="18" t="s">
        <v>3855</v>
      </c>
      <c r="G2272" s="5">
        <f t="shared" si="59"/>
        <v>58980</v>
      </c>
      <c r="H2272" s="5">
        <v>24</v>
      </c>
      <c r="I2272" s="6" t="str">
        <f t="shared" si="60"/>
        <v>18</v>
      </c>
      <c r="K2272" s="21" t="s">
        <v>3856</v>
      </c>
    </row>
    <row r="2273" spans="1:11" x14ac:dyDescent="0.2">
      <c r="A2273" t="s">
        <v>2880</v>
      </c>
      <c r="E2273" t="str">
        <f>IF(D2273&lt;&gt;"",C2273&amp;"/"&amp;D2273,"")</f>
        <v/>
      </c>
      <c r="G2273" s="5" t="str">
        <f t="shared" si="59"/>
        <v/>
      </c>
      <c r="I2273" s="6" t="str">
        <f t="shared" si="60"/>
        <v>0</v>
      </c>
    </row>
    <row r="2274" spans="1:11" x14ac:dyDescent="0.2">
      <c r="A2274" t="s">
        <v>2881</v>
      </c>
      <c r="B2274" t="s">
        <v>309</v>
      </c>
      <c r="E2274" t="str">
        <f>IF(D2274&lt;&gt;"",C2274&amp;"/"&amp;D2274,"")</f>
        <v/>
      </c>
      <c r="G2274" s="5" t="str">
        <f t="shared" si="59"/>
        <v/>
      </c>
      <c r="I2274" s="6" t="str">
        <f t="shared" si="60"/>
        <v>0</v>
      </c>
    </row>
    <row r="2275" spans="1:11" x14ac:dyDescent="0.2">
      <c r="A2275" t="s">
        <v>2882</v>
      </c>
      <c r="B2275" t="s">
        <v>309</v>
      </c>
      <c r="E2275" t="str">
        <f>IF(D2275&lt;&gt;"",C2275&amp;"/"&amp;D2275,"")</f>
        <v/>
      </c>
      <c r="G2275" s="5" t="str">
        <f t="shared" si="59"/>
        <v/>
      </c>
      <c r="I2275" s="6" t="str">
        <f t="shared" si="60"/>
        <v>0</v>
      </c>
    </row>
    <row r="2276" spans="1:11" x14ac:dyDescent="0.2">
      <c r="A2276" t="s">
        <v>2883</v>
      </c>
      <c r="B2276" t="s">
        <v>309</v>
      </c>
      <c r="E2276" t="str">
        <f>IF(D2276&lt;&gt;"",C2276&amp;"/"&amp;D2276,"")</f>
        <v/>
      </c>
      <c r="G2276" s="5" t="str">
        <f t="shared" si="59"/>
        <v/>
      </c>
      <c r="I2276" s="6" t="str">
        <f t="shared" si="60"/>
        <v>0</v>
      </c>
    </row>
    <row r="2277" spans="1:11" x14ac:dyDescent="0.2">
      <c r="A2277" t="s">
        <v>2884</v>
      </c>
      <c r="B2277" t="s">
        <v>309</v>
      </c>
      <c r="E2277" t="str">
        <f>IF(D2277&lt;&gt;"",C2277&amp;"/"&amp;D2277,"")</f>
        <v/>
      </c>
      <c r="G2277" s="5" t="str">
        <f t="shared" si="59"/>
        <v/>
      </c>
      <c r="I2277" s="6" t="str">
        <f t="shared" si="60"/>
        <v>0</v>
      </c>
    </row>
    <row r="2278" spans="1:11" x14ac:dyDescent="0.2">
      <c r="A2278" t="s">
        <v>2885</v>
      </c>
      <c r="B2278" t="s">
        <v>3148</v>
      </c>
      <c r="E2278" t="str">
        <f>IF(D2278&lt;&gt;"",C2278&amp;"/"&amp;D2278,"")</f>
        <v/>
      </c>
      <c r="G2278" s="5" t="str">
        <f t="shared" ref="G2278:G2312" si="61">IF(F2278&lt;&gt;"",HEX2DEC(SUBSTITUTE(SUBSTITUTE(F2278,"adrEA",""),"$","")),"")</f>
        <v/>
      </c>
      <c r="I2278" s="6" t="str">
        <f t="shared" si="60"/>
        <v>0</v>
      </c>
    </row>
    <row r="2279" spans="1:11" x14ac:dyDescent="0.2">
      <c r="A2279" t="s">
        <v>2886</v>
      </c>
      <c r="B2279" t="s">
        <v>5048</v>
      </c>
      <c r="C2279" s="5" t="s">
        <v>48</v>
      </c>
      <c r="D2279" t="s">
        <v>5049</v>
      </c>
      <c r="E2279" t="s">
        <v>5050</v>
      </c>
      <c r="F2279" s="5" t="s">
        <v>5051</v>
      </c>
      <c r="G2279" s="5">
        <f t="shared" si="61"/>
        <v>59118</v>
      </c>
      <c r="H2279" s="5">
        <v>136</v>
      </c>
      <c r="I2279" s="6" t="str">
        <f t="shared" si="60"/>
        <v>88</v>
      </c>
      <c r="J2279" s="6" t="s">
        <v>3455</v>
      </c>
      <c r="K2279" s="21" t="s">
        <v>5052</v>
      </c>
    </row>
    <row r="2280" spans="1:11" x14ac:dyDescent="0.2">
      <c r="A2280" t="s">
        <v>2887</v>
      </c>
      <c r="B2280" t="s">
        <v>5053</v>
      </c>
      <c r="C2280" s="5" t="s">
        <v>48</v>
      </c>
      <c r="D2280" t="s">
        <v>5054</v>
      </c>
      <c r="E2280" t="s">
        <v>5055</v>
      </c>
      <c r="F2280" s="5" t="s">
        <v>5056</v>
      </c>
      <c r="G2280" s="5">
        <f t="shared" si="61"/>
        <v>59254</v>
      </c>
      <c r="H2280" s="5">
        <v>48</v>
      </c>
      <c r="I2280" s="6" t="str">
        <f t="shared" si="60"/>
        <v>30</v>
      </c>
      <c r="J2280" s="6" t="s">
        <v>3455</v>
      </c>
      <c r="K2280" s="21" t="s">
        <v>5057</v>
      </c>
    </row>
    <row r="2281" spans="1:11" x14ac:dyDescent="0.2">
      <c r="A2281" t="s">
        <v>2890</v>
      </c>
      <c r="B2281" t="s">
        <v>3285</v>
      </c>
      <c r="E2281" t="str">
        <f>IF(D2281&lt;&gt;"",C2281&amp;"/"&amp;D2281,"")</f>
        <v/>
      </c>
      <c r="G2281" s="5" t="str">
        <f t="shared" si="61"/>
        <v/>
      </c>
      <c r="I2281" s="6" t="str">
        <f t="shared" si="60"/>
        <v>0</v>
      </c>
    </row>
    <row r="2282" spans="1:11" x14ac:dyDescent="0.2">
      <c r="A2282" t="s">
        <v>2891</v>
      </c>
      <c r="B2282" t="s">
        <v>3286</v>
      </c>
      <c r="E2282" t="str">
        <f>IF(D2282&lt;&gt;"",C2282&amp;"/"&amp;D2282,"")</f>
        <v/>
      </c>
      <c r="G2282" s="5" t="str">
        <f t="shared" si="61"/>
        <v/>
      </c>
      <c r="I2282" s="6" t="str">
        <f t="shared" si="60"/>
        <v>0</v>
      </c>
    </row>
    <row r="2283" spans="1:11" x14ac:dyDescent="0.2">
      <c r="A2283" t="s">
        <v>2892</v>
      </c>
      <c r="B2283" t="s">
        <v>3287</v>
      </c>
      <c r="E2283" t="str">
        <f>IF(D2283&lt;&gt;"",C2283&amp;"/"&amp;D2283,"")</f>
        <v/>
      </c>
      <c r="G2283" s="5" t="str">
        <f t="shared" si="61"/>
        <v/>
      </c>
      <c r="I2283" s="6" t="str">
        <f t="shared" si="60"/>
        <v>0</v>
      </c>
    </row>
    <row r="2284" spans="1:11" x14ac:dyDescent="0.2">
      <c r="A2284" t="s">
        <v>2894</v>
      </c>
      <c r="B2284" t="s">
        <v>3288</v>
      </c>
      <c r="E2284" t="str">
        <f>IF(D2284&lt;&gt;"",C2284&amp;"/"&amp;D2284,"")</f>
        <v/>
      </c>
      <c r="G2284" s="5" t="str">
        <f t="shared" si="61"/>
        <v/>
      </c>
      <c r="I2284" s="6" t="str">
        <f t="shared" si="60"/>
        <v>0</v>
      </c>
    </row>
    <row r="2285" spans="1:11" x14ac:dyDescent="0.2">
      <c r="A2285" t="s">
        <v>2895</v>
      </c>
      <c r="B2285" t="s">
        <v>309</v>
      </c>
      <c r="E2285" t="str">
        <f>IF(D2285&lt;&gt;"",C2285&amp;"/"&amp;D2285,"")</f>
        <v/>
      </c>
      <c r="G2285" s="5" t="str">
        <f t="shared" si="61"/>
        <v/>
      </c>
      <c r="I2285" s="6" t="str">
        <f t="shared" si="60"/>
        <v>0</v>
      </c>
    </row>
    <row r="2286" spans="1:11" x14ac:dyDescent="0.2">
      <c r="A2286" t="s">
        <v>2896</v>
      </c>
      <c r="B2286" t="s">
        <v>309</v>
      </c>
      <c r="E2286" t="str">
        <f>IF(D2286&lt;&gt;"",C2286&amp;"/"&amp;D2286,"")</f>
        <v/>
      </c>
      <c r="G2286" s="5" t="str">
        <f t="shared" si="61"/>
        <v/>
      </c>
      <c r="I2286" s="6" t="str">
        <f t="shared" si="60"/>
        <v>0</v>
      </c>
    </row>
    <row r="2287" spans="1:11" x14ac:dyDescent="0.2">
      <c r="A2287" t="s">
        <v>2897</v>
      </c>
      <c r="B2287" t="s">
        <v>3325</v>
      </c>
      <c r="E2287" t="str">
        <f>IF(D2287&lt;&gt;"",C2287&amp;"/"&amp;D2287,"")</f>
        <v/>
      </c>
      <c r="G2287" s="5" t="str">
        <f t="shared" si="61"/>
        <v/>
      </c>
      <c r="I2287" s="6" t="str">
        <f t="shared" si="60"/>
        <v>0</v>
      </c>
    </row>
    <row r="2288" spans="1:11" x14ac:dyDescent="0.2">
      <c r="A2288" t="s">
        <v>2898</v>
      </c>
      <c r="B2288" t="s">
        <v>2898</v>
      </c>
      <c r="E2288" t="str">
        <f>IF(D2288&lt;&gt;"",C2288&amp;"/"&amp;D2288,"")</f>
        <v/>
      </c>
      <c r="G2288" s="5" t="str">
        <f t="shared" si="61"/>
        <v/>
      </c>
      <c r="I2288" s="6" t="str">
        <f t="shared" si="60"/>
        <v>0</v>
      </c>
    </row>
    <row r="2289" spans="1:12" x14ac:dyDescent="0.2">
      <c r="A2289" t="s">
        <v>2899</v>
      </c>
      <c r="B2289" t="s">
        <v>3147</v>
      </c>
      <c r="E2289" t="str">
        <f>IF(D2289&lt;&gt;"",C2289&amp;"/"&amp;D2289,"")</f>
        <v/>
      </c>
      <c r="G2289" s="5" t="str">
        <f t="shared" si="61"/>
        <v/>
      </c>
      <c r="I2289" s="6" t="str">
        <f t="shared" si="60"/>
        <v>0</v>
      </c>
    </row>
    <row r="2290" spans="1:12" x14ac:dyDescent="0.2">
      <c r="A2290" t="s">
        <v>2900</v>
      </c>
      <c r="B2290" t="s">
        <v>2900</v>
      </c>
      <c r="E2290" t="str">
        <f>IF(D2290&lt;&gt;"",C2290&amp;"/"&amp;D2290,"")</f>
        <v/>
      </c>
      <c r="G2290" s="5" t="str">
        <f t="shared" si="61"/>
        <v/>
      </c>
      <c r="I2290" s="6" t="str">
        <f t="shared" si="60"/>
        <v>0</v>
      </c>
    </row>
    <row r="2291" spans="1:12" x14ac:dyDescent="0.2">
      <c r="A2291" t="s">
        <v>2901</v>
      </c>
      <c r="B2291" t="s">
        <v>2902</v>
      </c>
      <c r="E2291" t="str">
        <f>IF(D2291&lt;&gt;"",C2291&amp;"/"&amp;D2291,"")</f>
        <v/>
      </c>
      <c r="G2291" s="5" t="str">
        <f t="shared" si="61"/>
        <v/>
      </c>
      <c r="I2291" s="6" t="str">
        <f t="shared" si="60"/>
        <v>0</v>
      </c>
    </row>
    <row r="2292" spans="1:12" x14ac:dyDescent="0.2">
      <c r="A2292" t="s">
        <v>2903</v>
      </c>
      <c r="B2292" t="s">
        <v>309</v>
      </c>
      <c r="E2292" t="str">
        <f>IF(D2292&lt;&gt;"",C2292&amp;"/"&amp;D2292,"")</f>
        <v/>
      </c>
      <c r="G2292" s="5" t="str">
        <f t="shared" si="61"/>
        <v/>
      </c>
      <c r="I2292" s="6" t="str">
        <f t="shared" si="60"/>
        <v>0</v>
      </c>
    </row>
    <row r="2293" spans="1:12" x14ac:dyDescent="0.2">
      <c r="A2293" t="s">
        <v>2904</v>
      </c>
      <c r="E2293" t="str">
        <f>IF(D2293&lt;&gt;"",C2293&amp;"/"&amp;D2293,"")</f>
        <v/>
      </c>
      <c r="G2293" s="5" t="str">
        <f t="shared" si="61"/>
        <v/>
      </c>
      <c r="I2293" s="6" t="str">
        <f t="shared" si="60"/>
        <v>0</v>
      </c>
    </row>
    <row r="2294" spans="1:12" x14ac:dyDescent="0.2">
      <c r="A2294" t="s">
        <v>2905</v>
      </c>
      <c r="B2294" t="s">
        <v>309</v>
      </c>
      <c r="E2294" t="str">
        <f>IF(D2294&lt;&gt;"",C2294&amp;"/"&amp;D2294,"")</f>
        <v/>
      </c>
      <c r="G2294" s="5" t="str">
        <f t="shared" si="61"/>
        <v/>
      </c>
      <c r="I2294" s="6" t="str">
        <f t="shared" si="60"/>
        <v>0</v>
      </c>
    </row>
    <row r="2295" spans="1:12" x14ac:dyDescent="0.2">
      <c r="A2295" t="s">
        <v>2906</v>
      </c>
      <c r="B2295" t="s">
        <v>309</v>
      </c>
      <c r="E2295" t="str">
        <f>IF(D2295&lt;&gt;"",C2295&amp;"/"&amp;D2295,"")</f>
        <v/>
      </c>
      <c r="G2295" s="5" t="str">
        <f t="shared" si="61"/>
        <v/>
      </c>
      <c r="I2295" s="6" t="str">
        <f t="shared" si="60"/>
        <v>0</v>
      </c>
    </row>
    <row r="2296" spans="1:12" x14ac:dyDescent="0.2">
      <c r="A2296" t="s">
        <v>2907</v>
      </c>
      <c r="B2296" t="s">
        <v>309</v>
      </c>
      <c r="E2296" t="str">
        <f>IF(D2296&lt;&gt;"",C2296&amp;"/"&amp;D2296,"")</f>
        <v/>
      </c>
      <c r="G2296" s="5" t="str">
        <f t="shared" si="61"/>
        <v/>
      </c>
      <c r="I2296" s="6" t="str">
        <f t="shared" si="60"/>
        <v>0</v>
      </c>
    </row>
    <row r="2297" spans="1:12" x14ac:dyDescent="0.2">
      <c r="A2297" t="s">
        <v>2908</v>
      </c>
      <c r="B2297" t="s">
        <v>309</v>
      </c>
      <c r="E2297" t="str">
        <f>IF(D2297&lt;&gt;"",C2297&amp;"/"&amp;D2297,"")</f>
        <v/>
      </c>
      <c r="G2297" s="5" t="str">
        <f t="shared" si="61"/>
        <v/>
      </c>
      <c r="I2297" s="6" t="str">
        <f t="shared" si="60"/>
        <v>0</v>
      </c>
    </row>
    <row r="2298" spans="1:12" x14ac:dyDescent="0.2">
      <c r="A2298" t="s">
        <v>2909</v>
      </c>
      <c r="B2298" t="s">
        <v>4461</v>
      </c>
      <c r="G2298" s="5" t="str">
        <f t="shared" si="61"/>
        <v/>
      </c>
      <c r="I2298" s="6" t="str">
        <f t="shared" si="60"/>
        <v>0</v>
      </c>
      <c r="L2298" s="6" t="s">
        <v>4462</v>
      </c>
    </row>
    <row r="2299" spans="1:12" x14ac:dyDescent="0.2">
      <c r="A2299" t="s">
        <v>2910</v>
      </c>
      <c r="B2299" t="s">
        <v>309</v>
      </c>
      <c r="E2299" t="str">
        <f>IF(D2299&lt;&gt;"",C2299&amp;"/"&amp;D2299,"")</f>
        <v/>
      </c>
      <c r="G2299" s="5" t="str">
        <f t="shared" si="61"/>
        <v/>
      </c>
      <c r="I2299" s="6" t="str">
        <f t="shared" si="60"/>
        <v>0</v>
      </c>
    </row>
    <row r="2300" spans="1:12" x14ac:dyDescent="0.2">
      <c r="A2300" t="s">
        <v>2911</v>
      </c>
      <c r="B2300" t="s">
        <v>309</v>
      </c>
      <c r="E2300" t="str">
        <f>IF(D2300&lt;&gt;"",C2300&amp;"/"&amp;D2300,"")</f>
        <v/>
      </c>
      <c r="G2300" s="5" t="str">
        <f t="shared" si="61"/>
        <v/>
      </c>
      <c r="I2300" s="6" t="str">
        <f t="shared" si="60"/>
        <v>0</v>
      </c>
    </row>
    <row r="2301" spans="1:12" x14ac:dyDescent="0.2">
      <c r="A2301" t="s">
        <v>2912</v>
      </c>
      <c r="B2301" t="s">
        <v>309</v>
      </c>
      <c r="E2301" t="str">
        <f>IF(D2301&lt;&gt;"",C2301&amp;"/"&amp;D2301,"")</f>
        <v/>
      </c>
      <c r="G2301" s="5" t="str">
        <f t="shared" si="61"/>
        <v/>
      </c>
      <c r="I2301" s="6" t="str">
        <f t="shared" si="60"/>
        <v>0</v>
      </c>
    </row>
    <row r="2302" spans="1:12" x14ac:dyDescent="0.2">
      <c r="A2302" t="s">
        <v>2913</v>
      </c>
      <c r="B2302" t="s">
        <v>309</v>
      </c>
      <c r="E2302" t="str">
        <f>IF(D2302&lt;&gt;"",C2302&amp;"/"&amp;D2302,"")</f>
        <v/>
      </c>
      <c r="G2302" s="5" t="str">
        <f t="shared" si="61"/>
        <v/>
      </c>
      <c r="I2302" s="6" t="str">
        <f t="shared" si="60"/>
        <v>0</v>
      </c>
    </row>
    <row r="2303" spans="1:12" x14ac:dyDescent="0.2">
      <c r="A2303" t="s">
        <v>2914</v>
      </c>
      <c r="B2303" t="s">
        <v>309</v>
      </c>
      <c r="E2303" t="str">
        <f>IF(D2303&lt;&gt;"",C2303&amp;"/"&amp;D2303,"")</f>
        <v/>
      </c>
      <c r="G2303" s="5" t="str">
        <f t="shared" si="61"/>
        <v/>
      </c>
      <c r="I2303" s="6" t="str">
        <f t="shared" si="60"/>
        <v>0</v>
      </c>
    </row>
    <row r="2304" spans="1:12" x14ac:dyDescent="0.2">
      <c r="A2304" t="s">
        <v>2915</v>
      </c>
      <c r="B2304" t="s">
        <v>309</v>
      </c>
      <c r="E2304" t="str">
        <f>IF(D2304&lt;&gt;"",C2304&amp;"/"&amp;D2304,"")</f>
        <v/>
      </c>
      <c r="G2304" s="5" t="str">
        <f t="shared" si="61"/>
        <v/>
      </c>
      <c r="I2304" s="6" t="str">
        <f t="shared" si="60"/>
        <v>0</v>
      </c>
    </row>
    <row r="2305" spans="1:12" x14ac:dyDescent="0.2">
      <c r="A2305" t="s">
        <v>2916</v>
      </c>
      <c r="B2305" t="s">
        <v>309</v>
      </c>
      <c r="E2305" t="str">
        <f>IF(D2305&lt;&gt;"",C2305&amp;"/"&amp;D2305,"")</f>
        <v/>
      </c>
      <c r="G2305" s="5" t="str">
        <f t="shared" si="61"/>
        <v/>
      </c>
      <c r="I2305" s="6" t="str">
        <f t="shared" si="60"/>
        <v>0</v>
      </c>
    </row>
    <row r="2306" spans="1:12" x14ac:dyDescent="0.2">
      <c r="A2306" t="s">
        <v>2917</v>
      </c>
      <c r="B2306" t="s">
        <v>4457</v>
      </c>
      <c r="G2306" s="5" t="str">
        <f t="shared" si="61"/>
        <v/>
      </c>
      <c r="I2306" s="6" t="str">
        <f t="shared" si="60"/>
        <v>0</v>
      </c>
      <c r="L2306" s="6" t="s">
        <v>4458</v>
      </c>
    </row>
    <row r="2307" spans="1:12" x14ac:dyDescent="0.2">
      <c r="A2307" t="s">
        <v>2918</v>
      </c>
      <c r="B2307" t="s">
        <v>2918</v>
      </c>
      <c r="E2307" t="str">
        <f>IF(D2307&lt;&gt;"",C2307&amp;"/"&amp;D2307,"")</f>
        <v/>
      </c>
      <c r="G2307" s="5" t="str">
        <f t="shared" si="61"/>
        <v/>
      </c>
      <c r="I2307" s="6" t="str">
        <f t="shared" si="60"/>
        <v>0</v>
      </c>
    </row>
    <row r="2308" spans="1:12" x14ac:dyDescent="0.2">
      <c r="A2308" t="s">
        <v>2919</v>
      </c>
      <c r="B2308" t="s">
        <v>309</v>
      </c>
      <c r="E2308" t="str">
        <f>IF(D2308&lt;&gt;"",C2308&amp;"/"&amp;D2308,"")</f>
        <v/>
      </c>
      <c r="G2308" s="5" t="str">
        <f t="shared" si="61"/>
        <v/>
      </c>
      <c r="I2308" s="6" t="str">
        <f t="shared" si="60"/>
        <v>0</v>
      </c>
    </row>
    <row r="2309" spans="1:12" x14ac:dyDescent="0.2">
      <c r="A2309" t="s">
        <v>2920</v>
      </c>
      <c r="B2309" t="s">
        <v>309</v>
      </c>
      <c r="E2309" t="str">
        <f>IF(D2309&lt;&gt;"",C2309&amp;"/"&amp;D2309,"")</f>
        <v/>
      </c>
      <c r="G2309" s="5" t="str">
        <f t="shared" si="61"/>
        <v/>
      </c>
      <c r="I2309" s="6" t="str">
        <f t="shared" si="60"/>
        <v>0</v>
      </c>
    </row>
    <row r="2310" spans="1:12" x14ac:dyDescent="0.2">
      <c r="A2310" t="s">
        <v>2921</v>
      </c>
      <c r="B2310" t="s">
        <v>309</v>
      </c>
      <c r="E2310" t="str">
        <f>IF(D2310&lt;&gt;"",C2310&amp;"/"&amp;D2310,"")</f>
        <v/>
      </c>
      <c r="G2310" s="5" t="str">
        <f t="shared" si="61"/>
        <v/>
      </c>
      <c r="I2310" s="6" t="str">
        <f t="shared" si="60"/>
        <v>0</v>
      </c>
    </row>
    <row r="2311" spans="1:12" x14ac:dyDescent="0.2">
      <c r="A2311" t="s">
        <v>2922</v>
      </c>
      <c r="B2311" t="s">
        <v>309</v>
      </c>
      <c r="E2311" t="str">
        <f>IF(D2311&lt;&gt;"",C2311&amp;"/"&amp;D2311,"")</f>
        <v/>
      </c>
      <c r="G2311" s="5" t="str">
        <f t="shared" si="61"/>
        <v/>
      </c>
      <c r="I2311" s="6" t="str">
        <f t="shared" si="60"/>
        <v>0</v>
      </c>
    </row>
    <row r="2312" spans="1:12" x14ac:dyDescent="0.2">
      <c r="A2312" t="s">
        <v>2923</v>
      </c>
      <c r="B2312" t="s">
        <v>309</v>
      </c>
      <c r="E2312" t="str">
        <f>IF(D2312&lt;&gt;"",C2312&amp;"/"&amp;D2312,"")</f>
        <v/>
      </c>
      <c r="G2312" s="5" t="str">
        <f t="shared" si="61"/>
        <v/>
      </c>
      <c r="I2312" s="6" t="str">
        <f t="shared" si="60"/>
        <v>0</v>
      </c>
    </row>
    <row r="2313" spans="1:12" x14ac:dyDescent="0.2">
      <c r="A2313" t="s">
        <v>2924</v>
      </c>
      <c r="B2313" t="s">
        <v>5217</v>
      </c>
      <c r="G2313" s="5" t="str">
        <f>IF(F2313&lt;&gt;"",HEX2DEC(SUBSTITUTE(SUBSTITUTE(F2313,"adrEA",""),"$","")),"")</f>
        <v/>
      </c>
      <c r="I2313" s="6" t="str">
        <f t="shared" si="60"/>
        <v>0</v>
      </c>
      <c r="K2313" s="21" t="s">
        <v>5218</v>
      </c>
    </row>
    <row r="2314" spans="1:12" x14ac:dyDescent="0.2">
      <c r="A2314" t="s">
        <v>2925</v>
      </c>
      <c r="B2314" t="s">
        <v>3198</v>
      </c>
      <c r="E2314" t="str">
        <f>IF(D2314&lt;&gt;"",C2314&amp;"/"&amp;D2314,"")</f>
        <v/>
      </c>
      <c r="G2314" s="5" t="str">
        <f>IF(F2314&lt;&gt;"",HEX2DEC(SUBSTITUTE(SUBSTITUTE(F2314,"adrEA",""),"$","")),"")</f>
        <v/>
      </c>
      <c r="I2314" s="6" t="str">
        <f t="shared" si="60"/>
        <v>0</v>
      </c>
    </row>
    <row r="2315" spans="1:12" x14ac:dyDescent="0.2">
      <c r="A2315" t="s">
        <v>2926</v>
      </c>
      <c r="B2315" t="s">
        <v>309</v>
      </c>
      <c r="E2315" t="str">
        <f>IF(D2315&lt;&gt;"",C2315&amp;"/"&amp;D2315,"")</f>
        <v/>
      </c>
      <c r="G2315" s="5" t="str">
        <f t="shared" ref="G2315:G2378" si="62">IF(F2315&lt;&gt;"",HEX2DEC(SUBSTITUTE(SUBSTITUTE(F2315,"adrEA",""),"$","")),"")</f>
        <v/>
      </c>
      <c r="I2315" s="6" t="str">
        <f t="shared" si="60"/>
        <v>0</v>
      </c>
    </row>
    <row r="2316" spans="1:12" x14ac:dyDescent="0.2">
      <c r="A2316" t="s">
        <v>2927</v>
      </c>
      <c r="B2316" t="s">
        <v>309</v>
      </c>
      <c r="E2316" t="str">
        <f>IF(D2316&lt;&gt;"",C2316&amp;"/"&amp;D2316,"")</f>
        <v/>
      </c>
      <c r="G2316" s="5" t="str">
        <f t="shared" si="62"/>
        <v/>
      </c>
      <c r="I2316" s="6" t="str">
        <f t="shared" si="60"/>
        <v>0</v>
      </c>
    </row>
    <row r="2317" spans="1:12" x14ac:dyDescent="0.2">
      <c r="A2317" t="s">
        <v>2928</v>
      </c>
      <c r="B2317" t="s">
        <v>3200</v>
      </c>
      <c r="E2317" t="str">
        <f>IF(D2317&lt;&gt;"",C2317&amp;"/"&amp;D2317,"")</f>
        <v/>
      </c>
      <c r="G2317" s="5" t="str">
        <f t="shared" si="62"/>
        <v/>
      </c>
      <c r="I2317" s="6" t="str">
        <f t="shared" si="60"/>
        <v>0</v>
      </c>
    </row>
    <row r="2318" spans="1:12" x14ac:dyDescent="0.2">
      <c r="A2318" t="s">
        <v>2929</v>
      </c>
      <c r="B2318" t="s">
        <v>309</v>
      </c>
      <c r="E2318" t="str">
        <f>IF(D2318&lt;&gt;"",C2318&amp;"/"&amp;D2318,"")</f>
        <v/>
      </c>
      <c r="G2318" s="5" t="str">
        <f t="shared" si="62"/>
        <v/>
      </c>
      <c r="I2318" s="6" t="str">
        <f t="shared" si="60"/>
        <v>0</v>
      </c>
    </row>
    <row r="2319" spans="1:12" x14ac:dyDescent="0.2">
      <c r="A2319" t="s">
        <v>2930</v>
      </c>
      <c r="B2319" t="s">
        <v>309</v>
      </c>
      <c r="E2319" t="str">
        <f>IF(D2319&lt;&gt;"",C2319&amp;"/"&amp;D2319,"")</f>
        <v/>
      </c>
      <c r="G2319" s="5" t="str">
        <f t="shared" si="62"/>
        <v/>
      </c>
      <c r="I2319" s="6" t="str">
        <f t="shared" si="60"/>
        <v>0</v>
      </c>
    </row>
    <row r="2320" spans="1:12" x14ac:dyDescent="0.2">
      <c r="A2320" t="s">
        <v>2931</v>
      </c>
      <c r="B2320" t="s">
        <v>309</v>
      </c>
      <c r="E2320" t="str">
        <f>IF(D2320&lt;&gt;"",C2320&amp;"/"&amp;D2320,"")</f>
        <v/>
      </c>
      <c r="G2320" s="5" t="str">
        <f t="shared" si="62"/>
        <v/>
      </c>
      <c r="I2320" s="6" t="str">
        <f t="shared" si="60"/>
        <v>0</v>
      </c>
    </row>
    <row r="2321" spans="1:9" x14ac:dyDescent="0.2">
      <c r="A2321" t="s">
        <v>2932</v>
      </c>
      <c r="B2321" t="s">
        <v>309</v>
      </c>
      <c r="E2321" t="str">
        <f>IF(D2321&lt;&gt;"",C2321&amp;"/"&amp;D2321,"")</f>
        <v/>
      </c>
      <c r="G2321" s="5" t="str">
        <f t="shared" si="62"/>
        <v/>
      </c>
      <c r="I2321" s="6" t="str">
        <f t="shared" ref="I2321:I2384" si="63">IFERROR(DEC2HEX(H2321),"")</f>
        <v>0</v>
      </c>
    </row>
    <row r="2322" spans="1:9" x14ac:dyDescent="0.2">
      <c r="A2322" t="s">
        <v>2933</v>
      </c>
      <c r="B2322" t="s">
        <v>309</v>
      </c>
      <c r="E2322" t="str">
        <f>IF(D2322&lt;&gt;"",C2322&amp;"/"&amp;D2322,"")</f>
        <v/>
      </c>
      <c r="G2322" s="5" t="str">
        <f t="shared" si="62"/>
        <v/>
      </c>
      <c r="I2322" s="6" t="str">
        <f t="shared" si="63"/>
        <v>0</v>
      </c>
    </row>
    <row r="2323" spans="1:9" x14ac:dyDescent="0.2">
      <c r="A2323" t="s">
        <v>2935</v>
      </c>
      <c r="B2323" t="s">
        <v>309</v>
      </c>
      <c r="E2323" t="str">
        <f>IF(D2323&lt;&gt;"",C2323&amp;"/"&amp;D2323,"")</f>
        <v/>
      </c>
      <c r="G2323" s="5" t="str">
        <f t="shared" si="62"/>
        <v/>
      </c>
      <c r="I2323" s="6" t="str">
        <f t="shared" si="63"/>
        <v>0</v>
      </c>
    </row>
    <row r="2324" spans="1:9" x14ac:dyDescent="0.2">
      <c r="A2324" t="s">
        <v>2936</v>
      </c>
      <c r="B2324" t="s">
        <v>309</v>
      </c>
      <c r="E2324" t="str">
        <f>IF(D2324&lt;&gt;"",C2324&amp;"/"&amp;D2324,"")</f>
        <v/>
      </c>
      <c r="G2324" s="5" t="str">
        <f t="shared" si="62"/>
        <v/>
      </c>
      <c r="I2324" s="6" t="str">
        <f t="shared" si="63"/>
        <v>0</v>
      </c>
    </row>
    <row r="2325" spans="1:9" x14ac:dyDescent="0.2">
      <c r="A2325" t="s">
        <v>2937</v>
      </c>
      <c r="B2325" t="s">
        <v>2937</v>
      </c>
      <c r="E2325" t="str">
        <f>IF(D2325&lt;&gt;"",C2325&amp;"/"&amp;D2325,"")</f>
        <v/>
      </c>
      <c r="G2325" s="5" t="str">
        <f t="shared" si="62"/>
        <v/>
      </c>
      <c r="I2325" s="6" t="str">
        <f t="shared" si="63"/>
        <v>0</v>
      </c>
    </row>
    <row r="2326" spans="1:9" x14ac:dyDescent="0.2">
      <c r="A2326" t="s">
        <v>2938</v>
      </c>
      <c r="B2326" t="s">
        <v>309</v>
      </c>
      <c r="E2326" t="str">
        <f>IF(D2326&lt;&gt;"",C2326&amp;"/"&amp;D2326,"")</f>
        <v/>
      </c>
      <c r="G2326" s="5" t="str">
        <f t="shared" si="62"/>
        <v/>
      </c>
      <c r="I2326" s="6" t="str">
        <f t="shared" si="63"/>
        <v>0</v>
      </c>
    </row>
    <row r="2327" spans="1:9" x14ac:dyDescent="0.2">
      <c r="A2327" t="s">
        <v>2939</v>
      </c>
      <c r="B2327" t="s">
        <v>309</v>
      </c>
      <c r="E2327" t="str">
        <f>IF(D2327&lt;&gt;"",C2327&amp;"/"&amp;D2327,"")</f>
        <v/>
      </c>
      <c r="G2327" s="5" t="str">
        <f t="shared" si="62"/>
        <v/>
      </c>
      <c r="I2327" s="6" t="str">
        <f t="shared" si="63"/>
        <v>0</v>
      </c>
    </row>
    <row r="2328" spans="1:9" x14ac:dyDescent="0.2">
      <c r="A2328" t="s">
        <v>2940</v>
      </c>
      <c r="B2328" t="s">
        <v>309</v>
      </c>
      <c r="E2328" t="str">
        <f>IF(D2328&lt;&gt;"",C2328&amp;"/"&amp;D2328,"")</f>
        <v/>
      </c>
      <c r="G2328" s="5" t="str">
        <f t="shared" si="62"/>
        <v/>
      </c>
      <c r="I2328" s="6" t="str">
        <f t="shared" si="63"/>
        <v>0</v>
      </c>
    </row>
    <row r="2329" spans="1:9" x14ac:dyDescent="0.2">
      <c r="A2329" t="s">
        <v>2941</v>
      </c>
      <c r="B2329" t="s">
        <v>3199</v>
      </c>
      <c r="E2329" t="str">
        <f>IF(D2329&lt;&gt;"",C2329&amp;"/"&amp;D2329,"")</f>
        <v/>
      </c>
      <c r="G2329" s="5" t="str">
        <f t="shared" si="62"/>
        <v/>
      </c>
      <c r="I2329" s="6" t="str">
        <f t="shared" si="63"/>
        <v>0</v>
      </c>
    </row>
    <row r="2330" spans="1:9" x14ac:dyDescent="0.2">
      <c r="A2330" t="s">
        <v>2942</v>
      </c>
      <c r="B2330" t="s">
        <v>309</v>
      </c>
      <c r="E2330" t="str">
        <f>IF(D2330&lt;&gt;"",C2330&amp;"/"&amp;D2330,"")</f>
        <v/>
      </c>
      <c r="G2330" s="5" t="str">
        <f t="shared" si="62"/>
        <v/>
      </c>
      <c r="I2330" s="6" t="str">
        <f t="shared" si="63"/>
        <v>0</v>
      </c>
    </row>
    <row r="2331" spans="1:9" x14ac:dyDescent="0.2">
      <c r="A2331" t="s">
        <v>2943</v>
      </c>
      <c r="B2331" t="s">
        <v>3201</v>
      </c>
      <c r="E2331" t="str">
        <f>IF(D2331&lt;&gt;"",C2331&amp;"/"&amp;D2331,"")</f>
        <v/>
      </c>
      <c r="G2331" s="5" t="str">
        <f t="shared" si="62"/>
        <v/>
      </c>
      <c r="I2331" s="6" t="str">
        <f t="shared" si="63"/>
        <v>0</v>
      </c>
    </row>
    <row r="2332" spans="1:9" x14ac:dyDescent="0.2">
      <c r="A2332" t="s">
        <v>2944</v>
      </c>
      <c r="B2332" t="s">
        <v>309</v>
      </c>
      <c r="E2332" t="str">
        <f>IF(D2332&lt;&gt;"",C2332&amp;"/"&amp;D2332,"")</f>
        <v/>
      </c>
      <c r="G2332" s="5" t="str">
        <f t="shared" si="62"/>
        <v/>
      </c>
      <c r="I2332" s="6" t="str">
        <f t="shared" si="63"/>
        <v>0</v>
      </c>
    </row>
    <row r="2333" spans="1:9" x14ac:dyDescent="0.2">
      <c r="A2333" t="s">
        <v>2945</v>
      </c>
      <c r="B2333" t="s">
        <v>309</v>
      </c>
      <c r="E2333" t="str">
        <f>IF(D2333&lt;&gt;"",C2333&amp;"/"&amp;D2333,"")</f>
        <v/>
      </c>
      <c r="G2333" s="5" t="str">
        <f t="shared" si="62"/>
        <v/>
      </c>
      <c r="I2333" s="6" t="str">
        <f t="shared" si="63"/>
        <v>0</v>
      </c>
    </row>
    <row r="2334" spans="1:9" x14ac:dyDescent="0.2">
      <c r="A2334" t="s">
        <v>2946</v>
      </c>
      <c r="B2334" t="s">
        <v>309</v>
      </c>
      <c r="E2334" t="str">
        <f>IF(D2334&lt;&gt;"",C2334&amp;"/"&amp;D2334,"")</f>
        <v/>
      </c>
      <c r="G2334" s="5" t="str">
        <f t="shared" si="62"/>
        <v/>
      </c>
      <c r="I2334" s="6" t="str">
        <f t="shared" si="63"/>
        <v>0</v>
      </c>
    </row>
    <row r="2335" spans="1:9" x14ac:dyDescent="0.2">
      <c r="A2335" t="s">
        <v>2947</v>
      </c>
      <c r="B2335" t="s">
        <v>309</v>
      </c>
      <c r="E2335" t="str">
        <f>IF(D2335&lt;&gt;"",C2335&amp;"/"&amp;D2335,"")</f>
        <v/>
      </c>
      <c r="G2335" s="5" t="str">
        <f t="shared" si="62"/>
        <v/>
      </c>
      <c r="I2335" s="6" t="str">
        <f t="shared" si="63"/>
        <v>0</v>
      </c>
    </row>
    <row r="2336" spans="1:9" x14ac:dyDescent="0.2">
      <c r="A2336" t="s">
        <v>2948</v>
      </c>
      <c r="B2336" t="s">
        <v>309</v>
      </c>
      <c r="E2336" t="str">
        <f>IF(D2336&lt;&gt;"",C2336&amp;"/"&amp;D2336,"")</f>
        <v/>
      </c>
      <c r="G2336" s="5" t="str">
        <f t="shared" si="62"/>
        <v/>
      </c>
      <c r="I2336" s="6" t="str">
        <f t="shared" si="63"/>
        <v>0</v>
      </c>
    </row>
    <row r="2337" spans="1:13" x14ac:dyDescent="0.2">
      <c r="A2337" t="s">
        <v>2950</v>
      </c>
      <c r="B2337" t="s">
        <v>309</v>
      </c>
      <c r="E2337" t="str">
        <f>IF(D2337&lt;&gt;"",C2337&amp;"/"&amp;D2337,"")</f>
        <v/>
      </c>
      <c r="G2337" s="5" t="str">
        <f t="shared" si="62"/>
        <v/>
      </c>
      <c r="I2337" s="6" t="str">
        <f t="shared" si="63"/>
        <v>0</v>
      </c>
    </row>
    <row r="2338" spans="1:13" x14ac:dyDescent="0.2">
      <c r="A2338" t="s">
        <v>2951</v>
      </c>
      <c r="B2338" t="s">
        <v>309</v>
      </c>
      <c r="E2338" t="str">
        <f>IF(D2338&lt;&gt;"",C2338&amp;"/"&amp;D2338,"")</f>
        <v/>
      </c>
      <c r="G2338" s="5" t="str">
        <f t="shared" si="62"/>
        <v/>
      </c>
      <c r="I2338" s="6" t="str">
        <f t="shared" si="63"/>
        <v>0</v>
      </c>
    </row>
    <row r="2339" spans="1:13" s="11" customFormat="1" x14ac:dyDescent="0.2">
      <c r="A2339" s="11" t="s">
        <v>2954</v>
      </c>
      <c r="B2339" t="s">
        <v>3074</v>
      </c>
      <c r="C2339" s="5"/>
      <c r="E2339" t="str">
        <f>IF(D2339&lt;&gt;"",C2339&amp;"/"&amp;D2339,"")</f>
        <v/>
      </c>
      <c r="F2339" s="12"/>
      <c r="G2339" s="5" t="str">
        <f t="shared" si="62"/>
        <v/>
      </c>
      <c r="H2339" s="12"/>
      <c r="I2339" s="6" t="str">
        <f t="shared" si="63"/>
        <v>0</v>
      </c>
      <c r="J2339" s="13"/>
      <c r="K2339" s="22"/>
      <c r="L2339" s="13"/>
      <c r="M2339" s="13"/>
    </row>
    <row r="2340" spans="1:13" s="11" customFormat="1" x14ac:dyDescent="0.2">
      <c r="A2340" t="s">
        <v>2955</v>
      </c>
      <c r="B2340" t="s">
        <v>3075</v>
      </c>
      <c r="C2340" s="5"/>
      <c r="E2340" t="str">
        <f>IF(D2340&lt;&gt;"",C2340&amp;"/"&amp;D2340,"")</f>
        <v/>
      </c>
      <c r="F2340" s="12"/>
      <c r="G2340" s="5" t="str">
        <f t="shared" si="62"/>
        <v/>
      </c>
      <c r="H2340" s="12"/>
      <c r="I2340" s="6" t="str">
        <f t="shared" si="63"/>
        <v>0</v>
      </c>
      <c r="J2340" s="13"/>
      <c r="K2340" s="22"/>
      <c r="L2340" s="13"/>
      <c r="M2340" s="13"/>
    </row>
    <row r="2341" spans="1:13" x14ac:dyDescent="0.2">
      <c r="A2341" t="s">
        <v>2965</v>
      </c>
      <c r="E2341" t="str">
        <f>IF(D2341&lt;&gt;"",C2341&amp;"/"&amp;D2341,"")</f>
        <v/>
      </c>
      <c r="G2341" s="5" t="str">
        <f t="shared" si="62"/>
        <v/>
      </c>
      <c r="I2341" s="6" t="str">
        <f t="shared" si="63"/>
        <v>0</v>
      </c>
    </row>
    <row r="2342" spans="1:13" x14ac:dyDescent="0.2">
      <c r="A2342" t="s">
        <v>2966</v>
      </c>
      <c r="B2342" t="s">
        <v>309</v>
      </c>
      <c r="E2342" t="str">
        <f>IF(D2342&lt;&gt;"",C2342&amp;"/"&amp;D2342,"")</f>
        <v/>
      </c>
      <c r="G2342" s="5" t="str">
        <f t="shared" si="62"/>
        <v/>
      </c>
      <c r="I2342" s="6" t="str">
        <f t="shared" si="63"/>
        <v>0</v>
      </c>
    </row>
    <row r="2343" spans="1:13" x14ac:dyDescent="0.2">
      <c r="A2343" t="s">
        <v>2968</v>
      </c>
      <c r="B2343" t="s">
        <v>3280</v>
      </c>
      <c r="E2343" t="str">
        <f>IF(D2343&lt;&gt;"",C2343&amp;"/"&amp;D2343,"")</f>
        <v/>
      </c>
      <c r="G2343" s="5" t="str">
        <f t="shared" si="62"/>
        <v/>
      </c>
      <c r="H2343" s="5">
        <f>16*8*4</f>
        <v>512</v>
      </c>
      <c r="I2343" s="6" t="str">
        <f t="shared" si="63"/>
        <v>200</v>
      </c>
    </row>
    <row r="2344" spans="1:13" x14ac:dyDescent="0.2">
      <c r="A2344" t="s">
        <v>2969</v>
      </c>
      <c r="B2344" t="s">
        <v>2969</v>
      </c>
      <c r="E2344" t="str">
        <f>IF(D2344&lt;&gt;"",C2344&amp;"/"&amp;D2344,"")</f>
        <v/>
      </c>
      <c r="G2344" s="5" t="str">
        <f t="shared" si="62"/>
        <v/>
      </c>
      <c r="I2344" s="6" t="str">
        <f t="shared" si="63"/>
        <v>0</v>
      </c>
    </row>
    <row r="2345" spans="1:13" x14ac:dyDescent="0.2">
      <c r="A2345" t="s">
        <v>2973</v>
      </c>
      <c r="B2345" t="s">
        <v>309</v>
      </c>
      <c r="E2345" t="str">
        <f>IF(D2345&lt;&gt;"",C2345&amp;"/"&amp;D2345,"")</f>
        <v/>
      </c>
      <c r="G2345" s="5" t="str">
        <f t="shared" si="62"/>
        <v/>
      </c>
      <c r="I2345" s="6" t="str">
        <f t="shared" si="63"/>
        <v>0</v>
      </c>
    </row>
    <row r="2346" spans="1:13" x14ac:dyDescent="0.2">
      <c r="A2346" t="s">
        <v>2976</v>
      </c>
      <c r="B2346" t="s">
        <v>309</v>
      </c>
      <c r="E2346" t="str">
        <f>IF(D2346&lt;&gt;"",C2346&amp;"/"&amp;D2346,"")</f>
        <v/>
      </c>
      <c r="G2346" s="5" t="str">
        <f t="shared" si="62"/>
        <v/>
      </c>
      <c r="I2346" s="6" t="str">
        <f t="shared" si="63"/>
        <v>0</v>
      </c>
    </row>
    <row r="2347" spans="1:13" x14ac:dyDescent="0.2">
      <c r="A2347" t="s">
        <v>2977</v>
      </c>
      <c r="B2347" t="s">
        <v>309</v>
      </c>
      <c r="E2347" t="str">
        <f>IF(D2347&lt;&gt;"",C2347&amp;"/"&amp;D2347,"")</f>
        <v/>
      </c>
      <c r="G2347" s="5" t="str">
        <f t="shared" si="62"/>
        <v/>
      </c>
      <c r="I2347" s="6" t="str">
        <f t="shared" si="63"/>
        <v>0</v>
      </c>
    </row>
    <row r="2348" spans="1:13" ht="13" customHeight="1" x14ac:dyDescent="0.2">
      <c r="A2348" t="s">
        <v>2978</v>
      </c>
      <c r="B2348" t="s">
        <v>309</v>
      </c>
      <c r="E2348" t="str">
        <f>IF(D2348&lt;&gt;"",C2348&amp;"/"&amp;D2348,"")</f>
        <v/>
      </c>
      <c r="G2348" s="5" t="str">
        <f t="shared" si="62"/>
        <v/>
      </c>
      <c r="I2348" s="6" t="str">
        <f t="shared" si="63"/>
        <v>0</v>
      </c>
    </row>
    <row r="2349" spans="1:13" s="11" customFormat="1" x14ac:dyDescent="0.2">
      <c r="A2349" s="11" t="s">
        <v>2981</v>
      </c>
      <c r="C2349" s="12"/>
      <c r="E2349" s="11" t="str">
        <f>IF(D2349&lt;&gt;"",C2349&amp;"/"&amp;D2349,"")</f>
        <v/>
      </c>
      <c r="F2349" s="12"/>
      <c r="G2349" s="5" t="str">
        <f t="shared" si="62"/>
        <v/>
      </c>
      <c r="H2349" s="12"/>
      <c r="I2349" s="6" t="str">
        <f t="shared" si="63"/>
        <v>0</v>
      </c>
      <c r="J2349" s="13"/>
      <c r="K2349" s="22"/>
      <c r="L2349" s="13"/>
      <c r="M2349" s="13"/>
    </row>
    <row r="2350" spans="1:13" x14ac:dyDescent="0.2">
      <c r="A2350" t="s">
        <v>2982</v>
      </c>
      <c r="B2350" t="s">
        <v>2983</v>
      </c>
      <c r="E2350" t="str">
        <f>IF(D2350&lt;&gt;"",C2350&amp;"/"&amp;D2350,"")</f>
        <v/>
      </c>
      <c r="G2350" s="5" t="str">
        <f t="shared" si="62"/>
        <v/>
      </c>
      <c r="I2350" s="6" t="str">
        <f t="shared" si="63"/>
        <v>0</v>
      </c>
    </row>
    <row r="2351" spans="1:13" x14ac:dyDescent="0.2">
      <c r="A2351" t="s">
        <v>2984</v>
      </c>
      <c r="B2351" t="s">
        <v>3149</v>
      </c>
      <c r="E2351" t="str">
        <f>IF(D2351&lt;&gt;"",C2351&amp;"/"&amp;D2351,"")</f>
        <v/>
      </c>
      <c r="G2351" s="5" t="str">
        <f t="shared" si="62"/>
        <v/>
      </c>
      <c r="I2351" s="6" t="str">
        <f t="shared" si="63"/>
        <v>0</v>
      </c>
    </row>
    <row r="2352" spans="1:13" ht="17" x14ac:dyDescent="0.25">
      <c r="A2352" t="s">
        <v>2985</v>
      </c>
      <c r="B2352" s="19" t="s">
        <v>3642</v>
      </c>
      <c r="C2352" s="5" t="s">
        <v>48</v>
      </c>
      <c r="D2352" s="19" t="s">
        <v>3643</v>
      </c>
      <c r="E2352" t="str">
        <f>IF(D2352&lt;&gt;"",C2352&amp;"/"&amp;D2352,"")</f>
        <v>data/characters-standard-render.layout</v>
      </c>
      <c r="F2352" s="18" t="s">
        <v>3644</v>
      </c>
      <c r="G2352" s="5">
        <f t="shared" si="62"/>
        <v>99456</v>
      </c>
      <c r="H2352" s="5">
        <v>304</v>
      </c>
      <c r="I2352" s="6" t="str">
        <f t="shared" si="63"/>
        <v>130</v>
      </c>
    </row>
    <row r="2353" spans="1:11" ht="17" x14ac:dyDescent="0.25">
      <c r="A2353" t="s">
        <v>2986</v>
      </c>
      <c r="B2353" s="19" t="s">
        <v>3645</v>
      </c>
      <c r="C2353" s="5" t="s">
        <v>48</v>
      </c>
      <c r="D2353" s="19" t="s">
        <v>3646</v>
      </c>
      <c r="E2353" t="str">
        <f>IF(D2353&lt;&gt;"",C2353&amp;"/"&amp;D2353,"")</f>
        <v>data/characters-standard-distant-4.positions</v>
      </c>
      <c r="F2353" s="18" t="s">
        <v>3647</v>
      </c>
      <c r="G2353" s="5">
        <f t="shared" si="62"/>
        <v>99760</v>
      </c>
      <c r="H2353" s="5">
        <v>8</v>
      </c>
      <c r="I2353" s="6" t="str">
        <f t="shared" si="63"/>
        <v>8</v>
      </c>
      <c r="K2353" s="21" t="s">
        <v>3662</v>
      </c>
    </row>
    <row r="2354" spans="1:11" ht="17" x14ac:dyDescent="0.25">
      <c r="A2354" t="s">
        <v>2987</v>
      </c>
      <c r="B2354" s="19" t="s">
        <v>3648</v>
      </c>
      <c r="C2354" s="5" t="s">
        <v>48</v>
      </c>
      <c r="D2354" s="19" t="s">
        <v>3649</v>
      </c>
      <c r="E2354" t="str">
        <f>IF(D2354&lt;&gt;"",C2354&amp;"/"&amp;D2354,"")</f>
        <v>data/characters-standard-distant-5.positions</v>
      </c>
      <c r="F2354" s="18" t="s">
        <v>3650</v>
      </c>
      <c r="G2354" s="5">
        <f t="shared" si="62"/>
        <v>99768</v>
      </c>
      <c r="H2354" s="5">
        <v>8</v>
      </c>
      <c r="I2354" s="6" t="str">
        <f t="shared" si="63"/>
        <v>8</v>
      </c>
      <c r="K2354" s="21" t="s">
        <v>3662</v>
      </c>
    </row>
    <row r="2355" spans="1:11" ht="17" x14ac:dyDescent="0.25">
      <c r="A2355" t="s">
        <v>2988</v>
      </c>
      <c r="B2355" s="19" t="s">
        <v>3651</v>
      </c>
      <c r="C2355" s="5" t="s">
        <v>48</v>
      </c>
      <c r="D2355" s="19" t="s">
        <v>3652</v>
      </c>
      <c r="E2355" t="str">
        <f>IF(D2355&lt;&gt;"",C2355&amp;"/"&amp;D2355,"")</f>
        <v>data/characters-alternate-render.layout</v>
      </c>
      <c r="F2355" s="18" t="s">
        <v>3653</v>
      </c>
      <c r="G2355" s="5">
        <f t="shared" si="62"/>
        <v>99776</v>
      </c>
      <c r="H2355" s="5">
        <v>304</v>
      </c>
      <c r="I2355" s="6" t="str">
        <f t="shared" si="63"/>
        <v>130</v>
      </c>
    </row>
    <row r="2356" spans="1:11" ht="17" x14ac:dyDescent="0.25">
      <c r="A2356" t="s">
        <v>2989</v>
      </c>
      <c r="B2356" s="19" t="s">
        <v>3654</v>
      </c>
      <c r="C2356" s="5" t="s">
        <v>48</v>
      </c>
      <c r="D2356" s="19" t="s">
        <v>3655</v>
      </c>
      <c r="E2356" t="str">
        <f>IF(D2356&lt;&gt;"",C2356&amp;"/"&amp;D2356,"")</f>
        <v>data/characters-alternate-distant-4.positions</v>
      </c>
      <c r="F2356" s="18" t="s">
        <v>3656</v>
      </c>
      <c r="G2356" s="5">
        <f t="shared" si="62"/>
        <v>100080</v>
      </c>
      <c r="H2356" s="5">
        <v>8</v>
      </c>
      <c r="I2356" s="6" t="str">
        <f t="shared" si="63"/>
        <v>8</v>
      </c>
      <c r="K2356" s="21" t="s">
        <v>3662</v>
      </c>
    </row>
    <row r="2357" spans="1:11" ht="17" x14ac:dyDescent="0.25">
      <c r="A2357" t="s">
        <v>2990</v>
      </c>
      <c r="B2357" s="19" t="s">
        <v>3657</v>
      </c>
      <c r="C2357" s="5" t="s">
        <v>48</v>
      </c>
      <c r="D2357" s="19" t="s">
        <v>3658</v>
      </c>
      <c r="E2357" t="str">
        <f>IF(D2357&lt;&gt;"",C2357&amp;"/"&amp;D2357,"")</f>
        <v>data/characters-alternate-distant-5.positions</v>
      </c>
      <c r="F2357" s="18" t="s">
        <v>3659</v>
      </c>
      <c r="G2357" s="5">
        <f t="shared" si="62"/>
        <v>100088</v>
      </c>
      <c r="H2357" s="5">
        <v>8</v>
      </c>
      <c r="I2357" s="6" t="str">
        <f t="shared" si="63"/>
        <v>8</v>
      </c>
      <c r="K2357" s="21" t="s">
        <v>3662</v>
      </c>
    </row>
    <row r="2358" spans="1:11" x14ac:dyDescent="0.2">
      <c r="A2358" t="s">
        <v>2992</v>
      </c>
      <c r="B2358" t="s">
        <v>3093</v>
      </c>
      <c r="E2358" t="str">
        <f>IF(D2358&lt;&gt;"",C2358&amp;"/"&amp;D2358,"")</f>
        <v/>
      </c>
      <c r="G2358" s="5" t="str">
        <f t="shared" si="62"/>
        <v/>
      </c>
      <c r="I2358" s="6" t="str">
        <f t="shared" si="63"/>
        <v>0</v>
      </c>
    </row>
    <row r="2359" spans="1:11" ht="17" x14ac:dyDescent="0.25">
      <c r="A2359" t="s">
        <v>2999</v>
      </c>
      <c r="B2359" t="s">
        <v>3000</v>
      </c>
      <c r="E2359" t="str">
        <f>IF(D2359&lt;&gt;"",C2359&amp;"/"&amp;D2359,"")</f>
        <v/>
      </c>
      <c r="F2359" s="18" t="s">
        <v>4455</v>
      </c>
      <c r="G2359" s="5">
        <f t="shared" si="62"/>
        <v>105226</v>
      </c>
      <c r="I2359" s="6" t="str">
        <f t="shared" si="63"/>
        <v>0</v>
      </c>
    </row>
    <row r="2360" spans="1:11" ht="17" x14ac:dyDescent="0.25">
      <c r="A2360" t="s">
        <v>3001</v>
      </c>
      <c r="B2360" t="s">
        <v>3002</v>
      </c>
      <c r="E2360" t="str">
        <f>IF(D2360&lt;&gt;"",C2360&amp;"/"&amp;D2360,"")</f>
        <v/>
      </c>
      <c r="F2360" s="18" t="s">
        <v>4456</v>
      </c>
      <c r="G2360" s="5">
        <f t="shared" si="62"/>
        <v>105483</v>
      </c>
      <c r="I2360" s="6" t="str">
        <f t="shared" si="63"/>
        <v>0</v>
      </c>
    </row>
    <row r="2361" spans="1:11" x14ac:dyDescent="0.2">
      <c r="A2361" t="s">
        <v>3911</v>
      </c>
      <c r="B2361" t="s">
        <v>3912</v>
      </c>
      <c r="C2361" s="5" t="s">
        <v>48</v>
      </c>
      <c r="D2361" t="s">
        <v>3913</v>
      </c>
      <c r="E2361" t="s">
        <v>3914</v>
      </c>
      <c r="F2361" s="5" t="s">
        <v>3915</v>
      </c>
      <c r="G2361" s="5">
        <f t="shared" si="62"/>
        <v>24566</v>
      </c>
      <c r="H2361" s="5">
        <v>8</v>
      </c>
      <c r="I2361" s="6" t="str">
        <f t="shared" si="63"/>
        <v>8</v>
      </c>
      <c r="K2361" s="21" t="s">
        <v>3916</v>
      </c>
    </row>
    <row r="2362" spans="1:11" x14ac:dyDescent="0.2">
      <c r="A2362" t="s">
        <v>1638</v>
      </c>
      <c r="B2362" t="s">
        <v>3312</v>
      </c>
      <c r="G2362" s="5" t="str">
        <f t="shared" si="62"/>
        <v/>
      </c>
      <c r="I2362" s="6" t="str">
        <f t="shared" si="63"/>
        <v>0</v>
      </c>
      <c r="K2362" s="21" t="s">
        <v>4382</v>
      </c>
    </row>
    <row r="2363" spans="1:11" x14ac:dyDescent="0.2">
      <c r="A2363" t="s">
        <v>1644</v>
      </c>
      <c r="B2363" t="s">
        <v>4380</v>
      </c>
      <c r="G2363" s="5" t="str">
        <f t="shared" si="62"/>
        <v/>
      </c>
      <c r="I2363" s="6" t="str">
        <f t="shared" si="63"/>
        <v>0</v>
      </c>
      <c r="K2363" s="21" t="s">
        <v>4383</v>
      </c>
    </row>
    <row r="2364" spans="1:11" x14ac:dyDescent="0.2">
      <c r="A2364" t="s">
        <v>1655</v>
      </c>
      <c r="B2364" t="s">
        <v>4384</v>
      </c>
      <c r="G2364" s="5" t="str">
        <f t="shared" si="62"/>
        <v/>
      </c>
      <c r="I2364" s="6" t="str">
        <f t="shared" si="63"/>
        <v>0</v>
      </c>
      <c r="K2364" s="21" t="s">
        <v>4385</v>
      </c>
    </row>
    <row r="2365" spans="1:11" x14ac:dyDescent="0.2">
      <c r="A2365" t="s">
        <v>1659</v>
      </c>
      <c r="B2365" t="s">
        <v>4381</v>
      </c>
      <c r="G2365" s="5" t="str">
        <f t="shared" si="62"/>
        <v/>
      </c>
      <c r="I2365" s="6" t="str">
        <f t="shared" si="63"/>
        <v>0</v>
      </c>
      <c r="K2365" s="21" t="s">
        <v>4386</v>
      </c>
    </row>
    <row r="2366" spans="1:11" x14ac:dyDescent="0.2">
      <c r="A2366" t="s">
        <v>355</v>
      </c>
      <c r="B2366" t="s">
        <v>4387</v>
      </c>
      <c r="G2366" s="5" t="str">
        <f t="shared" si="62"/>
        <v/>
      </c>
      <c r="I2366" s="6" t="str">
        <f t="shared" si="63"/>
        <v>0</v>
      </c>
      <c r="K2366" s="21" t="s">
        <v>4388</v>
      </c>
    </row>
    <row r="2367" spans="1:11" x14ac:dyDescent="0.2">
      <c r="A2367" t="s">
        <v>356</v>
      </c>
      <c r="B2367" t="s">
        <v>4389</v>
      </c>
      <c r="G2367" s="5" t="str">
        <f t="shared" si="62"/>
        <v/>
      </c>
      <c r="I2367" s="6" t="str">
        <f t="shared" si="63"/>
        <v>0</v>
      </c>
    </row>
    <row r="2368" spans="1:11" x14ac:dyDescent="0.2">
      <c r="A2368" t="s">
        <v>357</v>
      </c>
      <c r="B2368" t="s">
        <v>4390</v>
      </c>
      <c r="G2368" s="5" t="str">
        <f t="shared" si="62"/>
        <v/>
      </c>
      <c r="I2368" s="6" t="str">
        <f t="shared" si="63"/>
        <v>0</v>
      </c>
      <c r="K2368" s="21" t="s">
        <v>4391</v>
      </c>
    </row>
    <row r="2369" spans="1:11" x14ac:dyDescent="0.2">
      <c r="A2369" t="s">
        <v>358</v>
      </c>
      <c r="B2369" t="s">
        <v>4392</v>
      </c>
      <c r="G2369" s="5" t="str">
        <f t="shared" si="62"/>
        <v/>
      </c>
      <c r="I2369" s="6" t="str">
        <f t="shared" si="63"/>
        <v>0</v>
      </c>
      <c r="K2369" s="21" t="s">
        <v>4393</v>
      </c>
    </row>
    <row r="2370" spans="1:11" x14ac:dyDescent="0.2">
      <c r="A2370" t="s">
        <v>359</v>
      </c>
      <c r="B2370" t="s">
        <v>4394</v>
      </c>
      <c r="G2370" s="5" t="str">
        <f t="shared" si="62"/>
        <v/>
      </c>
      <c r="I2370" s="6" t="str">
        <f t="shared" si="63"/>
        <v>0</v>
      </c>
      <c r="K2370" s="21" t="s">
        <v>4395</v>
      </c>
    </row>
    <row r="2371" spans="1:11" x14ac:dyDescent="0.2">
      <c r="A2371" t="s">
        <v>360</v>
      </c>
      <c r="B2371" t="s">
        <v>4396</v>
      </c>
      <c r="G2371" s="5" t="str">
        <f t="shared" si="62"/>
        <v/>
      </c>
      <c r="I2371" s="6" t="str">
        <f t="shared" si="63"/>
        <v>0</v>
      </c>
      <c r="K2371" s="21" t="s">
        <v>4397</v>
      </c>
    </row>
    <row r="2372" spans="1:11" x14ac:dyDescent="0.2">
      <c r="A2372" t="s">
        <v>361</v>
      </c>
      <c r="B2372" t="s">
        <v>4398</v>
      </c>
      <c r="G2372" s="5" t="str">
        <f t="shared" si="62"/>
        <v/>
      </c>
      <c r="I2372" s="6" t="str">
        <f t="shared" si="63"/>
        <v>0</v>
      </c>
      <c r="K2372" s="21" t="s">
        <v>4399</v>
      </c>
    </row>
    <row r="2373" spans="1:11" x14ac:dyDescent="0.2">
      <c r="A2373" t="s">
        <v>362</v>
      </c>
      <c r="B2373" t="s">
        <v>4400</v>
      </c>
      <c r="G2373" s="5" t="str">
        <f t="shared" si="62"/>
        <v/>
      </c>
      <c r="I2373" s="6" t="str">
        <f t="shared" si="63"/>
        <v>0</v>
      </c>
      <c r="K2373" s="21" t="s">
        <v>4401</v>
      </c>
    </row>
    <row r="2374" spans="1:11" x14ac:dyDescent="0.2">
      <c r="A2374" t="s">
        <v>363</v>
      </c>
      <c r="B2374" t="s">
        <v>4402</v>
      </c>
      <c r="G2374" s="5" t="str">
        <f t="shared" si="62"/>
        <v/>
      </c>
      <c r="I2374" s="6" t="str">
        <f t="shared" si="63"/>
        <v>0</v>
      </c>
      <c r="K2374" s="21" t="s">
        <v>4403</v>
      </c>
    </row>
    <row r="2375" spans="1:11" x14ac:dyDescent="0.2">
      <c r="A2375" t="s">
        <v>364</v>
      </c>
      <c r="B2375" t="s">
        <v>4404</v>
      </c>
      <c r="G2375" s="5" t="str">
        <f t="shared" si="62"/>
        <v/>
      </c>
      <c r="I2375" s="6" t="str">
        <f t="shared" si="63"/>
        <v>0</v>
      </c>
      <c r="K2375" s="21" t="s">
        <v>4405</v>
      </c>
    </row>
    <row r="2376" spans="1:11" x14ac:dyDescent="0.2">
      <c r="A2376" t="s">
        <v>365</v>
      </c>
      <c r="B2376" t="s">
        <v>4406</v>
      </c>
      <c r="G2376" s="5" t="str">
        <f t="shared" si="62"/>
        <v/>
      </c>
      <c r="I2376" s="6" t="str">
        <f t="shared" si="63"/>
        <v>0</v>
      </c>
      <c r="K2376" s="21" t="s">
        <v>4407</v>
      </c>
    </row>
    <row r="2377" spans="1:11" x14ac:dyDescent="0.2">
      <c r="A2377" t="s">
        <v>1519</v>
      </c>
      <c r="B2377" t="s">
        <v>4408</v>
      </c>
      <c r="G2377" s="5" t="str">
        <f t="shared" si="62"/>
        <v/>
      </c>
      <c r="I2377" s="6" t="str">
        <f t="shared" si="63"/>
        <v>0</v>
      </c>
      <c r="K2377" s="21" t="s">
        <v>4409</v>
      </c>
    </row>
    <row r="2378" spans="1:11" x14ac:dyDescent="0.2">
      <c r="A2378" t="s">
        <v>1520</v>
      </c>
      <c r="B2378" t="s">
        <v>4410</v>
      </c>
      <c r="G2378" s="5" t="str">
        <f t="shared" si="62"/>
        <v/>
      </c>
      <c r="I2378" s="6" t="str">
        <f t="shared" si="63"/>
        <v>0</v>
      </c>
      <c r="K2378" s="21" t="s">
        <v>4411</v>
      </c>
    </row>
    <row r="2379" spans="1:11" x14ac:dyDescent="0.2">
      <c r="A2379" t="s">
        <v>1522</v>
      </c>
      <c r="B2379" t="s">
        <v>4412</v>
      </c>
      <c r="G2379" s="5" t="str">
        <f t="shared" ref="G2379:G2442" si="64">IF(F2379&lt;&gt;"",HEX2DEC(SUBSTITUTE(SUBSTITUTE(F2379,"adrEA",""),"$","")),"")</f>
        <v/>
      </c>
      <c r="I2379" s="6" t="str">
        <f t="shared" si="63"/>
        <v>0</v>
      </c>
    </row>
    <row r="2380" spans="1:11" x14ac:dyDescent="0.2">
      <c r="A2380" t="s">
        <v>1523</v>
      </c>
      <c r="B2380" t="s">
        <v>4413</v>
      </c>
      <c r="G2380" s="5" t="str">
        <f t="shared" si="64"/>
        <v/>
      </c>
      <c r="I2380" s="6" t="str">
        <f t="shared" si="63"/>
        <v>0</v>
      </c>
      <c r="K2380" s="21" t="s">
        <v>4414</v>
      </c>
    </row>
    <row r="2381" spans="1:11" x14ac:dyDescent="0.2">
      <c r="A2381" t="s">
        <v>1524</v>
      </c>
      <c r="B2381" t="s">
        <v>4415</v>
      </c>
      <c r="G2381" s="5" t="str">
        <f t="shared" si="64"/>
        <v/>
      </c>
      <c r="I2381" s="6" t="str">
        <f t="shared" si="63"/>
        <v>0</v>
      </c>
      <c r="K2381" s="21" t="s">
        <v>4416</v>
      </c>
    </row>
    <row r="2382" spans="1:11" x14ac:dyDescent="0.2">
      <c r="A2382" t="s">
        <v>1525</v>
      </c>
      <c r="B2382" t="s">
        <v>4417</v>
      </c>
      <c r="G2382" s="5" t="str">
        <f t="shared" si="64"/>
        <v/>
      </c>
      <c r="I2382" s="6" t="str">
        <f t="shared" si="63"/>
        <v>0</v>
      </c>
      <c r="K2382" s="21" t="s">
        <v>4418</v>
      </c>
    </row>
    <row r="2383" spans="1:11" x14ac:dyDescent="0.2">
      <c r="A2383" t="s">
        <v>1526</v>
      </c>
      <c r="B2383" t="s">
        <v>4419</v>
      </c>
      <c r="G2383" s="5" t="str">
        <f t="shared" si="64"/>
        <v/>
      </c>
      <c r="I2383" s="6" t="str">
        <f t="shared" si="63"/>
        <v>0</v>
      </c>
    </row>
    <row r="2384" spans="1:11" x14ac:dyDescent="0.2">
      <c r="A2384" t="s">
        <v>1527</v>
      </c>
      <c r="B2384" t="s">
        <v>4420</v>
      </c>
      <c r="G2384" s="5" t="str">
        <f t="shared" si="64"/>
        <v/>
      </c>
      <c r="I2384" s="6" t="str">
        <f t="shared" si="63"/>
        <v>0</v>
      </c>
      <c r="K2384" s="21" t="s">
        <v>4421</v>
      </c>
    </row>
    <row r="2385" spans="1:11" x14ac:dyDescent="0.2">
      <c r="A2385" t="s">
        <v>1528</v>
      </c>
      <c r="B2385" t="s">
        <v>4422</v>
      </c>
      <c r="G2385" s="5" t="str">
        <f t="shared" si="64"/>
        <v/>
      </c>
      <c r="I2385" s="6" t="str">
        <f t="shared" ref="I2385:I2448" si="65">IFERROR(DEC2HEX(H2385),"")</f>
        <v>0</v>
      </c>
      <c r="K2385" s="21" t="s">
        <v>4423</v>
      </c>
    </row>
    <row r="2386" spans="1:11" x14ac:dyDescent="0.2">
      <c r="A2386" t="s">
        <v>1529</v>
      </c>
      <c r="B2386" t="s">
        <v>4424</v>
      </c>
      <c r="G2386" s="5" t="str">
        <f t="shared" si="64"/>
        <v/>
      </c>
      <c r="I2386" s="6" t="str">
        <f t="shared" si="65"/>
        <v>0</v>
      </c>
    </row>
    <row r="2387" spans="1:11" x14ac:dyDescent="0.2">
      <c r="A2387" t="s">
        <v>1537</v>
      </c>
      <c r="B2387" t="s">
        <v>4425</v>
      </c>
      <c r="G2387" s="5" t="str">
        <f t="shared" si="64"/>
        <v/>
      </c>
      <c r="I2387" s="6" t="str">
        <f t="shared" si="65"/>
        <v>0</v>
      </c>
      <c r="K2387" s="21" t="s">
        <v>4426</v>
      </c>
    </row>
    <row r="2388" spans="1:11" x14ac:dyDescent="0.2">
      <c r="A2388" t="s">
        <v>1538</v>
      </c>
      <c r="B2388" t="s">
        <v>4427</v>
      </c>
      <c r="G2388" s="5" t="str">
        <f t="shared" si="64"/>
        <v/>
      </c>
      <c r="I2388" s="6" t="str">
        <f t="shared" si="65"/>
        <v>0</v>
      </c>
      <c r="K2388" s="21" t="s">
        <v>4428</v>
      </c>
    </row>
    <row r="2389" spans="1:11" x14ac:dyDescent="0.2">
      <c r="A2389" t="s">
        <v>1539</v>
      </c>
      <c r="B2389" t="s">
        <v>4429</v>
      </c>
      <c r="G2389" s="5" t="str">
        <f t="shared" si="64"/>
        <v/>
      </c>
      <c r="I2389" s="6" t="str">
        <f t="shared" si="65"/>
        <v>0</v>
      </c>
      <c r="K2389" s="21" t="s">
        <v>4430</v>
      </c>
    </row>
    <row r="2390" spans="1:11" x14ac:dyDescent="0.2">
      <c r="A2390" t="s">
        <v>1540</v>
      </c>
      <c r="B2390" t="s">
        <v>4431</v>
      </c>
      <c r="G2390" s="5" t="str">
        <f t="shared" si="64"/>
        <v/>
      </c>
      <c r="I2390" s="6" t="str">
        <f t="shared" si="65"/>
        <v>0</v>
      </c>
      <c r="K2390" s="21" t="s">
        <v>4432</v>
      </c>
    </row>
    <row r="2391" spans="1:11" x14ac:dyDescent="0.2">
      <c r="A2391" t="s">
        <v>1541</v>
      </c>
      <c r="B2391" t="s">
        <v>4433</v>
      </c>
      <c r="G2391" s="5" t="str">
        <f t="shared" si="64"/>
        <v/>
      </c>
      <c r="I2391" s="6" t="str">
        <f t="shared" si="65"/>
        <v>0</v>
      </c>
    </row>
    <row r="2392" spans="1:11" x14ac:dyDescent="0.2">
      <c r="A2392" t="s">
        <v>1543</v>
      </c>
      <c r="B2392" t="s">
        <v>4434</v>
      </c>
      <c r="G2392" s="5" t="str">
        <f t="shared" si="64"/>
        <v/>
      </c>
      <c r="I2392" s="6" t="str">
        <f t="shared" si="65"/>
        <v>0</v>
      </c>
      <c r="K2392" s="21" t="s">
        <v>4435</v>
      </c>
    </row>
    <row r="2393" spans="1:11" x14ac:dyDescent="0.2">
      <c r="A2393" t="s">
        <v>1544</v>
      </c>
      <c r="B2393" t="s">
        <v>4436</v>
      </c>
      <c r="G2393" s="5" t="str">
        <f t="shared" si="64"/>
        <v/>
      </c>
      <c r="I2393" s="6" t="str">
        <f t="shared" si="65"/>
        <v>0</v>
      </c>
      <c r="K2393" s="21" t="s">
        <v>4437</v>
      </c>
    </row>
    <row r="2394" spans="1:11" x14ac:dyDescent="0.2">
      <c r="A2394" t="s">
        <v>1545</v>
      </c>
      <c r="B2394" t="s">
        <v>4438</v>
      </c>
      <c r="G2394" s="5" t="str">
        <f t="shared" si="64"/>
        <v/>
      </c>
      <c r="I2394" s="6" t="str">
        <f t="shared" si="65"/>
        <v>0</v>
      </c>
      <c r="K2394" s="21" t="s">
        <v>4439</v>
      </c>
    </row>
    <row r="2395" spans="1:11" x14ac:dyDescent="0.2">
      <c r="A2395" t="s">
        <v>1546</v>
      </c>
      <c r="B2395" t="s">
        <v>4440</v>
      </c>
      <c r="G2395" s="5" t="str">
        <f t="shared" si="64"/>
        <v/>
      </c>
      <c r="I2395" s="6" t="str">
        <f t="shared" si="65"/>
        <v>0</v>
      </c>
    </row>
    <row r="2396" spans="1:11" x14ac:dyDescent="0.2">
      <c r="A2396" t="s">
        <v>1549</v>
      </c>
      <c r="B2396" t="s">
        <v>4441</v>
      </c>
      <c r="G2396" s="5" t="str">
        <f t="shared" si="64"/>
        <v/>
      </c>
      <c r="I2396" s="6" t="str">
        <f t="shared" si="65"/>
        <v>0</v>
      </c>
      <c r="K2396" s="21" t="s">
        <v>4442</v>
      </c>
    </row>
    <row r="2397" spans="1:11" x14ac:dyDescent="0.2">
      <c r="A2397" t="s">
        <v>1552</v>
      </c>
      <c r="B2397" t="s">
        <v>4443</v>
      </c>
      <c r="G2397" s="5" t="str">
        <f t="shared" si="64"/>
        <v/>
      </c>
      <c r="I2397" s="6" t="str">
        <f t="shared" si="65"/>
        <v>0</v>
      </c>
      <c r="K2397" s="21" t="s">
        <v>4444</v>
      </c>
    </row>
    <row r="2398" spans="1:11" x14ac:dyDescent="0.2">
      <c r="A2398" t="s">
        <v>1553</v>
      </c>
      <c r="B2398" t="s">
        <v>4445</v>
      </c>
      <c r="G2398" s="5" t="str">
        <f t="shared" si="64"/>
        <v/>
      </c>
      <c r="I2398" s="6" t="str">
        <f t="shared" si="65"/>
        <v>0</v>
      </c>
      <c r="K2398" s="21" t="s">
        <v>4446</v>
      </c>
    </row>
    <row r="2399" spans="1:11" x14ac:dyDescent="0.2">
      <c r="A2399" t="s">
        <v>1554</v>
      </c>
      <c r="B2399" t="s">
        <v>4447</v>
      </c>
      <c r="G2399" s="5" t="str">
        <f t="shared" si="64"/>
        <v/>
      </c>
      <c r="I2399" s="6" t="str">
        <f t="shared" si="65"/>
        <v>0</v>
      </c>
      <c r="K2399" s="21" t="s">
        <v>4448</v>
      </c>
    </row>
    <row r="2400" spans="1:11" x14ac:dyDescent="0.2">
      <c r="A2400" t="s">
        <v>1576</v>
      </c>
      <c r="B2400" t="s">
        <v>4449</v>
      </c>
      <c r="G2400" s="5" t="str">
        <f t="shared" si="64"/>
        <v/>
      </c>
      <c r="I2400" s="6" t="str">
        <f t="shared" si="65"/>
        <v>0</v>
      </c>
      <c r="K2400" s="21" t="s">
        <v>4450</v>
      </c>
    </row>
    <row r="2401" spans="1:11" x14ac:dyDescent="0.2">
      <c r="A2401" t="s">
        <v>1577</v>
      </c>
      <c r="B2401" t="s">
        <v>4451</v>
      </c>
      <c r="G2401" s="5" t="str">
        <f t="shared" si="64"/>
        <v/>
      </c>
      <c r="I2401" s="6" t="str">
        <f t="shared" si="65"/>
        <v>0</v>
      </c>
      <c r="K2401" s="21" t="s">
        <v>4452</v>
      </c>
    </row>
    <row r="2402" spans="1:11" x14ac:dyDescent="0.2">
      <c r="A2402" t="s">
        <v>2971</v>
      </c>
      <c r="B2402" t="s">
        <v>4453</v>
      </c>
      <c r="G2402" s="5" t="str">
        <f t="shared" si="64"/>
        <v/>
      </c>
      <c r="I2402" s="6" t="str">
        <f t="shared" si="65"/>
        <v>0</v>
      </c>
      <c r="K2402" s="21" t="s">
        <v>4454</v>
      </c>
    </row>
    <row r="2403" spans="1:11" x14ac:dyDescent="0.2">
      <c r="A2403" t="s">
        <v>2934</v>
      </c>
      <c r="B2403" t="s">
        <v>4463</v>
      </c>
      <c r="C2403" s="5" t="s">
        <v>7</v>
      </c>
      <c r="F2403" s="5" t="s">
        <v>4464</v>
      </c>
      <c r="G2403" s="5">
        <f t="shared" si="64"/>
        <v>61138</v>
      </c>
      <c r="H2403" s="5">
        <v>1</v>
      </c>
      <c r="I2403" s="6" t="str">
        <f t="shared" si="65"/>
        <v>1</v>
      </c>
      <c r="K2403" s="21" t="s">
        <v>4465</v>
      </c>
    </row>
    <row r="2404" spans="1:11" x14ac:dyDescent="0.2">
      <c r="A2404" t="s">
        <v>2949</v>
      </c>
      <c r="B2404" t="s">
        <v>4466</v>
      </c>
      <c r="C2404" s="5" t="s">
        <v>7</v>
      </c>
      <c r="F2404" s="5" t="s">
        <v>4467</v>
      </c>
      <c r="G2404" s="5">
        <f t="shared" si="64"/>
        <v>61236</v>
      </c>
      <c r="H2404" s="5">
        <v>1</v>
      </c>
      <c r="I2404" s="6" t="str">
        <f t="shared" si="65"/>
        <v>1</v>
      </c>
      <c r="K2404" s="21" t="s">
        <v>4468</v>
      </c>
    </row>
    <row r="2405" spans="1:11" x14ac:dyDescent="0.2">
      <c r="A2405" t="s">
        <v>1055</v>
      </c>
      <c r="B2405" t="s">
        <v>4469</v>
      </c>
      <c r="C2405" s="5" t="s">
        <v>7</v>
      </c>
      <c r="F2405" s="5" t="s">
        <v>4470</v>
      </c>
      <c r="G2405" s="5">
        <f t="shared" si="64"/>
        <v>16790</v>
      </c>
      <c r="I2405" s="6" t="str">
        <f t="shared" si="65"/>
        <v>0</v>
      </c>
      <c r="K2405" s="21" t="s">
        <v>4471</v>
      </c>
    </row>
    <row r="2406" spans="1:11" x14ac:dyDescent="0.2">
      <c r="A2406" t="s">
        <v>1083</v>
      </c>
      <c r="B2406" t="s">
        <v>4472</v>
      </c>
      <c r="C2406" s="5" t="s">
        <v>7</v>
      </c>
      <c r="F2406" s="5" t="s">
        <v>4473</v>
      </c>
      <c r="G2406" s="5">
        <f t="shared" si="64"/>
        <v>17162</v>
      </c>
      <c r="I2406" s="6" t="str">
        <f t="shared" si="65"/>
        <v>0</v>
      </c>
      <c r="K2406" s="21" t="s">
        <v>4474</v>
      </c>
    </row>
    <row r="2407" spans="1:11" x14ac:dyDescent="0.2">
      <c r="A2407" t="s">
        <v>1175</v>
      </c>
      <c r="B2407" t="s">
        <v>4475</v>
      </c>
      <c r="C2407" s="5" t="s">
        <v>7</v>
      </c>
      <c r="F2407" s="5" t="s">
        <v>4476</v>
      </c>
      <c r="G2407" s="5">
        <f t="shared" si="64"/>
        <v>19600</v>
      </c>
      <c r="I2407" s="6" t="str">
        <f t="shared" si="65"/>
        <v>0</v>
      </c>
      <c r="K2407" s="21" t="s">
        <v>4477</v>
      </c>
    </row>
    <row r="2408" spans="1:11" x14ac:dyDescent="0.2">
      <c r="A2408" t="s">
        <v>1179</v>
      </c>
      <c r="B2408" t="s">
        <v>4478</v>
      </c>
      <c r="C2408" s="5" t="s">
        <v>7</v>
      </c>
      <c r="F2408" s="5" t="s">
        <v>4479</v>
      </c>
      <c r="G2408" s="5">
        <f t="shared" si="64"/>
        <v>19762</v>
      </c>
      <c r="I2408" s="6" t="str">
        <f t="shared" si="65"/>
        <v>0</v>
      </c>
      <c r="K2408" s="21" t="s">
        <v>4480</v>
      </c>
    </row>
    <row r="2409" spans="1:11" x14ac:dyDescent="0.2">
      <c r="A2409" t="s">
        <v>1185</v>
      </c>
      <c r="B2409" t="s">
        <v>4481</v>
      </c>
      <c r="C2409" s="5" t="s">
        <v>7</v>
      </c>
      <c r="F2409" s="5" t="s">
        <v>4482</v>
      </c>
      <c r="G2409" s="5">
        <f t="shared" si="64"/>
        <v>19892</v>
      </c>
      <c r="I2409" s="6" t="str">
        <f t="shared" si="65"/>
        <v>0</v>
      </c>
      <c r="K2409" s="21" t="s">
        <v>4483</v>
      </c>
    </row>
    <row r="2410" spans="1:11" x14ac:dyDescent="0.2">
      <c r="A2410" t="s">
        <v>1188</v>
      </c>
      <c r="B2410" t="s">
        <v>4484</v>
      </c>
      <c r="C2410" s="5" t="s">
        <v>7</v>
      </c>
      <c r="F2410" s="5" t="s">
        <v>4485</v>
      </c>
      <c r="G2410" s="5">
        <f t="shared" si="64"/>
        <v>19928</v>
      </c>
      <c r="I2410" s="6" t="str">
        <f t="shared" si="65"/>
        <v>0</v>
      </c>
      <c r="K2410" s="21" t="s">
        <v>4486</v>
      </c>
    </row>
    <row r="2411" spans="1:11" x14ac:dyDescent="0.2">
      <c r="A2411" t="s">
        <v>1191</v>
      </c>
      <c r="B2411" t="s">
        <v>4487</v>
      </c>
      <c r="C2411" s="5" t="s">
        <v>7</v>
      </c>
      <c r="F2411" s="5" t="s">
        <v>4488</v>
      </c>
      <c r="G2411" s="5">
        <f t="shared" si="64"/>
        <v>19946</v>
      </c>
      <c r="I2411" s="6" t="str">
        <f t="shared" si="65"/>
        <v>0</v>
      </c>
      <c r="K2411" s="21" t="s">
        <v>4489</v>
      </c>
    </row>
    <row r="2412" spans="1:11" x14ac:dyDescent="0.2">
      <c r="A2412" t="s">
        <v>1202</v>
      </c>
      <c r="B2412" t="s">
        <v>4841</v>
      </c>
      <c r="C2412" s="5" t="s">
        <v>7</v>
      </c>
      <c r="F2412" s="5" t="s">
        <v>4490</v>
      </c>
      <c r="G2412" s="5">
        <f t="shared" si="64"/>
        <v>20110</v>
      </c>
      <c r="I2412" s="6" t="str">
        <f t="shared" si="65"/>
        <v>0</v>
      </c>
      <c r="K2412" s="21" t="s">
        <v>4842</v>
      </c>
    </row>
    <row r="2413" spans="1:11" x14ac:dyDescent="0.2">
      <c r="A2413" t="s">
        <v>1385</v>
      </c>
      <c r="B2413" t="s">
        <v>4491</v>
      </c>
      <c r="C2413" s="5" t="s">
        <v>7</v>
      </c>
      <c r="F2413" s="5" t="s">
        <v>4492</v>
      </c>
      <c r="G2413" s="5">
        <f t="shared" si="64"/>
        <v>22418</v>
      </c>
      <c r="I2413" s="6" t="str">
        <f t="shared" si="65"/>
        <v>0</v>
      </c>
      <c r="K2413" s="21" t="s">
        <v>4493</v>
      </c>
    </row>
    <row r="2414" spans="1:11" x14ac:dyDescent="0.2">
      <c r="A2414" t="s">
        <v>1388</v>
      </c>
      <c r="B2414" t="s">
        <v>4494</v>
      </c>
      <c r="C2414" s="5" t="s">
        <v>7</v>
      </c>
      <c r="F2414" s="5" t="s">
        <v>4495</v>
      </c>
      <c r="G2414" s="5">
        <f t="shared" si="64"/>
        <v>22444</v>
      </c>
      <c r="I2414" s="6" t="str">
        <f t="shared" si="65"/>
        <v>0</v>
      </c>
      <c r="K2414" s="21" t="s">
        <v>4496</v>
      </c>
    </row>
    <row r="2415" spans="1:11" x14ac:dyDescent="0.2">
      <c r="A2415" t="s">
        <v>1389</v>
      </c>
      <c r="B2415" t="s">
        <v>4497</v>
      </c>
      <c r="C2415" s="5" t="s">
        <v>7</v>
      </c>
      <c r="F2415" s="5" t="s">
        <v>4498</v>
      </c>
      <c r="G2415" s="5">
        <f t="shared" si="64"/>
        <v>22458</v>
      </c>
      <c r="I2415" s="6" t="str">
        <f t="shared" si="65"/>
        <v>0</v>
      </c>
      <c r="K2415" s="21" t="s">
        <v>4499</v>
      </c>
    </row>
    <row r="2416" spans="1:11" x14ac:dyDescent="0.2">
      <c r="A2416" t="s">
        <v>1393</v>
      </c>
      <c r="B2416" t="s">
        <v>4500</v>
      </c>
      <c r="C2416" s="5" t="s">
        <v>7</v>
      </c>
      <c r="F2416" s="5" t="s">
        <v>4501</v>
      </c>
      <c r="G2416" s="5">
        <f t="shared" si="64"/>
        <v>22652</v>
      </c>
      <c r="I2416" s="6" t="str">
        <f t="shared" si="65"/>
        <v>0</v>
      </c>
      <c r="K2416" s="21" t="s">
        <v>4502</v>
      </c>
    </row>
    <row r="2417" spans="1:11" x14ac:dyDescent="0.2">
      <c r="A2417" t="s">
        <v>1396</v>
      </c>
      <c r="B2417" t="s">
        <v>4503</v>
      </c>
      <c r="C2417" s="5" t="s">
        <v>7</v>
      </c>
      <c r="F2417" s="5" t="s">
        <v>4504</v>
      </c>
      <c r="G2417" s="5">
        <f t="shared" si="64"/>
        <v>22676</v>
      </c>
      <c r="I2417" s="6" t="str">
        <f t="shared" si="65"/>
        <v>0</v>
      </c>
      <c r="K2417" s="21" t="s">
        <v>4505</v>
      </c>
    </row>
    <row r="2418" spans="1:11" x14ac:dyDescent="0.2">
      <c r="A2418" t="s">
        <v>1486</v>
      </c>
      <c r="B2418" t="s">
        <v>4506</v>
      </c>
      <c r="C2418" s="5" t="s">
        <v>7</v>
      </c>
      <c r="F2418" s="5" t="s">
        <v>4507</v>
      </c>
      <c r="G2418" s="5">
        <f t="shared" si="64"/>
        <v>24478</v>
      </c>
      <c r="I2418" s="6" t="str">
        <f t="shared" si="65"/>
        <v>0</v>
      </c>
      <c r="K2418" s="21" t="s">
        <v>4508</v>
      </c>
    </row>
    <row r="2419" spans="1:11" x14ac:dyDescent="0.2">
      <c r="A2419" t="s">
        <v>1487</v>
      </c>
      <c r="B2419" t="s">
        <v>4509</v>
      </c>
      <c r="C2419" s="5" t="s">
        <v>7</v>
      </c>
      <c r="F2419" s="5" t="s">
        <v>4510</v>
      </c>
      <c r="G2419" s="5">
        <f t="shared" si="64"/>
        <v>24486</v>
      </c>
      <c r="I2419" s="6" t="str">
        <f t="shared" si="65"/>
        <v>0</v>
      </c>
      <c r="K2419" s="21" t="s">
        <v>4511</v>
      </c>
    </row>
    <row r="2420" spans="1:11" x14ac:dyDescent="0.2">
      <c r="A2420" t="s">
        <v>1557</v>
      </c>
      <c r="B2420" t="s">
        <v>4512</v>
      </c>
      <c r="C2420" s="5" t="s">
        <v>7</v>
      </c>
      <c r="F2420" s="5" t="s">
        <v>4513</v>
      </c>
      <c r="G2420" s="5">
        <f t="shared" si="64"/>
        <v>25794</v>
      </c>
      <c r="I2420" s="6" t="str">
        <f t="shared" si="65"/>
        <v>0</v>
      </c>
      <c r="K2420" s="21" t="s">
        <v>4514</v>
      </c>
    </row>
    <row r="2421" spans="1:11" x14ac:dyDescent="0.2">
      <c r="A2421" t="s">
        <v>1563</v>
      </c>
      <c r="B2421" t="s">
        <v>4515</v>
      </c>
      <c r="C2421" s="5" t="s">
        <v>7</v>
      </c>
      <c r="F2421" s="5" t="s">
        <v>4516</v>
      </c>
      <c r="G2421" s="5">
        <f t="shared" si="64"/>
        <v>25938</v>
      </c>
      <c r="I2421" s="6" t="str">
        <f t="shared" si="65"/>
        <v>0</v>
      </c>
      <c r="K2421" s="21" t="s">
        <v>4517</v>
      </c>
    </row>
    <row r="2422" spans="1:11" x14ac:dyDescent="0.2">
      <c r="A2422" t="s">
        <v>1566</v>
      </c>
      <c r="B2422" t="s">
        <v>4518</v>
      </c>
      <c r="C2422" s="5" t="s">
        <v>7</v>
      </c>
      <c r="F2422" s="5" t="s">
        <v>4519</v>
      </c>
      <c r="G2422" s="5">
        <f t="shared" si="64"/>
        <v>26004</v>
      </c>
      <c r="I2422" s="6" t="str">
        <f t="shared" si="65"/>
        <v>0</v>
      </c>
      <c r="K2422" s="21" t="s">
        <v>4520</v>
      </c>
    </row>
    <row r="2423" spans="1:11" x14ac:dyDescent="0.2">
      <c r="A2423" t="s">
        <v>2568</v>
      </c>
      <c r="B2423" t="s">
        <v>4521</v>
      </c>
      <c r="C2423" s="5" t="s">
        <v>7</v>
      </c>
      <c r="F2423" s="5" t="s">
        <v>4522</v>
      </c>
      <c r="G2423" s="5">
        <f t="shared" si="64"/>
        <v>49714</v>
      </c>
      <c r="I2423" s="6" t="str">
        <f t="shared" si="65"/>
        <v>0</v>
      </c>
      <c r="K2423" s="21" t="s">
        <v>4523</v>
      </c>
    </row>
    <row r="2424" spans="1:11" x14ac:dyDescent="0.2">
      <c r="A2424" t="s">
        <v>2570</v>
      </c>
      <c r="B2424" t="s">
        <v>4524</v>
      </c>
      <c r="C2424" s="5" t="s">
        <v>7</v>
      </c>
      <c r="F2424" s="5" t="s">
        <v>4525</v>
      </c>
      <c r="G2424" s="5">
        <f t="shared" si="64"/>
        <v>49746</v>
      </c>
      <c r="I2424" s="6" t="str">
        <f t="shared" si="65"/>
        <v>0</v>
      </c>
      <c r="K2424" s="21" t="s">
        <v>4526</v>
      </c>
    </row>
    <row r="2425" spans="1:11" x14ac:dyDescent="0.2">
      <c r="A2425" t="s">
        <v>2571</v>
      </c>
      <c r="B2425" t="s">
        <v>4527</v>
      </c>
      <c r="C2425" s="5" t="s">
        <v>7</v>
      </c>
      <c r="F2425" s="5" t="s">
        <v>4528</v>
      </c>
      <c r="G2425" s="5">
        <f t="shared" si="64"/>
        <v>49762</v>
      </c>
      <c r="I2425" s="6" t="str">
        <f t="shared" si="65"/>
        <v>0</v>
      </c>
      <c r="K2425" s="21" t="s">
        <v>4529</v>
      </c>
    </row>
    <row r="2426" spans="1:11" x14ac:dyDescent="0.2">
      <c r="A2426" t="s">
        <v>1390</v>
      </c>
      <c r="B2426" t="s">
        <v>4530</v>
      </c>
      <c r="C2426" s="5" t="s">
        <v>7</v>
      </c>
      <c r="F2426" s="5" t="s">
        <v>4531</v>
      </c>
      <c r="G2426" s="5">
        <f t="shared" si="64"/>
        <v>22478</v>
      </c>
      <c r="I2426" s="6" t="str">
        <f t="shared" si="65"/>
        <v>0</v>
      </c>
      <c r="K2426" s="21" t="s">
        <v>4532</v>
      </c>
    </row>
    <row r="2427" spans="1:11" x14ac:dyDescent="0.2">
      <c r="A2427" t="s">
        <v>783</v>
      </c>
      <c r="B2427" t="s">
        <v>4115</v>
      </c>
      <c r="G2427" s="5" t="str">
        <f t="shared" si="64"/>
        <v/>
      </c>
      <c r="I2427" s="6" t="str">
        <f t="shared" si="65"/>
        <v>0</v>
      </c>
      <c r="K2427" s="21" t="s">
        <v>4116</v>
      </c>
    </row>
    <row r="2428" spans="1:11" x14ac:dyDescent="0.2">
      <c r="A2428" t="s">
        <v>784</v>
      </c>
      <c r="B2428" t="s">
        <v>4117</v>
      </c>
      <c r="G2428" s="5" t="str">
        <f t="shared" si="64"/>
        <v/>
      </c>
      <c r="I2428" s="6" t="str">
        <f t="shared" si="65"/>
        <v>0</v>
      </c>
      <c r="K2428" s="21" t="s">
        <v>4118</v>
      </c>
    </row>
    <row r="2429" spans="1:11" x14ac:dyDescent="0.2">
      <c r="A2429" t="s">
        <v>3067</v>
      </c>
      <c r="B2429" t="s">
        <v>4119</v>
      </c>
      <c r="G2429" s="5" t="str">
        <f t="shared" si="64"/>
        <v/>
      </c>
      <c r="I2429" s="6" t="str">
        <f t="shared" si="65"/>
        <v>0</v>
      </c>
      <c r="K2429" s="21" t="s">
        <v>4120</v>
      </c>
    </row>
    <row r="2430" spans="1:11" x14ac:dyDescent="0.2">
      <c r="A2430" t="s">
        <v>794</v>
      </c>
      <c r="B2430" t="s">
        <v>4121</v>
      </c>
      <c r="G2430" s="5" t="str">
        <f t="shared" si="64"/>
        <v/>
      </c>
      <c r="I2430" s="6" t="str">
        <f t="shared" si="65"/>
        <v>0</v>
      </c>
      <c r="K2430" s="21" t="s">
        <v>4122</v>
      </c>
    </row>
    <row r="2431" spans="1:11" x14ac:dyDescent="0.2">
      <c r="A2431" t="s">
        <v>795</v>
      </c>
      <c r="B2431" t="s">
        <v>4123</v>
      </c>
      <c r="G2431" s="5" t="str">
        <f t="shared" si="64"/>
        <v/>
      </c>
      <c r="I2431" s="6" t="str">
        <f t="shared" si="65"/>
        <v>0</v>
      </c>
      <c r="K2431" s="21" t="s">
        <v>4124</v>
      </c>
    </row>
    <row r="2432" spans="1:11" x14ac:dyDescent="0.2">
      <c r="A2432" t="s">
        <v>798</v>
      </c>
      <c r="B2432" t="s">
        <v>4125</v>
      </c>
      <c r="G2432" s="5" t="str">
        <f t="shared" si="64"/>
        <v/>
      </c>
      <c r="I2432" s="6" t="str">
        <f t="shared" si="65"/>
        <v>0</v>
      </c>
      <c r="K2432" s="21" t="s">
        <v>4126</v>
      </c>
    </row>
    <row r="2433" spans="1:11" x14ac:dyDescent="0.2">
      <c r="A2433" t="s">
        <v>799</v>
      </c>
      <c r="B2433" t="s">
        <v>4127</v>
      </c>
      <c r="G2433" s="5" t="str">
        <f t="shared" si="64"/>
        <v/>
      </c>
      <c r="I2433" s="6" t="str">
        <f t="shared" si="65"/>
        <v>0</v>
      </c>
      <c r="K2433" s="21" t="s">
        <v>4128</v>
      </c>
    </row>
    <row r="2434" spans="1:11" x14ac:dyDescent="0.2">
      <c r="A2434" t="s">
        <v>801</v>
      </c>
      <c r="B2434" t="s">
        <v>4129</v>
      </c>
      <c r="G2434" s="5" t="str">
        <f t="shared" si="64"/>
        <v/>
      </c>
      <c r="I2434" s="6" t="str">
        <f t="shared" si="65"/>
        <v>0</v>
      </c>
      <c r="K2434" s="21" t="s">
        <v>4130</v>
      </c>
    </row>
    <row r="2435" spans="1:11" x14ac:dyDescent="0.2">
      <c r="A2435" t="s">
        <v>803</v>
      </c>
      <c r="B2435" t="s">
        <v>4131</v>
      </c>
      <c r="G2435" s="5" t="str">
        <f t="shared" si="64"/>
        <v/>
      </c>
      <c r="I2435" s="6" t="str">
        <f t="shared" si="65"/>
        <v>0</v>
      </c>
      <c r="K2435" s="21" t="s">
        <v>4132</v>
      </c>
    </row>
    <row r="2436" spans="1:11" x14ac:dyDescent="0.2">
      <c r="A2436" t="s">
        <v>805</v>
      </c>
      <c r="B2436" t="s">
        <v>4133</v>
      </c>
      <c r="G2436" s="5" t="str">
        <f t="shared" si="64"/>
        <v/>
      </c>
      <c r="I2436" s="6" t="str">
        <f t="shared" si="65"/>
        <v>0</v>
      </c>
      <c r="K2436" s="21" t="s">
        <v>4134</v>
      </c>
    </row>
    <row r="2437" spans="1:11" x14ac:dyDescent="0.2">
      <c r="A2437" t="s">
        <v>808</v>
      </c>
      <c r="B2437" t="s">
        <v>4135</v>
      </c>
      <c r="G2437" s="5" t="str">
        <f t="shared" si="64"/>
        <v/>
      </c>
      <c r="I2437" s="6" t="str">
        <f t="shared" si="65"/>
        <v>0</v>
      </c>
      <c r="K2437" s="21" t="s">
        <v>4136</v>
      </c>
    </row>
    <row r="2438" spans="1:11" x14ac:dyDescent="0.2">
      <c r="A2438" t="s">
        <v>814</v>
      </c>
      <c r="B2438" t="s">
        <v>4137</v>
      </c>
      <c r="G2438" s="5" t="str">
        <f t="shared" si="64"/>
        <v/>
      </c>
      <c r="I2438" s="6" t="str">
        <f t="shared" si="65"/>
        <v>0</v>
      </c>
      <c r="K2438" s="21" t="s">
        <v>4138</v>
      </c>
    </row>
    <row r="2439" spans="1:11" x14ac:dyDescent="0.2">
      <c r="A2439" t="s">
        <v>3307</v>
      </c>
      <c r="B2439" t="s">
        <v>4139</v>
      </c>
      <c r="G2439" s="5" t="str">
        <f t="shared" si="64"/>
        <v/>
      </c>
      <c r="I2439" s="6" t="str">
        <f t="shared" si="65"/>
        <v>0</v>
      </c>
      <c r="K2439" s="21" t="s">
        <v>4140</v>
      </c>
    </row>
    <row r="2440" spans="1:11" x14ac:dyDescent="0.2">
      <c r="A2440" t="s">
        <v>818</v>
      </c>
      <c r="B2440" t="s">
        <v>4141</v>
      </c>
      <c r="G2440" s="5" t="str">
        <f t="shared" si="64"/>
        <v/>
      </c>
      <c r="I2440" s="6" t="str">
        <f t="shared" si="65"/>
        <v>0</v>
      </c>
      <c r="K2440" s="21" t="s">
        <v>4142</v>
      </c>
    </row>
    <row r="2441" spans="1:11" x14ac:dyDescent="0.2">
      <c r="A2441" t="s">
        <v>293</v>
      </c>
      <c r="B2441" t="s">
        <v>4143</v>
      </c>
      <c r="G2441" s="5" t="str">
        <f t="shared" si="64"/>
        <v/>
      </c>
      <c r="I2441" s="6" t="str">
        <f t="shared" si="65"/>
        <v>0</v>
      </c>
      <c r="K2441" s="21" t="s">
        <v>4144</v>
      </c>
    </row>
    <row r="2442" spans="1:11" x14ac:dyDescent="0.2">
      <c r="A2442" t="s">
        <v>297</v>
      </c>
      <c r="B2442" t="s">
        <v>4145</v>
      </c>
      <c r="G2442" s="5" t="str">
        <f t="shared" si="64"/>
        <v/>
      </c>
      <c r="I2442" s="6" t="str">
        <f t="shared" si="65"/>
        <v>0</v>
      </c>
      <c r="K2442" s="21" t="s">
        <v>4146</v>
      </c>
    </row>
    <row r="2443" spans="1:11" x14ac:dyDescent="0.2">
      <c r="A2443" t="s">
        <v>300</v>
      </c>
      <c r="B2443" t="s">
        <v>4147</v>
      </c>
      <c r="G2443" s="5" t="str">
        <f t="shared" ref="G2443:G2506" si="66">IF(F2443&lt;&gt;"",HEX2DEC(SUBSTITUTE(SUBSTITUTE(F2443,"adrEA",""),"$","")),"")</f>
        <v/>
      </c>
      <c r="I2443" s="6" t="str">
        <f t="shared" si="65"/>
        <v>0</v>
      </c>
      <c r="K2443" s="21" t="s">
        <v>4148</v>
      </c>
    </row>
    <row r="2444" spans="1:11" x14ac:dyDescent="0.2">
      <c r="A2444" t="s">
        <v>823</v>
      </c>
      <c r="B2444" t="s">
        <v>4149</v>
      </c>
      <c r="G2444" s="5" t="str">
        <f t="shared" si="66"/>
        <v/>
      </c>
      <c r="I2444" s="6" t="str">
        <f t="shared" si="65"/>
        <v>0</v>
      </c>
      <c r="K2444" s="21" t="s">
        <v>4150</v>
      </c>
    </row>
    <row r="2445" spans="1:11" x14ac:dyDescent="0.2">
      <c r="A2445" t="s">
        <v>833</v>
      </c>
      <c r="B2445" t="s">
        <v>4151</v>
      </c>
      <c r="G2445" s="5" t="str">
        <f t="shared" si="66"/>
        <v/>
      </c>
      <c r="I2445" s="6" t="str">
        <f t="shared" si="65"/>
        <v>0</v>
      </c>
      <c r="K2445" s="21" t="s">
        <v>4152</v>
      </c>
    </row>
    <row r="2446" spans="1:11" x14ac:dyDescent="0.2">
      <c r="A2446" t="s">
        <v>834</v>
      </c>
      <c r="B2446" t="s">
        <v>4153</v>
      </c>
      <c r="G2446" s="5" t="str">
        <f t="shared" si="66"/>
        <v/>
      </c>
      <c r="I2446" s="6" t="str">
        <f t="shared" si="65"/>
        <v>0</v>
      </c>
      <c r="K2446" s="21" t="s">
        <v>4154</v>
      </c>
    </row>
    <row r="2447" spans="1:11" x14ac:dyDescent="0.2">
      <c r="A2447" t="s">
        <v>836</v>
      </c>
      <c r="B2447" t="s">
        <v>4155</v>
      </c>
      <c r="G2447" s="5" t="str">
        <f t="shared" si="66"/>
        <v/>
      </c>
      <c r="I2447" s="6" t="str">
        <f t="shared" si="65"/>
        <v>0</v>
      </c>
      <c r="K2447" s="21" t="s">
        <v>4156</v>
      </c>
    </row>
    <row r="2448" spans="1:11" x14ac:dyDescent="0.2">
      <c r="A2448" t="s">
        <v>837</v>
      </c>
      <c r="B2448" t="s">
        <v>4157</v>
      </c>
      <c r="G2448" s="5" t="str">
        <f t="shared" si="66"/>
        <v/>
      </c>
      <c r="I2448" s="6" t="str">
        <f t="shared" si="65"/>
        <v>0</v>
      </c>
      <c r="K2448" s="21" t="s">
        <v>4158</v>
      </c>
    </row>
    <row r="2449" spans="1:11" x14ac:dyDescent="0.2">
      <c r="A2449" t="s">
        <v>838</v>
      </c>
      <c r="B2449" t="s">
        <v>4159</v>
      </c>
      <c r="G2449" s="5" t="str">
        <f t="shared" si="66"/>
        <v/>
      </c>
      <c r="I2449" s="6" t="str">
        <f t="shared" ref="I2449:I2512" si="67">IFERROR(DEC2HEX(H2449),"")</f>
        <v>0</v>
      </c>
      <c r="K2449" s="21" t="s">
        <v>4160</v>
      </c>
    </row>
    <row r="2450" spans="1:11" x14ac:dyDescent="0.2">
      <c r="A2450" t="s">
        <v>839</v>
      </c>
      <c r="B2450" t="s">
        <v>4161</v>
      </c>
      <c r="G2450" s="5" t="str">
        <f t="shared" si="66"/>
        <v/>
      </c>
      <c r="I2450" s="6" t="str">
        <f t="shared" si="67"/>
        <v>0</v>
      </c>
      <c r="K2450" s="21" t="s">
        <v>4162</v>
      </c>
    </row>
    <row r="2451" spans="1:11" x14ac:dyDescent="0.2">
      <c r="A2451" t="s">
        <v>840</v>
      </c>
      <c r="B2451" t="s">
        <v>4163</v>
      </c>
      <c r="G2451" s="5" t="str">
        <f t="shared" si="66"/>
        <v/>
      </c>
      <c r="I2451" s="6" t="str">
        <f t="shared" si="67"/>
        <v>0</v>
      </c>
      <c r="K2451" s="21" t="s">
        <v>4164</v>
      </c>
    </row>
    <row r="2452" spans="1:11" x14ac:dyDescent="0.2">
      <c r="A2452" t="s">
        <v>4165</v>
      </c>
      <c r="B2452" t="s">
        <v>4166</v>
      </c>
      <c r="G2452" s="5" t="str">
        <f t="shared" si="66"/>
        <v/>
      </c>
      <c r="I2452" s="6" t="str">
        <f t="shared" si="67"/>
        <v>0</v>
      </c>
      <c r="K2452" s="21" t="s">
        <v>4167</v>
      </c>
    </row>
    <row r="2453" spans="1:11" x14ac:dyDescent="0.2">
      <c r="A2453" t="s">
        <v>841</v>
      </c>
      <c r="B2453" t="s">
        <v>4168</v>
      </c>
      <c r="G2453" s="5" t="str">
        <f t="shared" si="66"/>
        <v/>
      </c>
      <c r="I2453" s="6" t="str">
        <f t="shared" si="67"/>
        <v>0</v>
      </c>
      <c r="K2453" s="21" t="s">
        <v>4169</v>
      </c>
    </row>
    <row r="2454" spans="1:11" x14ac:dyDescent="0.2">
      <c r="A2454" t="s">
        <v>842</v>
      </c>
      <c r="B2454" t="s">
        <v>4170</v>
      </c>
      <c r="G2454" s="5" t="str">
        <f t="shared" si="66"/>
        <v/>
      </c>
      <c r="I2454" s="6" t="str">
        <f t="shared" si="67"/>
        <v>0</v>
      </c>
      <c r="K2454" s="21" t="s">
        <v>4171</v>
      </c>
    </row>
    <row r="2455" spans="1:11" x14ac:dyDescent="0.2">
      <c r="A2455" t="s">
        <v>843</v>
      </c>
      <c r="B2455" t="s">
        <v>4172</v>
      </c>
      <c r="G2455" s="5" t="str">
        <f t="shared" si="66"/>
        <v/>
      </c>
      <c r="I2455" s="6" t="str">
        <f t="shared" si="67"/>
        <v>0</v>
      </c>
      <c r="K2455" s="21" t="s">
        <v>4173</v>
      </c>
    </row>
    <row r="2456" spans="1:11" x14ac:dyDescent="0.2">
      <c r="A2456" t="s">
        <v>844</v>
      </c>
      <c r="B2456" t="s">
        <v>4174</v>
      </c>
      <c r="G2456" s="5" t="str">
        <f t="shared" si="66"/>
        <v/>
      </c>
      <c r="I2456" s="6" t="str">
        <f t="shared" si="67"/>
        <v>0</v>
      </c>
      <c r="K2456" s="21" t="s">
        <v>4175</v>
      </c>
    </row>
    <row r="2457" spans="1:11" x14ac:dyDescent="0.2">
      <c r="A2457" t="s">
        <v>845</v>
      </c>
      <c r="B2457" t="s">
        <v>4176</v>
      </c>
      <c r="G2457" s="5" t="str">
        <f t="shared" si="66"/>
        <v/>
      </c>
      <c r="I2457" s="6" t="str">
        <f t="shared" si="67"/>
        <v>0</v>
      </c>
      <c r="K2457" s="21" t="s">
        <v>4177</v>
      </c>
    </row>
    <row r="2458" spans="1:11" x14ac:dyDescent="0.2">
      <c r="A2458" t="s">
        <v>846</v>
      </c>
      <c r="B2458" t="s">
        <v>4178</v>
      </c>
      <c r="G2458" s="5" t="str">
        <f t="shared" si="66"/>
        <v/>
      </c>
      <c r="I2458" s="6" t="str">
        <f t="shared" si="67"/>
        <v>0</v>
      </c>
      <c r="K2458" s="21" t="s">
        <v>4179</v>
      </c>
    </row>
    <row r="2459" spans="1:11" x14ac:dyDescent="0.2">
      <c r="A2459" t="s">
        <v>847</v>
      </c>
      <c r="B2459" t="s">
        <v>4180</v>
      </c>
      <c r="G2459" s="5" t="str">
        <f t="shared" si="66"/>
        <v/>
      </c>
      <c r="I2459" s="6" t="str">
        <f t="shared" si="67"/>
        <v>0</v>
      </c>
      <c r="K2459" s="21" t="s">
        <v>4181</v>
      </c>
    </row>
    <row r="2460" spans="1:11" x14ac:dyDescent="0.2">
      <c r="A2460" t="s">
        <v>848</v>
      </c>
      <c r="B2460" t="s">
        <v>4182</v>
      </c>
      <c r="G2460" s="5" t="str">
        <f t="shared" si="66"/>
        <v/>
      </c>
      <c r="I2460" s="6" t="str">
        <f t="shared" si="67"/>
        <v>0</v>
      </c>
      <c r="K2460" s="21" t="s">
        <v>4183</v>
      </c>
    </row>
    <row r="2461" spans="1:11" x14ac:dyDescent="0.2">
      <c r="A2461" t="s">
        <v>3306</v>
      </c>
      <c r="B2461" t="s">
        <v>4184</v>
      </c>
      <c r="G2461" s="5" t="str">
        <f t="shared" si="66"/>
        <v/>
      </c>
      <c r="I2461" s="6" t="str">
        <f t="shared" si="67"/>
        <v>0</v>
      </c>
      <c r="K2461" s="21" t="s">
        <v>4185</v>
      </c>
    </row>
    <row r="2462" spans="1:11" x14ac:dyDescent="0.2">
      <c r="A2462" t="s">
        <v>850</v>
      </c>
      <c r="B2462" t="s">
        <v>4186</v>
      </c>
      <c r="G2462" s="5" t="str">
        <f t="shared" si="66"/>
        <v/>
      </c>
      <c r="I2462" s="6" t="str">
        <f t="shared" si="67"/>
        <v>0</v>
      </c>
      <c r="K2462" s="21" t="s">
        <v>4187</v>
      </c>
    </row>
    <row r="2463" spans="1:11" x14ac:dyDescent="0.2">
      <c r="A2463" t="s">
        <v>3308</v>
      </c>
      <c r="B2463" t="s">
        <v>4188</v>
      </c>
      <c r="G2463" s="5" t="str">
        <f t="shared" si="66"/>
        <v/>
      </c>
      <c r="I2463" s="6" t="str">
        <f t="shared" si="67"/>
        <v>0</v>
      </c>
      <c r="K2463" s="21" t="s">
        <v>4189</v>
      </c>
    </row>
    <row r="2464" spans="1:11" x14ac:dyDescent="0.2">
      <c r="A2464" t="s">
        <v>296</v>
      </c>
      <c r="B2464" t="s">
        <v>4190</v>
      </c>
      <c r="G2464" s="5" t="str">
        <f t="shared" si="66"/>
        <v/>
      </c>
      <c r="I2464" s="6" t="str">
        <f t="shared" si="67"/>
        <v>0</v>
      </c>
      <c r="K2464" s="21" t="s">
        <v>4191</v>
      </c>
    </row>
    <row r="2465" spans="1:11" x14ac:dyDescent="0.2">
      <c r="A2465" t="s">
        <v>876</v>
      </c>
      <c r="B2465" t="s">
        <v>4192</v>
      </c>
      <c r="G2465" s="5" t="str">
        <f t="shared" si="66"/>
        <v/>
      </c>
      <c r="I2465" s="6" t="str">
        <f t="shared" si="67"/>
        <v>0</v>
      </c>
      <c r="K2465" s="21" t="s">
        <v>4193</v>
      </c>
    </row>
    <row r="2466" spans="1:11" x14ac:dyDescent="0.2">
      <c r="A2466" t="s">
        <v>882</v>
      </c>
      <c r="B2466" t="s">
        <v>4194</v>
      </c>
      <c r="G2466" s="5" t="str">
        <f t="shared" si="66"/>
        <v/>
      </c>
      <c r="I2466" s="6" t="str">
        <f t="shared" si="67"/>
        <v>0</v>
      </c>
      <c r="K2466" s="21" t="s">
        <v>4195</v>
      </c>
    </row>
    <row r="2467" spans="1:11" x14ac:dyDescent="0.2">
      <c r="A2467" t="s">
        <v>886</v>
      </c>
      <c r="B2467" t="s">
        <v>4196</v>
      </c>
      <c r="G2467" s="5" t="str">
        <f t="shared" si="66"/>
        <v/>
      </c>
      <c r="I2467" s="6" t="str">
        <f t="shared" si="67"/>
        <v>0</v>
      </c>
      <c r="K2467" s="21" t="s">
        <v>4197</v>
      </c>
    </row>
    <row r="2468" spans="1:11" x14ac:dyDescent="0.2">
      <c r="A2468" t="s">
        <v>887</v>
      </c>
      <c r="B2468" t="s">
        <v>4198</v>
      </c>
      <c r="G2468" s="5" t="str">
        <f t="shared" si="66"/>
        <v/>
      </c>
      <c r="I2468" s="6" t="str">
        <f t="shared" si="67"/>
        <v>0</v>
      </c>
      <c r="K2468" s="21" t="s">
        <v>4199</v>
      </c>
    </row>
    <row r="2469" spans="1:11" x14ac:dyDescent="0.2">
      <c r="A2469" t="s">
        <v>888</v>
      </c>
      <c r="B2469" t="s">
        <v>4200</v>
      </c>
      <c r="G2469" s="5" t="str">
        <f t="shared" si="66"/>
        <v/>
      </c>
      <c r="I2469" s="6" t="str">
        <f t="shared" si="67"/>
        <v>0</v>
      </c>
      <c r="K2469" s="21" t="s">
        <v>4201</v>
      </c>
    </row>
    <row r="2470" spans="1:11" x14ac:dyDescent="0.2">
      <c r="A2470" t="s">
        <v>889</v>
      </c>
      <c r="B2470" t="s">
        <v>4202</v>
      </c>
      <c r="G2470" s="5" t="str">
        <f t="shared" si="66"/>
        <v/>
      </c>
      <c r="I2470" s="6" t="str">
        <f t="shared" si="67"/>
        <v>0</v>
      </c>
      <c r="K2470" s="21" t="s">
        <v>4203</v>
      </c>
    </row>
    <row r="2471" spans="1:11" x14ac:dyDescent="0.2">
      <c r="A2471" t="s">
        <v>890</v>
      </c>
      <c r="B2471" t="s">
        <v>4204</v>
      </c>
      <c r="G2471" s="5" t="str">
        <f t="shared" si="66"/>
        <v/>
      </c>
      <c r="I2471" s="6" t="str">
        <f t="shared" si="67"/>
        <v>0</v>
      </c>
      <c r="K2471" s="21" t="s">
        <v>4205</v>
      </c>
    </row>
    <row r="2472" spans="1:11" x14ac:dyDescent="0.2">
      <c r="A2472" t="s">
        <v>891</v>
      </c>
      <c r="B2472" t="s">
        <v>4206</v>
      </c>
      <c r="G2472" s="5" t="str">
        <f t="shared" si="66"/>
        <v/>
      </c>
      <c r="I2472" s="6" t="str">
        <f t="shared" si="67"/>
        <v>0</v>
      </c>
      <c r="K2472" s="21" t="s">
        <v>4207</v>
      </c>
    </row>
    <row r="2473" spans="1:11" x14ac:dyDescent="0.2">
      <c r="A2473" t="s">
        <v>892</v>
      </c>
      <c r="B2473" t="s">
        <v>4208</v>
      </c>
      <c r="G2473" s="5" t="str">
        <f t="shared" si="66"/>
        <v/>
      </c>
      <c r="I2473" s="6" t="str">
        <f t="shared" si="67"/>
        <v>0</v>
      </c>
      <c r="K2473" s="21" t="s">
        <v>4209</v>
      </c>
    </row>
    <row r="2474" spans="1:11" x14ac:dyDescent="0.2">
      <c r="A2474" t="s">
        <v>893</v>
      </c>
      <c r="B2474" t="s">
        <v>4210</v>
      </c>
      <c r="G2474" s="5" t="str">
        <f t="shared" si="66"/>
        <v/>
      </c>
      <c r="I2474" s="6" t="str">
        <f t="shared" si="67"/>
        <v>0</v>
      </c>
      <c r="K2474" s="21" t="s">
        <v>4211</v>
      </c>
    </row>
    <row r="2475" spans="1:11" x14ac:dyDescent="0.2">
      <c r="A2475" t="s">
        <v>894</v>
      </c>
      <c r="B2475" t="s">
        <v>4212</v>
      </c>
      <c r="G2475" s="5" t="str">
        <f t="shared" si="66"/>
        <v/>
      </c>
      <c r="I2475" s="6" t="str">
        <f t="shared" si="67"/>
        <v>0</v>
      </c>
      <c r="K2475" s="21" t="s">
        <v>4213</v>
      </c>
    </row>
    <row r="2476" spans="1:11" x14ac:dyDescent="0.2">
      <c r="A2476" t="s">
        <v>895</v>
      </c>
      <c r="B2476" t="s">
        <v>4214</v>
      </c>
      <c r="G2476" s="5" t="str">
        <f t="shared" si="66"/>
        <v/>
      </c>
      <c r="I2476" s="6" t="str">
        <f t="shared" si="67"/>
        <v>0</v>
      </c>
      <c r="K2476" s="21" t="s">
        <v>4215</v>
      </c>
    </row>
    <row r="2477" spans="1:11" x14ac:dyDescent="0.2">
      <c r="A2477" t="s">
        <v>900</v>
      </c>
      <c r="B2477" t="s">
        <v>4216</v>
      </c>
      <c r="G2477" s="5" t="str">
        <f t="shared" si="66"/>
        <v/>
      </c>
      <c r="I2477" s="6" t="str">
        <f t="shared" si="67"/>
        <v>0</v>
      </c>
      <c r="K2477" s="21" t="s">
        <v>4217</v>
      </c>
    </row>
    <row r="2478" spans="1:11" x14ac:dyDescent="0.2">
      <c r="A2478" t="s">
        <v>903</v>
      </c>
      <c r="B2478" t="s">
        <v>4218</v>
      </c>
      <c r="G2478" s="5" t="str">
        <f t="shared" si="66"/>
        <v/>
      </c>
      <c r="I2478" s="6" t="str">
        <f t="shared" si="67"/>
        <v>0</v>
      </c>
      <c r="K2478" s="21" t="s">
        <v>4219</v>
      </c>
    </row>
    <row r="2479" spans="1:11" x14ac:dyDescent="0.2">
      <c r="A2479" t="s">
        <v>904</v>
      </c>
      <c r="B2479" t="s">
        <v>4220</v>
      </c>
      <c r="G2479" s="5" t="str">
        <f t="shared" si="66"/>
        <v/>
      </c>
      <c r="I2479" s="6" t="str">
        <f t="shared" si="67"/>
        <v>0</v>
      </c>
      <c r="K2479" s="21" t="s">
        <v>4221</v>
      </c>
    </row>
    <row r="2480" spans="1:11" x14ac:dyDescent="0.2">
      <c r="A2480" t="s">
        <v>911</v>
      </c>
      <c r="B2480" t="s">
        <v>4222</v>
      </c>
      <c r="G2480" s="5" t="str">
        <f t="shared" si="66"/>
        <v/>
      </c>
      <c r="I2480" s="6" t="str">
        <f t="shared" si="67"/>
        <v>0</v>
      </c>
      <c r="K2480" s="21" t="s">
        <v>4223</v>
      </c>
    </row>
    <row r="2481" spans="1:11" x14ac:dyDescent="0.2">
      <c r="A2481" t="s">
        <v>913</v>
      </c>
      <c r="B2481" t="s">
        <v>4224</v>
      </c>
      <c r="G2481" s="5" t="str">
        <f t="shared" si="66"/>
        <v/>
      </c>
      <c r="I2481" s="6" t="str">
        <f t="shared" si="67"/>
        <v>0</v>
      </c>
      <c r="K2481" s="21" t="s">
        <v>4225</v>
      </c>
    </row>
    <row r="2482" spans="1:11" x14ac:dyDescent="0.2">
      <c r="A2482" t="s">
        <v>914</v>
      </c>
      <c r="B2482" t="s">
        <v>4226</v>
      </c>
      <c r="G2482" s="5" t="str">
        <f t="shared" si="66"/>
        <v/>
      </c>
      <c r="I2482" s="6" t="str">
        <f t="shared" si="67"/>
        <v>0</v>
      </c>
      <c r="K2482" s="21" t="s">
        <v>4227</v>
      </c>
    </row>
    <row r="2483" spans="1:11" x14ac:dyDescent="0.2">
      <c r="A2483" t="s">
        <v>915</v>
      </c>
      <c r="B2483" t="s">
        <v>4228</v>
      </c>
      <c r="G2483" s="5" t="str">
        <f t="shared" si="66"/>
        <v/>
      </c>
      <c r="I2483" s="6" t="str">
        <f t="shared" si="67"/>
        <v>0</v>
      </c>
      <c r="K2483" s="21" t="s">
        <v>4229</v>
      </c>
    </row>
    <row r="2484" spans="1:11" x14ac:dyDescent="0.2">
      <c r="A2484" t="s">
        <v>916</v>
      </c>
      <c r="B2484" t="s">
        <v>4230</v>
      </c>
      <c r="G2484" s="5" t="str">
        <f t="shared" si="66"/>
        <v/>
      </c>
      <c r="I2484" s="6" t="str">
        <f t="shared" si="67"/>
        <v>0</v>
      </c>
      <c r="K2484" s="21" t="s">
        <v>4231</v>
      </c>
    </row>
    <row r="2485" spans="1:11" x14ac:dyDescent="0.2">
      <c r="A2485" t="s">
        <v>917</v>
      </c>
      <c r="B2485" t="s">
        <v>4232</v>
      </c>
      <c r="G2485" s="5" t="str">
        <f t="shared" si="66"/>
        <v/>
      </c>
      <c r="I2485" s="6" t="str">
        <f t="shared" si="67"/>
        <v>0</v>
      </c>
      <c r="K2485" s="21" t="s">
        <v>4233</v>
      </c>
    </row>
    <row r="2486" spans="1:11" x14ac:dyDescent="0.2">
      <c r="A2486" t="s">
        <v>919</v>
      </c>
      <c r="B2486" t="s">
        <v>4234</v>
      </c>
      <c r="G2486" s="5" t="str">
        <f t="shared" si="66"/>
        <v/>
      </c>
      <c r="I2486" s="6" t="str">
        <f t="shared" si="67"/>
        <v>0</v>
      </c>
      <c r="K2486" s="21" t="s">
        <v>4235</v>
      </c>
    </row>
    <row r="2487" spans="1:11" x14ac:dyDescent="0.2">
      <c r="A2487" t="s">
        <v>920</v>
      </c>
      <c r="B2487" t="s">
        <v>4236</v>
      </c>
      <c r="G2487" s="5" t="str">
        <f t="shared" si="66"/>
        <v/>
      </c>
      <c r="I2487" s="6" t="str">
        <f t="shared" si="67"/>
        <v>0</v>
      </c>
      <c r="K2487" s="21" t="s">
        <v>4237</v>
      </c>
    </row>
    <row r="2488" spans="1:11" x14ac:dyDescent="0.2">
      <c r="A2488" t="s">
        <v>921</v>
      </c>
      <c r="B2488" t="s">
        <v>4238</v>
      </c>
      <c r="G2488" s="5" t="str">
        <f t="shared" si="66"/>
        <v/>
      </c>
      <c r="I2488" s="6" t="str">
        <f t="shared" si="67"/>
        <v>0</v>
      </c>
      <c r="K2488" s="21" t="s">
        <v>4239</v>
      </c>
    </row>
    <row r="2489" spans="1:11" x14ac:dyDescent="0.2">
      <c r="A2489" t="s">
        <v>922</v>
      </c>
      <c r="B2489" t="s">
        <v>4240</v>
      </c>
      <c r="G2489" s="5" t="str">
        <f t="shared" si="66"/>
        <v/>
      </c>
      <c r="I2489" s="6" t="str">
        <f t="shared" si="67"/>
        <v>0</v>
      </c>
      <c r="K2489" s="21" t="s">
        <v>4241</v>
      </c>
    </row>
    <row r="2490" spans="1:11" x14ac:dyDescent="0.2">
      <c r="A2490" t="s">
        <v>923</v>
      </c>
      <c r="B2490" t="s">
        <v>4242</v>
      </c>
      <c r="G2490" s="5" t="str">
        <f t="shared" si="66"/>
        <v/>
      </c>
      <c r="I2490" s="6" t="str">
        <f t="shared" si="67"/>
        <v>0</v>
      </c>
      <c r="K2490" s="21" t="s">
        <v>4243</v>
      </c>
    </row>
    <row r="2491" spans="1:11" x14ac:dyDescent="0.2">
      <c r="A2491" t="s">
        <v>924</v>
      </c>
      <c r="B2491" t="s">
        <v>4244</v>
      </c>
      <c r="G2491" s="5" t="str">
        <f t="shared" si="66"/>
        <v/>
      </c>
      <c r="I2491" s="6" t="str">
        <f t="shared" si="67"/>
        <v>0</v>
      </c>
      <c r="K2491" s="21" t="s">
        <v>4245</v>
      </c>
    </row>
    <row r="2492" spans="1:11" x14ac:dyDescent="0.2">
      <c r="A2492" t="s">
        <v>925</v>
      </c>
      <c r="B2492" t="s">
        <v>4246</v>
      </c>
      <c r="G2492" s="5" t="str">
        <f t="shared" si="66"/>
        <v/>
      </c>
      <c r="I2492" s="6" t="str">
        <f t="shared" si="67"/>
        <v>0</v>
      </c>
      <c r="K2492" s="21" t="s">
        <v>4247</v>
      </c>
    </row>
    <row r="2493" spans="1:11" x14ac:dyDescent="0.2">
      <c r="A2493" t="s">
        <v>926</v>
      </c>
      <c r="B2493" t="s">
        <v>4248</v>
      </c>
      <c r="G2493" s="5" t="str">
        <f t="shared" si="66"/>
        <v/>
      </c>
      <c r="I2493" s="6" t="str">
        <f t="shared" si="67"/>
        <v>0</v>
      </c>
      <c r="K2493" s="21" t="s">
        <v>4249</v>
      </c>
    </row>
    <row r="2494" spans="1:11" x14ac:dyDescent="0.2">
      <c r="A2494" t="s">
        <v>927</v>
      </c>
      <c r="B2494" t="s">
        <v>4250</v>
      </c>
      <c r="G2494" s="5" t="str">
        <f t="shared" si="66"/>
        <v/>
      </c>
      <c r="I2494" s="6" t="str">
        <f t="shared" si="67"/>
        <v>0</v>
      </c>
      <c r="K2494" s="21" t="s">
        <v>4251</v>
      </c>
    </row>
    <row r="2495" spans="1:11" x14ac:dyDescent="0.2">
      <c r="A2495" t="s">
        <v>931</v>
      </c>
      <c r="B2495" t="s">
        <v>4252</v>
      </c>
      <c r="G2495" s="5" t="str">
        <f t="shared" si="66"/>
        <v/>
      </c>
      <c r="I2495" s="6" t="str">
        <f t="shared" si="67"/>
        <v>0</v>
      </c>
      <c r="K2495" s="21" t="s">
        <v>4253</v>
      </c>
    </row>
    <row r="2496" spans="1:11" x14ac:dyDescent="0.2">
      <c r="A2496" t="s">
        <v>934</v>
      </c>
      <c r="B2496" t="s">
        <v>4254</v>
      </c>
      <c r="G2496" s="5" t="str">
        <f t="shared" si="66"/>
        <v/>
      </c>
      <c r="I2496" s="6" t="str">
        <f t="shared" si="67"/>
        <v>0</v>
      </c>
      <c r="K2496" s="21" t="s">
        <v>4255</v>
      </c>
    </row>
    <row r="2497" spans="1:11" x14ac:dyDescent="0.2">
      <c r="A2497" t="s">
        <v>935</v>
      </c>
      <c r="B2497" t="s">
        <v>4256</v>
      </c>
      <c r="G2497" s="5" t="str">
        <f t="shared" si="66"/>
        <v/>
      </c>
      <c r="I2497" s="6" t="str">
        <f t="shared" si="67"/>
        <v>0</v>
      </c>
      <c r="K2497" s="21" t="s">
        <v>4257</v>
      </c>
    </row>
    <row r="2498" spans="1:11" x14ac:dyDescent="0.2">
      <c r="A2498" t="s">
        <v>939</v>
      </c>
      <c r="B2498" t="s">
        <v>4258</v>
      </c>
      <c r="G2498" s="5" t="str">
        <f t="shared" si="66"/>
        <v/>
      </c>
      <c r="I2498" s="6" t="str">
        <f t="shared" si="67"/>
        <v>0</v>
      </c>
      <c r="K2498" s="21" t="s">
        <v>4259</v>
      </c>
    </row>
    <row r="2499" spans="1:11" x14ac:dyDescent="0.2">
      <c r="A2499" t="s">
        <v>941</v>
      </c>
      <c r="B2499" t="s">
        <v>4260</v>
      </c>
      <c r="G2499" s="5" t="str">
        <f t="shared" si="66"/>
        <v/>
      </c>
      <c r="I2499" s="6" t="str">
        <f t="shared" si="67"/>
        <v>0</v>
      </c>
      <c r="K2499" s="21" t="s">
        <v>4261</v>
      </c>
    </row>
    <row r="2500" spans="1:11" x14ac:dyDescent="0.2">
      <c r="A2500" t="s">
        <v>942</v>
      </c>
      <c r="B2500" t="s">
        <v>4262</v>
      </c>
      <c r="G2500" s="5" t="str">
        <f t="shared" si="66"/>
        <v/>
      </c>
      <c r="I2500" s="6" t="str">
        <f t="shared" si="67"/>
        <v>0</v>
      </c>
      <c r="K2500" s="21" t="s">
        <v>4263</v>
      </c>
    </row>
    <row r="2501" spans="1:11" x14ac:dyDescent="0.2">
      <c r="A2501" t="s">
        <v>947</v>
      </c>
      <c r="B2501" t="s">
        <v>4264</v>
      </c>
      <c r="G2501" s="5" t="str">
        <f t="shared" si="66"/>
        <v/>
      </c>
      <c r="I2501" s="6" t="str">
        <f t="shared" si="67"/>
        <v>0</v>
      </c>
      <c r="K2501" s="21" t="s">
        <v>4265</v>
      </c>
    </row>
    <row r="2502" spans="1:11" x14ac:dyDescent="0.2">
      <c r="A2502" t="s">
        <v>950</v>
      </c>
      <c r="B2502" t="s">
        <v>4266</v>
      </c>
      <c r="G2502" s="5" t="str">
        <f t="shared" si="66"/>
        <v/>
      </c>
      <c r="I2502" s="6" t="str">
        <f t="shared" si="67"/>
        <v>0</v>
      </c>
      <c r="K2502" s="21" t="s">
        <v>4267</v>
      </c>
    </row>
    <row r="2503" spans="1:11" x14ac:dyDescent="0.2">
      <c r="A2503" t="s">
        <v>958</v>
      </c>
      <c r="B2503" t="s">
        <v>4268</v>
      </c>
      <c r="G2503" s="5" t="str">
        <f t="shared" si="66"/>
        <v/>
      </c>
      <c r="I2503" s="6" t="str">
        <f t="shared" si="67"/>
        <v>0</v>
      </c>
      <c r="K2503" s="21" t="s">
        <v>4269</v>
      </c>
    </row>
    <row r="2504" spans="1:11" x14ac:dyDescent="0.2">
      <c r="A2504" t="s">
        <v>960</v>
      </c>
      <c r="B2504" t="s">
        <v>4270</v>
      </c>
      <c r="G2504" s="5" t="str">
        <f t="shared" si="66"/>
        <v/>
      </c>
      <c r="I2504" s="6" t="str">
        <f t="shared" si="67"/>
        <v>0</v>
      </c>
      <c r="K2504" s="21" t="s">
        <v>4271</v>
      </c>
    </row>
    <row r="2505" spans="1:11" x14ac:dyDescent="0.2">
      <c r="A2505" t="s">
        <v>961</v>
      </c>
      <c r="B2505" t="s">
        <v>4272</v>
      </c>
      <c r="G2505" s="5" t="str">
        <f t="shared" si="66"/>
        <v/>
      </c>
      <c r="I2505" s="6" t="str">
        <f t="shared" si="67"/>
        <v>0</v>
      </c>
      <c r="K2505" s="21" t="s">
        <v>4273</v>
      </c>
    </row>
    <row r="2506" spans="1:11" x14ac:dyDescent="0.2">
      <c r="A2506" t="s">
        <v>962</v>
      </c>
      <c r="B2506" t="s">
        <v>4274</v>
      </c>
      <c r="G2506" s="5" t="str">
        <f t="shared" si="66"/>
        <v/>
      </c>
      <c r="I2506" s="6" t="str">
        <f t="shared" si="67"/>
        <v>0</v>
      </c>
      <c r="K2506" s="21" t="s">
        <v>4275</v>
      </c>
    </row>
    <row r="2507" spans="1:11" x14ac:dyDescent="0.2">
      <c r="A2507" t="s">
        <v>963</v>
      </c>
      <c r="B2507" t="s">
        <v>4276</v>
      </c>
      <c r="G2507" s="5" t="str">
        <f t="shared" ref="G2507:G2570" si="68">IF(F2507&lt;&gt;"",HEX2DEC(SUBSTITUTE(SUBSTITUTE(F2507,"adrEA",""),"$","")),"")</f>
        <v/>
      </c>
      <c r="I2507" s="6" t="str">
        <f t="shared" si="67"/>
        <v>0</v>
      </c>
      <c r="K2507" s="21" t="s">
        <v>4277</v>
      </c>
    </row>
    <row r="2508" spans="1:11" x14ac:dyDescent="0.2">
      <c r="A2508" t="s">
        <v>964</v>
      </c>
      <c r="B2508" t="s">
        <v>4278</v>
      </c>
      <c r="G2508" s="5" t="str">
        <f t="shared" si="68"/>
        <v/>
      </c>
      <c r="I2508" s="6" t="str">
        <f t="shared" si="67"/>
        <v>0</v>
      </c>
      <c r="K2508" s="21" t="s">
        <v>4279</v>
      </c>
    </row>
    <row r="2509" spans="1:11" x14ac:dyDescent="0.2">
      <c r="A2509" t="s">
        <v>965</v>
      </c>
      <c r="B2509" t="s">
        <v>4280</v>
      </c>
      <c r="G2509" s="5" t="str">
        <f t="shared" si="68"/>
        <v/>
      </c>
      <c r="I2509" s="6" t="str">
        <f t="shared" si="67"/>
        <v>0</v>
      </c>
      <c r="K2509" s="21" t="s">
        <v>4281</v>
      </c>
    </row>
    <row r="2510" spans="1:11" x14ac:dyDescent="0.2">
      <c r="A2510" t="s">
        <v>4282</v>
      </c>
      <c r="B2510" t="s">
        <v>4283</v>
      </c>
      <c r="G2510" s="5" t="str">
        <f t="shared" si="68"/>
        <v/>
      </c>
      <c r="I2510" s="6" t="str">
        <f t="shared" si="67"/>
        <v>0</v>
      </c>
      <c r="K2510" s="21" t="s">
        <v>4284</v>
      </c>
    </row>
    <row r="2511" spans="1:11" x14ac:dyDescent="0.2">
      <c r="A2511" t="s">
        <v>966</v>
      </c>
      <c r="B2511" t="s">
        <v>4285</v>
      </c>
      <c r="G2511" s="5" t="str">
        <f t="shared" si="68"/>
        <v/>
      </c>
      <c r="I2511" s="6" t="str">
        <f t="shared" si="67"/>
        <v>0</v>
      </c>
      <c r="K2511" s="21" t="s">
        <v>4286</v>
      </c>
    </row>
    <row r="2512" spans="1:11" x14ac:dyDescent="0.2">
      <c r="A2512" t="s">
        <v>967</v>
      </c>
      <c r="B2512" t="s">
        <v>4287</v>
      </c>
      <c r="G2512" s="5" t="str">
        <f t="shared" si="68"/>
        <v/>
      </c>
      <c r="I2512" s="6" t="str">
        <f t="shared" si="67"/>
        <v>0</v>
      </c>
      <c r="K2512" s="21" t="s">
        <v>4288</v>
      </c>
    </row>
    <row r="2513" spans="1:11" x14ac:dyDescent="0.2">
      <c r="A2513" t="s">
        <v>968</v>
      </c>
      <c r="B2513" t="s">
        <v>4289</v>
      </c>
      <c r="G2513" s="5" t="str">
        <f t="shared" si="68"/>
        <v/>
      </c>
      <c r="I2513" s="6" t="str">
        <f t="shared" ref="I2513:I2576" si="69">IFERROR(DEC2HEX(H2513),"")</f>
        <v>0</v>
      </c>
      <c r="K2513" s="21" t="s">
        <v>4290</v>
      </c>
    </row>
    <row r="2514" spans="1:11" x14ac:dyDescent="0.2">
      <c r="A2514" t="s">
        <v>969</v>
      </c>
      <c r="B2514" t="s">
        <v>4291</v>
      </c>
      <c r="G2514" s="5" t="str">
        <f t="shared" si="68"/>
        <v/>
      </c>
      <c r="I2514" s="6" t="str">
        <f t="shared" si="69"/>
        <v>0</v>
      </c>
      <c r="K2514" s="21" t="s">
        <v>4292</v>
      </c>
    </row>
    <row r="2515" spans="1:11" x14ac:dyDescent="0.2">
      <c r="A2515" t="s">
        <v>970</v>
      </c>
      <c r="B2515" t="s">
        <v>4293</v>
      </c>
      <c r="G2515" s="5" t="str">
        <f t="shared" si="68"/>
        <v/>
      </c>
      <c r="I2515" s="6" t="str">
        <f t="shared" si="69"/>
        <v>0</v>
      </c>
      <c r="K2515" s="21" t="s">
        <v>4294</v>
      </c>
    </row>
    <row r="2516" spans="1:11" x14ac:dyDescent="0.2">
      <c r="A2516" t="s">
        <v>971</v>
      </c>
      <c r="B2516" t="s">
        <v>4295</v>
      </c>
      <c r="G2516" s="5" t="str">
        <f t="shared" si="68"/>
        <v/>
      </c>
      <c r="I2516" s="6" t="str">
        <f t="shared" si="69"/>
        <v>0</v>
      </c>
      <c r="K2516" s="21" t="s">
        <v>4296</v>
      </c>
    </row>
    <row r="2517" spans="1:11" x14ac:dyDescent="0.2">
      <c r="A2517" t="s">
        <v>972</v>
      </c>
      <c r="B2517" t="s">
        <v>4297</v>
      </c>
      <c r="G2517" s="5" t="str">
        <f t="shared" si="68"/>
        <v/>
      </c>
      <c r="I2517" s="6" t="str">
        <f t="shared" si="69"/>
        <v>0</v>
      </c>
      <c r="K2517" s="21" t="s">
        <v>4298</v>
      </c>
    </row>
    <row r="2518" spans="1:11" x14ac:dyDescent="0.2">
      <c r="A2518" t="s">
        <v>973</v>
      </c>
      <c r="B2518" t="s">
        <v>4299</v>
      </c>
      <c r="G2518" s="5" t="str">
        <f t="shared" si="68"/>
        <v/>
      </c>
      <c r="I2518" s="6" t="str">
        <f t="shared" si="69"/>
        <v>0</v>
      </c>
      <c r="K2518" s="21" t="s">
        <v>4300</v>
      </c>
    </row>
    <row r="2519" spans="1:11" x14ac:dyDescent="0.2">
      <c r="A2519" t="s">
        <v>974</v>
      </c>
      <c r="B2519" t="s">
        <v>4301</v>
      </c>
      <c r="G2519" s="5" t="str">
        <f t="shared" si="68"/>
        <v/>
      </c>
      <c r="I2519" s="6" t="str">
        <f t="shared" si="69"/>
        <v>0</v>
      </c>
      <c r="K2519" s="21" t="s">
        <v>4302</v>
      </c>
    </row>
    <row r="2520" spans="1:11" x14ac:dyDescent="0.2">
      <c r="A2520" t="s">
        <v>975</v>
      </c>
      <c r="B2520" t="s">
        <v>4303</v>
      </c>
      <c r="G2520" s="5" t="str">
        <f t="shared" si="68"/>
        <v/>
      </c>
      <c r="I2520" s="6" t="str">
        <f t="shared" si="69"/>
        <v>0</v>
      </c>
      <c r="K2520" s="21" t="s">
        <v>4304</v>
      </c>
    </row>
    <row r="2521" spans="1:11" x14ac:dyDescent="0.2">
      <c r="A2521" t="s">
        <v>976</v>
      </c>
      <c r="B2521" t="s">
        <v>4305</v>
      </c>
      <c r="G2521" s="5" t="str">
        <f t="shared" si="68"/>
        <v/>
      </c>
      <c r="I2521" s="6" t="str">
        <f t="shared" si="69"/>
        <v>0</v>
      </c>
      <c r="K2521" s="21" t="s">
        <v>4306</v>
      </c>
    </row>
    <row r="2522" spans="1:11" x14ac:dyDescent="0.2">
      <c r="A2522" t="s">
        <v>977</v>
      </c>
      <c r="B2522" t="s">
        <v>4307</v>
      </c>
      <c r="G2522" s="5" t="str">
        <f t="shared" si="68"/>
        <v/>
      </c>
      <c r="I2522" s="6" t="str">
        <f t="shared" si="69"/>
        <v>0</v>
      </c>
      <c r="K2522" s="21" t="s">
        <v>4308</v>
      </c>
    </row>
    <row r="2523" spans="1:11" x14ac:dyDescent="0.2">
      <c r="A2523" t="s">
        <v>978</v>
      </c>
      <c r="B2523" t="s">
        <v>4309</v>
      </c>
      <c r="G2523" s="5" t="str">
        <f t="shared" si="68"/>
        <v/>
      </c>
      <c r="I2523" s="6" t="str">
        <f t="shared" si="69"/>
        <v>0</v>
      </c>
      <c r="K2523" s="21" t="s">
        <v>4310</v>
      </c>
    </row>
    <row r="2524" spans="1:11" x14ac:dyDescent="0.2">
      <c r="A2524" t="s">
        <v>979</v>
      </c>
      <c r="B2524" t="s">
        <v>4311</v>
      </c>
      <c r="G2524" s="5" t="str">
        <f t="shared" si="68"/>
        <v/>
      </c>
      <c r="I2524" s="6" t="str">
        <f t="shared" si="69"/>
        <v>0</v>
      </c>
      <c r="K2524" s="21" t="s">
        <v>4312</v>
      </c>
    </row>
    <row r="2525" spans="1:11" x14ac:dyDescent="0.2">
      <c r="A2525" t="s">
        <v>980</v>
      </c>
      <c r="B2525" t="s">
        <v>4313</v>
      </c>
      <c r="G2525" s="5" t="str">
        <f t="shared" si="68"/>
        <v/>
      </c>
      <c r="I2525" s="6" t="str">
        <f t="shared" si="69"/>
        <v>0</v>
      </c>
      <c r="K2525" s="21" t="s">
        <v>4314</v>
      </c>
    </row>
    <row r="2526" spans="1:11" x14ac:dyDescent="0.2">
      <c r="A2526" t="s">
        <v>981</v>
      </c>
      <c r="B2526" t="s">
        <v>4315</v>
      </c>
      <c r="G2526" s="5" t="str">
        <f t="shared" si="68"/>
        <v/>
      </c>
      <c r="I2526" s="6" t="str">
        <f t="shared" si="69"/>
        <v>0</v>
      </c>
      <c r="K2526" s="21" t="s">
        <v>4316</v>
      </c>
    </row>
    <row r="2527" spans="1:11" x14ac:dyDescent="0.2">
      <c r="A2527" t="s">
        <v>982</v>
      </c>
      <c r="B2527" t="s">
        <v>4317</v>
      </c>
      <c r="G2527" s="5" t="str">
        <f t="shared" si="68"/>
        <v/>
      </c>
      <c r="I2527" s="6" t="str">
        <f t="shared" si="69"/>
        <v>0</v>
      </c>
      <c r="K2527" s="21" t="s">
        <v>4318</v>
      </c>
    </row>
    <row r="2528" spans="1:11" x14ac:dyDescent="0.2">
      <c r="A2528" t="s">
        <v>983</v>
      </c>
      <c r="B2528" t="s">
        <v>4319</v>
      </c>
      <c r="G2528" s="5" t="str">
        <f t="shared" si="68"/>
        <v/>
      </c>
      <c r="I2528" s="6" t="str">
        <f t="shared" si="69"/>
        <v>0</v>
      </c>
      <c r="K2528" s="21" t="s">
        <v>4320</v>
      </c>
    </row>
    <row r="2529" spans="1:11" x14ac:dyDescent="0.2">
      <c r="A2529" t="s">
        <v>984</v>
      </c>
      <c r="B2529" t="s">
        <v>4321</v>
      </c>
      <c r="G2529" s="5" t="str">
        <f t="shared" si="68"/>
        <v/>
      </c>
      <c r="I2529" s="6" t="str">
        <f t="shared" si="69"/>
        <v>0</v>
      </c>
      <c r="K2529" s="21" t="s">
        <v>4322</v>
      </c>
    </row>
    <row r="2530" spans="1:11" x14ac:dyDescent="0.2">
      <c r="A2530" t="s">
        <v>985</v>
      </c>
      <c r="B2530" t="s">
        <v>4323</v>
      </c>
      <c r="G2530" s="5" t="str">
        <f t="shared" si="68"/>
        <v/>
      </c>
      <c r="I2530" s="6" t="str">
        <f t="shared" si="69"/>
        <v>0</v>
      </c>
      <c r="K2530" s="21" t="s">
        <v>4324</v>
      </c>
    </row>
    <row r="2531" spans="1:11" x14ac:dyDescent="0.2">
      <c r="A2531" t="s">
        <v>986</v>
      </c>
      <c r="B2531" t="s">
        <v>4325</v>
      </c>
      <c r="G2531" s="5" t="str">
        <f t="shared" si="68"/>
        <v/>
      </c>
      <c r="I2531" s="6" t="str">
        <f t="shared" si="69"/>
        <v>0</v>
      </c>
      <c r="K2531" s="21" t="s">
        <v>4326</v>
      </c>
    </row>
    <row r="2532" spans="1:11" x14ac:dyDescent="0.2">
      <c r="A2532" t="s">
        <v>987</v>
      </c>
      <c r="B2532" t="s">
        <v>4327</v>
      </c>
      <c r="G2532" s="5" t="str">
        <f t="shared" si="68"/>
        <v/>
      </c>
      <c r="I2532" s="6" t="str">
        <f t="shared" si="69"/>
        <v>0</v>
      </c>
      <c r="K2532" s="21" t="s">
        <v>4328</v>
      </c>
    </row>
    <row r="2533" spans="1:11" x14ac:dyDescent="0.2">
      <c r="A2533" t="s">
        <v>988</v>
      </c>
      <c r="B2533" t="s">
        <v>4329</v>
      </c>
      <c r="G2533" s="5" t="str">
        <f t="shared" si="68"/>
        <v/>
      </c>
      <c r="I2533" s="6" t="str">
        <f t="shared" si="69"/>
        <v>0</v>
      </c>
      <c r="K2533" s="21" t="s">
        <v>4330</v>
      </c>
    </row>
    <row r="2534" spans="1:11" x14ac:dyDescent="0.2">
      <c r="A2534" t="s">
        <v>989</v>
      </c>
      <c r="B2534" t="s">
        <v>4331</v>
      </c>
      <c r="G2534" s="5" t="str">
        <f t="shared" si="68"/>
        <v/>
      </c>
      <c r="I2534" s="6" t="str">
        <f t="shared" si="69"/>
        <v>0</v>
      </c>
      <c r="K2534" s="21" t="s">
        <v>4332</v>
      </c>
    </row>
    <row r="2535" spans="1:11" x14ac:dyDescent="0.2">
      <c r="A2535" t="s">
        <v>990</v>
      </c>
      <c r="B2535" t="s">
        <v>4333</v>
      </c>
      <c r="G2535" s="5" t="str">
        <f t="shared" si="68"/>
        <v/>
      </c>
      <c r="I2535" s="6" t="str">
        <f t="shared" si="69"/>
        <v>0</v>
      </c>
      <c r="K2535" s="21" t="s">
        <v>4334</v>
      </c>
    </row>
    <row r="2536" spans="1:11" x14ac:dyDescent="0.2">
      <c r="A2536" t="s">
        <v>991</v>
      </c>
      <c r="B2536" t="s">
        <v>4335</v>
      </c>
      <c r="G2536" s="5" t="str">
        <f t="shared" si="68"/>
        <v/>
      </c>
      <c r="I2536" s="6" t="str">
        <f t="shared" si="69"/>
        <v>0</v>
      </c>
      <c r="K2536" s="21" t="s">
        <v>4336</v>
      </c>
    </row>
    <row r="2537" spans="1:11" x14ac:dyDescent="0.2">
      <c r="A2537" t="s">
        <v>992</v>
      </c>
      <c r="B2537" t="s">
        <v>4337</v>
      </c>
      <c r="G2537" s="5" t="str">
        <f t="shared" si="68"/>
        <v/>
      </c>
      <c r="I2537" s="6" t="str">
        <f t="shared" si="69"/>
        <v>0</v>
      </c>
      <c r="K2537" s="21" t="s">
        <v>4338</v>
      </c>
    </row>
    <row r="2538" spans="1:11" x14ac:dyDescent="0.2">
      <c r="A2538" t="s">
        <v>993</v>
      </c>
      <c r="B2538" t="s">
        <v>4339</v>
      </c>
      <c r="G2538" s="5" t="str">
        <f t="shared" si="68"/>
        <v/>
      </c>
      <c r="I2538" s="6" t="str">
        <f t="shared" si="69"/>
        <v>0</v>
      </c>
      <c r="K2538" s="21" t="s">
        <v>4340</v>
      </c>
    </row>
    <row r="2539" spans="1:11" x14ac:dyDescent="0.2">
      <c r="A2539" t="s">
        <v>997</v>
      </c>
      <c r="B2539" t="s">
        <v>4341</v>
      </c>
      <c r="G2539" s="5" t="str">
        <f t="shared" si="68"/>
        <v/>
      </c>
      <c r="I2539" s="6" t="str">
        <f t="shared" si="69"/>
        <v>0</v>
      </c>
      <c r="K2539" s="21" t="s">
        <v>4342</v>
      </c>
    </row>
    <row r="2540" spans="1:11" x14ac:dyDescent="0.2">
      <c r="A2540" t="s">
        <v>998</v>
      </c>
      <c r="B2540" t="s">
        <v>4343</v>
      </c>
      <c r="G2540" s="5" t="str">
        <f t="shared" si="68"/>
        <v/>
      </c>
      <c r="I2540" s="6" t="str">
        <f t="shared" si="69"/>
        <v>0</v>
      </c>
      <c r="K2540" s="21" t="s">
        <v>4344</v>
      </c>
    </row>
    <row r="2541" spans="1:11" x14ac:dyDescent="0.2">
      <c r="A2541" t="s">
        <v>999</v>
      </c>
      <c r="B2541" t="s">
        <v>4345</v>
      </c>
      <c r="G2541" s="5" t="str">
        <f t="shared" si="68"/>
        <v/>
      </c>
      <c r="I2541" s="6" t="str">
        <f t="shared" si="69"/>
        <v>0</v>
      </c>
      <c r="K2541" s="21" t="s">
        <v>4346</v>
      </c>
    </row>
    <row r="2542" spans="1:11" x14ac:dyDescent="0.2">
      <c r="A2542" t="s">
        <v>1000</v>
      </c>
      <c r="B2542" t="s">
        <v>4347</v>
      </c>
      <c r="G2542" s="5" t="str">
        <f t="shared" si="68"/>
        <v/>
      </c>
      <c r="I2542" s="6" t="str">
        <f t="shared" si="69"/>
        <v>0</v>
      </c>
      <c r="K2542" s="21" t="s">
        <v>4348</v>
      </c>
    </row>
    <row r="2543" spans="1:11" x14ac:dyDescent="0.2">
      <c r="A2543" t="s">
        <v>1001</v>
      </c>
      <c r="B2543" t="s">
        <v>4349</v>
      </c>
      <c r="G2543" s="5" t="str">
        <f t="shared" si="68"/>
        <v/>
      </c>
      <c r="I2543" s="6" t="str">
        <f t="shared" si="69"/>
        <v>0</v>
      </c>
      <c r="K2543" s="21" t="s">
        <v>4350</v>
      </c>
    </row>
    <row r="2544" spans="1:11" x14ac:dyDescent="0.2">
      <c r="A2544" t="s">
        <v>1002</v>
      </c>
      <c r="B2544" t="s">
        <v>4351</v>
      </c>
      <c r="G2544" s="5" t="str">
        <f t="shared" si="68"/>
        <v/>
      </c>
      <c r="I2544" s="6" t="str">
        <f t="shared" si="69"/>
        <v>0</v>
      </c>
      <c r="K2544" s="21" t="s">
        <v>4352</v>
      </c>
    </row>
    <row r="2545" spans="1:11" x14ac:dyDescent="0.2">
      <c r="A2545" t="s">
        <v>1003</v>
      </c>
      <c r="B2545" t="s">
        <v>4353</v>
      </c>
      <c r="G2545" s="5" t="str">
        <f t="shared" si="68"/>
        <v/>
      </c>
      <c r="I2545" s="6" t="str">
        <f t="shared" si="69"/>
        <v>0</v>
      </c>
      <c r="K2545" s="21" t="s">
        <v>4354</v>
      </c>
    </row>
    <row r="2546" spans="1:11" x14ac:dyDescent="0.2">
      <c r="A2546" t="s">
        <v>1004</v>
      </c>
      <c r="B2546" t="s">
        <v>4355</v>
      </c>
      <c r="G2546" s="5" t="str">
        <f t="shared" si="68"/>
        <v/>
      </c>
      <c r="I2546" s="6" t="str">
        <f t="shared" si="69"/>
        <v>0</v>
      </c>
      <c r="K2546" s="21" t="s">
        <v>4356</v>
      </c>
    </row>
    <row r="2547" spans="1:11" x14ac:dyDescent="0.2">
      <c r="A2547" t="s">
        <v>1005</v>
      </c>
      <c r="B2547" t="s">
        <v>4357</v>
      </c>
      <c r="G2547" s="5" t="str">
        <f t="shared" si="68"/>
        <v/>
      </c>
      <c r="I2547" s="6" t="str">
        <f t="shared" si="69"/>
        <v>0</v>
      </c>
      <c r="K2547" s="21" t="s">
        <v>4358</v>
      </c>
    </row>
    <row r="2548" spans="1:11" x14ac:dyDescent="0.2">
      <c r="A2548" t="s">
        <v>1006</v>
      </c>
      <c r="B2548" t="s">
        <v>4359</v>
      </c>
      <c r="G2548" s="5" t="str">
        <f t="shared" si="68"/>
        <v/>
      </c>
      <c r="I2548" s="6" t="str">
        <f t="shared" si="69"/>
        <v>0</v>
      </c>
      <c r="K2548" s="21" t="s">
        <v>4360</v>
      </c>
    </row>
    <row r="2549" spans="1:11" x14ac:dyDescent="0.2">
      <c r="A2549" t="s">
        <v>1007</v>
      </c>
      <c r="B2549" t="s">
        <v>4361</v>
      </c>
      <c r="G2549" s="5" t="str">
        <f t="shared" si="68"/>
        <v/>
      </c>
      <c r="I2549" s="6" t="str">
        <f t="shared" si="69"/>
        <v>0</v>
      </c>
      <c r="K2549" s="21" t="s">
        <v>4362</v>
      </c>
    </row>
    <row r="2550" spans="1:11" x14ac:dyDescent="0.2">
      <c r="A2550" t="s">
        <v>1008</v>
      </c>
      <c r="B2550" t="s">
        <v>4363</v>
      </c>
      <c r="G2550" s="5" t="str">
        <f t="shared" si="68"/>
        <v/>
      </c>
      <c r="I2550" s="6" t="str">
        <f t="shared" si="69"/>
        <v>0</v>
      </c>
      <c r="K2550" s="21" t="s">
        <v>4364</v>
      </c>
    </row>
    <row r="2551" spans="1:11" x14ac:dyDescent="0.2">
      <c r="A2551" t="s">
        <v>1009</v>
      </c>
      <c r="B2551" t="s">
        <v>4365</v>
      </c>
      <c r="G2551" s="5" t="str">
        <f t="shared" si="68"/>
        <v/>
      </c>
      <c r="I2551" s="6" t="str">
        <f t="shared" si="69"/>
        <v>0</v>
      </c>
      <c r="K2551" s="21" t="s">
        <v>4366</v>
      </c>
    </row>
    <row r="2552" spans="1:11" x14ac:dyDescent="0.2">
      <c r="A2552" t="s">
        <v>1010</v>
      </c>
      <c r="B2552" t="s">
        <v>4367</v>
      </c>
      <c r="G2552" s="5" t="str">
        <f t="shared" si="68"/>
        <v/>
      </c>
      <c r="I2552" s="6" t="str">
        <f t="shared" si="69"/>
        <v>0</v>
      </c>
      <c r="K2552" s="21" t="s">
        <v>4368</v>
      </c>
    </row>
    <row r="2553" spans="1:11" x14ac:dyDescent="0.2">
      <c r="A2553" t="s">
        <v>1011</v>
      </c>
      <c r="B2553" t="s">
        <v>4369</v>
      </c>
      <c r="G2553" s="5" t="str">
        <f t="shared" si="68"/>
        <v/>
      </c>
      <c r="I2553" s="6" t="str">
        <f t="shared" si="69"/>
        <v>0</v>
      </c>
      <c r="K2553" s="21" t="s">
        <v>4370</v>
      </c>
    </row>
    <row r="2554" spans="1:11" x14ac:dyDescent="0.2">
      <c r="A2554" t="s">
        <v>1012</v>
      </c>
      <c r="B2554" t="s">
        <v>4371</v>
      </c>
      <c r="G2554" s="5" t="str">
        <f t="shared" si="68"/>
        <v/>
      </c>
      <c r="I2554" s="6" t="str">
        <f t="shared" si="69"/>
        <v>0</v>
      </c>
      <c r="K2554" s="21" t="s">
        <v>4372</v>
      </c>
    </row>
    <row r="2555" spans="1:11" x14ac:dyDescent="0.2">
      <c r="A2555" t="s">
        <v>1013</v>
      </c>
      <c r="B2555" t="s">
        <v>4030</v>
      </c>
      <c r="G2555" s="5" t="str">
        <f t="shared" si="68"/>
        <v/>
      </c>
      <c r="I2555" s="6" t="str">
        <f t="shared" si="69"/>
        <v>0</v>
      </c>
      <c r="K2555" s="21" t="s">
        <v>4373</v>
      </c>
    </row>
    <row r="2556" spans="1:11" x14ac:dyDescent="0.2">
      <c r="A2556" t="s">
        <v>1069</v>
      </c>
      <c r="B2556" t="s">
        <v>4374</v>
      </c>
      <c r="G2556" s="5" t="str">
        <f t="shared" si="68"/>
        <v/>
      </c>
      <c r="I2556" s="6" t="str">
        <f t="shared" si="69"/>
        <v>0</v>
      </c>
      <c r="K2556" s="21" t="s">
        <v>4375</v>
      </c>
    </row>
    <row r="2557" spans="1:11" x14ac:dyDescent="0.2">
      <c r="A2557" t="s">
        <v>1231</v>
      </c>
      <c r="B2557" t="s">
        <v>4376</v>
      </c>
      <c r="G2557" s="5" t="str">
        <f t="shared" si="68"/>
        <v/>
      </c>
      <c r="I2557" s="6" t="str">
        <f t="shared" si="69"/>
        <v>0</v>
      </c>
      <c r="K2557" s="21" t="s">
        <v>4377</v>
      </c>
    </row>
    <row r="2558" spans="1:11" x14ac:dyDescent="0.2">
      <c r="A2558" t="s">
        <v>2970</v>
      </c>
      <c r="B2558" t="s">
        <v>4378</v>
      </c>
      <c r="G2558" s="5" t="str">
        <f t="shared" si="68"/>
        <v/>
      </c>
      <c r="I2558" s="6" t="str">
        <f t="shared" si="69"/>
        <v>0</v>
      </c>
      <c r="K2558" s="21" t="s">
        <v>4379</v>
      </c>
    </row>
    <row r="2559" spans="1:11" x14ac:dyDescent="0.2">
      <c r="A2559" t="s">
        <v>369</v>
      </c>
      <c r="B2559" t="s">
        <v>369</v>
      </c>
      <c r="G2559" s="5" t="str">
        <f t="shared" si="68"/>
        <v/>
      </c>
      <c r="I2559" s="6" t="str">
        <f t="shared" si="69"/>
        <v>0</v>
      </c>
      <c r="K2559" s="21" t="s">
        <v>4534</v>
      </c>
    </row>
    <row r="2560" spans="1:11" x14ac:dyDescent="0.2">
      <c r="A2560" t="s">
        <v>370</v>
      </c>
      <c r="B2560" t="s">
        <v>4535</v>
      </c>
      <c r="G2560" s="5" t="str">
        <f t="shared" si="68"/>
        <v/>
      </c>
      <c r="I2560" s="6" t="str">
        <f t="shared" si="69"/>
        <v>0</v>
      </c>
      <c r="K2560" s="21" t="s">
        <v>4536</v>
      </c>
    </row>
    <row r="2561" spans="1:11" x14ac:dyDescent="0.2">
      <c r="A2561" t="s">
        <v>371</v>
      </c>
      <c r="B2561" t="s">
        <v>4537</v>
      </c>
      <c r="G2561" s="5" t="str">
        <f t="shared" si="68"/>
        <v/>
      </c>
      <c r="I2561" s="6" t="str">
        <f t="shared" si="69"/>
        <v>0</v>
      </c>
      <c r="K2561" s="21" t="s">
        <v>4538</v>
      </c>
    </row>
    <row r="2562" spans="1:11" x14ac:dyDescent="0.2">
      <c r="A2562" t="s">
        <v>372</v>
      </c>
      <c r="B2562" t="s">
        <v>4533</v>
      </c>
      <c r="G2562" s="5" t="str">
        <f t="shared" si="68"/>
        <v/>
      </c>
      <c r="I2562" s="6" t="str">
        <f t="shared" si="69"/>
        <v>0</v>
      </c>
      <c r="K2562" s="21" t="s">
        <v>4539</v>
      </c>
    </row>
    <row r="2563" spans="1:11" x14ac:dyDescent="0.2">
      <c r="A2563" t="s">
        <v>373</v>
      </c>
      <c r="B2563" t="s">
        <v>4540</v>
      </c>
      <c r="G2563" s="5" t="str">
        <f t="shared" si="68"/>
        <v/>
      </c>
      <c r="I2563" s="6" t="str">
        <f t="shared" si="69"/>
        <v>0</v>
      </c>
      <c r="K2563" s="21" t="s">
        <v>4541</v>
      </c>
    </row>
    <row r="2564" spans="1:11" x14ac:dyDescent="0.2">
      <c r="A2564" t="s">
        <v>374</v>
      </c>
      <c r="B2564" t="s">
        <v>4542</v>
      </c>
      <c r="G2564" s="5" t="str">
        <f t="shared" si="68"/>
        <v/>
      </c>
      <c r="I2564" s="6" t="str">
        <f t="shared" si="69"/>
        <v>0</v>
      </c>
      <c r="K2564" s="21" t="s">
        <v>4543</v>
      </c>
    </row>
    <row r="2565" spans="1:11" x14ac:dyDescent="0.2">
      <c r="A2565" t="s">
        <v>375</v>
      </c>
      <c r="B2565" t="s">
        <v>5271</v>
      </c>
      <c r="G2565" s="5" t="str">
        <f t="shared" si="68"/>
        <v/>
      </c>
      <c r="I2565" s="6" t="str">
        <f t="shared" si="69"/>
        <v>0</v>
      </c>
      <c r="K2565" s="21" t="s">
        <v>4544</v>
      </c>
    </row>
    <row r="2566" spans="1:11" x14ac:dyDescent="0.2">
      <c r="A2566" t="s">
        <v>376</v>
      </c>
      <c r="B2566" t="s">
        <v>4545</v>
      </c>
      <c r="G2566" s="5" t="str">
        <f t="shared" si="68"/>
        <v/>
      </c>
      <c r="I2566" s="6" t="str">
        <f t="shared" si="69"/>
        <v>0</v>
      </c>
      <c r="K2566" s="21" t="s">
        <v>4546</v>
      </c>
    </row>
    <row r="2567" spans="1:11" x14ac:dyDescent="0.2">
      <c r="A2567" t="s">
        <v>377</v>
      </c>
      <c r="B2567" t="s">
        <v>4547</v>
      </c>
      <c r="G2567" s="5" t="str">
        <f t="shared" si="68"/>
        <v/>
      </c>
      <c r="I2567" s="6" t="str">
        <f t="shared" si="69"/>
        <v>0</v>
      </c>
      <c r="K2567" s="21" t="s">
        <v>4548</v>
      </c>
    </row>
    <row r="2568" spans="1:11" x14ac:dyDescent="0.2">
      <c r="A2568" t="s">
        <v>378</v>
      </c>
      <c r="B2568" t="s">
        <v>4549</v>
      </c>
      <c r="G2568" s="5" t="str">
        <f t="shared" si="68"/>
        <v/>
      </c>
      <c r="I2568" s="6" t="str">
        <f t="shared" si="69"/>
        <v>0</v>
      </c>
      <c r="K2568" s="21" t="s">
        <v>4550</v>
      </c>
    </row>
    <row r="2569" spans="1:11" x14ac:dyDescent="0.2">
      <c r="A2569" t="s">
        <v>379</v>
      </c>
      <c r="B2569" t="s">
        <v>4551</v>
      </c>
      <c r="G2569" s="5" t="str">
        <f t="shared" si="68"/>
        <v/>
      </c>
      <c r="I2569" s="6" t="str">
        <f t="shared" si="69"/>
        <v>0</v>
      </c>
      <c r="K2569" s="21" t="s">
        <v>4552</v>
      </c>
    </row>
    <row r="2570" spans="1:11" x14ac:dyDescent="0.2">
      <c r="A2570" t="s">
        <v>380</v>
      </c>
      <c r="B2570" t="s">
        <v>4835</v>
      </c>
      <c r="G2570" s="5" t="str">
        <f t="shared" si="68"/>
        <v/>
      </c>
      <c r="I2570" s="6" t="str">
        <f t="shared" si="69"/>
        <v>0</v>
      </c>
      <c r="K2570" s="21" t="s">
        <v>4836</v>
      </c>
    </row>
    <row r="2571" spans="1:11" x14ac:dyDescent="0.2">
      <c r="A2571" t="s">
        <v>381</v>
      </c>
      <c r="B2571" t="s">
        <v>5270</v>
      </c>
      <c r="G2571" s="5" t="str">
        <f t="shared" ref="G2571:G2634" si="70">IF(F2571&lt;&gt;"",HEX2DEC(SUBSTITUTE(SUBSTITUTE(F2571,"adrEA",""),"$","")),"")</f>
        <v/>
      </c>
      <c r="I2571" s="6" t="str">
        <f t="shared" si="69"/>
        <v>0</v>
      </c>
      <c r="K2571" s="26" t="s">
        <v>4553</v>
      </c>
    </row>
    <row r="2572" spans="1:11" x14ac:dyDescent="0.2">
      <c r="A2572" t="s">
        <v>382</v>
      </c>
      <c r="B2572" t="s">
        <v>4554</v>
      </c>
      <c r="G2572" s="5" t="str">
        <f t="shared" si="70"/>
        <v/>
      </c>
      <c r="I2572" s="6" t="str">
        <f t="shared" si="69"/>
        <v>0</v>
      </c>
      <c r="K2572" s="26" t="s">
        <v>4555</v>
      </c>
    </row>
    <row r="2573" spans="1:11" x14ac:dyDescent="0.2">
      <c r="A2573" t="s">
        <v>383</v>
      </c>
      <c r="B2573" t="s">
        <v>4556</v>
      </c>
      <c r="G2573" s="5" t="str">
        <f t="shared" si="70"/>
        <v/>
      </c>
      <c r="I2573" s="6" t="str">
        <f t="shared" si="69"/>
        <v>0</v>
      </c>
      <c r="K2573" s="26" t="s">
        <v>4557</v>
      </c>
    </row>
    <row r="2574" spans="1:11" x14ac:dyDescent="0.2">
      <c r="A2574" t="s">
        <v>384</v>
      </c>
      <c r="B2574" t="s">
        <v>4558</v>
      </c>
      <c r="G2574" s="5" t="str">
        <f t="shared" si="70"/>
        <v/>
      </c>
      <c r="I2574" s="6" t="str">
        <f t="shared" si="69"/>
        <v>0</v>
      </c>
      <c r="K2574" s="26" t="s">
        <v>4559</v>
      </c>
    </row>
    <row r="2575" spans="1:11" x14ac:dyDescent="0.2">
      <c r="A2575" t="s">
        <v>385</v>
      </c>
      <c r="B2575" t="s">
        <v>4560</v>
      </c>
      <c r="G2575" s="5" t="str">
        <f t="shared" si="70"/>
        <v/>
      </c>
      <c r="I2575" s="6" t="str">
        <f t="shared" si="69"/>
        <v>0</v>
      </c>
      <c r="K2575" s="26" t="s">
        <v>4561</v>
      </c>
    </row>
    <row r="2576" spans="1:11" x14ac:dyDescent="0.2">
      <c r="A2576" t="s">
        <v>386</v>
      </c>
      <c r="B2576" t="s">
        <v>4459</v>
      </c>
      <c r="C2576" s="5" t="s">
        <v>3123</v>
      </c>
      <c r="G2576" s="5" t="str">
        <f t="shared" si="70"/>
        <v/>
      </c>
      <c r="I2576" s="6" t="str">
        <f t="shared" si="69"/>
        <v>0</v>
      </c>
      <c r="K2576" s="26" t="s">
        <v>4562</v>
      </c>
    </row>
    <row r="2577" spans="1:11" x14ac:dyDescent="0.2">
      <c r="A2577" t="s">
        <v>387</v>
      </c>
      <c r="B2577" t="s">
        <v>4563</v>
      </c>
      <c r="G2577" s="5" t="str">
        <f t="shared" si="70"/>
        <v/>
      </c>
      <c r="I2577" s="6" t="str">
        <f t="shared" ref="I2577:I2640" si="71">IFERROR(DEC2HEX(H2577),"")</f>
        <v>0</v>
      </c>
      <c r="K2577" s="26" t="s">
        <v>4564</v>
      </c>
    </row>
    <row r="2578" spans="1:11" x14ac:dyDescent="0.2">
      <c r="A2578" t="s">
        <v>2972</v>
      </c>
      <c r="B2578" t="s">
        <v>2972</v>
      </c>
      <c r="G2578" s="5" t="str">
        <f t="shared" si="70"/>
        <v/>
      </c>
      <c r="I2578" s="6" t="str">
        <f t="shared" si="71"/>
        <v>0</v>
      </c>
      <c r="K2578" s="26" t="s">
        <v>4566</v>
      </c>
    </row>
    <row r="2579" spans="1:11" x14ac:dyDescent="0.2">
      <c r="A2579" t="s">
        <v>2974</v>
      </c>
      <c r="B2579" t="s">
        <v>4567</v>
      </c>
      <c r="G2579" s="5" t="str">
        <f t="shared" si="70"/>
        <v/>
      </c>
      <c r="I2579" s="6" t="str">
        <f t="shared" si="71"/>
        <v>0</v>
      </c>
      <c r="K2579" s="26" t="s">
        <v>4568</v>
      </c>
    </row>
    <row r="2580" spans="1:11" x14ac:dyDescent="0.2">
      <c r="A2580" t="s">
        <v>2975</v>
      </c>
      <c r="B2580" t="s">
        <v>4569</v>
      </c>
      <c r="G2580" s="5" t="str">
        <f t="shared" si="70"/>
        <v/>
      </c>
      <c r="I2580" s="6" t="str">
        <f t="shared" si="71"/>
        <v>0</v>
      </c>
      <c r="K2580" s="26" t="s">
        <v>4570</v>
      </c>
    </row>
    <row r="2581" spans="1:11" x14ac:dyDescent="0.2">
      <c r="A2581" t="s">
        <v>875</v>
      </c>
      <c r="B2581" t="s">
        <v>4573</v>
      </c>
      <c r="G2581" s="5" t="str">
        <f t="shared" si="70"/>
        <v/>
      </c>
      <c r="I2581" s="6" t="str">
        <f t="shared" si="71"/>
        <v>0</v>
      </c>
      <c r="K2581" s="26" t="s">
        <v>4574</v>
      </c>
    </row>
    <row r="2582" spans="1:11" x14ac:dyDescent="0.2">
      <c r="A2582" t="s">
        <v>1023</v>
      </c>
      <c r="B2582" t="s">
        <v>4575</v>
      </c>
      <c r="G2582" s="5" t="str">
        <f t="shared" si="70"/>
        <v/>
      </c>
      <c r="I2582" s="6" t="str">
        <f t="shared" si="71"/>
        <v>0</v>
      </c>
      <c r="K2582" s="21" t="s">
        <v>4576</v>
      </c>
    </row>
    <row r="2583" spans="1:11" x14ac:dyDescent="0.2">
      <c r="A2583" t="s">
        <v>1024</v>
      </c>
      <c r="B2583" t="s">
        <v>4577</v>
      </c>
      <c r="G2583" s="5" t="str">
        <f t="shared" si="70"/>
        <v/>
      </c>
      <c r="I2583" s="6" t="str">
        <f t="shared" si="71"/>
        <v>0</v>
      </c>
      <c r="K2583" s="21" t="s">
        <v>4578</v>
      </c>
    </row>
    <row r="2584" spans="1:11" x14ac:dyDescent="0.2">
      <c r="A2584" t="s">
        <v>1026</v>
      </c>
      <c r="B2584" t="s">
        <v>4579</v>
      </c>
      <c r="G2584" s="5" t="str">
        <f t="shared" si="70"/>
        <v/>
      </c>
      <c r="I2584" s="6" t="str">
        <f t="shared" si="71"/>
        <v>0</v>
      </c>
      <c r="K2584" s="21" t="s">
        <v>4580</v>
      </c>
    </row>
    <row r="2585" spans="1:11" x14ac:dyDescent="0.2">
      <c r="A2585" t="s">
        <v>1042</v>
      </c>
      <c r="B2585" t="s">
        <v>4581</v>
      </c>
      <c r="G2585" s="5" t="str">
        <f t="shared" si="70"/>
        <v/>
      </c>
      <c r="I2585" s="6" t="str">
        <f t="shared" si="71"/>
        <v>0</v>
      </c>
      <c r="K2585" s="21" t="s">
        <v>4582</v>
      </c>
    </row>
    <row r="2586" spans="1:11" x14ac:dyDescent="0.2">
      <c r="A2586" t="s">
        <v>1043</v>
      </c>
      <c r="B2586" t="s">
        <v>4583</v>
      </c>
      <c r="G2586" s="5" t="str">
        <f t="shared" si="70"/>
        <v/>
      </c>
      <c r="I2586" s="6" t="str">
        <f t="shared" si="71"/>
        <v>0</v>
      </c>
      <c r="K2586" s="21" t="s">
        <v>4584</v>
      </c>
    </row>
    <row r="2587" spans="1:11" x14ac:dyDescent="0.2">
      <c r="A2587" t="s">
        <v>1045</v>
      </c>
      <c r="B2587" t="s">
        <v>4585</v>
      </c>
      <c r="G2587" s="5" t="str">
        <f t="shared" si="70"/>
        <v/>
      </c>
      <c r="I2587" s="6" t="str">
        <f t="shared" si="71"/>
        <v>0</v>
      </c>
      <c r="K2587" s="21" t="s">
        <v>4586</v>
      </c>
    </row>
    <row r="2588" spans="1:11" x14ac:dyDescent="0.2">
      <c r="A2588" t="s">
        <v>1046</v>
      </c>
      <c r="B2588" t="s">
        <v>4587</v>
      </c>
      <c r="G2588" s="5" t="str">
        <f t="shared" si="70"/>
        <v/>
      </c>
      <c r="I2588" s="6" t="str">
        <f t="shared" si="71"/>
        <v>0</v>
      </c>
      <c r="K2588" s="21" t="s">
        <v>4588</v>
      </c>
    </row>
    <row r="2589" spans="1:11" x14ac:dyDescent="0.2">
      <c r="A2589" t="s">
        <v>1050</v>
      </c>
      <c r="B2589" t="s">
        <v>4589</v>
      </c>
      <c r="G2589" s="5" t="str">
        <f t="shared" si="70"/>
        <v/>
      </c>
      <c r="I2589" s="6" t="str">
        <f t="shared" si="71"/>
        <v>0</v>
      </c>
      <c r="K2589" s="21" t="s">
        <v>4590</v>
      </c>
    </row>
    <row r="2590" spans="1:11" x14ac:dyDescent="0.2">
      <c r="A2590" t="s">
        <v>1053</v>
      </c>
      <c r="B2590" t="s">
        <v>4591</v>
      </c>
      <c r="G2590" s="5" t="str">
        <f t="shared" si="70"/>
        <v/>
      </c>
      <c r="I2590" s="6" t="str">
        <f t="shared" si="71"/>
        <v>0</v>
      </c>
      <c r="K2590" s="21" t="s">
        <v>4592</v>
      </c>
    </row>
    <row r="2591" spans="1:11" x14ac:dyDescent="0.2">
      <c r="A2591" t="s">
        <v>1054</v>
      </c>
      <c r="B2591" t="s">
        <v>4593</v>
      </c>
      <c r="G2591" s="5" t="str">
        <f t="shared" si="70"/>
        <v/>
      </c>
      <c r="I2591" s="6" t="str">
        <f t="shared" si="71"/>
        <v>0</v>
      </c>
      <c r="K2591" s="21" t="s">
        <v>4594</v>
      </c>
    </row>
    <row r="2592" spans="1:11" x14ac:dyDescent="0.2">
      <c r="A2592" t="s">
        <v>1828</v>
      </c>
      <c r="B2592" t="s">
        <v>4595</v>
      </c>
      <c r="G2592" s="5" t="str">
        <f t="shared" si="70"/>
        <v/>
      </c>
      <c r="I2592" s="6" t="str">
        <f t="shared" si="71"/>
        <v>0</v>
      </c>
      <c r="K2592" s="21" t="s">
        <v>4596</v>
      </c>
    </row>
    <row r="2593" spans="1:11" x14ac:dyDescent="0.2">
      <c r="A2593" t="s">
        <v>1829</v>
      </c>
      <c r="B2593" t="s">
        <v>4597</v>
      </c>
      <c r="G2593" s="5" t="str">
        <f t="shared" si="70"/>
        <v/>
      </c>
      <c r="I2593" s="6" t="str">
        <f t="shared" si="71"/>
        <v>0</v>
      </c>
      <c r="K2593" s="21" t="s">
        <v>4598</v>
      </c>
    </row>
    <row r="2594" spans="1:11" x14ac:dyDescent="0.2">
      <c r="A2594" t="s">
        <v>2117</v>
      </c>
      <c r="B2594" t="s">
        <v>4684</v>
      </c>
      <c r="G2594" s="5" t="str">
        <f t="shared" si="70"/>
        <v/>
      </c>
      <c r="I2594" s="6" t="str">
        <f t="shared" si="71"/>
        <v>0</v>
      </c>
      <c r="K2594" s="21" t="s">
        <v>4685</v>
      </c>
    </row>
    <row r="2595" spans="1:11" x14ac:dyDescent="0.2">
      <c r="A2595" t="s">
        <v>2119</v>
      </c>
      <c r="B2595" t="s">
        <v>4686</v>
      </c>
      <c r="G2595" s="5" t="str">
        <f t="shared" si="70"/>
        <v/>
      </c>
      <c r="I2595" s="6" t="str">
        <f t="shared" si="71"/>
        <v>0</v>
      </c>
      <c r="K2595" s="21" t="s">
        <v>4687</v>
      </c>
    </row>
    <row r="2596" spans="1:11" x14ac:dyDescent="0.2">
      <c r="A2596" t="s">
        <v>2120</v>
      </c>
      <c r="B2596" t="s">
        <v>4688</v>
      </c>
      <c r="G2596" s="5" t="str">
        <f t="shared" si="70"/>
        <v/>
      </c>
      <c r="I2596" s="6" t="str">
        <f t="shared" si="71"/>
        <v>0</v>
      </c>
      <c r="K2596" s="21" t="s">
        <v>4689</v>
      </c>
    </row>
    <row r="2597" spans="1:11" x14ac:dyDescent="0.2">
      <c r="A2597" t="s">
        <v>2123</v>
      </c>
      <c r="B2597" t="s">
        <v>4690</v>
      </c>
      <c r="G2597" s="5" t="str">
        <f t="shared" si="70"/>
        <v/>
      </c>
      <c r="I2597" s="6" t="str">
        <f t="shared" si="71"/>
        <v>0</v>
      </c>
      <c r="K2597" s="21" t="s">
        <v>4691</v>
      </c>
    </row>
    <row r="2598" spans="1:11" x14ac:dyDescent="0.2">
      <c r="A2598" t="s">
        <v>2126</v>
      </c>
      <c r="B2598" t="s">
        <v>4692</v>
      </c>
      <c r="G2598" s="5" t="str">
        <f t="shared" si="70"/>
        <v/>
      </c>
      <c r="I2598" s="6" t="str">
        <f t="shared" si="71"/>
        <v>0</v>
      </c>
      <c r="K2598" s="21" t="s">
        <v>4693</v>
      </c>
    </row>
    <row r="2599" spans="1:11" x14ac:dyDescent="0.2">
      <c r="A2599" t="s">
        <v>2127</v>
      </c>
      <c r="B2599" t="s">
        <v>4694</v>
      </c>
      <c r="G2599" s="5" t="str">
        <f t="shared" si="70"/>
        <v/>
      </c>
      <c r="I2599" s="6" t="str">
        <f t="shared" si="71"/>
        <v>0</v>
      </c>
      <c r="K2599" s="21" t="s">
        <v>4695</v>
      </c>
    </row>
    <row r="2600" spans="1:11" x14ac:dyDescent="0.2">
      <c r="A2600" t="s">
        <v>2128</v>
      </c>
      <c r="B2600" t="s">
        <v>4696</v>
      </c>
      <c r="G2600" s="5" t="str">
        <f t="shared" si="70"/>
        <v/>
      </c>
      <c r="I2600" s="6" t="str">
        <f t="shared" si="71"/>
        <v>0</v>
      </c>
      <c r="K2600" s="21" t="s">
        <v>4697</v>
      </c>
    </row>
    <row r="2601" spans="1:11" x14ac:dyDescent="0.2">
      <c r="A2601" t="s">
        <v>2132</v>
      </c>
      <c r="B2601" t="s">
        <v>4698</v>
      </c>
      <c r="G2601" s="5" t="str">
        <f t="shared" si="70"/>
        <v/>
      </c>
      <c r="I2601" s="6" t="str">
        <f t="shared" si="71"/>
        <v>0</v>
      </c>
      <c r="K2601" s="21" t="s">
        <v>4699</v>
      </c>
    </row>
    <row r="2602" spans="1:11" x14ac:dyDescent="0.2">
      <c r="A2602" t="s">
        <v>2136</v>
      </c>
      <c r="B2602" t="s">
        <v>4700</v>
      </c>
      <c r="G2602" s="5" t="str">
        <f t="shared" si="70"/>
        <v/>
      </c>
      <c r="I2602" s="6" t="str">
        <f t="shared" si="71"/>
        <v>0</v>
      </c>
      <c r="K2602" s="21" t="s">
        <v>4701</v>
      </c>
    </row>
    <row r="2603" spans="1:11" x14ac:dyDescent="0.2">
      <c r="A2603" t="s">
        <v>2142</v>
      </c>
      <c r="B2603" t="s">
        <v>4702</v>
      </c>
      <c r="G2603" s="5" t="str">
        <f t="shared" si="70"/>
        <v/>
      </c>
      <c r="I2603" s="6" t="str">
        <f t="shared" si="71"/>
        <v>0</v>
      </c>
      <c r="K2603" s="21" t="s">
        <v>4703</v>
      </c>
    </row>
    <row r="2604" spans="1:11" x14ac:dyDescent="0.2">
      <c r="A2604" t="s">
        <v>2146</v>
      </c>
      <c r="B2604" t="s">
        <v>4704</v>
      </c>
      <c r="G2604" s="5" t="str">
        <f t="shared" si="70"/>
        <v/>
      </c>
      <c r="I2604" s="6" t="str">
        <f t="shared" si="71"/>
        <v>0</v>
      </c>
      <c r="K2604" s="21" t="s">
        <v>4705</v>
      </c>
    </row>
    <row r="2605" spans="1:11" x14ac:dyDescent="0.2">
      <c r="A2605" t="s">
        <v>2147</v>
      </c>
      <c r="B2605" t="s">
        <v>4706</v>
      </c>
      <c r="G2605" s="5" t="str">
        <f t="shared" si="70"/>
        <v/>
      </c>
      <c r="I2605" s="6" t="str">
        <f t="shared" si="71"/>
        <v>0</v>
      </c>
      <c r="K2605" s="21" t="s">
        <v>4707</v>
      </c>
    </row>
    <row r="2606" spans="1:11" x14ac:dyDescent="0.2">
      <c r="A2606" t="s">
        <v>2165</v>
      </c>
      <c r="B2606" t="s">
        <v>4708</v>
      </c>
      <c r="G2606" s="5" t="str">
        <f t="shared" si="70"/>
        <v/>
      </c>
      <c r="I2606" s="6" t="str">
        <f t="shared" si="71"/>
        <v>0</v>
      </c>
      <c r="K2606" s="21" t="s">
        <v>4709</v>
      </c>
    </row>
    <row r="2607" spans="1:11" x14ac:dyDescent="0.2">
      <c r="A2607" t="s">
        <v>2186</v>
      </c>
      <c r="B2607" t="s">
        <v>4710</v>
      </c>
      <c r="G2607" s="5" t="str">
        <f t="shared" si="70"/>
        <v/>
      </c>
      <c r="I2607" s="6" t="str">
        <f t="shared" si="71"/>
        <v>0</v>
      </c>
      <c r="K2607" s="21" t="s">
        <v>4711</v>
      </c>
    </row>
    <row r="2608" spans="1:11" x14ac:dyDescent="0.2">
      <c r="A2608" t="s">
        <v>2188</v>
      </c>
      <c r="B2608" t="s">
        <v>4712</v>
      </c>
      <c r="G2608" s="5" t="str">
        <f t="shared" si="70"/>
        <v/>
      </c>
      <c r="I2608" s="6" t="str">
        <f t="shared" si="71"/>
        <v>0</v>
      </c>
      <c r="K2608" s="21" t="s">
        <v>4713</v>
      </c>
    </row>
    <row r="2609" spans="1:11" x14ac:dyDescent="0.2">
      <c r="A2609" t="s">
        <v>2433</v>
      </c>
      <c r="B2609" t="s">
        <v>4714</v>
      </c>
      <c r="G2609" s="5" t="str">
        <f t="shared" si="70"/>
        <v/>
      </c>
      <c r="I2609" s="6" t="str">
        <f t="shared" si="71"/>
        <v>0</v>
      </c>
      <c r="K2609" s="21" t="s">
        <v>4715</v>
      </c>
    </row>
    <row r="2610" spans="1:11" x14ac:dyDescent="0.2">
      <c r="A2610" t="s">
        <v>2434</v>
      </c>
      <c r="B2610" t="s">
        <v>4716</v>
      </c>
      <c r="G2610" s="5" t="str">
        <f t="shared" si="70"/>
        <v/>
      </c>
      <c r="I2610" s="6" t="str">
        <f t="shared" si="71"/>
        <v>0</v>
      </c>
      <c r="K2610" s="21" t="s">
        <v>4717</v>
      </c>
    </row>
    <row r="2611" spans="1:11" x14ac:dyDescent="0.2">
      <c r="A2611" t="s">
        <v>2435</v>
      </c>
      <c r="B2611" t="s">
        <v>4718</v>
      </c>
      <c r="G2611" s="5" t="str">
        <f t="shared" si="70"/>
        <v/>
      </c>
      <c r="I2611" s="6" t="str">
        <f t="shared" si="71"/>
        <v>0</v>
      </c>
      <c r="K2611" s="21" t="s">
        <v>4719</v>
      </c>
    </row>
    <row r="2612" spans="1:11" x14ac:dyDescent="0.2">
      <c r="A2612" t="s">
        <v>2436</v>
      </c>
      <c r="B2612" t="s">
        <v>4720</v>
      </c>
      <c r="G2612" s="5" t="str">
        <f t="shared" si="70"/>
        <v/>
      </c>
      <c r="I2612" s="6" t="str">
        <f t="shared" si="71"/>
        <v>0</v>
      </c>
      <c r="K2612" s="21" t="s">
        <v>4721</v>
      </c>
    </row>
    <row r="2613" spans="1:11" x14ac:dyDescent="0.2">
      <c r="A2613" t="s">
        <v>2442</v>
      </c>
      <c r="B2613" t="s">
        <v>4722</v>
      </c>
      <c r="G2613" s="5" t="str">
        <f t="shared" si="70"/>
        <v/>
      </c>
      <c r="I2613" s="6" t="str">
        <f t="shared" si="71"/>
        <v>0</v>
      </c>
      <c r="K2613" s="21" t="s">
        <v>4723</v>
      </c>
    </row>
    <row r="2614" spans="1:11" x14ac:dyDescent="0.2">
      <c r="A2614" t="s">
        <v>2443</v>
      </c>
      <c r="B2614" t="s">
        <v>4724</v>
      </c>
      <c r="G2614" s="5" t="str">
        <f t="shared" si="70"/>
        <v/>
      </c>
      <c r="I2614" s="6" t="str">
        <f t="shared" si="71"/>
        <v>0</v>
      </c>
      <c r="K2614" s="21" t="s">
        <v>4725</v>
      </c>
    </row>
    <row r="2615" spans="1:11" x14ac:dyDescent="0.2">
      <c r="A2615" t="s">
        <v>2446</v>
      </c>
      <c r="B2615" t="s">
        <v>4726</v>
      </c>
      <c r="G2615" s="5" t="str">
        <f t="shared" si="70"/>
        <v/>
      </c>
      <c r="I2615" s="6" t="str">
        <f t="shared" si="71"/>
        <v>0</v>
      </c>
      <c r="K2615" s="21" t="s">
        <v>4727</v>
      </c>
    </row>
    <row r="2616" spans="1:11" x14ac:dyDescent="0.2">
      <c r="A2616" t="s">
        <v>2448</v>
      </c>
      <c r="B2616" t="s">
        <v>4728</v>
      </c>
      <c r="G2616" s="5" t="str">
        <f t="shared" si="70"/>
        <v/>
      </c>
      <c r="I2616" s="6" t="str">
        <f t="shared" si="71"/>
        <v>0</v>
      </c>
      <c r="K2616" s="21" t="s">
        <v>4729</v>
      </c>
    </row>
    <row r="2617" spans="1:11" x14ac:dyDescent="0.2">
      <c r="A2617" t="s">
        <v>2455</v>
      </c>
      <c r="B2617" t="s">
        <v>4730</v>
      </c>
      <c r="G2617" s="5" t="str">
        <f t="shared" si="70"/>
        <v/>
      </c>
      <c r="I2617" s="6" t="str">
        <f t="shared" si="71"/>
        <v>0</v>
      </c>
      <c r="K2617" s="21" t="s">
        <v>4731</v>
      </c>
    </row>
    <row r="2618" spans="1:11" x14ac:dyDescent="0.2">
      <c r="A2618" t="s">
        <v>2460</v>
      </c>
      <c r="B2618" t="s">
        <v>4732</v>
      </c>
      <c r="G2618" s="5" t="str">
        <f t="shared" si="70"/>
        <v/>
      </c>
      <c r="I2618" s="6" t="str">
        <f t="shared" si="71"/>
        <v>0</v>
      </c>
      <c r="K2618" s="21" t="s">
        <v>4733</v>
      </c>
    </row>
    <row r="2619" spans="1:11" x14ac:dyDescent="0.2">
      <c r="A2619" t="s">
        <v>2466</v>
      </c>
      <c r="B2619" t="s">
        <v>4609</v>
      </c>
      <c r="G2619" s="5" t="str">
        <f t="shared" si="70"/>
        <v/>
      </c>
      <c r="I2619" s="6" t="str">
        <f t="shared" si="71"/>
        <v>0</v>
      </c>
      <c r="K2619" s="21" t="s">
        <v>4734</v>
      </c>
    </row>
    <row r="2620" spans="1:11" x14ac:dyDescent="0.2">
      <c r="A2620" t="s">
        <v>2471</v>
      </c>
      <c r="B2620" t="s">
        <v>4735</v>
      </c>
      <c r="G2620" s="5" t="str">
        <f t="shared" si="70"/>
        <v/>
      </c>
      <c r="I2620" s="6" t="str">
        <f t="shared" si="71"/>
        <v>0</v>
      </c>
      <c r="K2620" s="21" t="s">
        <v>4736</v>
      </c>
    </row>
    <row r="2621" spans="1:11" x14ac:dyDescent="0.2">
      <c r="A2621" t="s">
        <v>2473</v>
      </c>
      <c r="B2621" t="s">
        <v>4737</v>
      </c>
      <c r="G2621" s="5" t="str">
        <f t="shared" si="70"/>
        <v/>
      </c>
      <c r="I2621" s="6" t="str">
        <f t="shared" si="71"/>
        <v>0</v>
      </c>
      <c r="K2621" s="21" t="s">
        <v>4738</v>
      </c>
    </row>
    <row r="2622" spans="1:11" x14ac:dyDescent="0.2">
      <c r="A2622" t="s">
        <v>2475</v>
      </c>
      <c r="B2622" t="s">
        <v>4739</v>
      </c>
      <c r="G2622" s="5" t="str">
        <f t="shared" si="70"/>
        <v/>
      </c>
      <c r="I2622" s="6" t="str">
        <f t="shared" si="71"/>
        <v>0</v>
      </c>
      <c r="K2622" s="21" t="s">
        <v>4740</v>
      </c>
    </row>
    <row r="2623" spans="1:11" x14ac:dyDescent="0.2">
      <c r="A2623" t="s">
        <v>2476</v>
      </c>
      <c r="B2623" t="s">
        <v>4741</v>
      </c>
      <c r="G2623" s="5" t="str">
        <f t="shared" si="70"/>
        <v/>
      </c>
      <c r="I2623" s="6" t="str">
        <f t="shared" si="71"/>
        <v>0</v>
      </c>
      <c r="K2623" s="21" t="s">
        <v>4742</v>
      </c>
    </row>
    <row r="2624" spans="1:11" x14ac:dyDescent="0.2">
      <c r="A2624" t="s">
        <v>2477</v>
      </c>
      <c r="B2624" t="s">
        <v>4743</v>
      </c>
      <c r="G2624" s="5" t="str">
        <f t="shared" si="70"/>
        <v/>
      </c>
      <c r="I2624" s="6" t="str">
        <f t="shared" si="71"/>
        <v>0</v>
      </c>
      <c r="K2624" s="21" t="s">
        <v>4744</v>
      </c>
    </row>
    <row r="2625" spans="1:11" x14ac:dyDescent="0.2">
      <c r="A2625" t="s">
        <v>2478</v>
      </c>
      <c r="B2625" t="s">
        <v>4745</v>
      </c>
      <c r="G2625" s="5" t="str">
        <f t="shared" si="70"/>
        <v/>
      </c>
      <c r="I2625" s="6" t="str">
        <f t="shared" si="71"/>
        <v>0</v>
      </c>
      <c r="K2625" s="21" t="s">
        <v>4746</v>
      </c>
    </row>
    <row r="2626" spans="1:11" x14ac:dyDescent="0.2">
      <c r="A2626" t="s">
        <v>2484</v>
      </c>
      <c r="B2626" t="s">
        <v>4747</v>
      </c>
      <c r="G2626" s="5" t="str">
        <f t="shared" si="70"/>
        <v/>
      </c>
      <c r="I2626" s="6" t="str">
        <f t="shared" si="71"/>
        <v>0</v>
      </c>
      <c r="K2626" s="21" t="s">
        <v>4748</v>
      </c>
    </row>
    <row r="2627" spans="1:11" x14ac:dyDescent="0.2">
      <c r="A2627" t="s">
        <v>2490</v>
      </c>
      <c r="B2627" t="s">
        <v>4749</v>
      </c>
      <c r="G2627" s="5" t="str">
        <f t="shared" si="70"/>
        <v/>
      </c>
      <c r="I2627" s="6" t="str">
        <f t="shared" si="71"/>
        <v>0</v>
      </c>
      <c r="K2627" s="21" t="s">
        <v>4750</v>
      </c>
    </row>
    <row r="2628" spans="1:11" x14ac:dyDescent="0.2">
      <c r="A2628" t="s">
        <v>2491</v>
      </c>
      <c r="B2628" t="s">
        <v>4751</v>
      </c>
      <c r="G2628" s="5" t="str">
        <f t="shared" si="70"/>
        <v/>
      </c>
      <c r="I2628" s="6" t="str">
        <f t="shared" si="71"/>
        <v>0</v>
      </c>
      <c r="K2628" s="21" t="s">
        <v>4752</v>
      </c>
    </row>
    <row r="2629" spans="1:11" x14ac:dyDescent="0.2">
      <c r="A2629" t="s">
        <v>2492</v>
      </c>
      <c r="B2629" t="s">
        <v>4753</v>
      </c>
      <c r="G2629" s="5" t="str">
        <f t="shared" si="70"/>
        <v/>
      </c>
      <c r="I2629" s="6" t="str">
        <f t="shared" si="71"/>
        <v>0</v>
      </c>
      <c r="K2629" s="21" t="s">
        <v>4754</v>
      </c>
    </row>
    <row r="2630" spans="1:11" x14ac:dyDescent="0.2">
      <c r="A2630" t="s">
        <v>2493</v>
      </c>
      <c r="B2630" t="s">
        <v>4755</v>
      </c>
      <c r="G2630" s="5" t="str">
        <f t="shared" si="70"/>
        <v/>
      </c>
      <c r="I2630" s="6" t="str">
        <f t="shared" si="71"/>
        <v>0</v>
      </c>
      <c r="K2630" s="21" t="s">
        <v>4756</v>
      </c>
    </row>
    <row r="2631" spans="1:11" x14ac:dyDescent="0.2">
      <c r="A2631" t="s">
        <v>2495</v>
      </c>
      <c r="B2631" t="s">
        <v>4757</v>
      </c>
      <c r="G2631" s="5" t="str">
        <f t="shared" si="70"/>
        <v/>
      </c>
      <c r="I2631" s="6" t="str">
        <f t="shared" si="71"/>
        <v>0</v>
      </c>
      <c r="K2631" s="21" t="s">
        <v>4758</v>
      </c>
    </row>
    <row r="2632" spans="1:11" x14ac:dyDescent="0.2">
      <c r="A2632" t="s">
        <v>2496</v>
      </c>
      <c r="B2632" t="s">
        <v>4759</v>
      </c>
      <c r="G2632" s="5" t="str">
        <f t="shared" si="70"/>
        <v/>
      </c>
      <c r="I2632" s="6" t="str">
        <f t="shared" si="71"/>
        <v>0</v>
      </c>
      <c r="K2632" s="21" t="s">
        <v>4760</v>
      </c>
    </row>
    <row r="2633" spans="1:11" x14ac:dyDescent="0.2">
      <c r="A2633" t="s">
        <v>2497</v>
      </c>
      <c r="B2633" t="s">
        <v>4761</v>
      </c>
      <c r="G2633" s="5" t="str">
        <f t="shared" si="70"/>
        <v/>
      </c>
      <c r="I2633" s="6" t="str">
        <f t="shared" si="71"/>
        <v>0</v>
      </c>
      <c r="K2633" s="21" t="s">
        <v>4762</v>
      </c>
    </row>
    <row r="2634" spans="1:11" x14ac:dyDescent="0.2">
      <c r="A2634" t="s">
        <v>2500</v>
      </c>
      <c r="B2634" t="s">
        <v>4763</v>
      </c>
      <c r="G2634" s="5" t="str">
        <f t="shared" si="70"/>
        <v/>
      </c>
      <c r="I2634" s="6" t="str">
        <f t="shared" si="71"/>
        <v>0</v>
      </c>
      <c r="K2634" s="21" t="s">
        <v>4764</v>
      </c>
    </row>
    <row r="2635" spans="1:11" x14ac:dyDescent="0.2">
      <c r="A2635" t="s">
        <v>2520</v>
      </c>
      <c r="B2635" t="s">
        <v>4765</v>
      </c>
      <c r="G2635" s="5" t="str">
        <f t="shared" ref="G2635:G2665" si="72">IF(F2635&lt;&gt;"",HEX2DEC(SUBSTITUTE(SUBSTITUTE(F2635,"adrEA",""),"$","")),"")</f>
        <v/>
      </c>
      <c r="I2635" s="6" t="str">
        <f t="shared" si="71"/>
        <v>0</v>
      </c>
      <c r="K2635" s="21" t="s">
        <v>4766</v>
      </c>
    </row>
    <row r="2636" spans="1:11" x14ac:dyDescent="0.2">
      <c r="A2636" t="s">
        <v>2521</v>
      </c>
      <c r="B2636" t="s">
        <v>4767</v>
      </c>
      <c r="G2636" s="5" t="str">
        <f t="shared" si="72"/>
        <v/>
      </c>
      <c r="I2636" s="6" t="str">
        <f t="shared" si="71"/>
        <v>0</v>
      </c>
      <c r="K2636" s="21" t="s">
        <v>4768</v>
      </c>
    </row>
    <row r="2637" spans="1:11" x14ac:dyDescent="0.2">
      <c r="A2637" t="s">
        <v>2523</v>
      </c>
      <c r="B2637" t="s">
        <v>4769</v>
      </c>
      <c r="G2637" s="5" t="str">
        <f t="shared" si="72"/>
        <v/>
      </c>
      <c r="I2637" s="6" t="str">
        <f t="shared" si="71"/>
        <v>0</v>
      </c>
      <c r="K2637" s="21" t="s">
        <v>4770</v>
      </c>
    </row>
    <row r="2638" spans="1:11" x14ac:dyDescent="0.2">
      <c r="A2638" t="s">
        <v>2536</v>
      </c>
      <c r="B2638" t="s">
        <v>4771</v>
      </c>
      <c r="G2638" s="5" t="str">
        <f t="shared" si="72"/>
        <v/>
      </c>
      <c r="I2638" s="6" t="str">
        <f t="shared" si="71"/>
        <v>0</v>
      </c>
      <c r="K2638" s="21" t="s">
        <v>4772</v>
      </c>
    </row>
    <row r="2639" spans="1:11" x14ac:dyDescent="0.2">
      <c r="A2639" t="s">
        <v>2537</v>
      </c>
      <c r="B2639" t="s">
        <v>4773</v>
      </c>
      <c r="G2639" s="5" t="str">
        <f t="shared" si="72"/>
        <v/>
      </c>
      <c r="I2639" s="6" t="str">
        <f t="shared" si="71"/>
        <v>0</v>
      </c>
      <c r="K2639" s="21" t="s">
        <v>4774</v>
      </c>
    </row>
    <row r="2640" spans="1:11" x14ac:dyDescent="0.2">
      <c r="A2640" t="s">
        <v>865</v>
      </c>
      <c r="B2640" t="s">
        <v>4788</v>
      </c>
      <c r="G2640" s="5" t="str">
        <f t="shared" si="72"/>
        <v/>
      </c>
      <c r="I2640" s="6" t="str">
        <f t="shared" si="71"/>
        <v>0</v>
      </c>
      <c r="K2640" s="21" t="s">
        <v>4789</v>
      </c>
    </row>
    <row r="2641" spans="1:11" x14ac:dyDescent="0.2">
      <c r="A2641" t="s">
        <v>869</v>
      </c>
      <c r="B2641" t="s">
        <v>4790</v>
      </c>
      <c r="G2641" s="5" t="str">
        <f t="shared" si="72"/>
        <v/>
      </c>
      <c r="I2641" s="6" t="str">
        <f t="shared" ref="I2641:I2679" si="73">IFERROR(DEC2HEX(H2641),"")</f>
        <v>0</v>
      </c>
      <c r="K2641" s="21" t="s">
        <v>4791</v>
      </c>
    </row>
    <row r="2642" spans="1:11" x14ac:dyDescent="0.2">
      <c r="A2642" t="s">
        <v>870</v>
      </c>
      <c r="B2642" t="s">
        <v>4792</v>
      </c>
      <c r="G2642" s="5" t="str">
        <f t="shared" si="72"/>
        <v/>
      </c>
      <c r="I2642" s="6" t="str">
        <f t="shared" si="73"/>
        <v>0</v>
      </c>
      <c r="K2642" s="21" t="s">
        <v>4793</v>
      </c>
    </row>
    <row r="2643" spans="1:11" x14ac:dyDescent="0.2">
      <c r="A2643" t="s">
        <v>871</v>
      </c>
      <c r="B2643" t="s">
        <v>4794</v>
      </c>
      <c r="G2643" s="5" t="str">
        <f t="shared" si="72"/>
        <v/>
      </c>
      <c r="I2643" s="6" t="str">
        <f t="shared" si="73"/>
        <v>0</v>
      </c>
      <c r="K2643" s="21" t="s">
        <v>4795</v>
      </c>
    </row>
    <row r="2644" spans="1:11" x14ac:dyDescent="0.2">
      <c r="A2644" t="s">
        <v>872</v>
      </c>
      <c r="B2644" t="s">
        <v>4572</v>
      </c>
      <c r="G2644" s="5" t="str">
        <f t="shared" si="72"/>
        <v/>
      </c>
      <c r="I2644" s="6" t="str">
        <f t="shared" si="73"/>
        <v>0</v>
      </c>
      <c r="K2644" s="21" t="s">
        <v>4796</v>
      </c>
    </row>
    <row r="2645" spans="1:11" x14ac:dyDescent="0.2">
      <c r="A2645" t="s">
        <v>874</v>
      </c>
      <c r="B2645" t="s">
        <v>4797</v>
      </c>
      <c r="G2645" s="5" t="str">
        <f t="shared" si="72"/>
        <v/>
      </c>
      <c r="I2645" s="6" t="str">
        <f t="shared" si="73"/>
        <v>0</v>
      </c>
      <c r="K2645" s="21" t="s">
        <v>4798</v>
      </c>
    </row>
    <row r="2646" spans="1:11" x14ac:dyDescent="0.2">
      <c r="A2646" t="s">
        <v>1014</v>
      </c>
      <c r="B2646" t="s">
        <v>4799</v>
      </c>
      <c r="G2646" s="5" t="str">
        <f t="shared" si="72"/>
        <v/>
      </c>
      <c r="I2646" s="6" t="str">
        <f t="shared" si="73"/>
        <v>0</v>
      </c>
      <c r="K2646" s="21" t="s">
        <v>4800</v>
      </c>
    </row>
    <row r="2647" spans="1:11" x14ac:dyDescent="0.2">
      <c r="A2647" t="s">
        <v>1021</v>
      </c>
      <c r="B2647" t="s">
        <v>4801</v>
      </c>
      <c r="G2647" s="5" t="str">
        <f t="shared" si="72"/>
        <v/>
      </c>
      <c r="I2647" s="6" t="str">
        <f t="shared" si="73"/>
        <v>0</v>
      </c>
      <c r="K2647" s="21" t="s">
        <v>4802</v>
      </c>
    </row>
    <row r="2648" spans="1:11" x14ac:dyDescent="0.2">
      <c r="A2648" t="s">
        <v>1022</v>
      </c>
      <c r="B2648" t="s">
        <v>4803</v>
      </c>
      <c r="G2648" s="5" t="str">
        <f t="shared" si="72"/>
        <v/>
      </c>
      <c r="I2648" s="6" t="str">
        <f t="shared" si="73"/>
        <v>0</v>
      </c>
      <c r="K2648" s="21" t="s">
        <v>4804</v>
      </c>
    </row>
    <row r="2649" spans="1:11" x14ac:dyDescent="0.2">
      <c r="A2649" t="s">
        <v>1047</v>
      </c>
      <c r="B2649" t="s">
        <v>4805</v>
      </c>
      <c r="G2649" s="5" t="str">
        <f t="shared" si="72"/>
        <v/>
      </c>
      <c r="I2649" s="6" t="str">
        <f t="shared" si="73"/>
        <v>0</v>
      </c>
      <c r="K2649" s="21" t="s">
        <v>4806</v>
      </c>
    </row>
    <row r="2650" spans="1:11" x14ac:dyDescent="0.2">
      <c r="A2650" t="s">
        <v>1051</v>
      </c>
      <c r="B2650" t="s">
        <v>4807</v>
      </c>
      <c r="G2650" s="5" t="str">
        <f t="shared" si="72"/>
        <v/>
      </c>
      <c r="I2650" s="6" t="str">
        <f t="shared" si="73"/>
        <v>0</v>
      </c>
      <c r="K2650" s="21" t="s">
        <v>4808</v>
      </c>
    </row>
    <row r="2651" spans="1:11" x14ac:dyDescent="0.2">
      <c r="A2651" t="s">
        <v>1052</v>
      </c>
      <c r="B2651" t="s">
        <v>4809</v>
      </c>
      <c r="G2651" s="5" t="str">
        <f t="shared" si="72"/>
        <v/>
      </c>
      <c r="I2651" s="6" t="str">
        <f t="shared" si="73"/>
        <v>0</v>
      </c>
      <c r="K2651" s="21" t="s">
        <v>4810</v>
      </c>
    </row>
    <row r="2652" spans="1:11" x14ac:dyDescent="0.2">
      <c r="A2652" t="s">
        <v>1056</v>
      </c>
      <c r="B2652" t="s">
        <v>4600</v>
      </c>
      <c r="G2652" s="5" t="str">
        <f t="shared" si="72"/>
        <v/>
      </c>
      <c r="I2652" s="6" t="str">
        <f t="shared" si="73"/>
        <v>0</v>
      </c>
      <c r="K2652" s="21" t="s">
        <v>4601</v>
      </c>
    </row>
    <row r="2653" spans="1:11" x14ac:dyDescent="0.2">
      <c r="A2653" t="s">
        <v>1057</v>
      </c>
      <c r="B2653" t="s">
        <v>4811</v>
      </c>
      <c r="G2653" s="5" t="str">
        <f t="shared" si="72"/>
        <v/>
      </c>
      <c r="I2653" s="6" t="str">
        <f t="shared" si="73"/>
        <v>0</v>
      </c>
      <c r="K2653" s="21" t="s">
        <v>4602</v>
      </c>
    </row>
    <row r="2654" spans="1:11" x14ac:dyDescent="0.2">
      <c r="A2654" t="s">
        <v>1058</v>
      </c>
      <c r="B2654" t="s">
        <v>4812</v>
      </c>
      <c r="G2654" s="5" t="str">
        <f t="shared" si="72"/>
        <v/>
      </c>
      <c r="I2654" s="6" t="str">
        <f t="shared" si="73"/>
        <v>0</v>
      </c>
      <c r="K2654" s="21" t="s">
        <v>4603</v>
      </c>
    </row>
    <row r="2655" spans="1:11" x14ac:dyDescent="0.2">
      <c r="A2655" t="s">
        <v>1059</v>
      </c>
      <c r="B2655" t="s">
        <v>4813</v>
      </c>
      <c r="G2655" s="5" t="str">
        <f t="shared" si="72"/>
        <v/>
      </c>
      <c r="I2655" s="6" t="str">
        <f t="shared" si="73"/>
        <v>0</v>
      </c>
      <c r="K2655" s="21" t="s">
        <v>4814</v>
      </c>
    </row>
    <row r="2656" spans="1:11" x14ac:dyDescent="0.2">
      <c r="A2656" t="s">
        <v>1060</v>
      </c>
      <c r="B2656" t="s">
        <v>4815</v>
      </c>
      <c r="G2656" s="5" t="str">
        <f t="shared" si="72"/>
        <v/>
      </c>
      <c r="I2656" s="6" t="str">
        <f t="shared" si="73"/>
        <v>0</v>
      </c>
      <c r="K2656" s="21" t="s">
        <v>4604</v>
      </c>
    </row>
    <row r="2657" spans="1:11" x14ac:dyDescent="0.2">
      <c r="A2657" t="s">
        <v>1061</v>
      </c>
      <c r="B2657" t="s">
        <v>4816</v>
      </c>
      <c r="G2657" s="5" t="str">
        <f t="shared" si="72"/>
        <v/>
      </c>
      <c r="I2657" s="6" t="str">
        <f t="shared" si="73"/>
        <v>0</v>
      </c>
      <c r="K2657" s="21" t="s">
        <v>4605</v>
      </c>
    </row>
    <row r="2658" spans="1:11" x14ac:dyDescent="0.2">
      <c r="A2658" t="s">
        <v>1062</v>
      </c>
      <c r="B2658" t="s">
        <v>4817</v>
      </c>
      <c r="G2658" s="5" t="str">
        <f t="shared" si="72"/>
        <v/>
      </c>
      <c r="I2658" s="6" t="str">
        <f t="shared" si="73"/>
        <v>0</v>
      </c>
      <c r="K2658" s="21" t="s">
        <v>4606</v>
      </c>
    </row>
    <row r="2659" spans="1:11" x14ac:dyDescent="0.2">
      <c r="A2659" t="s">
        <v>1063</v>
      </c>
      <c r="B2659" t="s">
        <v>4818</v>
      </c>
      <c r="G2659" s="5" t="str">
        <f t="shared" si="72"/>
        <v/>
      </c>
      <c r="I2659" s="6" t="str">
        <f t="shared" si="73"/>
        <v>0</v>
      </c>
      <c r="K2659" s="21" t="s">
        <v>4607</v>
      </c>
    </row>
    <row r="2660" spans="1:11" x14ac:dyDescent="0.2">
      <c r="A2660" t="s">
        <v>1064</v>
      </c>
      <c r="B2660" t="s">
        <v>4599</v>
      </c>
      <c r="G2660" s="5" t="str">
        <f t="shared" si="72"/>
        <v/>
      </c>
      <c r="I2660" s="6" t="str">
        <f t="shared" si="73"/>
        <v>0</v>
      </c>
      <c r="K2660" s="21" t="s">
        <v>4819</v>
      </c>
    </row>
    <row r="2661" spans="1:11" x14ac:dyDescent="0.2">
      <c r="A2661" t="s">
        <v>1065</v>
      </c>
      <c r="B2661" t="s">
        <v>4820</v>
      </c>
      <c r="G2661" s="5" t="str">
        <f t="shared" si="72"/>
        <v/>
      </c>
      <c r="I2661" s="6" t="str">
        <f t="shared" si="73"/>
        <v>0</v>
      </c>
      <c r="K2661" s="21" t="s">
        <v>4821</v>
      </c>
    </row>
    <row r="2662" spans="1:11" x14ac:dyDescent="0.2">
      <c r="A2662" t="s">
        <v>1066</v>
      </c>
      <c r="B2662" t="s">
        <v>4822</v>
      </c>
      <c r="G2662" s="5" t="str">
        <f t="shared" si="72"/>
        <v/>
      </c>
      <c r="I2662" s="6" t="str">
        <f t="shared" si="73"/>
        <v>0</v>
      </c>
      <c r="K2662" s="21" t="s">
        <v>4823</v>
      </c>
    </row>
    <row r="2663" spans="1:11" x14ac:dyDescent="0.2">
      <c r="A2663" t="s">
        <v>1067</v>
      </c>
      <c r="B2663" t="s">
        <v>4824</v>
      </c>
      <c r="G2663" s="5" t="str">
        <f t="shared" si="72"/>
        <v/>
      </c>
      <c r="I2663" s="6" t="str">
        <f t="shared" si="73"/>
        <v>0</v>
      </c>
      <c r="K2663" s="21" t="s">
        <v>4608</v>
      </c>
    </row>
    <row r="2664" spans="1:11" x14ac:dyDescent="0.2">
      <c r="A2664" t="s">
        <v>1068</v>
      </c>
      <c r="B2664" t="s">
        <v>4825</v>
      </c>
      <c r="G2664" s="5" t="str">
        <f t="shared" si="72"/>
        <v/>
      </c>
      <c r="I2664" s="6" t="str">
        <f t="shared" si="73"/>
        <v>0</v>
      </c>
      <c r="K2664" s="21" t="s">
        <v>4826</v>
      </c>
    </row>
    <row r="2665" spans="1:11" x14ac:dyDescent="0.2">
      <c r="A2665" t="s">
        <v>5058</v>
      </c>
      <c r="B2665" t="s">
        <v>5058</v>
      </c>
      <c r="C2665" s="5" t="s">
        <v>3122</v>
      </c>
      <c r="D2665" t="s">
        <v>5059</v>
      </c>
      <c r="E2665" t="s">
        <v>5060</v>
      </c>
      <c r="F2665" s="5" t="s">
        <v>5061</v>
      </c>
      <c r="G2665" s="5">
        <f t="shared" si="72"/>
        <v>34918</v>
      </c>
      <c r="H2665" s="5">
        <v>48</v>
      </c>
      <c r="I2665" s="6" t="str">
        <f t="shared" si="73"/>
        <v>30</v>
      </c>
      <c r="J2665" s="6" t="s">
        <v>3455</v>
      </c>
      <c r="K2665" s="21" t="s">
        <v>5206</v>
      </c>
    </row>
    <row r="2666" spans="1:11" x14ac:dyDescent="0.2">
      <c r="G2666" s="5" t="str">
        <f>IF(F2666&lt;&gt;"",HEX2DEC(SUBSTITUTE(SUBSTITUTE(F2666,"adrEA",""),"$","")),"")</f>
        <v/>
      </c>
      <c r="I2666" s="6" t="str">
        <f t="shared" si="73"/>
        <v>0</v>
      </c>
    </row>
    <row r="2667" spans="1:11" x14ac:dyDescent="0.2">
      <c r="G2667" s="5" t="str">
        <f t="shared" ref="G2667:G2683" si="74">IF(F2667&lt;&gt;"",HEX2DEC(SUBSTITUTE(SUBSTITUTE(F2667,"adrEA",""),"$","")),"")</f>
        <v/>
      </c>
      <c r="I2667" s="6" t="str">
        <f t="shared" si="73"/>
        <v>0</v>
      </c>
    </row>
    <row r="2668" spans="1:11" x14ac:dyDescent="0.2">
      <c r="G2668" s="5" t="str">
        <f t="shared" si="74"/>
        <v/>
      </c>
      <c r="I2668" s="6" t="str">
        <f t="shared" si="73"/>
        <v>0</v>
      </c>
    </row>
    <row r="2669" spans="1:11" x14ac:dyDescent="0.2">
      <c r="G2669" s="5" t="str">
        <f t="shared" si="74"/>
        <v/>
      </c>
      <c r="I2669" s="6" t="str">
        <f t="shared" si="73"/>
        <v>0</v>
      </c>
    </row>
    <row r="2670" spans="1:11" x14ac:dyDescent="0.2">
      <c r="G2670" s="5" t="str">
        <f t="shared" si="74"/>
        <v/>
      </c>
      <c r="I2670" s="6" t="str">
        <f t="shared" si="73"/>
        <v>0</v>
      </c>
    </row>
    <row r="2671" spans="1:11" x14ac:dyDescent="0.2">
      <c r="G2671" s="5" t="str">
        <f t="shared" si="74"/>
        <v/>
      </c>
      <c r="I2671" s="6" t="str">
        <f t="shared" si="73"/>
        <v>0</v>
      </c>
    </row>
    <row r="2672" spans="1:11" x14ac:dyDescent="0.2">
      <c r="G2672" s="5" t="str">
        <f t="shared" si="74"/>
        <v/>
      </c>
      <c r="I2672" s="6" t="str">
        <f t="shared" si="73"/>
        <v>0</v>
      </c>
    </row>
    <row r="2673" spans="7:9" x14ac:dyDescent="0.2">
      <c r="G2673" s="5" t="str">
        <f t="shared" si="74"/>
        <v/>
      </c>
      <c r="I2673" s="6" t="str">
        <f t="shared" si="73"/>
        <v>0</v>
      </c>
    </row>
    <row r="2674" spans="7:9" x14ac:dyDescent="0.2">
      <c r="G2674" s="5" t="str">
        <f t="shared" si="74"/>
        <v/>
      </c>
      <c r="I2674" s="6" t="str">
        <f t="shared" si="73"/>
        <v>0</v>
      </c>
    </row>
    <row r="2675" spans="7:9" x14ac:dyDescent="0.2">
      <c r="G2675" s="5" t="str">
        <f t="shared" si="74"/>
        <v/>
      </c>
      <c r="I2675" s="6" t="str">
        <f t="shared" si="73"/>
        <v>0</v>
      </c>
    </row>
    <row r="2676" spans="7:9" x14ac:dyDescent="0.2">
      <c r="G2676" s="5" t="str">
        <f t="shared" si="74"/>
        <v/>
      </c>
      <c r="I2676" s="6" t="str">
        <f t="shared" si="73"/>
        <v>0</v>
      </c>
    </row>
    <row r="2677" spans="7:9" x14ac:dyDescent="0.2">
      <c r="G2677" s="5" t="str">
        <f t="shared" si="74"/>
        <v/>
      </c>
      <c r="I2677" s="6" t="str">
        <f t="shared" si="73"/>
        <v>0</v>
      </c>
    </row>
    <row r="2678" spans="7:9" x14ac:dyDescent="0.2">
      <c r="G2678" s="5" t="str">
        <f t="shared" si="74"/>
        <v/>
      </c>
      <c r="I2678" s="6" t="str">
        <f t="shared" si="73"/>
        <v>0</v>
      </c>
    </row>
    <row r="2679" spans="7:9" x14ac:dyDescent="0.2">
      <c r="G2679" s="5" t="str">
        <f t="shared" si="74"/>
        <v/>
      </c>
      <c r="I2679" s="6" t="str">
        <f t="shared" si="73"/>
        <v>0</v>
      </c>
    </row>
    <row r="2680" spans="7:9" x14ac:dyDescent="0.2">
      <c r="G2680" s="5" t="str">
        <f t="shared" si="74"/>
        <v/>
      </c>
    </row>
    <row r="2681" spans="7:9" x14ac:dyDescent="0.2">
      <c r="G2681" s="5" t="str">
        <f t="shared" si="74"/>
        <v/>
      </c>
    </row>
    <row r="2682" spans="7:9" x14ac:dyDescent="0.2">
      <c r="G2682" s="5" t="str">
        <f t="shared" si="74"/>
        <v/>
      </c>
    </row>
    <row r="2683" spans="7:9" x14ac:dyDescent="0.2">
      <c r="G2683" s="5" t="str">
        <f t="shared" si="74"/>
        <v/>
      </c>
    </row>
  </sheetData>
  <autoFilter ref="A1:N2665" xr:uid="{00000000-0001-0000-0000-000000000000}">
    <sortState xmlns:xlrd2="http://schemas.microsoft.com/office/spreadsheetml/2017/richdata2" ref="A53:N2117">
      <sortCondition sortBy="cellColor" ref="A1:A2665" dxfId="93"/>
    </sortState>
  </autoFilter>
  <phoneticPr fontId="4" type="noConversion"/>
  <conditionalFormatting sqref="A2:A229 A231:A234 A2672:A2677 A2699:A9130 A239:A2665">
    <cfRule type="expression" dxfId="23" priority="75">
      <formula>AND(MATCH(A2,A:A,0)&lt;&gt;ROW(A2),J2="data_append")</formula>
    </cfRule>
    <cfRule type="expression" dxfId="22" priority="88">
      <formula>AND(MATCH(A2,A:A,0)=ROW(A2),COUNTIF(A:A,A2)=1)</formula>
    </cfRule>
    <cfRule type="expression" dxfId="21" priority="89">
      <formula>AND(MATCH(A2,A:A,0)=ROW(A2),COUNTIF(A:A,A2)&gt;1)</formula>
    </cfRule>
    <cfRule type="expression" dxfId="20" priority="92">
      <formula>AND(MATCH(A2,A:A,0)&lt;&gt;ROW(A2),J2&lt;&gt;"data_append")</formula>
    </cfRule>
  </conditionalFormatting>
  <conditionalFormatting sqref="A230 A235:A238">
    <cfRule type="expression" dxfId="19" priority="132">
      <formula>AND(MATCH(A230,A:A,0)&lt;&gt;ROW(A230),K230="data_append")</formula>
    </cfRule>
    <cfRule type="expression" dxfId="18" priority="133">
      <formula>AND(MATCH(A230,A:A,0)=ROW(A230),COUNTIF(A:A,A230)=1)</formula>
    </cfRule>
    <cfRule type="expression" dxfId="17" priority="134">
      <formula>AND(MATCH(A230,A:A,0)=ROW(A230),COUNTIF(A:A,A230)&gt;1)</formula>
    </cfRule>
    <cfRule type="expression" dxfId="16" priority="135">
      <formula>AND(MATCH(A230,A:A,0)&lt;&gt;ROW(A230),K230&lt;&gt;"data_append")</formula>
    </cfRule>
  </conditionalFormatting>
  <conditionalFormatting sqref="B2672:B2677 B2699:B9130 B2:B2665">
    <cfRule type="expression" dxfId="15" priority="72">
      <formula>AND(B2&lt;&gt;"",_xlfn.ISFORMULA(B2)=TRUE)</formula>
    </cfRule>
  </conditionalFormatting>
  <conditionalFormatting sqref="B2:V229 B230:G230 B231:V234 B240:H288 B289:V592 B1272:H1273 B1413:H1498 G2007:H2017 B2143:H2148 B2279:H2280 B2313:H2313 B2412:H2665 B2672:F2677 B2699:V9130 B235:F239 B1070:F1202 B1235:B1271 B1274:F1278 B1279:B1280 B1281:F1412 B1499:F1515 B1517:F1601 B2007:E2017 B2149:F2278 B2281:F2312 B2314:F2402 B2406:F2411 K230:V230 K235:V238 J239:V287 J288:K288 M288:V288 H1070:H1202 H1274:H1279 K1278:V1278 J1278:J1279 H1281:H1412 H1499:H1515 H1517:H1601 K1670:V1670 J1671:V1672 J1673:K1673 J1674:V1682 J1683:K1683 K1684:V1684 J1685:V1685 J1686:K1687 J1688:V1704 K1705:V1705 J1706:V1762 K1763:V1763 J1764:V1949 J1950:K1950 J1951:V1960 K1961:V1961 J1962:V1966 K1967:V1968 J1969:V1971 K1972:V1974 J1975:V1978 K1979:V1979 J1980:V1984 K1985:V1985 J1986:V1990 K1991:V1991 J1992:V1996 K1997:V1997 J1998:V1998 K1999:V1999 J2000:V2004 F2009:F2013 F2016:F2017 H2149:H2278 K2269:V2269 H2281:H2312 H2314:H2402 H2406:H2411 K2559:V2569 K2571:V2580 J2581:V2593 J2594:K2664 B1229:F1234 H1229:H1234 J1229:V1234 B1203:H1228 B2018:H2141 H2672:H2677 J2672:V2677 J2065:K2065 J2066:V2082 J2044:V2064 J2041:K2041 J2042:V2042 J2038:V2040 J2037:K2037 J2032:V2036 J2030:K2031 J1225:K1228 J1216:V1224 J1214:K1215 J1212:V1213 J1211:K1211 J1205:V1210 J1203:K1204 J2665:V2665 J2570:V2570 J2406:V2558 J2270:V2402 J2143:V2268 J2118:V2141 J2117:K2117 J2103:V2116 J2101:K2102 J2100:V2100 J2098:K2099 J2090:V2097 J2089:K2089 J2086:V2088 J2083:K2085 J2043:K2043 J2007:V2029 J1517:V1669 J1496:V1515 J1495:K1495 J1485:V1494 J1479:K1484 J1478:V1478 J1476:K1477 J1443:V1475 J1442:K1442 J1426:V1441 J1419:K1425 J1418:V1418 J1416:K1417 J1281:V1415 J1272:V1277 J907:V1202 J906:K906 J892:V905 J891:K891 J812:V890 J593:V809 G810:G2005 G2007:G2683 J810:K811 J2005:K2006 B593:H1069 B1602:H2006 I4:I2679">
    <cfRule type="expression" dxfId="14" priority="81">
      <formula>LEFT(LOWER($B2),7)="_delete"</formula>
    </cfRule>
  </conditionalFormatting>
  <conditionalFormatting sqref="B2:V229 B230:G230 K230:V230 B231:V234 K235:V238 B235:F239 J239:V287 B240:H288 J288:K288 M288:V288 B289:V592 B1070:F1202 H1070:H1202 B1235:B1271 B1272:H1273 B1274:F1278 H1274:H1279 K1278:V1278 J1278:J1279 B1279:B1280 B1281:F1412 H1281:H1412 B1413:H1498 B1499:F1515 H1499:H1515 B1517:F1601 H1517:H1601 K1670:V1670 J1671:V1672 J1673:K1673 J1674:V1682 J1683:K1683 K1684:V1684 J1685:V1685 J1686:K1687 J1688:V1704 K1705:V1705 J1706:V1762 K1763:V1763 J1764:V1949 J1950:K1950 J1951:V1960 K1961:V1961 J1962:V1966 K1967:V1968 J1969:V1971 K1972:V1974 J1975:V1978 K1979:V1979 J1980:V1984 K1985:V1985 J1986:V1990 K1991:V1991 J1992:V1996 K1997:V1997 J1998:V1998 K1999:V1999 J2000:V2004 B2007:E2017 G2007:H2017 F2009:F2013 F2016:F2017 B2143:H2148 B2149:F2278 H2149:H2278 K2269:V2269 B2279:H2280 B2281:F2312 H2281:H2312 B2313:H2313 B2314:F2402 H2314:H2402 B2406:F2411 H2406:H2411 K2559:V2569 K2571:V2580 J2581:V2593 J2594:K2664 B2412:H2665 B2672:F2677 B2699:V9130 B1229:F1234 H1229:H1234 J1229:V1234 B1203:H1228 B2018:H2141 H2672:H2677 J2672:V2677 J2065:K2065 J2066:V2082 J2044:V2064 J2041:K2041 J2042:V2042 J2038:V2040 J2037:K2037 J2032:V2036 J2030:K2031 J1225:K1228 J1216:V1224 J1214:K1215 J1212:V1213 J1211:K1211 J1205:V1210 J1203:K1204 J2665:V2665 J2570:V2570 J2406:V2558 J2270:V2402 J2143:V2268 J2118:V2141 J2117:K2117 J2103:V2116 J2101:K2102 J2100:V2100 J2098:K2099 J2090:V2097 J2089:K2089 J2086:V2088 J2083:K2085 J2043:K2043 J2007:V2029 J1517:V1669 J1496:V1515 J1495:K1495 J1485:V1494 J1479:K1484 J1478:V1478 J1476:K1477 J1443:V1475 J1442:K1442 J1426:V1441 J1419:K1425 J1418:V1418 J1416:K1417 J1281:V1415 J1272:V1277 J907:V1202 J906:K906 J892:V905 J891:K891 J812:V890 J593:V809 G810:G2005 G2007:G2683 J810:K811 J2005:K2006 B593:H1069 B1602:H2006 I4:I2679">
    <cfRule type="expression" dxfId="13" priority="87">
      <formula>LEFT(LOWER($B2),7)="_offset"</formula>
    </cfRule>
  </conditionalFormatting>
  <conditionalFormatting sqref="B2142:H2142 J2142:V2142">
    <cfRule type="expression" dxfId="12" priority="18">
      <formula>LEFT(LOWER($B2142),7)="_delete"</formula>
    </cfRule>
    <cfRule type="expression" dxfId="11" priority="19">
      <formula>LEFT(LOWER($B2142),7)="_offset"</formula>
    </cfRule>
  </conditionalFormatting>
  <conditionalFormatting sqref="H230">
    <cfRule type="expression" dxfId="10" priority="28" stopIfTrue="1">
      <formula>AND(H230&lt;&gt;"",_xlfn.ISFORMULA(H230)=TRUE)</formula>
    </cfRule>
  </conditionalFormatting>
  <conditionalFormatting sqref="H235:H238">
    <cfRule type="expression" dxfId="9" priority="29" stopIfTrue="1">
      <formula>AND(H235&lt;&gt;"",_xlfn.ISFORMULA(H235)=TRUE)</formula>
    </cfRule>
  </conditionalFormatting>
  <conditionalFormatting sqref="H239">
    <cfRule type="expression" dxfId="8" priority="26">
      <formula>LEFT(LOWER($B239),7)="_delete"</formula>
    </cfRule>
    <cfRule type="expression" dxfId="7" priority="27">
      <formula>LEFT(LOWER($B239),7)="_offset"</formula>
    </cfRule>
  </conditionalFormatting>
  <conditionalFormatting sqref="G1:G234 G2699:G1048576 I2699:I1048576 G240:G2683 I1:I2679">
    <cfRule type="expression" dxfId="6" priority="73">
      <formula>_xlfn.ISFORMULA(G1)=FALSE</formula>
    </cfRule>
  </conditionalFormatting>
  <conditionalFormatting sqref="L891:V891 L906:V906 L1416:V1417 L1419:V1425 L1442:V1442 L1476:V1477 L1479:V1484 L1495:V1495 L1673:V1673 L1683:V1683 L1686:V1687 L1950:V1950 L2043:V2043 L2083:V2085 L2089:V2089 L2098:V2099 L2101:V2102 L2117:V2117 L2594:V2664 L1203:V1204 L1211:V1211 L1214:V1215 L1225:V1228 L2030:V2031 L2037:V2037 L2065:V2065 L2041:V2041 L810:V811 L2006:V2006">
    <cfRule type="expression" dxfId="5" priority="115">
      <formula>LEFT(LOWER(#REF!),7)="_delete"</formula>
    </cfRule>
    <cfRule type="expression" dxfId="4" priority="119">
      <formula>LEFT(LOWER(#REF!),7)="_offset"</formula>
    </cfRule>
  </conditionalFormatting>
  <conditionalFormatting sqref="L2005:V2006">
    <cfRule type="expression" dxfId="3" priority="16">
      <formula>LEFT(LOWER(#REF!),7)="_delete"</formula>
    </cfRule>
    <cfRule type="expression" dxfId="2" priority="17">
      <formula>LEFT(LOWER(#REF!),7)="_offset"</formula>
    </cfRule>
  </conditionalFormatting>
  <conditionalFormatting sqref="A2:A9999">
    <cfRule type="expression" dxfId="1" priority="1">
      <formula>AND($B2="",FIND("adr",$A2)&gt;0)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BLOODWYCH439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2026-08-23T21:34:10Z</dcterms:modified>
</cp:coreProperties>
</file>