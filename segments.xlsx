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E0B60837-D3F7-8848-8974-5583D3458826}" xr6:coauthVersionLast="47" xr6:coauthVersionMax="47" xr10:uidLastSave="{00000000-0000-0000-0000-000000000000}"/>
  <bookViews>
    <workbookView xWindow="17420" yWindow="1100" windowWidth="19040" windowHeight="21680" xr2:uid="{00000000-000D-0000-FFFF-FFFF00000000}"/>
  </bookViews>
  <sheets>
    <sheet name="BLOODWYCH439" sheetId="1" r:id="rId1"/>
    <sheet name="AI_NAMES" sheetId="2" r:id="rId2"/>
  </sheets>
  <definedNames>
    <definedName name="_xlnm._FilterDatabase" localSheetId="0" hidden="1">BLOODWYCH439!$A$1:$O$2647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M185" i="1"/>
  <c r="I175" i="1"/>
  <c r="I174" i="1"/>
  <c r="I173" i="1"/>
  <c r="I172" i="1"/>
  <c r="I143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G175" i="1"/>
  <c r="G174" i="1"/>
  <c r="G173" i="1"/>
  <c r="G172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B257" i="1"/>
  <c r="M257" i="1" s="1"/>
  <c r="B258" i="1"/>
  <c r="M258" i="1" s="1"/>
  <c r="B260" i="1"/>
  <c r="B262" i="1"/>
  <c r="B263" i="1"/>
  <c r="B264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65" i="1"/>
  <c r="B266" i="1"/>
  <c r="B267" i="1"/>
  <c r="B268" i="1"/>
  <c r="B269" i="1"/>
  <c r="B270" i="1"/>
  <c r="B276" i="1"/>
  <c r="B287" i="1"/>
  <c r="B288" i="1"/>
  <c r="B401" i="1"/>
  <c r="B402" i="1"/>
  <c r="B403" i="1"/>
  <c r="B404" i="1"/>
  <c r="B409" i="1"/>
  <c r="B410" i="1"/>
  <c r="B418" i="1"/>
  <c r="B426" i="1"/>
  <c r="B562" i="1"/>
  <c r="B599" i="1"/>
  <c r="B681" i="1"/>
  <c r="B682" i="1"/>
  <c r="B704" i="1"/>
  <c r="B718" i="1"/>
  <c r="B724" i="1"/>
  <c r="B725" i="1"/>
  <c r="B726" i="1"/>
  <c r="B727" i="1"/>
  <c r="B728" i="1"/>
  <c r="B729" i="1"/>
  <c r="B730" i="1"/>
  <c r="B734" i="1"/>
  <c r="B736" i="1"/>
  <c r="B738" i="1"/>
  <c r="B739" i="1"/>
  <c r="B741" i="1"/>
  <c r="B799" i="1"/>
  <c r="B807" i="1"/>
  <c r="B808" i="1"/>
  <c r="B809" i="1"/>
  <c r="B810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92" i="1"/>
  <c r="B897" i="1"/>
  <c r="B955" i="1"/>
  <c r="B958" i="1"/>
  <c r="B959" i="1"/>
  <c r="B960" i="1"/>
  <c r="B965" i="1"/>
  <c r="B966" i="1"/>
  <c r="B967" i="1"/>
  <c r="B969" i="1"/>
  <c r="B970" i="1"/>
  <c r="B971" i="1"/>
  <c r="B972" i="1"/>
  <c r="B974" i="1"/>
  <c r="B975" i="1"/>
  <c r="B976" i="1"/>
  <c r="B982" i="1"/>
  <c r="B983" i="1"/>
  <c r="B984" i="1"/>
  <c r="B985" i="1"/>
  <c r="B990" i="1"/>
  <c r="B1018" i="1"/>
  <c r="B1019" i="1"/>
  <c r="B1020" i="1"/>
  <c r="B1021" i="1"/>
  <c r="B1069" i="1"/>
  <c r="B1087" i="1"/>
  <c r="B1088" i="1"/>
  <c r="B1089" i="1"/>
  <c r="B1092" i="1"/>
  <c r="B1095" i="1"/>
  <c r="B1096" i="1"/>
  <c r="B1097" i="1"/>
  <c r="B1099" i="1"/>
  <c r="B1100" i="1"/>
  <c r="B1105" i="1"/>
  <c r="B1107" i="1"/>
  <c r="B1108" i="1"/>
  <c r="B1109" i="1"/>
  <c r="B1110" i="1"/>
  <c r="B1111" i="1"/>
  <c r="B200" i="1"/>
  <c r="M200" i="1" s="1"/>
  <c r="B201" i="1"/>
  <c r="M201" i="1" s="1"/>
  <c r="B202" i="1"/>
  <c r="M202" i="1" s="1"/>
  <c r="B203" i="1"/>
  <c r="M203" i="1" s="1"/>
  <c r="B205" i="1"/>
  <c r="B206" i="1"/>
  <c r="B207" i="1"/>
  <c r="B208" i="1"/>
  <c r="B209" i="1"/>
  <c r="B211" i="1"/>
  <c r="B219" i="1"/>
  <c r="B220" i="1"/>
  <c r="B1" i="2"/>
  <c r="C1" i="2"/>
  <c r="B239" i="1" s="1"/>
  <c r="B2" i="2"/>
  <c r="C2" i="2"/>
  <c r="B3" i="2"/>
  <c r="C3" i="2"/>
  <c r="D3" i="2"/>
  <c r="B4" i="2"/>
  <c r="C4" i="2" s="1"/>
  <c r="D4" i="2" s="1"/>
  <c r="B5" i="2"/>
  <c r="C5" i="2"/>
  <c r="D5" i="2" s="1"/>
  <c r="B6" i="2"/>
  <c r="C6" i="2"/>
  <c r="D6" i="2" s="1"/>
  <c r="B7" i="2"/>
  <c r="C7" i="2"/>
  <c r="D7" i="2" s="1"/>
  <c r="B8" i="2"/>
  <c r="C8" i="2" s="1"/>
  <c r="B9" i="2"/>
  <c r="C9" i="2" s="1"/>
  <c r="D9" i="2" s="1"/>
  <c r="B10" i="2"/>
  <c r="C10" i="2" s="1"/>
  <c r="D10" i="2" s="1"/>
  <c r="B11" i="2"/>
  <c r="C11" i="2"/>
  <c r="D11" i="2" s="1"/>
  <c r="B12" i="2"/>
  <c r="C12" i="2"/>
  <c r="D12" i="2" s="1"/>
  <c r="B13" i="2"/>
  <c r="C13" i="2"/>
  <c r="D13" i="2" s="1"/>
  <c r="B14" i="2"/>
  <c r="C14" i="2" s="1"/>
  <c r="D14" i="2" s="1"/>
  <c r="B15" i="2"/>
  <c r="C15" i="2"/>
  <c r="D15" i="2" s="1"/>
  <c r="B16" i="2"/>
  <c r="C16" i="2"/>
  <c r="D16" i="2" s="1"/>
  <c r="B17" i="2"/>
  <c r="C17" i="2"/>
  <c r="D17" i="2" s="1"/>
  <c r="B18" i="2"/>
  <c r="C18" i="2"/>
  <c r="D18" i="2"/>
  <c r="B19" i="2"/>
  <c r="C19" i="2" s="1"/>
  <c r="D19" i="2" s="1"/>
  <c r="B20" i="2"/>
  <c r="C20" i="2" s="1"/>
  <c r="D20" i="2" s="1"/>
  <c r="B21" i="2"/>
  <c r="C21" i="2" s="1"/>
  <c r="D21" i="2" s="1"/>
  <c r="B22" i="2"/>
  <c r="C22" i="2"/>
  <c r="D22" i="2" s="1"/>
  <c r="B23" i="2"/>
  <c r="C23" i="2"/>
  <c r="D23" i="2" s="1"/>
  <c r="B24" i="2"/>
  <c r="C24" i="2" s="1"/>
  <c r="D24" i="2" s="1"/>
  <c r="B25" i="2"/>
  <c r="C25" i="2" s="1"/>
  <c r="D25" i="2" s="1"/>
  <c r="B26" i="2"/>
  <c r="C26" i="2"/>
  <c r="D26" i="2" s="1"/>
  <c r="B27" i="2"/>
  <c r="C27" i="2"/>
  <c r="D27" i="2" s="1"/>
  <c r="B28" i="2"/>
  <c r="C28" i="2"/>
  <c r="D28" i="2"/>
  <c r="B29" i="2"/>
  <c r="C29" i="2"/>
  <c r="D29" i="2"/>
  <c r="B30" i="2"/>
  <c r="C30" i="2" s="1"/>
  <c r="D30" i="2" s="1"/>
  <c r="B31" i="2"/>
  <c r="C31" i="2" s="1"/>
  <c r="D31" i="2" s="1"/>
  <c r="B32" i="2"/>
  <c r="C32" i="2" s="1"/>
  <c r="D32" i="2" s="1"/>
  <c r="B33" i="2"/>
  <c r="C33" i="2"/>
  <c r="D33" i="2" s="1"/>
  <c r="B34" i="2"/>
  <c r="C34" i="2" s="1"/>
  <c r="D34" i="2" s="1"/>
  <c r="B35" i="2"/>
  <c r="C35" i="2" s="1"/>
  <c r="D35" i="2" s="1"/>
  <c r="B36" i="2"/>
  <c r="C36" i="2" s="1"/>
  <c r="D36" i="2" s="1"/>
  <c r="B37" i="2"/>
  <c r="C37" i="2"/>
  <c r="D37" i="2" s="1"/>
  <c r="B38" i="2"/>
  <c r="C38" i="2" s="1"/>
  <c r="D38" i="2" s="1"/>
  <c r="B39" i="2"/>
  <c r="C39" i="2"/>
  <c r="D39" i="2"/>
  <c r="B40" i="2"/>
  <c r="C40" i="2"/>
  <c r="D40" i="2"/>
  <c r="B41" i="2"/>
  <c r="C41" i="2" s="1"/>
  <c r="D41" i="2" s="1"/>
  <c r="B42" i="2"/>
  <c r="C42" i="2" s="1"/>
  <c r="D42" i="2" s="1"/>
  <c r="B43" i="2"/>
  <c r="C43" i="2" s="1"/>
  <c r="D43" i="2" s="1"/>
  <c r="B44" i="2"/>
  <c r="C44" i="2" s="1"/>
  <c r="D44" i="2" s="1"/>
  <c r="B45" i="2"/>
  <c r="C45" i="2" s="1"/>
  <c r="D45" i="2" s="1"/>
  <c r="B46" i="2"/>
  <c r="C46" i="2" s="1"/>
  <c r="D46" i="2" s="1"/>
  <c r="B47" i="2"/>
  <c r="C47" i="2" s="1"/>
  <c r="D47" i="2" s="1"/>
  <c r="B48" i="2"/>
  <c r="C48" i="2"/>
  <c r="D48" i="2"/>
  <c r="B49" i="2"/>
  <c r="C49" i="2" s="1"/>
  <c r="D49" i="2" s="1"/>
  <c r="B50" i="2"/>
  <c r="C50" i="2"/>
  <c r="D50" i="2"/>
  <c r="B51" i="2"/>
  <c r="C51" i="2"/>
  <c r="D51" i="2"/>
  <c r="B52" i="2"/>
  <c r="C52" i="2" s="1"/>
  <c r="D52" i="2" s="1"/>
  <c r="B53" i="2"/>
  <c r="C53" i="2" s="1"/>
  <c r="D53" i="2" s="1"/>
  <c r="B54" i="2"/>
  <c r="C54" i="2" s="1"/>
  <c r="D54" i="2" s="1"/>
  <c r="B55" i="2"/>
  <c r="C55" i="2"/>
  <c r="D55" i="2"/>
  <c r="B56" i="2"/>
  <c r="C56" i="2" s="1"/>
  <c r="D56" i="2" s="1"/>
  <c r="B57" i="2"/>
  <c r="C57" i="2" s="1"/>
  <c r="D57" i="2" s="1"/>
  <c r="B58" i="2"/>
  <c r="C58" i="2"/>
  <c r="D58" i="2" s="1"/>
  <c r="B59" i="2"/>
  <c r="C59" i="2"/>
  <c r="D59" i="2"/>
  <c r="B60" i="2"/>
  <c r="C60" i="2" s="1"/>
  <c r="D60" i="2" s="1"/>
  <c r="B61" i="2"/>
  <c r="C61" i="2"/>
  <c r="D61" i="2"/>
  <c r="B62" i="2"/>
  <c r="C62" i="2"/>
  <c r="D62" i="2"/>
  <c r="B63" i="2"/>
  <c r="C63" i="2" s="1"/>
  <c r="D63" i="2" s="1"/>
  <c r="B64" i="2"/>
  <c r="C64" i="2" s="1"/>
  <c r="D64" i="2" s="1"/>
  <c r="B65" i="2"/>
  <c r="C65" i="2"/>
  <c r="D65" i="2"/>
  <c r="B66" i="2"/>
  <c r="C66" i="2"/>
  <c r="D66" i="2"/>
  <c r="B67" i="2"/>
  <c r="C67" i="2" s="1"/>
  <c r="D67" i="2" s="1"/>
  <c r="B68" i="2"/>
  <c r="C68" i="2"/>
  <c r="D68" i="2" s="1"/>
  <c r="B69" i="2"/>
  <c r="C69" i="2"/>
  <c r="D69" i="2" s="1"/>
  <c r="B70" i="2"/>
  <c r="C70" i="2"/>
  <c r="D70" i="2"/>
  <c r="B71" i="2"/>
  <c r="C71" i="2" s="1"/>
  <c r="D71" i="2" s="1"/>
  <c r="B72" i="2"/>
  <c r="C72" i="2"/>
  <c r="D72" i="2"/>
  <c r="B73" i="2"/>
  <c r="C73" i="2"/>
  <c r="D73" i="2"/>
  <c r="B74" i="2"/>
  <c r="C74" i="2" s="1"/>
  <c r="D74" i="2" s="1"/>
  <c r="B75" i="2"/>
  <c r="C75" i="2" s="1"/>
  <c r="D75" i="2" s="1"/>
  <c r="B76" i="2"/>
  <c r="C76" i="2"/>
  <c r="D76" i="2"/>
  <c r="B77" i="2"/>
  <c r="C77" i="2"/>
  <c r="D77" i="2" s="1"/>
  <c r="B78" i="2"/>
  <c r="C78" i="2"/>
  <c r="D78" i="2" s="1"/>
  <c r="B79" i="2"/>
  <c r="C79" i="2"/>
  <c r="D79" i="2" s="1"/>
  <c r="B80" i="2"/>
  <c r="C80" i="2"/>
  <c r="D80" i="2"/>
  <c r="B81" i="2"/>
  <c r="C81" i="2"/>
  <c r="D81" i="2"/>
  <c r="B82" i="2"/>
  <c r="C82" i="2" s="1"/>
  <c r="D82" i="2" s="1"/>
  <c r="B83" i="2"/>
  <c r="C83" i="2" s="1"/>
  <c r="D83" i="2" s="1"/>
  <c r="B84" i="2"/>
  <c r="C84" i="2" s="1"/>
  <c r="D84" i="2" s="1"/>
  <c r="B85" i="2"/>
  <c r="C85" i="2"/>
  <c r="D85" i="2"/>
  <c r="B86" i="2"/>
  <c r="C86" i="2" s="1"/>
  <c r="D86" i="2" s="1"/>
  <c r="B87" i="2"/>
  <c r="C87" i="2" s="1"/>
  <c r="D87" i="2" s="1"/>
  <c r="B88" i="2"/>
  <c r="C88" i="2"/>
  <c r="D88" i="2" s="1"/>
  <c r="B89" i="2"/>
  <c r="C89" i="2"/>
  <c r="D89" i="2"/>
  <c r="B90" i="2"/>
  <c r="C90" i="2" s="1"/>
  <c r="D90" i="2" s="1"/>
  <c r="B91" i="2"/>
  <c r="C91" i="2"/>
  <c r="D91" i="2"/>
  <c r="B92" i="2"/>
  <c r="C92" i="2"/>
  <c r="D92" i="2"/>
  <c r="B93" i="2"/>
  <c r="C93" i="2" s="1"/>
  <c r="D93" i="2" s="1"/>
  <c r="B94" i="2"/>
  <c r="C94" i="2" s="1"/>
  <c r="D94" i="2" s="1"/>
  <c r="B95" i="2"/>
  <c r="C95" i="2"/>
  <c r="D95" i="2"/>
  <c r="B96" i="2"/>
  <c r="C96" i="2"/>
  <c r="D96" i="2" s="1"/>
  <c r="B97" i="2"/>
  <c r="C97" i="2"/>
  <c r="D97" i="2" s="1"/>
  <c r="B98" i="2"/>
  <c r="C98" i="2" s="1"/>
  <c r="D98" i="2" s="1"/>
  <c r="B99" i="2"/>
  <c r="C99" i="2"/>
  <c r="B100" i="2"/>
  <c r="C100" i="2" s="1"/>
  <c r="B101" i="2"/>
  <c r="C101" i="2"/>
  <c r="D101" i="2"/>
  <c r="B102" i="2"/>
  <c r="C102" i="2" s="1"/>
  <c r="B103" i="2"/>
  <c r="C103" i="2"/>
  <c r="D103" i="2" s="1"/>
  <c r="B104" i="2"/>
  <c r="C104" i="2" s="1"/>
  <c r="D104" i="2" s="1"/>
  <c r="B105" i="2"/>
  <c r="C105" i="2" s="1"/>
  <c r="D105" i="2" s="1"/>
  <c r="B106" i="2"/>
  <c r="C106" i="2" s="1"/>
  <c r="D106" i="2"/>
  <c r="B107" i="2"/>
  <c r="C107" i="2"/>
  <c r="D107" i="2" s="1"/>
  <c r="B108" i="2"/>
  <c r="C108" i="2" s="1"/>
  <c r="D108" i="2" s="1"/>
  <c r="B109" i="2"/>
  <c r="C109" i="2" s="1"/>
  <c r="D109" i="2" s="1"/>
  <c r="B110" i="2"/>
  <c r="C110" i="2" s="1"/>
  <c r="D110" i="2" s="1"/>
  <c r="B111" i="2"/>
  <c r="C111" i="2"/>
  <c r="D111" i="2" s="1"/>
  <c r="B112" i="2"/>
  <c r="C112" i="2"/>
  <c r="D112" i="2" s="1"/>
  <c r="B113" i="2"/>
  <c r="C113" i="2"/>
  <c r="D113" i="2" s="1"/>
  <c r="B114" i="2"/>
  <c r="C114" i="2" s="1"/>
  <c r="D114" i="2" s="1"/>
  <c r="B115" i="2"/>
  <c r="C115" i="2" s="1"/>
  <c r="D115" i="2"/>
  <c r="B116" i="2"/>
  <c r="C116" i="2" s="1"/>
  <c r="D116" i="2" s="1"/>
  <c r="B117" i="2"/>
  <c r="C117" i="2"/>
  <c r="D117" i="2" s="1"/>
  <c r="B118" i="2"/>
  <c r="C118" i="2"/>
  <c r="D118" i="2" s="1"/>
  <c r="B119" i="2"/>
  <c r="C119" i="2"/>
  <c r="D119" i="2"/>
  <c r="B120" i="2"/>
  <c r="C120" i="2"/>
  <c r="D120" i="2"/>
  <c r="B121" i="2"/>
  <c r="C121" i="2"/>
  <c r="D121" i="2"/>
  <c r="B122" i="2"/>
  <c r="C122" i="2" s="1"/>
  <c r="D122" i="2"/>
  <c r="B123" i="2"/>
  <c r="C123" i="2"/>
  <c r="D123" i="2"/>
  <c r="B124" i="2"/>
  <c r="C124" i="2"/>
  <c r="D124" i="2"/>
  <c r="B125" i="2"/>
  <c r="C125" i="2" s="1"/>
  <c r="D125" i="2"/>
  <c r="B126" i="2"/>
  <c r="C126" i="2" s="1"/>
  <c r="D126" i="2"/>
  <c r="B127" i="2"/>
  <c r="C127" i="2"/>
  <c r="D127" i="2"/>
  <c r="B128" i="2"/>
  <c r="C128" i="2"/>
  <c r="D128" i="2"/>
  <c r="B129" i="2"/>
  <c r="C129" i="2" s="1"/>
  <c r="D129" i="2"/>
  <c r="B130" i="2"/>
  <c r="C130" i="2" s="1"/>
  <c r="D130" i="2"/>
  <c r="B131" i="2"/>
  <c r="C131" i="2" s="1"/>
  <c r="D131" i="2"/>
  <c r="B132" i="2"/>
  <c r="C132" i="2"/>
  <c r="D132" i="2"/>
  <c r="B133" i="2"/>
  <c r="C133" i="2"/>
  <c r="D133" i="2"/>
  <c r="B134" i="2"/>
  <c r="C134" i="2"/>
  <c r="D134" i="2"/>
  <c r="B135" i="2"/>
  <c r="C135" i="2" s="1"/>
  <c r="D135" i="2"/>
  <c r="B136" i="2"/>
  <c r="C136" i="2" s="1"/>
  <c r="D136" i="2"/>
  <c r="B137" i="2"/>
  <c r="C137" i="2"/>
  <c r="D137" i="2"/>
  <c r="B138" i="2"/>
  <c r="C138" i="2"/>
  <c r="D138" i="2"/>
  <c r="B139" i="2"/>
  <c r="C139" i="2"/>
  <c r="D139" i="2"/>
  <c r="B140" i="2"/>
  <c r="C140" i="2" s="1"/>
  <c r="D140" i="2"/>
  <c r="B141" i="2"/>
  <c r="C141" i="2"/>
  <c r="D141" i="2"/>
  <c r="B142" i="2"/>
  <c r="C142" i="2"/>
  <c r="D142" i="2"/>
  <c r="B143" i="2"/>
  <c r="C143" i="2" s="1"/>
  <c r="D143" i="2"/>
  <c r="B144" i="2"/>
  <c r="C144" i="2" s="1"/>
  <c r="D144" i="2"/>
  <c r="B145" i="2"/>
  <c r="C145" i="2" s="1"/>
  <c r="D145" i="2"/>
  <c r="B146" i="2"/>
  <c r="C146" i="2" s="1"/>
  <c r="D146" i="2"/>
  <c r="B147" i="2"/>
  <c r="C147" i="2" s="1"/>
  <c r="D147" i="2"/>
  <c r="B148" i="2"/>
  <c r="C148" i="2" s="1"/>
  <c r="D148" i="2"/>
  <c r="B149" i="2"/>
  <c r="C149" i="2" s="1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 s="1"/>
  <c r="D154" i="2"/>
  <c r="B155" i="2"/>
  <c r="C155" i="2" s="1"/>
  <c r="D155" i="2"/>
  <c r="B156" i="2"/>
  <c r="C156" i="2" s="1"/>
  <c r="D156" i="2"/>
  <c r="B157" i="2"/>
  <c r="C157" i="2"/>
  <c r="D157" i="2"/>
  <c r="B158" i="2"/>
  <c r="C158" i="2" s="1"/>
  <c r="D158" i="2"/>
  <c r="B159" i="2"/>
  <c r="C159" i="2"/>
  <c r="D159" i="2"/>
  <c r="B160" i="2"/>
  <c r="C160" i="2"/>
  <c r="D160" i="2"/>
  <c r="B161" i="2"/>
  <c r="C161" i="2" s="1"/>
  <c r="D161" i="2"/>
  <c r="B162" i="2"/>
  <c r="C162" i="2" s="1"/>
  <c r="D162" i="2"/>
  <c r="B163" i="2"/>
  <c r="C163" i="2" s="1"/>
  <c r="D163" i="2"/>
  <c r="B164" i="2"/>
  <c r="C164" i="2"/>
  <c r="D164" i="2"/>
  <c r="B165" i="2"/>
  <c r="C165" i="2" s="1"/>
  <c r="D165" i="2"/>
  <c r="B166" i="2"/>
  <c r="C166" i="2" s="1"/>
  <c r="D166" i="2"/>
  <c r="B167" i="2"/>
  <c r="C167" i="2" s="1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 s="1"/>
  <c r="D172" i="2"/>
  <c r="B173" i="2"/>
  <c r="C173" i="2"/>
  <c r="D173" i="2"/>
  <c r="B174" i="2"/>
  <c r="C174" i="2"/>
  <c r="D174" i="2"/>
  <c r="B175" i="2"/>
  <c r="C175" i="2" s="1"/>
  <c r="D175" i="2"/>
  <c r="B176" i="2"/>
  <c r="C176" i="2" s="1"/>
  <c r="D176" i="2"/>
  <c r="B177" i="2"/>
  <c r="C177" i="2"/>
  <c r="D177" i="2"/>
  <c r="B178" i="2"/>
  <c r="C178" i="2"/>
  <c r="D178" i="2"/>
  <c r="B179" i="2"/>
  <c r="C179" i="2" s="1"/>
  <c r="D179" i="2"/>
  <c r="B180" i="2"/>
  <c r="C180" i="2" s="1"/>
  <c r="D180" i="2"/>
  <c r="B181" i="2"/>
  <c r="C181" i="2" s="1"/>
  <c r="D181" i="2"/>
  <c r="B182" i="2"/>
  <c r="C182" i="2"/>
  <c r="D182" i="2"/>
  <c r="B183" i="2"/>
  <c r="C183" i="2"/>
  <c r="D183" i="2"/>
  <c r="B184" i="2"/>
  <c r="C184" i="2"/>
  <c r="D184" i="2"/>
  <c r="B185" i="2"/>
  <c r="C185" i="2" s="1"/>
  <c r="D185" i="2"/>
  <c r="B186" i="2"/>
  <c r="C186" i="2" s="1"/>
  <c r="D186" i="2"/>
  <c r="B187" i="2"/>
  <c r="C187" i="2"/>
  <c r="D187" i="2"/>
  <c r="B188" i="2"/>
  <c r="C188" i="2"/>
  <c r="D188" i="2"/>
  <c r="B189" i="2"/>
  <c r="C189" i="2"/>
  <c r="D189" i="2"/>
  <c r="B190" i="2"/>
  <c r="C190" i="2" s="1"/>
  <c r="D190" i="2"/>
  <c r="B191" i="2"/>
  <c r="C191" i="2"/>
  <c r="D191" i="2"/>
  <c r="B192" i="2"/>
  <c r="C192" i="2"/>
  <c r="D192" i="2"/>
  <c r="B193" i="2"/>
  <c r="C193" i="2" s="1"/>
  <c r="D193" i="2"/>
  <c r="B194" i="2"/>
  <c r="C194" i="2" s="1"/>
  <c r="D194" i="2"/>
  <c r="B195" i="2"/>
  <c r="C195" i="2" s="1"/>
  <c r="D195" i="2"/>
  <c r="B196" i="2"/>
  <c r="C196" i="2" s="1"/>
  <c r="D196" i="2"/>
  <c r="B197" i="2"/>
  <c r="C197" i="2" s="1"/>
  <c r="D197" i="2"/>
  <c r="B198" i="2"/>
  <c r="C198" i="2" s="1"/>
  <c r="D198" i="2"/>
  <c r="B199" i="2"/>
  <c r="C199" i="2" s="1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199" i="1"/>
  <c r="M199" i="1" s="1"/>
  <c r="M1999" i="1"/>
  <c r="M1998" i="1"/>
  <c r="M1997" i="1"/>
  <c r="M1996" i="1"/>
  <c r="M1995" i="1"/>
  <c r="M1994" i="1"/>
  <c r="M1989" i="1"/>
  <c r="M1984" i="1"/>
  <c r="M1983" i="1"/>
  <c r="M1982" i="1"/>
  <c r="M1981" i="1"/>
  <c r="M1935" i="1"/>
  <c r="M1493" i="1"/>
  <c r="M403" i="1"/>
  <c r="E403" i="1"/>
  <c r="I2105" i="1"/>
  <c r="H2623" i="1"/>
  <c r="I2623" i="1" s="1"/>
  <c r="I38" i="1"/>
  <c r="I403" i="1"/>
  <c r="G403" i="1"/>
  <c r="I2223" i="1"/>
  <c r="G2223" i="1"/>
  <c r="E2223" i="1"/>
  <c r="G148" i="1"/>
  <c r="K176" i="1" l="1"/>
  <c r="B465" i="1"/>
  <c r="B274" i="1"/>
  <c r="D8" i="2"/>
  <c r="B212" i="1"/>
  <c r="B281" i="1"/>
  <c r="B641" i="1"/>
  <c r="B283" i="1"/>
  <c r="B286" i="1"/>
  <c r="B324" i="1"/>
  <c r="B585" i="1"/>
  <c r="B578" i="1"/>
  <c r="B646" i="1"/>
  <c r="B469" i="1"/>
  <c r="B249" i="1"/>
  <c r="B214" i="1"/>
  <c r="B644" i="1"/>
  <c r="B588" i="1"/>
  <c r="B576" i="1"/>
  <c r="B467" i="1"/>
  <c r="B308" i="1"/>
  <c r="B591" i="1"/>
  <c r="B314" i="1"/>
  <c r="D2" i="2"/>
  <c r="B213" i="1"/>
  <c r="B643" i="1"/>
  <c r="B586" i="1"/>
  <c r="B575" i="1"/>
  <c r="B466" i="1"/>
  <c r="B304" i="1"/>
  <c r="B584" i="1"/>
  <c r="B464" i="1"/>
  <c r="B323" i="1"/>
  <c r="B302" i="1"/>
  <c r="D1" i="2"/>
  <c r="B210" i="1"/>
  <c r="B637" i="1"/>
  <c r="B583" i="1"/>
  <c r="B473" i="1"/>
  <c r="B321" i="1"/>
  <c r="B294" i="1"/>
  <c r="B282" i="1"/>
  <c r="B638" i="1"/>
  <c r="B635" i="1"/>
  <c r="B472" i="1"/>
  <c r="B293" i="1"/>
  <c r="B648" i="1"/>
  <c r="B581" i="1"/>
  <c r="B471" i="1"/>
  <c r="B317" i="1"/>
  <c r="B292" i="1"/>
  <c r="B277" i="1"/>
  <c r="B303" i="1"/>
  <c r="B650" i="1"/>
  <c r="B582" i="1"/>
  <c r="B319" i="1"/>
  <c r="B647" i="1"/>
  <c r="B593" i="1"/>
  <c r="B579" i="1"/>
  <c r="B470" i="1"/>
  <c r="B316" i="1"/>
  <c r="B291" i="1"/>
  <c r="B290" i="1"/>
  <c r="B215" i="1"/>
  <c r="B645" i="1"/>
  <c r="B589" i="1"/>
  <c r="B577" i="1"/>
  <c r="B468" i="1"/>
  <c r="B310" i="1"/>
  <c r="B289" i="1"/>
  <c r="B256" i="1"/>
  <c r="B240" i="1"/>
  <c r="D102" i="2"/>
  <c r="B243" i="1"/>
  <c r="B245" i="1"/>
  <c r="B246" i="1"/>
  <c r="B247" i="1"/>
  <c r="B250" i="1"/>
  <c r="B1085" i="1"/>
  <c r="B248" i="1"/>
  <c r="B255" i="1"/>
  <c r="B254" i="1"/>
  <c r="B244" i="1"/>
  <c r="B253" i="1"/>
  <c r="B252" i="1"/>
  <c r="B242" i="1"/>
  <c r="B995" i="1"/>
  <c r="B261" i="1"/>
  <c r="B251" i="1"/>
  <c r="B241" i="1"/>
  <c r="B259" i="1"/>
  <c r="B1027" i="1"/>
  <c r="B1098" i="1"/>
  <c r="B1075" i="1"/>
  <c r="B1078" i="1"/>
  <c r="B907" i="1"/>
  <c r="B1077" i="1"/>
  <c r="B827" i="1"/>
  <c r="B1065" i="1"/>
  <c r="B1035" i="1"/>
  <c r="B1117" i="1"/>
  <c r="B1025" i="1"/>
  <c r="B1115" i="1"/>
  <c r="B1067" i="1"/>
  <c r="B515" i="1"/>
  <c r="B1057" i="1"/>
  <c r="B1015" i="1"/>
  <c r="B917" i="1"/>
  <c r="B1045" i="1"/>
  <c r="B997" i="1"/>
  <c r="B957" i="1"/>
  <c r="D99" i="2"/>
  <c r="B216" i="1" s="1"/>
  <c r="B1037" i="1"/>
  <c r="B915" i="1"/>
  <c r="B835" i="1"/>
  <c r="B755" i="1"/>
  <c r="B707" i="1"/>
  <c r="B675" i="1"/>
  <c r="B607" i="1"/>
  <c r="B535" i="1"/>
  <c r="B457" i="1"/>
  <c r="B797" i="1"/>
  <c r="B747" i="1"/>
  <c r="B705" i="1"/>
  <c r="B667" i="1"/>
  <c r="B605" i="1"/>
  <c r="B567" i="1"/>
  <c r="B527" i="1"/>
  <c r="B447" i="1"/>
  <c r="B987" i="1"/>
  <c r="B905" i="1"/>
  <c r="B825" i="1"/>
  <c r="B795" i="1"/>
  <c r="B745" i="1"/>
  <c r="B665" i="1"/>
  <c r="B565" i="1"/>
  <c r="B525" i="1"/>
  <c r="B437" i="1"/>
  <c r="B947" i="1"/>
  <c r="B817" i="1"/>
  <c r="B787" i="1"/>
  <c r="B697" i="1"/>
  <c r="B657" i="1"/>
  <c r="B597" i="1"/>
  <c r="B517" i="1"/>
  <c r="B427" i="1"/>
  <c r="B1055" i="1"/>
  <c r="B895" i="1"/>
  <c r="B815" i="1"/>
  <c r="B785" i="1"/>
  <c r="B695" i="1"/>
  <c r="B655" i="1"/>
  <c r="B595" i="1"/>
  <c r="M251" i="1"/>
  <c r="B271" i="1"/>
  <c r="B301" i="1"/>
  <c r="B311" i="1"/>
  <c r="B331" i="1"/>
  <c r="B341" i="1"/>
  <c r="B351" i="1"/>
  <c r="B361" i="1"/>
  <c r="B371" i="1"/>
  <c r="B381" i="1"/>
  <c r="B391" i="1"/>
  <c r="B411" i="1"/>
  <c r="B421" i="1"/>
  <c r="B431" i="1"/>
  <c r="B441" i="1"/>
  <c r="B451" i="1"/>
  <c r="B461" i="1"/>
  <c r="B481" i="1"/>
  <c r="B491" i="1"/>
  <c r="B501" i="1"/>
  <c r="B511" i="1"/>
  <c r="B521" i="1"/>
  <c r="B531" i="1"/>
  <c r="B541" i="1"/>
  <c r="B551" i="1"/>
  <c r="B571" i="1"/>
  <c r="B601" i="1"/>
  <c r="B611" i="1"/>
  <c r="B621" i="1"/>
  <c r="B631" i="1"/>
  <c r="B651" i="1"/>
  <c r="B661" i="1"/>
  <c r="B671" i="1"/>
  <c r="B691" i="1"/>
  <c r="B701" i="1"/>
  <c r="B711" i="1"/>
  <c r="B721" i="1"/>
  <c r="B731" i="1"/>
  <c r="B751" i="1"/>
  <c r="B761" i="1"/>
  <c r="B771" i="1"/>
  <c r="B781" i="1"/>
  <c r="B791" i="1"/>
  <c r="B801" i="1"/>
  <c r="B811" i="1"/>
  <c r="B821" i="1"/>
  <c r="B831" i="1"/>
  <c r="B841" i="1"/>
  <c r="B881" i="1"/>
  <c r="B891" i="1"/>
  <c r="B901" i="1"/>
  <c r="B911" i="1"/>
  <c r="B921" i="1"/>
  <c r="B931" i="1"/>
  <c r="B941" i="1"/>
  <c r="B951" i="1"/>
  <c r="B961" i="1"/>
  <c r="B981" i="1"/>
  <c r="B991" i="1"/>
  <c r="B1031" i="1"/>
  <c r="B1061" i="1"/>
  <c r="B1091" i="1"/>
  <c r="B1022" i="1"/>
  <c r="B1062" i="1"/>
  <c r="B1112" i="1"/>
  <c r="B495" i="1"/>
  <c r="B272" i="1"/>
  <c r="B312" i="1"/>
  <c r="B322" i="1"/>
  <c r="B332" i="1"/>
  <c r="B342" i="1"/>
  <c r="B352" i="1"/>
  <c r="B362" i="1"/>
  <c r="B372" i="1"/>
  <c r="B382" i="1"/>
  <c r="B392" i="1"/>
  <c r="B412" i="1"/>
  <c r="B422" i="1"/>
  <c r="B432" i="1"/>
  <c r="B442" i="1"/>
  <c r="B452" i="1"/>
  <c r="B462" i="1"/>
  <c r="B482" i="1"/>
  <c r="B492" i="1"/>
  <c r="B502" i="1"/>
  <c r="B512" i="1"/>
  <c r="B522" i="1"/>
  <c r="B532" i="1"/>
  <c r="B542" i="1"/>
  <c r="B552" i="1"/>
  <c r="B572" i="1"/>
  <c r="B592" i="1"/>
  <c r="B602" i="1"/>
  <c r="B612" i="1"/>
  <c r="B622" i="1"/>
  <c r="B632" i="1"/>
  <c r="B642" i="1"/>
  <c r="B652" i="1"/>
  <c r="B662" i="1"/>
  <c r="B672" i="1"/>
  <c r="B692" i="1"/>
  <c r="B702" i="1"/>
  <c r="B712" i="1"/>
  <c r="B722" i="1"/>
  <c r="B732" i="1"/>
  <c r="B742" i="1"/>
  <c r="B752" i="1"/>
  <c r="B762" i="1"/>
  <c r="B772" i="1"/>
  <c r="B782" i="1"/>
  <c r="B792" i="1"/>
  <c r="B802" i="1"/>
  <c r="B812" i="1"/>
  <c r="B822" i="1"/>
  <c r="B832" i="1"/>
  <c r="B842" i="1"/>
  <c r="B882" i="1"/>
  <c r="B902" i="1"/>
  <c r="B912" i="1"/>
  <c r="B922" i="1"/>
  <c r="B932" i="1"/>
  <c r="B942" i="1"/>
  <c r="B952" i="1"/>
  <c r="B962" i="1"/>
  <c r="B992" i="1"/>
  <c r="B1002" i="1"/>
  <c r="B1012" i="1"/>
  <c r="B1032" i="1"/>
  <c r="B1072" i="1"/>
  <c r="B204" i="1"/>
  <c r="B273" i="1"/>
  <c r="B313" i="1"/>
  <c r="B333" i="1"/>
  <c r="B343" i="1"/>
  <c r="B353" i="1"/>
  <c r="B363" i="1"/>
  <c r="B373" i="1"/>
  <c r="B383" i="1"/>
  <c r="B393" i="1"/>
  <c r="B413" i="1"/>
  <c r="B423" i="1"/>
  <c r="B433" i="1"/>
  <c r="B443" i="1"/>
  <c r="B453" i="1"/>
  <c r="B463" i="1"/>
  <c r="B483" i="1"/>
  <c r="B493" i="1"/>
  <c r="B503" i="1"/>
  <c r="B513" i="1"/>
  <c r="B523" i="1"/>
  <c r="B533" i="1"/>
  <c r="B543" i="1"/>
  <c r="B553" i="1"/>
  <c r="B563" i="1"/>
  <c r="B573" i="1"/>
  <c r="B603" i="1"/>
  <c r="B613" i="1"/>
  <c r="B623" i="1"/>
  <c r="B633" i="1"/>
  <c r="B653" i="1"/>
  <c r="B663" i="1"/>
  <c r="B673" i="1"/>
  <c r="B683" i="1"/>
  <c r="B693" i="1"/>
  <c r="B703" i="1"/>
  <c r="B713" i="1"/>
  <c r="B723" i="1"/>
  <c r="B733" i="1"/>
  <c r="B743" i="1"/>
  <c r="B753" i="1"/>
  <c r="B763" i="1"/>
  <c r="B773" i="1"/>
  <c r="B783" i="1"/>
  <c r="B793" i="1"/>
  <c r="B803" i="1"/>
  <c r="B813" i="1"/>
  <c r="B823" i="1"/>
  <c r="B833" i="1"/>
  <c r="B843" i="1"/>
  <c r="B883" i="1"/>
  <c r="B893" i="1"/>
  <c r="B903" i="1"/>
  <c r="B913" i="1"/>
  <c r="B923" i="1"/>
  <c r="B933" i="1"/>
  <c r="B943" i="1"/>
  <c r="B953" i="1"/>
  <c r="B963" i="1"/>
  <c r="B973" i="1"/>
  <c r="B993" i="1"/>
  <c r="B1003" i="1"/>
  <c r="B1013" i="1"/>
  <c r="B1023" i="1"/>
  <c r="B1033" i="1"/>
  <c r="B1043" i="1"/>
  <c r="B1053" i="1"/>
  <c r="B1063" i="1"/>
  <c r="B1073" i="1"/>
  <c r="B1083" i="1"/>
  <c r="B1093" i="1"/>
  <c r="B1103" i="1"/>
  <c r="B1113" i="1"/>
  <c r="B305" i="1"/>
  <c r="B325" i="1"/>
  <c r="B345" i="1"/>
  <c r="B365" i="1"/>
  <c r="B385" i="1"/>
  <c r="B415" i="1"/>
  <c r="B435" i="1"/>
  <c r="B455" i="1"/>
  <c r="B485" i="1"/>
  <c r="B284" i="1"/>
  <c r="B334" i="1"/>
  <c r="B344" i="1"/>
  <c r="B354" i="1"/>
  <c r="B364" i="1"/>
  <c r="B374" i="1"/>
  <c r="B384" i="1"/>
  <c r="B394" i="1"/>
  <c r="B414" i="1"/>
  <c r="B424" i="1"/>
  <c r="B434" i="1"/>
  <c r="B444" i="1"/>
  <c r="B454" i="1"/>
  <c r="B474" i="1"/>
  <c r="B484" i="1"/>
  <c r="B494" i="1"/>
  <c r="B504" i="1"/>
  <c r="B514" i="1"/>
  <c r="B524" i="1"/>
  <c r="B534" i="1"/>
  <c r="B544" i="1"/>
  <c r="B554" i="1"/>
  <c r="B564" i="1"/>
  <c r="B574" i="1"/>
  <c r="B594" i="1"/>
  <c r="B604" i="1"/>
  <c r="B614" i="1"/>
  <c r="B624" i="1"/>
  <c r="B634" i="1"/>
  <c r="B654" i="1"/>
  <c r="B664" i="1"/>
  <c r="B674" i="1"/>
  <c r="B684" i="1"/>
  <c r="B694" i="1"/>
  <c r="B714" i="1"/>
  <c r="B744" i="1"/>
  <c r="B754" i="1"/>
  <c r="B764" i="1"/>
  <c r="B774" i="1"/>
  <c r="B784" i="1"/>
  <c r="B794" i="1"/>
  <c r="B804" i="1"/>
  <c r="B814" i="1"/>
  <c r="B824" i="1"/>
  <c r="B834" i="1"/>
  <c r="B844" i="1"/>
  <c r="B884" i="1"/>
  <c r="B894" i="1"/>
  <c r="B904" i="1"/>
  <c r="B914" i="1"/>
  <c r="B924" i="1"/>
  <c r="B934" i="1"/>
  <c r="B944" i="1"/>
  <c r="B954" i="1"/>
  <c r="B964" i="1"/>
  <c r="B994" i="1"/>
  <c r="B1004" i="1"/>
  <c r="B1014" i="1"/>
  <c r="B1024" i="1"/>
  <c r="B1034" i="1"/>
  <c r="B1044" i="1"/>
  <c r="B1054" i="1"/>
  <c r="B1064" i="1"/>
  <c r="B1074" i="1"/>
  <c r="B1084" i="1"/>
  <c r="B1094" i="1"/>
  <c r="B1104" i="1"/>
  <c r="B1114" i="1"/>
  <c r="B275" i="1"/>
  <c r="B285" i="1"/>
  <c r="B295" i="1"/>
  <c r="B315" i="1"/>
  <c r="B335" i="1"/>
  <c r="B355" i="1"/>
  <c r="B375" i="1"/>
  <c r="B395" i="1"/>
  <c r="B405" i="1"/>
  <c r="B425" i="1"/>
  <c r="B445" i="1"/>
  <c r="B475" i="1"/>
  <c r="M246" i="1"/>
  <c r="B296" i="1"/>
  <c r="B306" i="1"/>
  <c r="B326" i="1"/>
  <c r="B336" i="1"/>
  <c r="B346" i="1"/>
  <c r="B356" i="1"/>
  <c r="B366" i="1"/>
  <c r="B376" i="1"/>
  <c r="B386" i="1"/>
  <c r="B396" i="1"/>
  <c r="B406" i="1"/>
  <c r="B416" i="1"/>
  <c r="B436" i="1"/>
  <c r="B446" i="1"/>
  <c r="B456" i="1"/>
  <c r="B476" i="1"/>
  <c r="B486" i="1"/>
  <c r="B496" i="1"/>
  <c r="B506" i="1"/>
  <c r="B516" i="1"/>
  <c r="B526" i="1"/>
  <c r="B536" i="1"/>
  <c r="B546" i="1"/>
  <c r="B556" i="1"/>
  <c r="B566" i="1"/>
  <c r="B596" i="1"/>
  <c r="B606" i="1"/>
  <c r="B616" i="1"/>
  <c r="B626" i="1"/>
  <c r="B636" i="1"/>
  <c r="B656" i="1"/>
  <c r="B666" i="1"/>
  <c r="B676" i="1"/>
  <c r="B686" i="1"/>
  <c r="B696" i="1"/>
  <c r="B706" i="1"/>
  <c r="B716" i="1"/>
  <c r="B746" i="1"/>
  <c r="B756" i="1"/>
  <c r="B766" i="1"/>
  <c r="B776" i="1"/>
  <c r="B786" i="1"/>
  <c r="B796" i="1"/>
  <c r="B806" i="1"/>
  <c r="B816" i="1"/>
  <c r="B826" i="1"/>
  <c r="B836" i="1"/>
  <c r="B846" i="1"/>
  <c r="B886" i="1"/>
  <c r="B896" i="1"/>
  <c r="B906" i="1"/>
  <c r="B916" i="1"/>
  <c r="B926" i="1"/>
  <c r="B936" i="1"/>
  <c r="B946" i="1"/>
  <c r="B956" i="1"/>
  <c r="B986" i="1"/>
  <c r="B996" i="1"/>
  <c r="B1006" i="1"/>
  <c r="B1016" i="1"/>
  <c r="B1026" i="1"/>
  <c r="B1036" i="1"/>
  <c r="B1046" i="1"/>
  <c r="B1056" i="1"/>
  <c r="B1066" i="1"/>
  <c r="B1076" i="1"/>
  <c r="B1086" i="1"/>
  <c r="B1106" i="1"/>
  <c r="B1116" i="1"/>
  <c r="B218" i="1"/>
  <c r="D100" i="2"/>
  <c r="B217" i="1" s="1"/>
  <c r="B297" i="1"/>
  <c r="B307" i="1"/>
  <c r="B327" i="1"/>
  <c r="B337" i="1"/>
  <c r="B347" i="1"/>
  <c r="B357" i="1"/>
  <c r="B367" i="1"/>
  <c r="B377" i="1"/>
  <c r="B387" i="1"/>
  <c r="B397" i="1"/>
  <c r="B407" i="1"/>
  <c r="B417" i="1"/>
  <c r="B278" i="1"/>
  <c r="B298" i="1"/>
  <c r="B318" i="1"/>
  <c r="B328" i="1"/>
  <c r="B338" i="1"/>
  <c r="B348" i="1"/>
  <c r="B358" i="1"/>
  <c r="B368" i="1"/>
  <c r="B378" i="1"/>
  <c r="B388" i="1"/>
  <c r="B398" i="1"/>
  <c r="B408" i="1"/>
  <c r="B428" i="1"/>
  <c r="B438" i="1"/>
  <c r="B448" i="1"/>
  <c r="B458" i="1"/>
  <c r="B478" i="1"/>
  <c r="B488" i="1"/>
  <c r="B498" i="1"/>
  <c r="B508" i="1"/>
  <c r="B518" i="1"/>
  <c r="B528" i="1"/>
  <c r="B538" i="1"/>
  <c r="B548" i="1"/>
  <c r="B558" i="1"/>
  <c r="B568" i="1"/>
  <c r="B598" i="1"/>
  <c r="B608" i="1"/>
  <c r="B618" i="1"/>
  <c r="B628" i="1"/>
  <c r="B658" i="1"/>
  <c r="B668" i="1"/>
  <c r="B678" i="1"/>
  <c r="B688" i="1"/>
  <c r="B698" i="1"/>
  <c r="B708" i="1"/>
  <c r="B748" i="1"/>
  <c r="B758" i="1"/>
  <c r="B768" i="1"/>
  <c r="B778" i="1"/>
  <c r="B788" i="1"/>
  <c r="B798" i="1"/>
  <c r="B818" i="1"/>
  <c r="B828" i="1"/>
  <c r="B838" i="1"/>
  <c r="B848" i="1"/>
  <c r="B878" i="1"/>
  <c r="B888" i="1"/>
  <c r="B898" i="1"/>
  <c r="B908" i="1"/>
  <c r="B918" i="1"/>
  <c r="B928" i="1"/>
  <c r="B938" i="1"/>
  <c r="B948" i="1"/>
  <c r="B968" i="1"/>
  <c r="B978" i="1"/>
  <c r="B988" i="1"/>
  <c r="B998" i="1"/>
  <c r="B1008" i="1"/>
  <c r="B1028" i="1"/>
  <c r="B1038" i="1"/>
  <c r="B1048" i="1"/>
  <c r="B1058" i="1"/>
  <c r="B1068" i="1"/>
  <c r="C259" i="1"/>
  <c r="B279" i="1"/>
  <c r="B299" i="1"/>
  <c r="B309" i="1"/>
  <c r="B329" i="1"/>
  <c r="B339" i="1"/>
  <c r="B349" i="1"/>
  <c r="B359" i="1"/>
  <c r="B369" i="1"/>
  <c r="B379" i="1"/>
  <c r="B389" i="1"/>
  <c r="B399" i="1"/>
  <c r="B419" i="1"/>
  <c r="B429" i="1"/>
  <c r="B439" i="1"/>
  <c r="B449" i="1"/>
  <c r="B459" i="1"/>
  <c r="B479" i="1"/>
  <c r="B489" i="1"/>
  <c r="B499" i="1"/>
  <c r="B509" i="1"/>
  <c r="B519" i="1"/>
  <c r="B529" i="1"/>
  <c r="B539" i="1"/>
  <c r="B549" i="1"/>
  <c r="B559" i="1"/>
  <c r="B569" i="1"/>
  <c r="B609" i="1"/>
  <c r="B619" i="1"/>
  <c r="B629" i="1"/>
  <c r="B639" i="1"/>
  <c r="B649" i="1"/>
  <c r="B659" i="1"/>
  <c r="B669" i="1"/>
  <c r="B679" i="1"/>
  <c r="B689" i="1"/>
  <c r="B699" i="1"/>
  <c r="B709" i="1"/>
  <c r="B719" i="1"/>
  <c r="B749" i="1"/>
  <c r="B759" i="1"/>
  <c r="B769" i="1"/>
  <c r="B779" i="1"/>
  <c r="B789" i="1"/>
  <c r="B819" i="1"/>
  <c r="B829" i="1"/>
  <c r="B839" i="1"/>
  <c r="B879" i="1"/>
  <c r="B889" i="1"/>
  <c r="B899" i="1"/>
  <c r="B909" i="1"/>
  <c r="B919" i="1"/>
  <c r="B929" i="1"/>
  <c r="B939" i="1"/>
  <c r="B949" i="1"/>
  <c r="B979" i="1"/>
  <c r="B989" i="1"/>
  <c r="B999" i="1"/>
  <c r="B1009" i="1"/>
  <c r="B1029" i="1"/>
  <c r="B1039" i="1"/>
  <c r="B1049" i="1"/>
  <c r="B1059" i="1"/>
  <c r="B1079" i="1"/>
  <c r="B800" i="1"/>
  <c r="B830" i="1"/>
  <c r="B880" i="1"/>
  <c r="B900" i="1"/>
  <c r="B920" i="1"/>
  <c r="B940" i="1"/>
  <c r="B980" i="1"/>
  <c r="B1010" i="1"/>
  <c r="B1040" i="1"/>
  <c r="B1060" i="1"/>
  <c r="B1080" i="1"/>
  <c r="B1011" i="1"/>
  <c r="B1051" i="1"/>
  <c r="B1081" i="1"/>
  <c r="B1052" i="1"/>
  <c r="B1102" i="1"/>
  <c r="B280" i="1"/>
  <c r="B300" i="1"/>
  <c r="B320" i="1"/>
  <c r="B330" i="1"/>
  <c r="B340" i="1"/>
  <c r="B350" i="1"/>
  <c r="B360" i="1"/>
  <c r="B370" i="1"/>
  <c r="B380" i="1"/>
  <c r="B390" i="1"/>
  <c r="B400" i="1"/>
  <c r="B420" i="1"/>
  <c r="B430" i="1"/>
  <c r="B440" i="1"/>
  <c r="B450" i="1"/>
  <c r="B460" i="1"/>
  <c r="B480" i="1"/>
  <c r="B490" i="1"/>
  <c r="B500" i="1"/>
  <c r="B510" i="1"/>
  <c r="B520" i="1"/>
  <c r="B530" i="1"/>
  <c r="B540" i="1"/>
  <c r="B550" i="1"/>
  <c r="B560" i="1"/>
  <c r="B570" i="1"/>
  <c r="B580" i="1"/>
  <c r="B590" i="1"/>
  <c r="B600" i="1"/>
  <c r="B610" i="1"/>
  <c r="B620" i="1"/>
  <c r="B630" i="1"/>
  <c r="B640" i="1"/>
  <c r="B660" i="1"/>
  <c r="B670" i="1"/>
  <c r="B680" i="1"/>
  <c r="B690" i="1"/>
  <c r="B700" i="1"/>
  <c r="B710" i="1"/>
  <c r="B720" i="1"/>
  <c r="B740" i="1"/>
  <c r="B750" i="1"/>
  <c r="B760" i="1"/>
  <c r="B770" i="1"/>
  <c r="B780" i="1"/>
  <c r="B790" i="1"/>
  <c r="B820" i="1"/>
  <c r="B840" i="1"/>
  <c r="B890" i="1"/>
  <c r="B910" i="1"/>
  <c r="B930" i="1"/>
  <c r="B950" i="1"/>
  <c r="B1000" i="1"/>
  <c r="B1030" i="1"/>
  <c r="B1050" i="1"/>
  <c r="B1070" i="1"/>
  <c r="B1090" i="1"/>
  <c r="B1001" i="1"/>
  <c r="B1041" i="1"/>
  <c r="B1071" i="1"/>
  <c r="B1101" i="1"/>
  <c r="B1042" i="1"/>
  <c r="B1082" i="1"/>
  <c r="B945" i="1"/>
  <c r="B1047" i="1"/>
  <c r="B1017" i="1"/>
  <c r="B937" i="1"/>
  <c r="B777" i="1"/>
  <c r="B687" i="1"/>
  <c r="B557" i="1"/>
  <c r="B507" i="1"/>
  <c r="B935" i="1"/>
  <c r="B887" i="1"/>
  <c r="B775" i="1"/>
  <c r="B737" i="1"/>
  <c r="B685" i="1"/>
  <c r="B627" i="1"/>
  <c r="B555" i="1"/>
  <c r="B505" i="1"/>
  <c r="B1007" i="1"/>
  <c r="B977" i="1"/>
  <c r="B927" i="1"/>
  <c r="B885" i="1"/>
  <c r="B847" i="1"/>
  <c r="B767" i="1"/>
  <c r="B625" i="1"/>
  <c r="B547" i="1"/>
  <c r="B497" i="1"/>
  <c r="B1005" i="1"/>
  <c r="B925" i="1"/>
  <c r="B845" i="1"/>
  <c r="B765" i="1"/>
  <c r="B735" i="1"/>
  <c r="B717" i="1"/>
  <c r="B617" i="1"/>
  <c r="B545" i="1"/>
  <c r="B487" i="1"/>
  <c r="B837" i="1"/>
  <c r="B805" i="1"/>
  <c r="B757" i="1"/>
  <c r="B715" i="1"/>
  <c r="B677" i="1"/>
  <c r="B615" i="1"/>
  <c r="B587" i="1"/>
  <c r="B537" i="1"/>
  <c r="B477" i="1"/>
  <c r="M176" i="1"/>
  <c r="K177" i="1" l="1"/>
  <c r="K178" i="1" s="1"/>
  <c r="M256" i="1"/>
  <c r="M1538" i="1"/>
  <c r="M1519" i="1"/>
  <c r="M1985" i="1"/>
  <c r="M2056" i="1"/>
  <c r="M1245" i="1"/>
  <c r="M986" i="1"/>
  <c r="M973" i="1"/>
  <c r="M1977" i="1"/>
  <c r="M204" i="1"/>
  <c r="M1841" i="1"/>
  <c r="M1811" i="1"/>
  <c r="M2058" i="1"/>
  <c r="M2055" i="1"/>
  <c r="M2050" i="1"/>
  <c r="M2045" i="1"/>
  <c r="M2040" i="1"/>
  <c r="M2035" i="1"/>
  <c r="M2030" i="1"/>
  <c r="M2025" i="1"/>
  <c r="M2020" i="1"/>
  <c r="M2015" i="1"/>
  <c r="M2010" i="1"/>
  <c r="M2005" i="1"/>
  <c r="M2000" i="1"/>
  <c r="M1990" i="1"/>
  <c r="M1980" i="1"/>
  <c r="M1975" i="1"/>
  <c r="M1970" i="1"/>
  <c r="M1965" i="1"/>
  <c r="M1960" i="1"/>
  <c r="M1955" i="1"/>
  <c r="M1950" i="1"/>
  <c r="M1945" i="1"/>
  <c r="M1940" i="1"/>
  <c r="M1930" i="1"/>
  <c r="M1925" i="1"/>
  <c r="M1920" i="1"/>
  <c r="M1915" i="1"/>
  <c r="M1910" i="1"/>
  <c r="M1905" i="1"/>
  <c r="M1900" i="1"/>
  <c r="M1895" i="1"/>
  <c r="M1890" i="1"/>
  <c r="M1885" i="1"/>
  <c r="M1880" i="1"/>
  <c r="M1875" i="1"/>
  <c r="M2059" i="1"/>
  <c r="M2057" i="1"/>
  <c r="M2054" i="1"/>
  <c r="M2049" i="1"/>
  <c r="M2044" i="1"/>
  <c r="M2039" i="1"/>
  <c r="M2034" i="1"/>
  <c r="M2029" i="1"/>
  <c r="M2024" i="1"/>
  <c r="M2019" i="1"/>
  <c r="M2014" i="1"/>
  <c r="M2009" i="1"/>
  <c r="M2004" i="1"/>
  <c r="M1979" i="1"/>
  <c r="M1974" i="1"/>
  <c r="M1969" i="1"/>
  <c r="M1964" i="1"/>
  <c r="M1959" i="1"/>
  <c r="M1954" i="1"/>
  <c r="M1949" i="1"/>
  <c r="M1944" i="1"/>
  <c r="M1939" i="1"/>
  <c r="M1934" i="1"/>
  <c r="M1929" i="1"/>
  <c r="M1924" i="1"/>
  <c r="M1919" i="1"/>
  <c r="M1914" i="1"/>
  <c r="M1909" i="1"/>
  <c r="M1904" i="1"/>
  <c r="M1899" i="1"/>
  <c r="M1894" i="1"/>
  <c r="M1889" i="1"/>
  <c r="M1884" i="1"/>
  <c r="M1879" i="1"/>
  <c r="M1874" i="1"/>
  <c r="M1869" i="1"/>
  <c r="M1864" i="1"/>
  <c r="M1859" i="1"/>
  <c r="M2053" i="1"/>
  <c r="M2048" i="1"/>
  <c r="M2043" i="1"/>
  <c r="M2038" i="1"/>
  <c r="M2033" i="1"/>
  <c r="M2028" i="1"/>
  <c r="M2023" i="1"/>
  <c r="M2018" i="1"/>
  <c r="M2013" i="1"/>
  <c r="M2008" i="1"/>
  <c r="M2003" i="1"/>
  <c r="M1993" i="1"/>
  <c r="M1988" i="1"/>
  <c r="M1978" i="1"/>
  <c r="M1973" i="1"/>
  <c r="M1968" i="1"/>
  <c r="M1963" i="1"/>
  <c r="M1958" i="1"/>
  <c r="M1953" i="1"/>
  <c r="M1948" i="1"/>
  <c r="M1943" i="1"/>
  <c r="M1938" i="1"/>
  <c r="M1933" i="1"/>
  <c r="M1928" i="1"/>
  <c r="M1923" i="1"/>
  <c r="M1918" i="1"/>
  <c r="M1913" i="1"/>
  <c r="M1908" i="1"/>
  <c r="M1903" i="1"/>
  <c r="M1898" i="1"/>
  <c r="M1893" i="1"/>
  <c r="M1888" i="1"/>
  <c r="M1883" i="1"/>
  <c r="M1878" i="1"/>
  <c r="M1873" i="1"/>
  <c r="M1868" i="1"/>
  <c r="M1863" i="1"/>
  <c r="M1858" i="1"/>
  <c r="M1853" i="1"/>
  <c r="M1848" i="1"/>
  <c r="M1843" i="1"/>
  <c r="M1838" i="1"/>
  <c r="M1833" i="1"/>
  <c r="M1828" i="1"/>
  <c r="M1823" i="1"/>
  <c r="M1818" i="1"/>
  <c r="M1813" i="1"/>
  <c r="M1808" i="1"/>
  <c r="M1803" i="1"/>
  <c r="M1798" i="1"/>
  <c r="M1793" i="1"/>
  <c r="M1788" i="1"/>
  <c r="M1783" i="1"/>
  <c r="M1778" i="1"/>
  <c r="M1773" i="1"/>
  <c r="M1768" i="1"/>
  <c r="M1763" i="1"/>
  <c r="M1758" i="1"/>
  <c r="M1753" i="1"/>
  <c r="M1748" i="1"/>
  <c r="M1743" i="1"/>
  <c r="M1738" i="1"/>
  <c r="M1733" i="1"/>
  <c r="M1728" i="1"/>
  <c r="M1723" i="1"/>
  <c r="M1718" i="1"/>
  <c r="M1713" i="1"/>
  <c r="M1708" i="1"/>
  <c r="M1703" i="1"/>
  <c r="M1698" i="1"/>
  <c r="M1693" i="1"/>
  <c r="M1688" i="1"/>
  <c r="M1683" i="1"/>
  <c r="M1678" i="1"/>
  <c r="M1673" i="1"/>
  <c r="M1668" i="1"/>
  <c r="M1663" i="1"/>
  <c r="M1658" i="1"/>
  <c r="M1653" i="1"/>
  <c r="M1648" i="1"/>
  <c r="M1643" i="1"/>
  <c r="M1638" i="1"/>
  <c r="M1633" i="1"/>
  <c r="M2052" i="1"/>
  <c r="M2047" i="1"/>
  <c r="M2042" i="1"/>
  <c r="M2037" i="1"/>
  <c r="M2032" i="1"/>
  <c r="M2027" i="1"/>
  <c r="M2022" i="1"/>
  <c r="M2017" i="1"/>
  <c r="M2012" i="1"/>
  <c r="M2007" i="1"/>
  <c r="M2002" i="1"/>
  <c r="M1992" i="1"/>
  <c r="M1987" i="1"/>
  <c r="M1972" i="1"/>
  <c r="M1967" i="1"/>
  <c r="M1962" i="1"/>
  <c r="M1957" i="1"/>
  <c r="M1952" i="1"/>
  <c r="M1947" i="1"/>
  <c r="M1942" i="1"/>
  <c r="M1937" i="1"/>
  <c r="M1932" i="1"/>
  <c r="M1927" i="1"/>
  <c r="M1922" i="1"/>
  <c r="M1917" i="1"/>
  <c r="M1912" i="1"/>
  <c r="M1907" i="1"/>
  <c r="M1902" i="1"/>
  <c r="M1897" i="1"/>
  <c r="M1892" i="1"/>
  <c r="M1887" i="1"/>
  <c r="M1882" i="1"/>
  <c r="M1877" i="1"/>
  <c r="M2051" i="1"/>
  <c r="M2046" i="1"/>
  <c r="M2041" i="1"/>
  <c r="M2036" i="1"/>
  <c r="M2031" i="1"/>
  <c r="M2026" i="1"/>
  <c r="M2021" i="1"/>
  <c r="M2016" i="1"/>
  <c r="M2011" i="1"/>
  <c r="M2006" i="1"/>
  <c r="M2001" i="1"/>
  <c r="M1991" i="1"/>
  <c r="M1986" i="1"/>
  <c r="M1976" i="1"/>
  <c r="M1971" i="1"/>
  <c r="M1966" i="1"/>
  <c r="M1961" i="1"/>
  <c r="M1956" i="1"/>
  <c r="M1951" i="1"/>
  <c r="M1946" i="1"/>
  <c r="M1941" i="1"/>
  <c r="M1936" i="1"/>
  <c r="M1931" i="1"/>
  <c r="M1926" i="1"/>
  <c r="M1921" i="1"/>
  <c r="M1916" i="1"/>
  <c r="M1911" i="1"/>
  <c r="M1906" i="1"/>
  <c r="M1901" i="1"/>
  <c r="M1896" i="1"/>
  <c r="M1891" i="1"/>
  <c r="M1886" i="1"/>
  <c r="M1881" i="1"/>
  <c r="M1876" i="1"/>
  <c r="M1871" i="1"/>
  <c r="M1866" i="1"/>
  <c r="M1861" i="1"/>
  <c r="M1856" i="1"/>
  <c r="M1851" i="1"/>
  <c r="M1846" i="1"/>
  <c r="M1836" i="1"/>
  <c r="M1831" i="1"/>
  <c r="M1826" i="1"/>
  <c r="M1821" i="1"/>
  <c r="M1816" i="1"/>
  <c r="M1867" i="1"/>
  <c r="M1855" i="1"/>
  <c r="M1845" i="1"/>
  <c r="M1839" i="1"/>
  <c r="M1822" i="1"/>
  <c r="M1812" i="1"/>
  <c r="M1806" i="1"/>
  <c r="M1791" i="1"/>
  <c r="M1785" i="1"/>
  <c r="M1772" i="1"/>
  <c r="M1761" i="1"/>
  <c r="M1755" i="1"/>
  <c r="M1742" i="1"/>
  <c r="M1736" i="1"/>
  <c r="M1730" i="1"/>
  <c r="M1717" i="1"/>
  <c r="M1711" i="1"/>
  <c r="M1705" i="1"/>
  <c r="M1692" i="1"/>
  <c r="M1686" i="1"/>
  <c r="M1680" i="1"/>
  <c r="M1667" i="1"/>
  <c r="M1661" i="1"/>
  <c r="M1655" i="1"/>
  <c r="M1642" i="1"/>
  <c r="M1636" i="1"/>
  <c r="M1630" i="1"/>
  <c r="M1624" i="1"/>
  <c r="M1613" i="1"/>
  <c r="M1602" i="1"/>
  <c r="M1591" i="1"/>
  <c r="M1586" i="1"/>
  <c r="M1581" i="1"/>
  <c r="M1576" i="1"/>
  <c r="M1571" i="1"/>
  <c r="M1566" i="1"/>
  <c r="M1561" i="1"/>
  <c r="M1556" i="1"/>
  <c r="M1551" i="1"/>
  <c r="M1546" i="1"/>
  <c r="M1541" i="1"/>
  <c r="M1854" i="1"/>
  <c r="M1844" i="1"/>
  <c r="M1830" i="1"/>
  <c r="M1784" i="1"/>
  <c r="M1766" i="1"/>
  <c r="M1754" i="1"/>
  <c r="M1865" i="1"/>
  <c r="M1829" i="1"/>
  <c r="M1820" i="1"/>
  <c r="M1805" i="1"/>
  <c r="M1797" i="1"/>
  <c r="M1790" i="1"/>
  <c r="M1777" i="1"/>
  <c r="M1771" i="1"/>
  <c r="M1760" i="1"/>
  <c r="M1747" i="1"/>
  <c r="M1741" i="1"/>
  <c r="M1735" i="1"/>
  <c r="M1722" i="1"/>
  <c r="M1716" i="1"/>
  <c r="M1710" i="1"/>
  <c r="M1697" i="1"/>
  <c r="M1691" i="1"/>
  <c r="M1685" i="1"/>
  <c r="M1672" i="1"/>
  <c r="M1666" i="1"/>
  <c r="M1660" i="1"/>
  <c r="M1647" i="1"/>
  <c r="M1641" i="1"/>
  <c r="M1635" i="1"/>
  <c r="M1623" i="1"/>
  <c r="M1612" i="1"/>
  <c r="M1601" i="1"/>
  <c r="M1590" i="1"/>
  <c r="M1585" i="1"/>
  <c r="M1580" i="1"/>
  <c r="M1575" i="1"/>
  <c r="M1570" i="1"/>
  <c r="M1565" i="1"/>
  <c r="M1560" i="1"/>
  <c r="M1555" i="1"/>
  <c r="M1550" i="1"/>
  <c r="M1545" i="1"/>
  <c r="M1540" i="1"/>
  <c r="M1535" i="1"/>
  <c r="M1530" i="1"/>
  <c r="M1525" i="1"/>
  <c r="M1520" i="1"/>
  <c r="M1515" i="1"/>
  <c r="M1510" i="1"/>
  <c r="M1505" i="1"/>
  <c r="M1852" i="1"/>
  <c r="M1837" i="1"/>
  <c r="M1819" i="1"/>
  <c r="M1810" i="1"/>
  <c r="M1804" i="1"/>
  <c r="M1796" i="1"/>
  <c r="M1789" i="1"/>
  <c r="M1765" i="1"/>
  <c r="M1759" i="1"/>
  <c r="M1734" i="1"/>
  <c r="M1709" i="1"/>
  <c r="M1684" i="1"/>
  <c r="M1659" i="1"/>
  <c r="M1634" i="1"/>
  <c r="M1628" i="1"/>
  <c r="M1617" i="1"/>
  <c r="M1606" i="1"/>
  <c r="M1595" i="1"/>
  <c r="M1862" i="1"/>
  <c r="M1842" i="1"/>
  <c r="M1827" i="1"/>
  <c r="M1782" i="1"/>
  <c r="M1776" i="1"/>
  <c r="M1770" i="1"/>
  <c r="M1752" i="1"/>
  <c r="M1746" i="1"/>
  <c r="M1740" i="1"/>
  <c r="M1727" i="1"/>
  <c r="M1721" i="1"/>
  <c r="M1715" i="1"/>
  <c r="M1702" i="1"/>
  <c r="M1696" i="1"/>
  <c r="M1690" i="1"/>
  <c r="M1677" i="1"/>
  <c r="M1671" i="1"/>
  <c r="M1665" i="1"/>
  <c r="M1652" i="1"/>
  <c r="M1646" i="1"/>
  <c r="M1640" i="1"/>
  <c r="M1622" i="1"/>
  <c r="M1611" i="1"/>
  <c r="M1600" i="1"/>
  <c r="M1594" i="1"/>
  <c r="M1589" i="1"/>
  <c r="M1584" i="1"/>
  <c r="M1579" i="1"/>
  <c r="M1574" i="1"/>
  <c r="M1569" i="1"/>
  <c r="M1564" i="1"/>
  <c r="M1559" i="1"/>
  <c r="M1554" i="1"/>
  <c r="M1549" i="1"/>
  <c r="M1544" i="1"/>
  <c r="M1539" i="1"/>
  <c r="M1534" i="1"/>
  <c r="M1529" i="1"/>
  <c r="M1524" i="1"/>
  <c r="M1514" i="1"/>
  <c r="M1509" i="1"/>
  <c r="M1504" i="1"/>
  <c r="M1499" i="1"/>
  <c r="M1494" i="1"/>
  <c r="M1489" i="1"/>
  <c r="M1484" i="1"/>
  <c r="M1479" i="1"/>
  <c r="M1474" i="1"/>
  <c r="M1850" i="1"/>
  <c r="M1817" i="1"/>
  <c r="M1809" i="1"/>
  <c r="M1802" i="1"/>
  <c r="M1795" i="1"/>
  <c r="M1764" i="1"/>
  <c r="M1739" i="1"/>
  <c r="M1714" i="1"/>
  <c r="M1689" i="1"/>
  <c r="M1664" i="1"/>
  <c r="M1639" i="1"/>
  <c r="M1627" i="1"/>
  <c r="M1616" i="1"/>
  <c r="M1605" i="1"/>
  <c r="M1599" i="1"/>
  <c r="M1860" i="1"/>
  <c r="M1849" i="1"/>
  <c r="M1835" i="1"/>
  <c r="M1825" i="1"/>
  <c r="M1801" i="1"/>
  <c r="M1794" i="1"/>
  <c r="M1787" i="1"/>
  <c r="M1781" i="1"/>
  <c r="M1775" i="1"/>
  <c r="M1769" i="1"/>
  <c r="M1757" i="1"/>
  <c r="M1751" i="1"/>
  <c r="M1745" i="1"/>
  <c r="M1732" i="1"/>
  <c r="M1726" i="1"/>
  <c r="M1720" i="1"/>
  <c r="M1707" i="1"/>
  <c r="M1701" i="1"/>
  <c r="M1695" i="1"/>
  <c r="M1682" i="1"/>
  <c r="M1676" i="1"/>
  <c r="M1670" i="1"/>
  <c r="M1657" i="1"/>
  <c r="M1651" i="1"/>
  <c r="M1645" i="1"/>
  <c r="M1632" i="1"/>
  <c r="M1621" i="1"/>
  <c r="M1610" i="1"/>
  <c r="M1604" i="1"/>
  <c r="M1593" i="1"/>
  <c r="M1588" i="1"/>
  <c r="M1583" i="1"/>
  <c r="M1578" i="1"/>
  <c r="M1573" i="1"/>
  <c r="M1568" i="1"/>
  <c r="M1563" i="1"/>
  <c r="M1872" i="1"/>
  <c r="M1834" i="1"/>
  <c r="M1815" i="1"/>
  <c r="M1774" i="1"/>
  <c r="M1744" i="1"/>
  <c r="M1719" i="1"/>
  <c r="M1694" i="1"/>
  <c r="M1669" i="1"/>
  <c r="M1644" i="1"/>
  <c r="M1626" i="1"/>
  <c r="M1615" i="1"/>
  <c r="M1609" i="1"/>
  <c r="M1598" i="1"/>
  <c r="M1857" i="1"/>
  <c r="M1847" i="1"/>
  <c r="M1840" i="1"/>
  <c r="M1824" i="1"/>
  <c r="M1814" i="1"/>
  <c r="M1807" i="1"/>
  <c r="M1800" i="1"/>
  <c r="M1786" i="1"/>
  <c r="M1780" i="1"/>
  <c r="M1762" i="1"/>
  <c r="M1756" i="1"/>
  <c r="M1750" i="1"/>
  <c r="M1737" i="1"/>
  <c r="M1731" i="1"/>
  <c r="M1725" i="1"/>
  <c r="M1712" i="1"/>
  <c r="M1706" i="1"/>
  <c r="M1700" i="1"/>
  <c r="M1687" i="1"/>
  <c r="M1681" i="1"/>
  <c r="M1675" i="1"/>
  <c r="M1662" i="1"/>
  <c r="M1656" i="1"/>
  <c r="M1650" i="1"/>
  <c r="M1637" i="1"/>
  <c r="M1631" i="1"/>
  <c r="M1620" i="1"/>
  <c r="M1614" i="1"/>
  <c r="M1603" i="1"/>
  <c r="M1592" i="1"/>
  <c r="M1587" i="1"/>
  <c r="M1582" i="1"/>
  <c r="M1577" i="1"/>
  <c r="M1572" i="1"/>
  <c r="M1567" i="1"/>
  <c r="M1870" i="1"/>
  <c r="M1832" i="1"/>
  <c r="M1799" i="1"/>
  <c r="M1792" i="1"/>
  <c r="M1779" i="1"/>
  <c r="M1767" i="1"/>
  <c r="M1749" i="1"/>
  <c r="M1724" i="1"/>
  <c r="M1654" i="1"/>
  <c r="M1596" i="1"/>
  <c r="M1528" i="1"/>
  <c r="M1513" i="1"/>
  <c r="M1507" i="1"/>
  <c r="M1501" i="1"/>
  <c r="M1490" i="1"/>
  <c r="M1477" i="1"/>
  <c r="M1470" i="1"/>
  <c r="M1463" i="1"/>
  <c r="M1456" i="1"/>
  <c r="M1430" i="1"/>
  <c r="M1425" i="1"/>
  <c r="M1417" i="1"/>
  <c r="M1403" i="1"/>
  <c r="M1396" i="1"/>
  <c r="M1390" i="1"/>
  <c r="M1377" i="1"/>
  <c r="M1371" i="1"/>
  <c r="M1359" i="1"/>
  <c r="M1353" i="1"/>
  <c r="M1334" i="1"/>
  <c r="M1328" i="1"/>
  <c r="M1323" i="1"/>
  <c r="M1317" i="1"/>
  <c r="M1311" i="1"/>
  <c r="M1305" i="1"/>
  <c r="M1299" i="1"/>
  <c r="M1649" i="1"/>
  <c r="M1619" i="1"/>
  <c r="M1557" i="1"/>
  <c r="M1542" i="1"/>
  <c r="M1527" i="1"/>
  <c r="M1495" i="1"/>
  <c r="M1469" i="1"/>
  <c r="M1462" i="1"/>
  <c r="M1449" i="1"/>
  <c r="M1443" i="1"/>
  <c r="M1436" i="1"/>
  <c r="M1424" i="1"/>
  <c r="M1410" i="1"/>
  <c r="M1402" i="1"/>
  <c r="M1389" i="1"/>
  <c r="M1383" i="1"/>
  <c r="M1365" i="1"/>
  <c r="M1352" i="1"/>
  <c r="M1346" i="1"/>
  <c r="M1340" i="1"/>
  <c r="M1304" i="1"/>
  <c r="M1293" i="1"/>
  <c r="M1288" i="1"/>
  <c r="M1283" i="1"/>
  <c r="M1278" i="1"/>
  <c r="M1273" i="1"/>
  <c r="M1268" i="1"/>
  <c r="M1263" i="1"/>
  <c r="M1258" i="1"/>
  <c r="M1253" i="1"/>
  <c r="M1248" i="1"/>
  <c r="M1243" i="1"/>
  <c r="M1238" i="1"/>
  <c r="M1233" i="1"/>
  <c r="M1228" i="1"/>
  <c r="M1223" i="1"/>
  <c r="M1218" i="1"/>
  <c r="M1213" i="1"/>
  <c r="M1208" i="1"/>
  <c r="M1203" i="1"/>
  <c r="M1198" i="1"/>
  <c r="M1193" i="1"/>
  <c r="M1188" i="1"/>
  <c r="M1183" i="1"/>
  <c r="M1178" i="1"/>
  <c r="M1173" i="1"/>
  <c r="M1168" i="1"/>
  <c r="M1163" i="1"/>
  <c r="M1158" i="1"/>
  <c r="M1153" i="1"/>
  <c r="M1148" i="1"/>
  <c r="M1143" i="1"/>
  <c r="M1138" i="1"/>
  <c r="M1133" i="1"/>
  <c r="M1128" i="1"/>
  <c r="M1123" i="1"/>
  <c r="M1118" i="1"/>
  <c r="M1113" i="1"/>
  <c r="M1108" i="1"/>
  <c r="M1103" i="1"/>
  <c r="M1098" i="1"/>
  <c r="M1093" i="1"/>
  <c r="M1088" i="1"/>
  <c r="M1083" i="1"/>
  <c r="M1078" i="1"/>
  <c r="M1073" i="1"/>
  <c r="M1068" i="1"/>
  <c r="M1063" i="1"/>
  <c r="M1058" i="1"/>
  <c r="M1053" i="1"/>
  <c r="M1048" i="1"/>
  <c r="M1679" i="1"/>
  <c r="M1618" i="1"/>
  <c r="M1548" i="1"/>
  <c r="M1533" i="1"/>
  <c r="M1518" i="1"/>
  <c r="M1512" i="1"/>
  <c r="M1506" i="1"/>
  <c r="M1500" i="1"/>
  <c r="M1483" i="1"/>
  <c r="M1476" i="1"/>
  <c r="M1468" i="1"/>
  <c r="M1455" i="1"/>
  <c r="M1448" i="1"/>
  <c r="M1442" i="1"/>
  <c r="M1429" i="1"/>
  <c r="M1423" i="1"/>
  <c r="M1416" i="1"/>
  <c r="M1409" i="1"/>
  <c r="M1395" i="1"/>
  <c r="M1382" i="1"/>
  <c r="M1376" i="1"/>
  <c r="M1370" i="1"/>
  <c r="M1364" i="1"/>
  <c r="M1358" i="1"/>
  <c r="M1339" i="1"/>
  <c r="M1333" i="1"/>
  <c r="M1327" i="1"/>
  <c r="M1322" i="1"/>
  <c r="M1316" i="1"/>
  <c r="M1310" i="1"/>
  <c r="M1298" i="1"/>
  <c r="M1674" i="1"/>
  <c r="M1526" i="1"/>
  <c r="M1488" i="1"/>
  <c r="M1467" i="1"/>
  <c r="M1461" i="1"/>
  <c r="M1454" i="1"/>
  <c r="M1447" i="1"/>
  <c r="M1435" i="1"/>
  <c r="M1422" i="1"/>
  <c r="M1408" i="1"/>
  <c r="M1401" i="1"/>
  <c r="M1394" i="1"/>
  <c r="M1388" i="1"/>
  <c r="M1357" i="1"/>
  <c r="M1351" i="1"/>
  <c r="M1345" i="1"/>
  <c r="M1332" i="1"/>
  <c r="M1309" i="1"/>
  <c r="M1303" i="1"/>
  <c r="M1292" i="1"/>
  <c r="M1287" i="1"/>
  <c r="M1282" i="1"/>
  <c r="M1277" i="1"/>
  <c r="M1272" i="1"/>
  <c r="M1267" i="1"/>
  <c r="M1262" i="1"/>
  <c r="M1257" i="1"/>
  <c r="M1252" i="1"/>
  <c r="M1247" i="1"/>
  <c r="M1242" i="1"/>
  <c r="M1237" i="1"/>
  <c r="M1232" i="1"/>
  <c r="M1227" i="1"/>
  <c r="M1222" i="1"/>
  <c r="M1217" i="1"/>
  <c r="M1212" i="1"/>
  <c r="M1207" i="1"/>
  <c r="M1202" i="1"/>
  <c r="M1197" i="1"/>
  <c r="M1192" i="1"/>
  <c r="M1187" i="1"/>
  <c r="M1182" i="1"/>
  <c r="M1177" i="1"/>
  <c r="M1172" i="1"/>
  <c r="M1167" i="1"/>
  <c r="M1162" i="1"/>
  <c r="M1157" i="1"/>
  <c r="M1152" i="1"/>
  <c r="M1147" i="1"/>
  <c r="M1142" i="1"/>
  <c r="M1137" i="1"/>
  <c r="M1132" i="1"/>
  <c r="M1127" i="1"/>
  <c r="M1122" i="1"/>
  <c r="M1117" i="1"/>
  <c r="M1112" i="1"/>
  <c r="M1107" i="1"/>
  <c r="M1102" i="1"/>
  <c r="M1097" i="1"/>
  <c r="M1092" i="1"/>
  <c r="M1087" i="1"/>
  <c r="M1082" i="1"/>
  <c r="M1077" i="1"/>
  <c r="M1072" i="1"/>
  <c r="M1067" i="1"/>
  <c r="M1062" i="1"/>
  <c r="M1057" i="1"/>
  <c r="M1052" i="1"/>
  <c r="M1047" i="1"/>
  <c r="M1042" i="1"/>
  <c r="M1037" i="1"/>
  <c r="M1032" i="1"/>
  <c r="M1027" i="1"/>
  <c r="M1704" i="1"/>
  <c r="M1547" i="1"/>
  <c r="M1532" i="1"/>
  <c r="M1517" i="1"/>
  <c r="M1511" i="1"/>
  <c r="M1482" i="1"/>
  <c r="M1475" i="1"/>
  <c r="M1453" i="1"/>
  <c r="M1441" i="1"/>
  <c r="M1434" i="1"/>
  <c r="M1428" i="1"/>
  <c r="M1415" i="1"/>
  <c r="M1407" i="1"/>
  <c r="M1387" i="1"/>
  <c r="M1381" i="1"/>
  <c r="M1375" i="1"/>
  <c r="M1369" i="1"/>
  <c r="M1363" i="1"/>
  <c r="M1344" i="1"/>
  <c r="M1338" i="1"/>
  <c r="M1326" i="1"/>
  <c r="M1321" i="1"/>
  <c r="M1315" i="1"/>
  <c r="M1302" i="1"/>
  <c r="M1297" i="1"/>
  <c r="M1699" i="1"/>
  <c r="M1608" i="1"/>
  <c r="M1562" i="1"/>
  <c r="M1523" i="1"/>
  <c r="M1498" i="1"/>
  <c r="M1487" i="1"/>
  <c r="M1473" i="1"/>
  <c r="M1466" i="1"/>
  <c r="M1460" i="1"/>
  <c r="M1452" i="1"/>
  <c r="M1446" i="1"/>
  <c r="M1433" i="1"/>
  <c r="M1421" i="1"/>
  <c r="M1414" i="1"/>
  <c r="M1400" i="1"/>
  <c r="M1393" i="1"/>
  <c r="M1374" i="1"/>
  <c r="M1362" i="1"/>
  <c r="M1356" i="1"/>
  <c r="M1350" i="1"/>
  <c r="M1337" i="1"/>
  <c r="M1331" i="1"/>
  <c r="M1314" i="1"/>
  <c r="M1308" i="1"/>
  <c r="M1291" i="1"/>
  <c r="M1286" i="1"/>
  <c r="M1281" i="1"/>
  <c r="M1276" i="1"/>
  <c r="M1271" i="1"/>
  <c r="M1266" i="1"/>
  <c r="M1261" i="1"/>
  <c r="M1256" i="1"/>
  <c r="M1251" i="1"/>
  <c r="M1246" i="1"/>
  <c r="M1241" i="1"/>
  <c r="M1236" i="1"/>
  <c r="M1231" i="1"/>
  <c r="M1226" i="1"/>
  <c r="M1221" i="1"/>
  <c r="M1216" i="1"/>
  <c r="M1211" i="1"/>
  <c r="M1206" i="1"/>
  <c r="M1201" i="1"/>
  <c r="M1196" i="1"/>
  <c r="M1191" i="1"/>
  <c r="M1186" i="1"/>
  <c r="M1181" i="1"/>
  <c r="M1176" i="1"/>
  <c r="M1171" i="1"/>
  <c r="M1166" i="1"/>
  <c r="M1161" i="1"/>
  <c r="M1156" i="1"/>
  <c r="M1151" i="1"/>
  <c r="M1146" i="1"/>
  <c r="M1141" i="1"/>
  <c r="M1136" i="1"/>
  <c r="M1131" i="1"/>
  <c r="M1126" i="1"/>
  <c r="M1121" i="1"/>
  <c r="M1116" i="1"/>
  <c r="M1111" i="1"/>
  <c r="M1106" i="1"/>
  <c r="M1101" i="1"/>
  <c r="M1096" i="1"/>
  <c r="M1091" i="1"/>
  <c r="M1086" i="1"/>
  <c r="M1081" i="1"/>
  <c r="M1076" i="1"/>
  <c r="M1071" i="1"/>
  <c r="M1066" i="1"/>
  <c r="M1061" i="1"/>
  <c r="M1607" i="1"/>
  <c r="M1553" i="1"/>
  <c r="M1537" i="1"/>
  <c r="M1531" i="1"/>
  <c r="M1516" i="1"/>
  <c r="M1503" i="1"/>
  <c r="M1492" i="1"/>
  <c r="M1481" i="1"/>
  <c r="M1472" i="1"/>
  <c r="M1459" i="1"/>
  <c r="M1440" i="1"/>
  <c r="M1432" i="1"/>
  <c r="M1427" i="1"/>
  <c r="M1413" i="1"/>
  <c r="M1406" i="1"/>
  <c r="M1399" i="1"/>
  <c r="M1392" i="1"/>
  <c r="M1386" i="1"/>
  <c r="M1380" i="1"/>
  <c r="M1368" i="1"/>
  <c r="M1349" i="1"/>
  <c r="M1343" i="1"/>
  <c r="M1325" i="1"/>
  <c r="M1320" i="1"/>
  <c r="M1307" i="1"/>
  <c r="M1301" i="1"/>
  <c r="M1296" i="1"/>
  <c r="M1729" i="1"/>
  <c r="M1522" i="1"/>
  <c r="M1497" i="1"/>
  <c r="M1486" i="1"/>
  <c r="M1465" i="1"/>
  <c r="M1458" i="1"/>
  <c r="M1451" i="1"/>
  <c r="M1445" i="1"/>
  <c r="M1439" i="1"/>
  <c r="M1420" i="1"/>
  <c r="M1412" i="1"/>
  <c r="M1398" i="1"/>
  <c r="M1379" i="1"/>
  <c r="M1373" i="1"/>
  <c r="M1367" i="1"/>
  <c r="M1361" i="1"/>
  <c r="M1355" i="1"/>
  <c r="M1342" i="1"/>
  <c r="M1336" i="1"/>
  <c r="M1330" i="1"/>
  <c r="M1319" i="1"/>
  <c r="M1313" i="1"/>
  <c r="M1290" i="1"/>
  <c r="M1285" i="1"/>
  <c r="M1280" i="1"/>
  <c r="M1275" i="1"/>
  <c r="M1270" i="1"/>
  <c r="M1265" i="1"/>
  <c r="M1260" i="1"/>
  <c r="M1255" i="1"/>
  <c r="M1250" i="1"/>
  <c r="M1240" i="1"/>
  <c r="M1235" i="1"/>
  <c r="M1230" i="1"/>
  <c r="M1225" i="1"/>
  <c r="M1220" i="1"/>
  <c r="M1215" i="1"/>
  <c r="M1210" i="1"/>
  <c r="M1205" i="1"/>
  <c r="M1200" i="1"/>
  <c r="M1195" i="1"/>
  <c r="M1190" i="1"/>
  <c r="M1185" i="1"/>
  <c r="M1180" i="1"/>
  <c r="M1175" i="1"/>
  <c r="M1170" i="1"/>
  <c r="M1165" i="1"/>
  <c r="M1160" i="1"/>
  <c r="M1155" i="1"/>
  <c r="M1150" i="1"/>
  <c r="M1145" i="1"/>
  <c r="M1140" i="1"/>
  <c r="M1135" i="1"/>
  <c r="M1130" i="1"/>
  <c r="M1125" i="1"/>
  <c r="M1120" i="1"/>
  <c r="M1115" i="1"/>
  <c r="M1110" i="1"/>
  <c r="M1105" i="1"/>
  <c r="M1100" i="1"/>
  <c r="M1095" i="1"/>
  <c r="M1090" i="1"/>
  <c r="M1085" i="1"/>
  <c r="M1080" i="1"/>
  <c r="M1075" i="1"/>
  <c r="M1070" i="1"/>
  <c r="M1065" i="1"/>
  <c r="M1629" i="1"/>
  <c r="M1552" i="1"/>
  <c r="M1536" i="1"/>
  <c r="M1508" i="1"/>
  <c r="M1502" i="1"/>
  <c r="M1491" i="1"/>
  <c r="M1480" i="1"/>
  <c r="M1471" i="1"/>
  <c r="M1457" i="1"/>
  <c r="M1438" i="1"/>
  <c r="M1431" i="1"/>
  <c r="M1426" i="1"/>
  <c r="M1419" i="1"/>
  <c r="M1405" i="1"/>
  <c r="M1397" i="1"/>
  <c r="M1391" i="1"/>
  <c r="M1385" i="1"/>
  <c r="M1372" i="1"/>
  <c r="M1354" i="1"/>
  <c r="M1348" i="1"/>
  <c r="M1329" i="1"/>
  <c r="M1324" i="1"/>
  <c r="M1312" i="1"/>
  <c r="M1306" i="1"/>
  <c r="M1300" i="1"/>
  <c r="M1295" i="1"/>
  <c r="M1625" i="1"/>
  <c r="M1597" i="1"/>
  <c r="M1558" i="1"/>
  <c r="M1543" i="1"/>
  <c r="M1521" i="1"/>
  <c r="M1496" i="1"/>
  <c r="M1485" i="1"/>
  <c r="M1478" i="1"/>
  <c r="M1464" i="1"/>
  <c r="M1450" i="1"/>
  <c r="M1444" i="1"/>
  <c r="M1437" i="1"/>
  <c r="M1418" i="1"/>
  <c r="M1411" i="1"/>
  <c r="M1404" i="1"/>
  <c r="M1384" i="1"/>
  <c r="M1378" i="1"/>
  <c r="M1366" i="1"/>
  <c r="M1360" i="1"/>
  <c r="M1347" i="1"/>
  <c r="M1341" i="1"/>
  <c r="M1335" i="1"/>
  <c r="M1318" i="1"/>
  <c r="M1294" i="1"/>
  <c r="M1289" i="1"/>
  <c r="M1284" i="1"/>
  <c r="M1279" i="1"/>
  <c r="M1274" i="1"/>
  <c r="M1269" i="1"/>
  <c r="M1264" i="1"/>
  <c r="M1259" i="1"/>
  <c r="M1254" i="1"/>
  <c r="M1249" i="1"/>
  <c r="M1244" i="1"/>
  <c r="M1239" i="1"/>
  <c r="M1234" i="1"/>
  <c r="M1229" i="1"/>
  <c r="M1224" i="1"/>
  <c r="M1219" i="1"/>
  <c r="M1214" i="1"/>
  <c r="M1209" i="1"/>
  <c r="M1204" i="1"/>
  <c r="M1199" i="1"/>
  <c r="M1194" i="1"/>
  <c r="M1189" i="1"/>
  <c r="M1184" i="1"/>
  <c r="M1179" i="1"/>
  <c r="M1174" i="1"/>
  <c r="M1169" i="1"/>
  <c r="M1164" i="1"/>
  <c r="M1159" i="1"/>
  <c r="M1154" i="1"/>
  <c r="M1149" i="1"/>
  <c r="M1144" i="1"/>
  <c r="M1139" i="1"/>
  <c r="M1134" i="1"/>
  <c r="M1129" i="1"/>
  <c r="M1124" i="1"/>
  <c r="M1119" i="1"/>
  <c r="M1114" i="1"/>
  <c r="M1109" i="1"/>
  <c r="M1104" i="1"/>
  <c r="M1099" i="1"/>
  <c r="M1094" i="1"/>
  <c r="M1089" i="1"/>
  <c r="M1084" i="1"/>
  <c r="M1079" i="1"/>
  <c r="M1074" i="1"/>
  <c r="M1069" i="1"/>
  <c r="M1064" i="1"/>
  <c r="M1045" i="1"/>
  <c r="M1033" i="1"/>
  <c r="M1021" i="1"/>
  <c r="M1008" i="1"/>
  <c r="M1001" i="1"/>
  <c r="M995" i="1"/>
  <c r="M984" i="1"/>
  <c r="M979" i="1"/>
  <c r="M963" i="1"/>
  <c r="M958" i="1"/>
  <c r="M947" i="1"/>
  <c r="M1060" i="1"/>
  <c r="M1044" i="1"/>
  <c r="M1031" i="1"/>
  <c r="M1015" i="1"/>
  <c r="M989" i="1"/>
  <c r="M978" i="1"/>
  <c r="M968" i="1"/>
  <c r="M952" i="1"/>
  <c r="M941" i="1"/>
  <c r="M936" i="1"/>
  <c r="M931" i="1"/>
  <c r="M926" i="1"/>
  <c r="M921" i="1"/>
  <c r="M916" i="1"/>
  <c r="M911" i="1"/>
  <c r="M906" i="1"/>
  <c r="M901" i="1"/>
  <c r="M896" i="1"/>
  <c r="M891" i="1"/>
  <c r="M886" i="1"/>
  <c r="M881" i="1"/>
  <c r="M876" i="1"/>
  <c r="M871" i="1"/>
  <c r="M866" i="1"/>
  <c r="M861" i="1"/>
  <c r="M856" i="1"/>
  <c r="M851" i="1"/>
  <c r="M846" i="1"/>
  <c r="M841" i="1"/>
  <c r="M836" i="1"/>
  <c r="M831" i="1"/>
  <c r="M826" i="1"/>
  <c r="M821" i="1"/>
  <c r="M816" i="1"/>
  <c r="M811" i="1"/>
  <c r="M806" i="1"/>
  <c r="M801" i="1"/>
  <c r="M796" i="1"/>
  <c r="M791" i="1"/>
  <c r="M786" i="1"/>
  <c r="M781" i="1"/>
  <c r="M776" i="1"/>
  <c r="M771" i="1"/>
  <c r="M766" i="1"/>
  <c r="M761" i="1"/>
  <c r="M756" i="1"/>
  <c r="M751" i="1"/>
  <c r="M746" i="1"/>
  <c r="M741" i="1"/>
  <c r="M736" i="1"/>
  <c r="M731" i="1"/>
  <c r="M726" i="1"/>
  <c r="M721" i="1"/>
  <c r="M716" i="1"/>
  <c r="M711" i="1"/>
  <c r="M706" i="1"/>
  <c r="M701" i="1"/>
  <c r="M696" i="1"/>
  <c r="M691" i="1"/>
  <c r="M686" i="1"/>
  <c r="M681" i="1"/>
  <c r="M676" i="1"/>
  <c r="M671" i="1"/>
  <c r="M666" i="1"/>
  <c r="M661" i="1"/>
  <c r="M656" i="1"/>
  <c r="M651" i="1"/>
  <c r="M646" i="1"/>
  <c r="M641" i="1"/>
  <c r="M636" i="1"/>
  <c r="M631" i="1"/>
  <c r="M626" i="1"/>
  <c r="M621" i="1"/>
  <c r="M616" i="1"/>
  <c r="M611" i="1"/>
  <c r="M606" i="1"/>
  <c r="M601" i="1"/>
  <c r="M596" i="1"/>
  <c r="M591" i="1"/>
  <c r="M586" i="1"/>
  <c r="M1059" i="1"/>
  <c r="M1043" i="1"/>
  <c r="M1030" i="1"/>
  <c r="M1020" i="1"/>
  <c r="M1014" i="1"/>
  <c r="M1007" i="1"/>
  <c r="M1000" i="1"/>
  <c r="M994" i="1"/>
  <c r="M988" i="1"/>
  <c r="M983" i="1"/>
  <c r="M962" i="1"/>
  <c r="M957" i="1"/>
  <c r="M946" i="1"/>
  <c r="M1056" i="1"/>
  <c r="M1041" i="1"/>
  <c r="M1029" i="1"/>
  <c r="M1013" i="1"/>
  <c r="M1006" i="1"/>
  <c r="M999" i="1"/>
  <c r="M993" i="1"/>
  <c r="M977" i="1"/>
  <c r="M972" i="1"/>
  <c r="M967" i="1"/>
  <c r="M951" i="1"/>
  <c r="M940" i="1"/>
  <c r="M935" i="1"/>
  <c r="M930" i="1"/>
  <c r="M925" i="1"/>
  <c r="M920" i="1"/>
  <c r="M915" i="1"/>
  <c r="M910" i="1"/>
  <c r="M905" i="1"/>
  <c r="M900" i="1"/>
  <c r="M895" i="1"/>
  <c r="M890" i="1"/>
  <c r="M885" i="1"/>
  <c r="M880" i="1"/>
  <c r="M875" i="1"/>
  <c r="M870" i="1"/>
  <c r="M865" i="1"/>
  <c r="M860" i="1"/>
  <c r="M855" i="1"/>
  <c r="M850" i="1"/>
  <c r="M845" i="1"/>
  <c r="M840" i="1"/>
  <c r="M835" i="1"/>
  <c r="M830" i="1"/>
  <c r="M825" i="1"/>
  <c r="M820" i="1"/>
  <c r="M815" i="1"/>
  <c r="M810" i="1"/>
  <c r="M805" i="1"/>
  <c r="M800" i="1"/>
  <c r="M795" i="1"/>
  <c r="M790" i="1"/>
  <c r="M785" i="1"/>
  <c r="M780" i="1"/>
  <c r="M775" i="1"/>
  <c r="M770" i="1"/>
  <c r="M765" i="1"/>
  <c r="M760" i="1"/>
  <c r="M755" i="1"/>
  <c r="M750" i="1"/>
  <c r="M745" i="1"/>
  <c r="M740" i="1"/>
  <c r="M735" i="1"/>
  <c r="M730" i="1"/>
  <c r="M725" i="1"/>
  <c r="M720" i="1"/>
  <c r="M715" i="1"/>
  <c r="M710" i="1"/>
  <c r="M705" i="1"/>
  <c r="M700" i="1"/>
  <c r="M695" i="1"/>
  <c r="M690" i="1"/>
  <c r="M685" i="1"/>
  <c r="M680" i="1"/>
  <c r="M675" i="1"/>
  <c r="M670" i="1"/>
  <c r="M665" i="1"/>
  <c r="M660" i="1"/>
  <c r="M655" i="1"/>
  <c r="M650" i="1"/>
  <c r="M645" i="1"/>
  <c r="M640" i="1"/>
  <c r="M635" i="1"/>
  <c r="M630" i="1"/>
  <c r="M625" i="1"/>
  <c r="M620" i="1"/>
  <c r="M615" i="1"/>
  <c r="M610" i="1"/>
  <c r="M605" i="1"/>
  <c r="M600" i="1"/>
  <c r="M595" i="1"/>
  <c r="M1055" i="1"/>
  <c r="M1040" i="1"/>
  <c r="M1028" i="1"/>
  <c r="M1019" i="1"/>
  <c r="M998" i="1"/>
  <c r="M987" i="1"/>
  <c r="M982" i="1"/>
  <c r="M961" i="1"/>
  <c r="M956" i="1"/>
  <c r="M945" i="1"/>
  <c r="M1054" i="1"/>
  <c r="M1039" i="1"/>
  <c r="M1026" i="1"/>
  <c r="M1012" i="1"/>
  <c r="M1005" i="1"/>
  <c r="M992" i="1"/>
  <c r="M976" i="1"/>
  <c r="M971" i="1"/>
  <c r="M966" i="1"/>
  <c r="M950" i="1"/>
  <c r="M939" i="1"/>
  <c r="M934" i="1"/>
  <c r="M929" i="1"/>
  <c r="M924" i="1"/>
  <c r="M919" i="1"/>
  <c r="M914" i="1"/>
  <c r="M909" i="1"/>
  <c r="M904" i="1"/>
  <c r="M899" i="1"/>
  <c r="M894" i="1"/>
  <c r="M889" i="1"/>
  <c r="M884" i="1"/>
  <c r="M879" i="1"/>
  <c r="M874" i="1"/>
  <c r="M869" i="1"/>
  <c r="M864" i="1"/>
  <c r="M859" i="1"/>
  <c r="M854" i="1"/>
  <c r="M849" i="1"/>
  <c r="M844" i="1"/>
  <c r="M839" i="1"/>
  <c r="M834" i="1"/>
  <c r="M829" i="1"/>
  <c r="M824" i="1"/>
  <c r="M819" i="1"/>
  <c r="M814" i="1"/>
  <c r="M809" i="1"/>
  <c r="M804" i="1"/>
  <c r="M799" i="1"/>
  <c r="M794" i="1"/>
  <c r="M789" i="1"/>
  <c r="M784" i="1"/>
  <c r="M779" i="1"/>
  <c r="M774" i="1"/>
  <c r="M769" i="1"/>
  <c r="M764" i="1"/>
  <c r="M759" i="1"/>
  <c r="M754" i="1"/>
  <c r="M749" i="1"/>
  <c r="M744" i="1"/>
  <c r="M739" i="1"/>
  <c r="M734" i="1"/>
  <c r="M729" i="1"/>
  <c r="M724" i="1"/>
  <c r="M719" i="1"/>
  <c r="M714" i="1"/>
  <c r="M709" i="1"/>
  <c r="M704" i="1"/>
  <c r="M699" i="1"/>
  <c r="M694" i="1"/>
  <c r="M689" i="1"/>
  <c r="M684" i="1"/>
  <c r="M679" i="1"/>
  <c r="M674" i="1"/>
  <c r="M669" i="1"/>
  <c r="M664" i="1"/>
  <c r="M659" i="1"/>
  <c r="M654" i="1"/>
  <c r="M649" i="1"/>
  <c r="M644" i="1"/>
  <c r="M639" i="1"/>
  <c r="M634" i="1"/>
  <c r="M629" i="1"/>
  <c r="M624" i="1"/>
  <c r="M619" i="1"/>
  <c r="M614" i="1"/>
  <c r="M609" i="1"/>
  <c r="M604" i="1"/>
  <c r="M599" i="1"/>
  <c r="M1051" i="1"/>
  <c r="M1038" i="1"/>
  <c r="M1025" i="1"/>
  <c r="M1018" i="1"/>
  <c r="M1011" i="1"/>
  <c r="M1004" i="1"/>
  <c r="M997" i="1"/>
  <c r="M981" i="1"/>
  <c r="M960" i="1"/>
  <c r="M955" i="1"/>
  <c r="M944" i="1"/>
  <c r="M1050" i="1"/>
  <c r="M1036" i="1"/>
  <c r="M1024" i="1"/>
  <c r="M1003" i="1"/>
  <c r="M991" i="1"/>
  <c r="M975" i="1"/>
  <c r="M970" i="1"/>
  <c r="M965" i="1"/>
  <c r="M949" i="1"/>
  <c r="M943" i="1"/>
  <c r="M938" i="1"/>
  <c r="M933" i="1"/>
  <c r="M928" i="1"/>
  <c r="M923" i="1"/>
  <c r="M918" i="1"/>
  <c r="M913" i="1"/>
  <c r="M908" i="1"/>
  <c r="M903" i="1"/>
  <c r="M898" i="1"/>
  <c r="M893" i="1"/>
  <c r="M888" i="1"/>
  <c r="M883" i="1"/>
  <c r="M878" i="1"/>
  <c r="M873" i="1"/>
  <c r="M868" i="1"/>
  <c r="M863" i="1"/>
  <c r="M858" i="1"/>
  <c r="M853" i="1"/>
  <c r="M848" i="1"/>
  <c r="M843" i="1"/>
  <c r="M838" i="1"/>
  <c r="M833" i="1"/>
  <c r="M828" i="1"/>
  <c r="M823" i="1"/>
  <c r="M818" i="1"/>
  <c r="M813" i="1"/>
  <c r="M808" i="1"/>
  <c r="M803" i="1"/>
  <c r="M798" i="1"/>
  <c r="M793" i="1"/>
  <c r="M788" i="1"/>
  <c r="M783" i="1"/>
  <c r="M778" i="1"/>
  <c r="M773" i="1"/>
  <c r="M768" i="1"/>
  <c r="M763" i="1"/>
  <c r="M758" i="1"/>
  <c r="M753" i="1"/>
  <c r="M748" i="1"/>
  <c r="M743" i="1"/>
  <c r="M738" i="1"/>
  <c r="M733" i="1"/>
  <c r="M728" i="1"/>
  <c r="M723" i="1"/>
  <c r="M718" i="1"/>
  <c r="M713" i="1"/>
  <c r="M708" i="1"/>
  <c r="M703" i="1"/>
  <c r="M698" i="1"/>
  <c r="M693" i="1"/>
  <c r="M688" i="1"/>
  <c r="M683" i="1"/>
  <c r="M678" i="1"/>
  <c r="M673" i="1"/>
  <c r="M668" i="1"/>
  <c r="M663" i="1"/>
  <c r="M658" i="1"/>
  <c r="M653" i="1"/>
  <c r="M648" i="1"/>
  <c r="M643" i="1"/>
  <c r="M638" i="1"/>
  <c r="M633" i="1"/>
  <c r="M628" i="1"/>
  <c r="M623" i="1"/>
  <c r="M618" i="1"/>
  <c r="M613" i="1"/>
  <c r="M608" i="1"/>
  <c r="M603" i="1"/>
  <c r="M598" i="1"/>
  <c r="M593" i="1"/>
  <c r="M588" i="1"/>
  <c r="M1049" i="1"/>
  <c r="M1035" i="1"/>
  <c r="M1023" i="1"/>
  <c r="M1017" i="1"/>
  <c r="M1010" i="1"/>
  <c r="M996" i="1"/>
  <c r="M985" i="1"/>
  <c r="M980" i="1"/>
  <c r="M959" i="1"/>
  <c r="M954" i="1"/>
  <c r="M948" i="1"/>
  <c r="M1046" i="1"/>
  <c r="M1034" i="1"/>
  <c r="M1022" i="1"/>
  <c r="M1016" i="1"/>
  <c r="M1009" i="1"/>
  <c r="M1002" i="1"/>
  <c r="M990" i="1"/>
  <c r="M974" i="1"/>
  <c r="M969" i="1"/>
  <c r="M964" i="1"/>
  <c r="M953" i="1"/>
  <c r="M942" i="1"/>
  <c r="M937" i="1"/>
  <c r="M932" i="1"/>
  <c r="M927" i="1"/>
  <c r="M922" i="1"/>
  <c r="M917" i="1"/>
  <c r="M912" i="1"/>
  <c r="M907" i="1"/>
  <c r="M902" i="1"/>
  <c r="M897" i="1"/>
  <c r="M892" i="1"/>
  <c r="M887" i="1"/>
  <c r="M882" i="1"/>
  <c r="M877" i="1"/>
  <c r="M872" i="1"/>
  <c r="M867" i="1"/>
  <c r="M862" i="1"/>
  <c r="M857" i="1"/>
  <c r="M852" i="1"/>
  <c r="M847" i="1"/>
  <c r="M842" i="1"/>
  <c r="M837" i="1"/>
  <c r="M832" i="1"/>
  <c r="M827" i="1"/>
  <c r="M822" i="1"/>
  <c r="M817" i="1"/>
  <c r="M812" i="1"/>
  <c r="M807" i="1"/>
  <c r="M802" i="1"/>
  <c r="M797" i="1"/>
  <c r="M792" i="1"/>
  <c r="M787" i="1"/>
  <c r="M782" i="1"/>
  <c r="M777" i="1"/>
  <c r="M772" i="1"/>
  <c r="M767" i="1"/>
  <c r="M762" i="1"/>
  <c r="M757" i="1"/>
  <c r="M752" i="1"/>
  <c r="M747" i="1"/>
  <c r="M742" i="1"/>
  <c r="M737" i="1"/>
  <c r="M732" i="1"/>
  <c r="M727" i="1"/>
  <c r="M722" i="1"/>
  <c r="M717" i="1"/>
  <c r="M712" i="1"/>
  <c r="M707" i="1"/>
  <c r="M702" i="1"/>
  <c r="M697" i="1"/>
  <c r="M692" i="1"/>
  <c r="M687" i="1"/>
  <c r="M682" i="1"/>
  <c r="M677" i="1"/>
  <c r="M672" i="1"/>
  <c r="M667" i="1"/>
  <c r="M662" i="1"/>
  <c r="M657" i="1"/>
  <c r="M652" i="1"/>
  <c r="M647" i="1"/>
  <c r="M642" i="1"/>
  <c r="M637" i="1"/>
  <c r="M632" i="1"/>
  <c r="M627" i="1"/>
  <c r="M622" i="1"/>
  <c r="M617" i="1"/>
  <c r="M612" i="1"/>
  <c r="M607" i="1"/>
  <c r="M602" i="1"/>
  <c r="M597" i="1"/>
  <c r="M592" i="1"/>
  <c r="M590" i="1"/>
  <c r="M578" i="1"/>
  <c r="M568" i="1"/>
  <c r="M560" i="1"/>
  <c r="M550" i="1"/>
  <c r="M542" i="1"/>
  <c r="M523" i="1"/>
  <c r="M512" i="1"/>
  <c r="M271" i="1"/>
  <c r="M261" i="1"/>
  <c r="M236" i="1"/>
  <c r="M226" i="1"/>
  <c r="M216" i="1"/>
  <c r="M206" i="1"/>
  <c r="M215" i="1"/>
  <c r="M214" i="1"/>
  <c r="M589" i="1"/>
  <c r="M577" i="1"/>
  <c r="M567" i="1"/>
  <c r="M559" i="1"/>
  <c r="M549" i="1"/>
  <c r="M541" i="1"/>
  <c r="M535" i="1"/>
  <c r="M529" i="1"/>
  <c r="M517" i="1"/>
  <c r="M511" i="1"/>
  <c r="M506" i="1"/>
  <c r="M501" i="1"/>
  <c r="M496" i="1"/>
  <c r="M491" i="1"/>
  <c r="M486" i="1"/>
  <c r="M481" i="1"/>
  <c r="M476" i="1"/>
  <c r="M471" i="1"/>
  <c r="M466" i="1"/>
  <c r="M461" i="1"/>
  <c r="M456" i="1"/>
  <c r="M451" i="1"/>
  <c r="M446" i="1"/>
  <c r="M441" i="1"/>
  <c r="M436" i="1"/>
  <c r="M431" i="1"/>
  <c r="M426" i="1"/>
  <c r="M421" i="1"/>
  <c r="M416" i="1"/>
  <c r="M411" i="1"/>
  <c r="M406" i="1"/>
  <c r="M401" i="1"/>
  <c r="M396" i="1"/>
  <c r="M391" i="1"/>
  <c r="M386" i="1"/>
  <c r="M381" i="1"/>
  <c r="M376" i="1"/>
  <c r="M371" i="1"/>
  <c r="M366" i="1"/>
  <c r="M361" i="1"/>
  <c r="M356" i="1"/>
  <c r="M351" i="1"/>
  <c r="M346" i="1"/>
  <c r="M341" i="1"/>
  <c r="M336" i="1"/>
  <c r="M331" i="1"/>
  <c r="M326" i="1"/>
  <c r="M321" i="1"/>
  <c r="M316" i="1"/>
  <c r="M311" i="1"/>
  <c r="M306" i="1"/>
  <c r="M301" i="1"/>
  <c r="M296" i="1"/>
  <c r="M291" i="1"/>
  <c r="M286" i="1"/>
  <c r="M281" i="1"/>
  <c r="M276" i="1"/>
  <c r="M266" i="1"/>
  <c r="M241" i="1"/>
  <c r="M231" i="1"/>
  <c r="M221" i="1"/>
  <c r="M211" i="1"/>
  <c r="M220" i="1"/>
  <c r="M587" i="1"/>
  <c r="M576" i="1"/>
  <c r="M566" i="1"/>
  <c r="M558" i="1"/>
  <c r="M548" i="1"/>
  <c r="M528" i="1"/>
  <c r="M522" i="1"/>
  <c r="M516" i="1"/>
  <c r="M230" i="1"/>
  <c r="M210" i="1"/>
  <c r="M209" i="1"/>
  <c r="M585" i="1"/>
  <c r="M575" i="1"/>
  <c r="M565" i="1"/>
  <c r="M557" i="1"/>
  <c r="M547" i="1"/>
  <c r="M540" i="1"/>
  <c r="M534" i="1"/>
  <c r="M521" i="1"/>
  <c r="M510" i="1"/>
  <c r="M505" i="1"/>
  <c r="M500" i="1"/>
  <c r="M495" i="1"/>
  <c r="M490" i="1"/>
  <c r="M485" i="1"/>
  <c r="M480" i="1"/>
  <c r="M475" i="1"/>
  <c r="M470" i="1"/>
  <c r="M465" i="1"/>
  <c r="M460" i="1"/>
  <c r="M455" i="1"/>
  <c r="M450" i="1"/>
  <c r="M445" i="1"/>
  <c r="M440" i="1"/>
  <c r="M435" i="1"/>
  <c r="M430" i="1"/>
  <c r="M425" i="1"/>
  <c r="M420" i="1"/>
  <c r="M415" i="1"/>
  <c r="M410" i="1"/>
  <c r="M405" i="1"/>
  <c r="M400" i="1"/>
  <c r="M395" i="1"/>
  <c r="M390" i="1"/>
  <c r="M385" i="1"/>
  <c r="M380" i="1"/>
  <c r="M375" i="1"/>
  <c r="M370" i="1"/>
  <c r="M365" i="1"/>
  <c r="M360" i="1"/>
  <c r="M355" i="1"/>
  <c r="M350" i="1"/>
  <c r="M345" i="1"/>
  <c r="M340" i="1"/>
  <c r="M335" i="1"/>
  <c r="M330" i="1"/>
  <c r="M325" i="1"/>
  <c r="M320" i="1"/>
  <c r="M315" i="1"/>
  <c r="M310" i="1"/>
  <c r="M305" i="1"/>
  <c r="M300" i="1"/>
  <c r="M295" i="1"/>
  <c r="M290" i="1"/>
  <c r="M285" i="1"/>
  <c r="M280" i="1"/>
  <c r="M275" i="1"/>
  <c r="M270" i="1"/>
  <c r="M265" i="1"/>
  <c r="M260" i="1"/>
  <c r="M240" i="1"/>
  <c r="M235" i="1"/>
  <c r="M225" i="1"/>
  <c r="M205" i="1"/>
  <c r="M584" i="1"/>
  <c r="M574" i="1"/>
  <c r="M564" i="1"/>
  <c r="M556" i="1"/>
  <c r="M546" i="1"/>
  <c r="M533" i="1"/>
  <c r="M527" i="1"/>
  <c r="M515" i="1"/>
  <c r="M224" i="1"/>
  <c r="M583" i="1"/>
  <c r="M573" i="1"/>
  <c r="M563" i="1"/>
  <c r="M555" i="1"/>
  <c r="M539" i="1"/>
  <c r="M526" i="1"/>
  <c r="M520" i="1"/>
  <c r="M509" i="1"/>
  <c r="M504" i="1"/>
  <c r="M499" i="1"/>
  <c r="M494" i="1"/>
  <c r="M489" i="1"/>
  <c r="M484" i="1"/>
  <c r="M479" i="1"/>
  <c r="M474" i="1"/>
  <c r="M469" i="1"/>
  <c r="M464" i="1"/>
  <c r="M459" i="1"/>
  <c r="M454" i="1"/>
  <c r="M449" i="1"/>
  <c r="M444" i="1"/>
  <c r="M439" i="1"/>
  <c r="M434" i="1"/>
  <c r="M429" i="1"/>
  <c r="M424" i="1"/>
  <c r="M419" i="1"/>
  <c r="M414" i="1"/>
  <c r="M409" i="1"/>
  <c r="M404" i="1"/>
  <c r="M399" i="1"/>
  <c r="M394" i="1"/>
  <c r="M389" i="1"/>
  <c r="M384" i="1"/>
  <c r="M379" i="1"/>
  <c r="M374" i="1"/>
  <c r="M369" i="1"/>
  <c r="M364" i="1"/>
  <c r="M359" i="1"/>
  <c r="M354" i="1"/>
  <c r="M349" i="1"/>
  <c r="M344" i="1"/>
  <c r="M339" i="1"/>
  <c r="M334" i="1"/>
  <c r="M329" i="1"/>
  <c r="M324" i="1"/>
  <c r="M319" i="1"/>
  <c r="M314" i="1"/>
  <c r="M309" i="1"/>
  <c r="M304" i="1"/>
  <c r="M299" i="1"/>
  <c r="M294" i="1"/>
  <c r="M289" i="1"/>
  <c r="M284" i="1"/>
  <c r="M279" i="1"/>
  <c r="M274" i="1"/>
  <c r="M269" i="1"/>
  <c r="M264" i="1"/>
  <c r="M244" i="1"/>
  <c r="M239" i="1"/>
  <c r="M234" i="1"/>
  <c r="M229" i="1"/>
  <c r="M219" i="1"/>
  <c r="M582" i="1"/>
  <c r="M572" i="1"/>
  <c r="M562" i="1"/>
  <c r="M554" i="1"/>
  <c r="M545" i="1"/>
  <c r="M538" i="1"/>
  <c r="M532" i="1"/>
  <c r="M514" i="1"/>
  <c r="M581" i="1"/>
  <c r="M571" i="1"/>
  <c r="M553" i="1"/>
  <c r="M531" i="1"/>
  <c r="M525" i="1"/>
  <c r="M519" i="1"/>
  <c r="M508" i="1"/>
  <c r="M503" i="1"/>
  <c r="M498" i="1"/>
  <c r="M493" i="1"/>
  <c r="M488" i="1"/>
  <c r="M483" i="1"/>
  <c r="M478" i="1"/>
  <c r="M473" i="1"/>
  <c r="M468" i="1"/>
  <c r="M463" i="1"/>
  <c r="M458" i="1"/>
  <c r="M453" i="1"/>
  <c r="M448" i="1"/>
  <c r="M443" i="1"/>
  <c r="M438" i="1"/>
  <c r="M433" i="1"/>
  <c r="M428" i="1"/>
  <c r="M423" i="1"/>
  <c r="M418" i="1"/>
  <c r="M413" i="1"/>
  <c r="M408" i="1"/>
  <c r="M398" i="1"/>
  <c r="M393" i="1"/>
  <c r="M388" i="1"/>
  <c r="M383" i="1"/>
  <c r="M378" i="1"/>
  <c r="M373" i="1"/>
  <c r="M368" i="1"/>
  <c r="M363" i="1"/>
  <c r="M358" i="1"/>
  <c r="M353" i="1"/>
  <c r="M348" i="1"/>
  <c r="M343" i="1"/>
  <c r="M338" i="1"/>
  <c r="M333" i="1"/>
  <c r="M328" i="1"/>
  <c r="M323" i="1"/>
  <c r="M318" i="1"/>
  <c r="M313" i="1"/>
  <c r="M308" i="1"/>
  <c r="M303" i="1"/>
  <c r="M298" i="1"/>
  <c r="M293" i="1"/>
  <c r="M288" i="1"/>
  <c r="M283" i="1"/>
  <c r="M278" i="1"/>
  <c r="M273" i="1"/>
  <c r="M268" i="1"/>
  <c r="M263" i="1"/>
  <c r="M243" i="1"/>
  <c r="M238" i="1"/>
  <c r="M233" i="1"/>
  <c r="M228" i="1"/>
  <c r="M223" i="1"/>
  <c r="M218" i="1"/>
  <c r="M213" i="1"/>
  <c r="M208" i="1"/>
  <c r="M580" i="1"/>
  <c r="M570" i="1"/>
  <c r="M561" i="1"/>
  <c r="M552" i="1"/>
  <c r="M544" i="1"/>
  <c r="M537" i="1"/>
  <c r="M513" i="1"/>
  <c r="M227" i="1"/>
  <c r="M217" i="1"/>
  <c r="M207" i="1"/>
  <c r="M594" i="1"/>
  <c r="M579" i="1"/>
  <c r="M569" i="1"/>
  <c r="M551" i="1"/>
  <c r="M543" i="1"/>
  <c r="M536" i="1"/>
  <c r="M530" i="1"/>
  <c r="M524" i="1"/>
  <c r="M518" i="1"/>
  <c r="M507" i="1"/>
  <c r="M502" i="1"/>
  <c r="M497" i="1"/>
  <c r="M492" i="1"/>
  <c r="M487" i="1"/>
  <c r="M482" i="1"/>
  <c r="M477" i="1"/>
  <c r="M472" i="1"/>
  <c r="M467" i="1"/>
  <c r="M462" i="1"/>
  <c r="M457" i="1"/>
  <c r="M452" i="1"/>
  <c r="M447" i="1"/>
  <c r="M442" i="1"/>
  <c r="M437" i="1"/>
  <c r="M432" i="1"/>
  <c r="M427" i="1"/>
  <c r="M422" i="1"/>
  <c r="M417" i="1"/>
  <c r="M412" i="1"/>
  <c r="M407" i="1"/>
  <c r="M402" i="1"/>
  <c r="M397" i="1"/>
  <c r="M392" i="1"/>
  <c r="M387" i="1"/>
  <c r="M382" i="1"/>
  <c r="M377" i="1"/>
  <c r="M372" i="1"/>
  <c r="M367" i="1"/>
  <c r="M362" i="1"/>
  <c r="M357" i="1"/>
  <c r="M352" i="1"/>
  <c r="M347" i="1"/>
  <c r="M342" i="1"/>
  <c r="M337" i="1"/>
  <c r="M332" i="1"/>
  <c r="M327" i="1"/>
  <c r="M322" i="1"/>
  <c r="M317" i="1"/>
  <c r="M312" i="1"/>
  <c r="M307" i="1"/>
  <c r="M302" i="1"/>
  <c r="M297" i="1"/>
  <c r="M292" i="1"/>
  <c r="M287" i="1"/>
  <c r="M282" i="1"/>
  <c r="M277" i="1"/>
  <c r="M272" i="1"/>
  <c r="M267" i="1"/>
  <c r="M262" i="1"/>
  <c r="M242" i="1"/>
  <c r="M237" i="1"/>
  <c r="M232" i="1"/>
  <c r="M222" i="1"/>
  <c r="M212" i="1"/>
  <c r="M249" i="1"/>
  <c r="M259" i="1"/>
  <c r="M253" i="1"/>
  <c r="M250" i="1"/>
  <c r="M248" i="1"/>
  <c r="M255" i="1"/>
  <c r="M247" i="1"/>
  <c r="M245" i="1"/>
  <c r="M252" i="1"/>
  <c r="M254" i="1"/>
  <c r="M177" i="1" l="1"/>
  <c r="K179" i="1"/>
  <c r="M178" i="1"/>
  <c r="K180" i="1" l="1"/>
  <c r="M179" i="1"/>
  <c r="K181" i="1" l="1"/>
  <c r="M180" i="1"/>
  <c r="K182" i="1" l="1"/>
  <c r="M181" i="1"/>
  <c r="K183" i="1" l="1"/>
  <c r="M182" i="1"/>
  <c r="K184" i="1" l="1"/>
  <c r="M183" i="1"/>
  <c r="M184" i="1" l="1"/>
  <c r="K185" i="1"/>
  <c r="K186" i="1" l="1"/>
  <c r="K187" i="1" s="1"/>
  <c r="K188" i="1" s="1"/>
  <c r="M188" i="1" l="1"/>
  <c r="M186" i="1"/>
  <c r="G186" i="1" s="1"/>
  <c r="G90" i="1"/>
  <c r="I2220" i="1"/>
  <c r="G2220" i="1"/>
  <c r="E2220" i="1"/>
  <c r="G32" i="1"/>
  <c r="G31" i="1"/>
  <c r="I32" i="1"/>
  <c r="I31" i="1"/>
  <c r="E32" i="1" l="1"/>
  <c r="E31" i="1" l="1"/>
  <c r="V106" i="1" l="1"/>
  <c r="B106" i="1" s="1"/>
  <c r="V107" i="1"/>
  <c r="B107" i="1" s="1"/>
  <c r="V108" i="1"/>
  <c r="B108" i="1" s="1"/>
  <c r="V109" i="1"/>
  <c r="B109" i="1" s="1"/>
  <c r="V110" i="1"/>
  <c r="B110" i="1" s="1"/>
  <c r="V111" i="1"/>
  <c r="B111" i="1" s="1"/>
  <c r="V112" i="1"/>
  <c r="B112" i="1" s="1"/>
  <c r="V113" i="1"/>
  <c r="B113" i="1" s="1"/>
  <c r="V114" i="1"/>
  <c r="B114" i="1" s="1"/>
  <c r="V115" i="1"/>
  <c r="B115" i="1" s="1"/>
  <c r="V116" i="1"/>
  <c r="B116" i="1" s="1"/>
  <c r="V117" i="1"/>
  <c r="B117" i="1" s="1"/>
  <c r="V105" i="1"/>
  <c r="B105" i="1" s="1"/>
  <c r="O117" i="1" l="1"/>
  <c r="P117" i="1" s="1"/>
  <c r="O116" i="1"/>
  <c r="P116" i="1" s="1"/>
  <c r="O115" i="1"/>
  <c r="P115" i="1" s="1"/>
  <c r="O114" i="1"/>
  <c r="P114" i="1" s="1"/>
  <c r="O113" i="1"/>
  <c r="P113" i="1" s="1"/>
  <c r="O112" i="1"/>
  <c r="P112" i="1" s="1"/>
  <c r="O111" i="1"/>
  <c r="P111" i="1" s="1"/>
  <c r="O110" i="1"/>
  <c r="P110" i="1" s="1"/>
  <c r="O109" i="1"/>
  <c r="P109" i="1" s="1"/>
  <c r="O108" i="1"/>
  <c r="P108" i="1" s="1"/>
  <c r="O107" i="1"/>
  <c r="P107" i="1" s="1"/>
  <c r="O106" i="1"/>
  <c r="P106" i="1" s="1"/>
  <c r="O105" i="1"/>
  <c r="P105" i="1" s="1"/>
  <c r="M85" i="1"/>
  <c r="O85" i="1"/>
  <c r="O84" i="1"/>
  <c r="M73" i="1"/>
  <c r="M72" i="1"/>
  <c r="M71" i="1"/>
  <c r="K67" i="1"/>
  <c r="M67" i="1" s="1"/>
  <c r="G39" i="1"/>
  <c r="K74" i="1"/>
  <c r="M74" i="1" s="1"/>
  <c r="P85" i="1" l="1"/>
  <c r="G33" i="1"/>
  <c r="G92" i="1"/>
  <c r="G25" i="1"/>
  <c r="G24" i="1"/>
  <c r="G23" i="1"/>
  <c r="G41" i="1"/>
  <c r="I41" i="1"/>
  <c r="E41" i="1"/>
  <c r="G16" i="1"/>
  <c r="I16" i="1"/>
  <c r="E16" i="1"/>
  <c r="I25" i="1" l="1"/>
  <c r="I24" i="1"/>
  <c r="I23" i="1"/>
  <c r="E25" i="1"/>
  <c r="E24" i="1"/>
  <c r="E23" i="1"/>
  <c r="G187" i="1"/>
  <c r="F105" i="1"/>
  <c r="M105" i="1" s="1"/>
  <c r="F106" i="1"/>
  <c r="G106" i="1" s="1"/>
  <c r="F107" i="1"/>
  <c r="M107" i="1" s="1"/>
  <c r="F108" i="1"/>
  <c r="M108" i="1" s="1"/>
  <c r="F109" i="1"/>
  <c r="M109" i="1" s="1"/>
  <c r="F110" i="1"/>
  <c r="M110" i="1" s="1"/>
  <c r="F111" i="1"/>
  <c r="G111" i="1" s="1"/>
  <c r="F112" i="1"/>
  <c r="M112" i="1" s="1"/>
  <c r="F113" i="1"/>
  <c r="M113" i="1" s="1"/>
  <c r="F114" i="1"/>
  <c r="M114" i="1" s="1"/>
  <c r="F115" i="1"/>
  <c r="M115" i="1" s="1"/>
  <c r="F116" i="1"/>
  <c r="M116" i="1" s="1"/>
  <c r="F117" i="1"/>
  <c r="M117" i="1" s="1"/>
  <c r="M187" i="1"/>
  <c r="G68" i="1"/>
  <c r="K69" i="1" s="1"/>
  <c r="M69" i="1" s="1"/>
  <c r="G69" i="1"/>
  <c r="G2647" i="1"/>
  <c r="G74" i="1"/>
  <c r="G75" i="1"/>
  <c r="G7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K68" i="1" s="1"/>
  <c r="M68" i="1" s="1"/>
  <c r="N67" i="1" s="1"/>
  <c r="P68" i="1" s="1"/>
  <c r="G46" i="1"/>
  <c r="G45" i="1"/>
  <c r="G44" i="1"/>
  <c r="G43" i="1"/>
  <c r="G42" i="1"/>
  <c r="G40" i="1"/>
  <c r="G38" i="1"/>
  <c r="G37" i="1"/>
  <c r="G30" i="1"/>
  <c r="G29" i="1"/>
  <c r="G28" i="1"/>
  <c r="G27" i="1"/>
  <c r="G26" i="1"/>
  <c r="G22" i="1"/>
  <c r="G21" i="1"/>
  <c r="G20" i="1"/>
  <c r="G19" i="1"/>
  <c r="G18" i="1"/>
  <c r="G17" i="1"/>
  <c r="G15" i="1"/>
  <c r="K15" i="1" s="1"/>
  <c r="G14" i="1"/>
  <c r="K14" i="1" s="1"/>
  <c r="G13" i="1"/>
  <c r="K13" i="1" s="1"/>
  <c r="G12" i="1"/>
  <c r="K12" i="1" s="1"/>
  <c r="G11" i="1"/>
  <c r="K11" i="1" s="1"/>
  <c r="G10" i="1"/>
  <c r="K10" i="1" s="1"/>
  <c r="G9" i="1"/>
  <c r="K9" i="1" s="1"/>
  <c r="G8" i="1"/>
  <c r="K8" i="1" s="1"/>
  <c r="G7" i="1"/>
  <c r="K7" i="1" s="1"/>
  <c r="G6" i="1"/>
  <c r="K6" i="1" s="1"/>
  <c r="G5" i="1"/>
  <c r="G4" i="1"/>
  <c r="G3" i="1"/>
  <c r="G2" i="1"/>
  <c r="O2" i="1"/>
  <c r="N208" i="1"/>
  <c r="N2" i="1"/>
  <c r="G70" i="1" l="1"/>
  <c r="K70" i="1"/>
  <c r="M70" i="1" s="1"/>
  <c r="N69" i="1" s="1"/>
  <c r="P70" i="1" s="1"/>
  <c r="N68" i="1"/>
  <c r="P69" i="1" s="1"/>
  <c r="K115" i="1"/>
  <c r="G108" i="1"/>
  <c r="K112" i="1"/>
  <c r="G107" i="1"/>
  <c r="G112" i="1"/>
  <c r="M111" i="1"/>
  <c r="K111" i="1" s="1"/>
  <c r="G117" i="1"/>
  <c r="G113" i="1"/>
  <c r="M106" i="1"/>
  <c r="K106" i="1" s="1"/>
  <c r="G114" i="1"/>
  <c r="K113" i="1"/>
  <c r="G115" i="1"/>
  <c r="G116" i="1"/>
  <c r="K116" i="1"/>
  <c r="K114" i="1"/>
  <c r="K107" i="1"/>
  <c r="G105" i="1"/>
  <c r="K110" i="1"/>
  <c r="K109" i="1"/>
  <c r="G109" i="1"/>
  <c r="K108" i="1"/>
  <c r="G110" i="1"/>
  <c r="K117" i="1"/>
  <c r="K105" i="1"/>
  <c r="G71" i="1" l="1"/>
  <c r="G72" i="1" s="1"/>
  <c r="G73" i="1" s="1"/>
  <c r="K71" i="1"/>
  <c r="N70" i="1" s="1"/>
  <c r="P71" i="1" s="1"/>
  <c r="I104" i="1"/>
  <c r="G104" i="1"/>
  <c r="E104" i="1"/>
  <c r="I149" i="1"/>
  <c r="G149" i="1"/>
  <c r="E149" i="1"/>
  <c r="I148" i="1"/>
  <c r="E148" i="1"/>
  <c r="I147" i="1"/>
  <c r="G147" i="1"/>
  <c r="E147" i="1"/>
  <c r="I146" i="1"/>
  <c r="G146" i="1"/>
  <c r="E146" i="1"/>
  <c r="I145" i="1"/>
  <c r="G145" i="1"/>
  <c r="E145" i="1"/>
  <c r="I144" i="1"/>
  <c r="G144" i="1"/>
  <c r="E144" i="1"/>
  <c r="G143" i="1"/>
  <c r="E143" i="1"/>
  <c r="I142" i="1"/>
  <c r="G142" i="1"/>
  <c r="E142" i="1"/>
  <c r="I141" i="1"/>
  <c r="G141" i="1"/>
  <c r="E141" i="1"/>
  <c r="I140" i="1"/>
  <c r="G140" i="1"/>
  <c r="E140" i="1"/>
  <c r="I139" i="1"/>
  <c r="G139" i="1"/>
  <c r="E139" i="1"/>
  <c r="I138" i="1"/>
  <c r="G138" i="1"/>
  <c r="E138" i="1"/>
  <c r="I137" i="1"/>
  <c r="G137" i="1"/>
  <c r="E137" i="1"/>
  <c r="I136" i="1"/>
  <c r="G136" i="1"/>
  <c r="E136" i="1"/>
  <c r="I135" i="1"/>
  <c r="G135" i="1"/>
  <c r="E135" i="1"/>
  <c r="I134" i="1"/>
  <c r="G134" i="1"/>
  <c r="E134" i="1"/>
  <c r="I133" i="1"/>
  <c r="G133" i="1"/>
  <c r="E133" i="1"/>
  <c r="I132" i="1"/>
  <c r="G132" i="1"/>
  <c r="E132" i="1"/>
  <c r="I131" i="1"/>
  <c r="G131" i="1"/>
  <c r="E131" i="1"/>
  <c r="I130" i="1"/>
  <c r="G130" i="1"/>
  <c r="E130" i="1"/>
  <c r="I129" i="1"/>
  <c r="G129" i="1"/>
  <c r="E129" i="1"/>
  <c r="I128" i="1"/>
  <c r="G128" i="1"/>
  <c r="E128" i="1"/>
  <c r="I127" i="1"/>
  <c r="G127" i="1"/>
  <c r="E127" i="1"/>
  <c r="I126" i="1"/>
  <c r="G126" i="1"/>
  <c r="E126" i="1"/>
  <c r="I125" i="1"/>
  <c r="G125" i="1"/>
  <c r="E125" i="1"/>
  <c r="I124" i="1"/>
  <c r="G124" i="1"/>
  <c r="E124" i="1"/>
  <c r="I123" i="1"/>
  <c r="G123" i="1"/>
  <c r="E123" i="1"/>
  <c r="I122" i="1"/>
  <c r="G122" i="1"/>
  <c r="E122" i="1"/>
  <c r="I121" i="1"/>
  <c r="G121" i="1"/>
  <c r="E121" i="1"/>
  <c r="I120" i="1"/>
  <c r="G120" i="1"/>
  <c r="E120" i="1"/>
  <c r="I119" i="1"/>
  <c r="G119" i="1"/>
  <c r="E119" i="1"/>
  <c r="I118" i="1"/>
  <c r="G118" i="1"/>
  <c r="E118" i="1"/>
  <c r="I198" i="1"/>
  <c r="G198" i="1"/>
  <c r="E198" i="1"/>
  <c r="I197" i="1"/>
  <c r="G197" i="1"/>
  <c r="E197" i="1"/>
  <c r="I196" i="1"/>
  <c r="G196" i="1"/>
  <c r="E196" i="1"/>
  <c r="I195" i="1"/>
  <c r="G195" i="1"/>
  <c r="E195" i="1"/>
  <c r="I194" i="1"/>
  <c r="G194" i="1"/>
  <c r="E194" i="1"/>
  <c r="I193" i="1"/>
  <c r="G193" i="1"/>
  <c r="E193" i="1"/>
  <c r="I188" i="1"/>
  <c r="G188" i="1"/>
  <c r="E188" i="1"/>
  <c r="I187" i="1"/>
  <c r="E187" i="1"/>
  <c r="I186" i="1"/>
  <c r="E186" i="1"/>
  <c r="I185" i="1"/>
  <c r="G185" i="1"/>
  <c r="E185" i="1"/>
  <c r="G155" i="1"/>
  <c r="K156" i="1" s="1"/>
  <c r="E155" i="1"/>
  <c r="G154" i="1"/>
  <c r="K155" i="1" s="1"/>
  <c r="E154" i="1"/>
  <c r="G153" i="1"/>
  <c r="K154" i="1" s="1"/>
  <c r="E153" i="1"/>
  <c r="G152" i="1"/>
  <c r="K153" i="1" s="1"/>
  <c r="E152" i="1"/>
  <c r="I103" i="1"/>
  <c r="G103" i="1"/>
  <c r="E103" i="1"/>
  <c r="I102" i="1"/>
  <c r="G102" i="1"/>
  <c r="E102" i="1"/>
  <c r="I101" i="1"/>
  <c r="E101" i="1"/>
  <c r="I100" i="1"/>
  <c r="E100" i="1"/>
  <c r="I99" i="1"/>
  <c r="E99" i="1"/>
  <c r="I98" i="1"/>
  <c r="E98" i="1"/>
  <c r="I97" i="1"/>
  <c r="E97" i="1"/>
  <c r="I96" i="1"/>
  <c r="E96" i="1"/>
  <c r="I95" i="1"/>
  <c r="E95" i="1"/>
  <c r="I94" i="1"/>
  <c r="E94" i="1"/>
  <c r="I93" i="1"/>
  <c r="G93" i="1"/>
  <c r="G94" i="1" s="1"/>
  <c r="G95" i="1" s="1"/>
  <c r="G96" i="1" s="1"/>
  <c r="G97" i="1" s="1"/>
  <c r="G98" i="1" s="1"/>
  <c r="G99" i="1" s="1"/>
  <c r="G100" i="1" s="1"/>
  <c r="G101" i="1" s="1"/>
  <c r="E93" i="1"/>
  <c r="I35" i="1"/>
  <c r="G35" i="1"/>
  <c r="E35" i="1"/>
  <c r="I34" i="1"/>
  <c r="G34" i="1"/>
  <c r="E34" i="1"/>
  <c r="I33" i="1"/>
  <c r="E33" i="1"/>
  <c r="I92" i="1"/>
  <c r="E92" i="1"/>
  <c r="I91" i="1"/>
  <c r="G91" i="1"/>
  <c r="E91" i="1"/>
  <c r="I90" i="1"/>
  <c r="E90" i="1"/>
  <c r="I89" i="1"/>
  <c r="G89" i="1"/>
  <c r="E89" i="1"/>
  <c r="I88" i="1"/>
  <c r="G88" i="1"/>
  <c r="E88" i="1"/>
  <c r="I87" i="1"/>
  <c r="G87" i="1"/>
  <c r="E87" i="1"/>
  <c r="I86" i="1"/>
  <c r="G86" i="1"/>
  <c r="E86" i="1"/>
  <c r="I85" i="1"/>
  <c r="G85" i="1"/>
  <c r="E85" i="1"/>
  <c r="I84" i="1"/>
  <c r="G84" i="1"/>
  <c r="E84" i="1"/>
  <c r="I83" i="1"/>
  <c r="G83" i="1"/>
  <c r="E83" i="1"/>
  <c r="I82" i="1"/>
  <c r="G82" i="1"/>
  <c r="E82" i="1"/>
  <c r="I81" i="1"/>
  <c r="G81" i="1"/>
  <c r="E81" i="1"/>
  <c r="I80" i="1"/>
  <c r="G80" i="1"/>
  <c r="E80" i="1"/>
  <c r="I79" i="1"/>
  <c r="G79" i="1"/>
  <c r="E79" i="1"/>
  <c r="I78" i="1"/>
  <c r="G78" i="1"/>
  <c r="E78" i="1"/>
  <c r="I77" i="1"/>
  <c r="G77" i="1"/>
  <c r="E77" i="1"/>
  <c r="I76" i="1"/>
  <c r="E76" i="1"/>
  <c r="I75" i="1"/>
  <c r="E75" i="1"/>
  <c r="I74" i="1"/>
  <c r="E74" i="1"/>
  <c r="I2647" i="1"/>
  <c r="E2647" i="1"/>
  <c r="I73" i="1"/>
  <c r="E73" i="1"/>
  <c r="I72" i="1"/>
  <c r="E72" i="1"/>
  <c r="I71" i="1"/>
  <c r="E71" i="1"/>
  <c r="I70" i="1"/>
  <c r="E70" i="1"/>
  <c r="I69" i="1"/>
  <c r="E69" i="1"/>
  <c r="I68" i="1"/>
  <c r="E68" i="1"/>
  <c r="I67" i="1"/>
  <c r="E67" i="1"/>
  <c r="I66" i="1"/>
  <c r="E66" i="1"/>
  <c r="I65" i="1"/>
  <c r="E65" i="1"/>
  <c r="I64" i="1"/>
  <c r="E64" i="1"/>
  <c r="I63" i="1"/>
  <c r="E63" i="1"/>
  <c r="I62" i="1"/>
  <c r="E62" i="1"/>
  <c r="I61" i="1"/>
  <c r="E61" i="1"/>
  <c r="I60" i="1"/>
  <c r="E60" i="1"/>
  <c r="I59" i="1"/>
  <c r="E59" i="1"/>
  <c r="I58" i="1"/>
  <c r="E58" i="1"/>
  <c r="I57" i="1"/>
  <c r="E57" i="1"/>
  <c r="I56" i="1"/>
  <c r="E56" i="1"/>
  <c r="I55" i="1"/>
  <c r="E55" i="1"/>
  <c r="I54" i="1"/>
  <c r="E54" i="1"/>
  <c r="I53" i="1"/>
  <c r="E53" i="1"/>
  <c r="I52" i="1"/>
  <c r="E52" i="1"/>
  <c r="I51" i="1"/>
  <c r="E51" i="1"/>
  <c r="I50" i="1"/>
  <c r="E50" i="1"/>
  <c r="I49" i="1"/>
  <c r="E49" i="1"/>
  <c r="I48" i="1"/>
  <c r="E48" i="1"/>
  <c r="I47" i="1"/>
  <c r="E47" i="1"/>
  <c r="I46" i="1"/>
  <c r="E46" i="1"/>
  <c r="I45" i="1"/>
  <c r="E45" i="1"/>
  <c r="I44" i="1"/>
  <c r="E44" i="1"/>
  <c r="I43" i="1"/>
  <c r="E43" i="1"/>
  <c r="I42" i="1"/>
  <c r="E42" i="1"/>
  <c r="I40" i="1"/>
  <c r="E40" i="1"/>
  <c r="I39" i="1"/>
  <c r="E39" i="1"/>
  <c r="E38" i="1"/>
  <c r="I37" i="1"/>
  <c r="E37" i="1"/>
  <c r="I30" i="1"/>
  <c r="I29" i="1"/>
  <c r="E29" i="1"/>
  <c r="I28" i="1"/>
  <c r="E28" i="1"/>
  <c r="I27" i="1"/>
  <c r="E27" i="1"/>
  <c r="I26" i="1"/>
  <c r="E26" i="1"/>
  <c r="I22" i="1"/>
  <c r="E22" i="1"/>
  <c r="I21" i="1"/>
  <c r="E21" i="1"/>
  <c r="I20" i="1"/>
  <c r="E20" i="1"/>
  <c r="I19" i="1"/>
  <c r="E19" i="1"/>
  <c r="I18" i="1"/>
  <c r="E18" i="1"/>
  <c r="I17" i="1"/>
  <c r="E17" i="1"/>
  <c r="I15" i="1"/>
  <c r="E15" i="1"/>
  <c r="I14" i="1"/>
  <c r="E14" i="1"/>
  <c r="I13" i="1"/>
  <c r="E13" i="1"/>
  <c r="I12" i="1"/>
  <c r="E12" i="1"/>
  <c r="I11" i="1"/>
  <c r="E11" i="1"/>
  <c r="I10" i="1"/>
  <c r="E10" i="1"/>
  <c r="I9" i="1"/>
  <c r="E9" i="1"/>
  <c r="I8" i="1"/>
  <c r="E8" i="1"/>
  <c r="I7" i="1"/>
  <c r="E7" i="1"/>
  <c r="I6" i="1"/>
  <c r="E6" i="1"/>
  <c r="I5" i="1"/>
  <c r="E5" i="1"/>
  <c r="I4" i="1"/>
  <c r="E4" i="1"/>
  <c r="I3" i="1"/>
  <c r="E3" i="1"/>
  <c r="I2" i="1"/>
  <c r="E2" i="1"/>
  <c r="K72" i="1" l="1"/>
  <c r="N71" i="1" s="1"/>
  <c r="P72" i="1" s="1"/>
  <c r="K73" i="1" l="1"/>
  <c r="N73" i="1" l="1"/>
  <c r="N72" i="1"/>
  <c r="P73" i="1" s="1"/>
</calcChain>
</file>

<file path=xl/sharedStrings.xml><?xml version="1.0" encoding="utf-8"?>
<sst xmlns="http://schemas.openxmlformats.org/spreadsheetml/2006/main" count="7635" uniqueCount="3703">
  <si>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</si>
  <si>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</si>
  <si>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</si>
  <si>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</si>
  <si>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</si>
  <si>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</si>
  <si>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</si>
  <si>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</si>
  <si>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</si>
  <si>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</si>
  <si>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</si>
  <si>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</si>
  <si>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</si>
  <si>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</si>
  <si>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</si>
  <si>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</si>
  <si>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</si>
  <si>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</si>
  <si>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</si>
  <si>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</si>
  <si>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</si>
  <si>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</si>
  <si>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</si>
  <si>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</si>
  <si>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</si>
  <si>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</si>
  <si>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</si>
  <si>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</si>
  <si>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</si>
  <si>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</si>
  <si>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</si>
  <si>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</si>
  <si>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</si>
  <si>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</si>
  <si>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</si>
  <si>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</si>
  <si>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</si>
  <si>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</si>
  <si>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</si>
  <si>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</si>
  <si>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</si>
  <si>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</si>
  <si>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</si>
  <si>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</si>
  <si>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</si>
  <si>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</si>
  <si>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</si>
  <si>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</si>
  <si>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</si>
  <si>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</si>
  <si>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</si>
  <si>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</si>
  <si>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</si>
  <si>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</si>
  <si>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</si>
  <si>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</si>
  <si>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</si>
  <si>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</si>
  <si>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</si>
  <si>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</si>
  <si>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</si>
  <si>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objectpocketicons.block</t>
  </si>
  <si>
    <t>$E140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</si>
  <si>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</si>
  <si>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</si>
  <si>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</si>
  <si>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</si>
  <si>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</si>
  <si>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</si>
  <si>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</si>
  <si>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</si>
  <si>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</si>
  <si>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</si>
  <si>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</si>
  <si>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</si>
  <si>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</si>
  <si>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</si>
  <si>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</si>
  <si>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</si>
  <si>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</si>
  <si>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</si>
  <si>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</si>
  <si>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</si>
  <si>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</si>
  <si>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</si>
  <si>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</si>
  <si>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</si>
  <si>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</si>
  <si>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</si>
  <si>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</si>
  <si>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</si>
  <si>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</si>
  <si>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</si>
  <si>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</si>
  <si>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</si>
  <si>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</si>
  <si>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</si>
  <si>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</si>
  <si>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</si>
  <si>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</si>
  <si>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</si>
  <si>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</si>
  <si>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</si>
  <si>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</si>
  <si>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</si>
  <si>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</si>
  <si>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</si>
  <si>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</si>
  <si>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</si>
  <si>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</si>
  <si>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</si>
  <si>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</si>
  <si>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</si>
  <si>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</si>
  <si>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</si>
  <si>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</si>
  <si>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</si>
  <si>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</si>
  <si>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</si>
  <si>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</si>
  <si>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</si>
  <si>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</si>
  <si>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</si>
  <si>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$18200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</si>
  <si>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</si>
  <si>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</si>
  <si>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</si>
  <si>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</si>
  <si>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</si>
  <si>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</si>
  <si>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</si>
  <si>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</si>
  <si>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</si>
  <si>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</si>
  <si>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</si>
  <si>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</si>
  <si>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scrolls.block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</si>
  <si>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</si>
  <si>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</si>
  <si>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</si>
  <si>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</si>
  <si>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</si>
  <si>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</si>
  <si>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</si>
  <si>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</si>
  <si>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</si>
  <si>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</si>
  <si>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</si>
  <si>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</si>
  <si>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</si>
  <si>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</si>
  <si>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</si>
  <si>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</si>
  <si>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</si>
  <si>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</si>
  <si>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</si>
  <si>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</si>
  <si>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</si>
  <si>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</si>
  <si>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</si>
  <si>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</si>
  <si>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</si>
  <si>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</si>
  <si>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</si>
  <si>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</si>
  <si>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</si>
  <si>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Pad_Pit_Low.gfx</t>
  </si>
  <si>
    <t>Pad_Pit_High.gfx</t>
  </si>
  <si>
    <t>Pad_Trigger.gfx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</si>
  <si>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</si>
  <si>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</si>
  <si>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</si>
  <si>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</si>
  <si>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</si>
  <si>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</si>
  <si>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</si>
  <si>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</si>
  <si>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</si>
  <si>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</si>
  <si>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</si>
  <si>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</si>
  <si>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</si>
  <si>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</si>
  <si>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</si>
  <si>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</si>
  <si>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</si>
  <si>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</si>
  <si>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</si>
  <si>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</si>
  <si>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</si>
  <si>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</si>
  <si>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</si>
  <si>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</si>
  <si>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</si>
  <si>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</si>
  <si>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</si>
  <si>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</si>
  <si>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</si>
  <si>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</si>
  <si>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</si>
  <si>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</si>
  <si>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</si>
  <si>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</si>
  <si>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</si>
  <si>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</si>
  <si>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</si>
  <si>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</si>
  <si>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</si>
  <si>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</si>
  <si>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</si>
  <si>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</si>
  <si>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</si>
  <si>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</si>
  <si>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</si>
  <si>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</si>
  <si>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</si>
  <si>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</si>
  <si>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</si>
  <si>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</si>
  <si>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</si>
  <si>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</si>
  <si>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</si>
  <si>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</si>
  <si>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</si>
  <si>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</si>
  <si>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</si>
  <si>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</si>
  <si>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</si>
  <si>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</si>
  <si>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</si>
  <si>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</si>
  <si>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</si>
  <si>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</si>
  <si>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</si>
  <si>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</si>
  <si>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</si>
  <si>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</si>
  <si>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</si>
  <si>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</si>
  <si>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</si>
  <si>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</si>
  <si>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</si>
  <si>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</si>
  <si>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Pad_Pit.offsets</t>
  </si>
  <si>
    <t>$188CA</t>
  </si>
  <si>
    <t>adrEA018C4E</t>
  </si>
  <si>
    <t>Pad_Trigger.offsets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</si>
  <si>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</si>
  <si>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</si>
  <si>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</si>
  <si>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</si>
  <si>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</si>
  <si>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</si>
  <si>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</si>
  <si>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</si>
  <si>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</si>
  <si>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</si>
  <si>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</si>
  <si>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</si>
  <si>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</si>
  <si>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</si>
  <si>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</si>
  <si>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</si>
  <si>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</si>
  <si>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</si>
  <si>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</si>
  <si>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</si>
  <si>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</si>
  <si>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</si>
  <si>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</si>
  <si>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</si>
  <si>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</si>
  <si>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</si>
  <si>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</si>
  <si>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</si>
  <si>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</si>
  <si>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</si>
  <si>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</si>
  <si>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</si>
  <si>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</si>
  <si>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</si>
  <si>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</si>
  <si>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</si>
  <si>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</si>
  <si>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</si>
  <si>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</si>
  <si>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</si>
  <si>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</si>
  <si>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Pad_Pit_Low.positions</t>
  </si>
  <si>
    <t>$BB92</t>
  </si>
  <si>
    <t>adrEA00BF16</t>
  </si>
  <si>
    <t>Pad_Trigger.positions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</si>
  <si>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</si>
  <si>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</si>
  <si>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</si>
  <si>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</si>
  <si>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</si>
  <si>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</si>
  <si>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</si>
  <si>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</si>
  <si>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</si>
  <si>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</si>
  <si>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</si>
  <si>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</si>
  <si>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</si>
  <si>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</si>
  <si>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</si>
  <si>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</si>
  <si>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</si>
  <si>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</si>
  <si>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</si>
  <si>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</si>
  <si>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</si>
  <si>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</si>
  <si>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</si>
  <si>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</si>
  <si>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</si>
  <si>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</si>
  <si>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</si>
  <si>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</si>
  <si>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</si>
  <si>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</si>
  <si>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</si>
  <si>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</si>
  <si>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</si>
  <si>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</si>
  <si>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</si>
  <si>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</si>
  <si>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</si>
  <si>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</si>
  <si>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</si>
  <si>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</si>
  <si>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</si>
  <si>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</si>
  <si>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</si>
  <si>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</si>
  <si>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</si>
  <si>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</si>
  <si>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</si>
  <si>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</si>
  <si>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</si>
  <si>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</si>
  <si>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</si>
  <si>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</si>
  <si>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</si>
  <si>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</si>
  <si>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</si>
  <si>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</si>
  <si>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</si>
  <si>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</si>
  <si>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</si>
  <si>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</si>
  <si>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</si>
  <si>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</si>
  <si>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</si>
  <si>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</si>
  <si>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</si>
  <si>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</si>
  <si>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</si>
  <si>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</si>
  <si>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</si>
  <si>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</si>
  <si>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</si>
  <si>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</si>
  <si>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</si>
  <si>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</si>
  <si>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</si>
  <si>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</si>
  <si>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</si>
  <si>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</si>
  <si>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</si>
  <si>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</si>
  <si>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</si>
  <si>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</si>
  <si>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</si>
  <si>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</si>
  <si>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</si>
  <si>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</si>
  <si>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</si>
  <si>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</si>
  <si>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</si>
  <si>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</si>
  <si>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</si>
  <si>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</si>
  <si>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</si>
  <si>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MonsterTransfer</t>
  </si>
  <si>
    <t>adrLp000A08</t>
  </si>
  <si>
    <t>ClearMonstersLoop</t>
  </si>
  <si>
    <t>.ClearMonstersLoop</t>
  </si>
  <si>
    <t>FillMonstersLoop</t>
  </si>
  <si>
    <t>.FillMonstersLoop</t>
  </si>
  <si>
    <t>adrCd000A8E</t>
  </si>
  <si>
    <t>.MarkedOnMap</t>
  </si>
  <si>
    <t>adrCd000AA6</t>
  </si>
  <si>
    <t>.SkipSomething1_TEMP</t>
  </si>
  <si>
    <t>adrCd000AA8</t>
  </si>
  <si>
    <t>.SkipSomething2_TEMP</t>
  </si>
  <si>
    <t>adrCd000AC6</t>
  </si>
  <si>
    <t>.SkipSomething3_TEMP</t>
  </si>
  <si>
    <t>SpecialObjects</t>
  </si>
  <si>
    <t>.SpecialObjects</t>
  </si>
  <si>
    <t>adrCd000AEC</t>
  </si>
  <si>
    <t>.SkipSomething4_TEMP</t>
  </si>
  <si>
    <t>adrCd000B16</t>
  </si>
  <si>
    <t>.SkipSomething5_TEMP</t>
  </si>
  <si>
    <t>adrB_000B22</t>
  </si>
  <si>
    <t>adrCd000B32</t>
  </si>
  <si>
    <t>adrCd000B66</t>
  </si>
  <si>
    <t>adrCd000B68</t>
  </si>
  <si>
    <t>adrLp000B88</t>
  </si>
  <si>
    <t>LevelDataOffsets</t>
  </si>
  <si>
    <t>LevelData_LookupTable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</si>
  <si>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</si>
  <si>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</si>
  <si>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</si>
  <si>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</si>
  <si>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</si>
  <si>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</si>
  <si>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</si>
  <si>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</si>
  <si>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</si>
  <si>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</si>
  <si>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</si>
  <si>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</si>
  <si>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</si>
  <si>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</si>
  <si>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</si>
  <si>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</si>
  <si>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</si>
  <si>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</si>
  <si>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</si>
  <si>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</si>
  <si>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</si>
  <si>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</si>
  <si>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</si>
  <si>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</si>
  <si>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</si>
  <si>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</si>
  <si>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</si>
  <si>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</si>
  <si>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</si>
  <si>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</si>
  <si>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</si>
  <si>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</si>
  <si>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</si>
  <si>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</si>
  <si>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</si>
  <si>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</si>
  <si>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</si>
  <si>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</si>
  <si>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</si>
  <si>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</si>
  <si>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</si>
  <si>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</si>
  <si>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</si>
  <si>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</si>
  <si>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</si>
  <si>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</si>
  <si>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</si>
  <si>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</si>
  <si>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</si>
  <si>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</si>
  <si>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</si>
  <si>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</si>
  <si>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</si>
  <si>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</si>
  <si>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</si>
  <si>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</si>
  <si>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</si>
  <si>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</si>
  <si>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</si>
  <si>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</si>
  <si>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</si>
  <si>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</si>
  <si>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</si>
  <si>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</si>
  <si>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</si>
  <si>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</si>
  <si>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</si>
  <si>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</si>
  <si>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</si>
  <si>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</si>
  <si>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</si>
  <si>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</si>
  <si>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</si>
  <si>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</si>
  <si>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</si>
  <si>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</si>
  <si>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</si>
  <si>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</si>
  <si>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</si>
  <si>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</si>
  <si>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</si>
  <si>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</si>
  <si>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</si>
  <si>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</si>
  <si>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</si>
  <si>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</si>
  <si>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</si>
  <si>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</si>
  <si>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</si>
  <si>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</si>
  <si>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</si>
  <si>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</si>
  <si>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</si>
  <si>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</si>
  <si>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</si>
  <si>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</si>
  <si>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</si>
  <si>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</si>
  <si>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</si>
  <si>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</si>
  <si>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</si>
  <si>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</si>
  <si>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</si>
  <si>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</si>
  <si>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</si>
  <si>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</si>
  <si>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</si>
  <si>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</si>
  <si>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</si>
  <si>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</si>
  <si>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</si>
  <si>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</si>
  <si>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</si>
  <si>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</si>
  <si>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</si>
  <si>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</si>
  <si>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</si>
  <si>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</si>
  <si>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</si>
  <si>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</si>
  <si>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</si>
  <si>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</si>
  <si>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</si>
  <si>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</si>
  <si>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</si>
  <si>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</si>
  <si>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</si>
  <si>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</si>
  <si>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</si>
  <si>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</si>
  <si>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</si>
  <si>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</si>
  <si>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</si>
  <si>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</si>
  <si>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</si>
  <si>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</si>
  <si>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</si>
  <si>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</si>
  <si>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</si>
  <si>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</si>
  <si>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</si>
  <si>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</si>
  <si>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</si>
  <si>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</si>
  <si>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</si>
  <si>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</si>
  <si>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</si>
  <si>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</si>
  <si>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</si>
  <si>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</si>
  <si>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</si>
  <si>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</si>
  <si>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</si>
  <si>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</si>
  <si>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</si>
  <si>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</si>
  <si>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</si>
  <si>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</si>
  <si>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</si>
  <si>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</si>
  <si>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</si>
  <si>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</si>
  <si>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</si>
  <si>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</si>
  <si>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</si>
  <si>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</si>
  <si>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</si>
  <si>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</si>
  <si>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</si>
  <si>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</si>
  <si>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</si>
  <si>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</si>
  <si>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</si>
  <si>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</si>
  <si>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</si>
  <si>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</si>
  <si>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</si>
  <si>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</si>
  <si>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</si>
  <si>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</si>
  <si>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</si>
  <si>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</si>
  <si>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</si>
  <si>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</si>
  <si>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</si>
  <si>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</si>
  <si>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</si>
  <si>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</si>
  <si>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</si>
  <si>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</si>
  <si>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</si>
  <si>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</si>
  <si>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</si>
  <si>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</si>
  <si>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</si>
  <si>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</si>
  <si>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</si>
  <si>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</si>
  <si>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</si>
  <si>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</si>
  <si>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</si>
  <si>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</si>
  <si>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</si>
  <si>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</si>
  <si>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</si>
  <si>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</si>
  <si>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</si>
  <si>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</si>
  <si>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</si>
  <si>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</si>
  <si>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</si>
  <si>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</si>
  <si>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</si>
  <si>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</si>
  <si>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</si>
  <si>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</si>
  <si>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</si>
  <si>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</si>
  <si>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</si>
  <si>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</si>
  <si>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</si>
  <si>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</si>
  <si>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</si>
  <si>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</si>
  <si>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</si>
  <si>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</si>
  <si>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</si>
  <si>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</si>
  <si>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</si>
  <si>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</si>
  <si>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</si>
  <si>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</si>
  <si>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</si>
  <si>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</si>
  <si>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</si>
  <si>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</si>
  <si>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</si>
  <si>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</si>
  <si>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</si>
  <si>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</si>
  <si>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</si>
  <si>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</si>
  <si>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</si>
  <si>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</si>
  <si>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</si>
  <si>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</si>
  <si>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</si>
  <si>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</si>
  <si>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</si>
  <si>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</si>
  <si>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</si>
  <si>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</si>
  <si>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</si>
  <si>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</si>
  <si>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</si>
  <si>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</si>
  <si>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</si>
  <si>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</si>
  <si>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</si>
  <si>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</si>
  <si>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</si>
  <si>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</si>
  <si>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</si>
  <si>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</si>
  <si>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</si>
  <si>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</si>
  <si>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</si>
  <si>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</si>
  <si>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</si>
  <si>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</si>
  <si>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</si>
  <si>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</si>
  <si>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</si>
  <si>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</si>
  <si>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</si>
  <si>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</si>
  <si>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</si>
  <si>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</si>
  <si>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</si>
  <si>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</si>
  <si>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</si>
  <si>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</si>
  <si>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</si>
  <si>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</si>
  <si>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</si>
  <si>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</si>
  <si>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</si>
  <si>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</si>
  <si>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</si>
  <si>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</si>
  <si>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</si>
  <si>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</si>
  <si>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</si>
  <si>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</si>
  <si>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</si>
  <si>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</si>
  <si>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</si>
  <si>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</si>
  <si>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</si>
  <si>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</si>
  <si>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</si>
  <si>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</si>
  <si>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</si>
  <si>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</si>
  <si>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</si>
  <si>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</si>
  <si>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</si>
  <si>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</si>
  <si>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</si>
  <si>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</si>
  <si>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</si>
  <si>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</si>
  <si>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</si>
  <si>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</si>
  <si>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</si>
  <si>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</si>
  <si>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</si>
  <si>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</si>
  <si>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</si>
  <si>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</si>
  <si>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</si>
  <si>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</si>
  <si>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</si>
  <si>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</si>
  <si>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</si>
  <si>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</si>
  <si>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</si>
  <si>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</si>
  <si>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</si>
  <si>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</si>
  <si>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</si>
  <si>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</si>
  <si>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</si>
  <si>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</si>
  <si>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</si>
  <si>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</si>
  <si>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</si>
  <si>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</si>
  <si>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</si>
  <si>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</si>
  <si>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</si>
  <si>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</si>
  <si>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</si>
  <si>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</si>
  <si>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</si>
  <si>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</si>
  <si>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</si>
  <si>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</si>
  <si>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</si>
  <si>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</si>
  <si>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</si>
  <si>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</si>
  <si>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</si>
  <si>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</si>
  <si>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</si>
  <si>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</si>
  <si>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</si>
  <si>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</si>
  <si>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</si>
  <si>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</si>
  <si>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</si>
  <si>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</si>
  <si>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</si>
  <si>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</si>
  <si>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</si>
  <si>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</si>
  <si>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</si>
  <si>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</si>
  <si>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</si>
  <si>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</si>
  <si>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</si>
  <si>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</si>
  <si>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</si>
  <si>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</si>
  <si>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</si>
  <si>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</si>
  <si>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</si>
  <si>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</si>
  <si>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</si>
  <si>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</si>
  <si>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</si>
  <si>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</si>
  <si>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</si>
  <si>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</si>
  <si>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</si>
  <si>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</si>
  <si>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</si>
  <si>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</si>
  <si>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</si>
  <si>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</si>
  <si>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</si>
  <si>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</si>
  <si>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</si>
  <si>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</si>
  <si>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</si>
  <si>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</si>
  <si>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</si>
  <si>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</si>
  <si>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</si>
  <si>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</si>
  <si>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</si>
  <si>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</si>
  <si>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</si>
  <si>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</si>
  <si>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</si>
  <si>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</si>
  <si>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</si>
  <si>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</si>
  <si>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</si>
  <si>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</si>
  <si>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</si>
  <si>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</si>
  <si>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</si>
  <si>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</si>
  <si>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</si>
  <si>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</si>
  <si>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</si>
  <si>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</si>
  <si>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</si>
  <si>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</si>
  <si>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</si>
  <si>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</si>
  <si>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</si>
  <si>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</si>
  <si>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</si>
  <si>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</si>
  <si>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</si>
  <si>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</si>
  <si>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</si>
  <si>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</si>
  <si>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</si>
  <si>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</si>
  <si>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</si>
  <si>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</si>
  <si>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</si>
  <si>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</si>
  <si>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</si>
  <si>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</si>
  <si>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</si>
  <si>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</si>
  <si>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</si>
  <si>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</si>
  <si>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</si>
  <si>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</si>
  <si>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</si>
  <si>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</si>
  <si>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</si>
  <si>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</si>
  <si>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</si>
  <si>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</si>
  <si>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</si>
  <si>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</si>
  <si>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</si>
  <si>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</si>
  <si>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</si>
  <si>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</si>
  <si>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</si>
  <si>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</si>
  <si>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</si>
  <si>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</si>
  <si>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</si>
  <si>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</si>
  <si>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</si>
  <si>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</si>
  <si>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</si>
  <si>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</si>
  <si>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</si>
  <si>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</si>
  <si>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</si>
  <si>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</si>
  <si>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</si>
  <si>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</si>
  <si>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</si>
  <si>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</si>
  <si>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</si>
  <si>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</si>
  <si>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</si>
  <si>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</si>
  <si>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</si>
  <si>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</si>
  <si>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</si>
  <si>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</si>
  <si>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</si>
  <si>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</si>
  <si>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</si>
  <si>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</si>
  <si>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</si>
  <si>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</si>
  <si>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</si>
  <si>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</si>
  <si>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</si>
  <si>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</si>
  <si>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</si>
  <si>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</si>
  <si>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</si>
  <si>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</si>
  <si>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</si>
  <si>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</si>
  <si>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</si>
  <si>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</si>
  <si>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</si>
  <si>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</si>
  <si>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</si>
  <si>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</si>
  <si>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</si>
  <si>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</si>
  <si>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</si>
  <si>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</si>
  <si>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</si>
  <si>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</si>
  <si>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</si>
  <si>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</si>
  <si>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</si>
  <si>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</si>
  <si>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</si>
  <si>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</si>
  <si>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</si>
  <si>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</si>
  <si>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</si>
  <si>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</si>
  <si>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</si>
  <si>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</si>
  <si>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</si>
  <si>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</si>
  <si>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</si>
  <si>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</si>
  <si>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</si>
  <si>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</si>
  <si>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</si>
  <si>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</si>
  <si>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</si>
  <si>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</si>
  <si>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</si>
  <si>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</si>
  <si>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</si>
  <si>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</si>
  <si>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</si>
  <si>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</si>
  <si>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</si>
  <si>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</si>
  <si>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</si>
  <si>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</si>
  <si>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</si>
  <si>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</si>
  <si>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</si>
  <si>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</si>
  <si>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</si>
  <si>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</si>
  <si>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</si>
  <si>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</si>
  <si>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</si>
  <si>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</si>
  <si>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</si>
  <si>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</si>
  <si>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</si>
  <si>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</si>
  <si>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</si>
  <si>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</si>
  <si>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</si>
  <si>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</si>
  <si>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</si>
  <si>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</si>
  <si>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</si>
  <si>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</si>
  <si>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</si>
  <si>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</si>
  <si>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</si>
  <si>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</si>
  <si>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</si>
  <si>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</si>
  <si>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</si>
  <si>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</si>
  <si>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</si>
  <si>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</si>
  <si>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</si>
  <si>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</si>
  <si>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</si>
  <si>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</si>
  <si>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</si>
  <si>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</si>
  <si>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</si>
  <si>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</si>
  <si>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</si>
  <si>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</si>
  <si>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</si>
  <si>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</si>
  <si>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</si>
  <si>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</si>
  <si>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</si>
  <si>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</si>
  <si>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</si>
  <si>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</si>
  <si>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</si>
  <si>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</si>
  <si>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</si>
  <si>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</si>
  <si>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</si>
  <si>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</si>
  <si>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</si>
  <si>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</si>
  <si>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</si>
  <si>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</si>
  <si>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</si>
  <si>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</si>
  <si>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</si>
  <si>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</si>
  <si>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</si>
  <si>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</si>
  <si>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</si>
  <si>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</si>
  <si>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</si>
  <si>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</si>
  <si>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</si>
  <si>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</si>
  <si>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</si>
  <si>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</si>
  <si>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</si>
  <si>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</si>
  <si>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</si>
  <si>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</si>
  <si>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</si>
  <si>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</si>
  <si>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</si>
  <si>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</si>
  <si>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</si>
  <si>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</si>
  <si>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</si>
  <si>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</si>
  <si>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</si>
  <si>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</si>
  <si>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</si>
  <si>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</si>
  <si>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</si>
  <si>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</si>
  <si>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</si>
  <si>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</si>
  <si>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</si>
  <si>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</si>
  <si>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</si>
  <si>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</si>
  <si>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</si>
  <si>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</si>
  <si>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</si>
  <si>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</si>
  <si>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</si>
  <si>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</si>
  <si>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</si>
  <si>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</si>
  <si>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</si>
  <si>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</si>
  <si>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</si>
  <si>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</si>
  <si>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</si>
  <si>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</si>
  <si>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</si>
  <si>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</si>
  <si>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</si>
  <si>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</si>
  <si>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</si>
  <si>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</si>
  <si>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</si>
  <si>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</si>
  <si>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</si>
  <si>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</si>
  <si>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</si>
  <si>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</si>
  <si>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</si>
  <si>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</si>
  <si>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</si>
  <si>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</si>
  <si>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</si>
  <si>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</si>
  <si>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</si>
  <si>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</si>
  <si>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</si>
  <si>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</si>
  <si>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</si>
  <si>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</si>
  <si>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</si>
  <si>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</si>
  <si>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</si>
  <si>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</si>
  <si>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</si>
  <si>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</si>
  <si>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</si>
  <si>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</si>
  <si>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</si>
  <si>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</si>
  <si>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</si>
  <si>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</si>
  <si>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</si>
  <si>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</si>
  <si>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</si>
  <si>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</si>
  <si>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</si>
  <si>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</si>
  <si>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</si>
  <si>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</si>
  <si>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</si>
  <si>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</si>
  <si>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</si>
  <si>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</si>
  <si>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</si>
  <si>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</si>
  <si>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</si>
  <si>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</si>
  <si>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</si>
  <si>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</si>
  <si>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</si>
  <si>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</si>
  <si>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</si>
  <si>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</si>
  <si>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</si>
  <si>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</si>
  <si>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</si>
  <si>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</si>
  <si>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</si>
  <si>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</si>
  <si>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</si>
  <si>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</si>
  <si>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</si>
  <si>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</si>
  <si>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</si>
  <si>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</si>
  <si>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</si>
  <si>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</si>
  <si>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</si>
  <si>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</si>
  <si>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</si>
  <si>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</si>
  <si>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</si>
  <si>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</si>
  <si>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</si>
  <si>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</si>
  <si>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</si>
  <si>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</si>
  <si>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</si>
  <si>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</si>
  <si>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</si>
  <si>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</si>
  <si>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</si>
  <si>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</si>
  <si>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</si>
  <si>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</si>
  <si>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</si>
  <si>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</si>
  <si>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</si>
  <si>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</si>
  <si>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</si>
  <si>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</si>
  <si>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</si>
  <si>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</si>
  <si>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</si>
  <si>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</si>
  <si>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</si>
  <si>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</si>
  <si>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</si>
  <si>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</si>
  <si>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</si>
  <si>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</si>
  <si>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</si>
  <si>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</si>
  <si>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</si>
  <si>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</si>
  <si>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</si>
  <si>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</si>
  <si>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</si>
  <si>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</si>
  <si>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</si>
  <si>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</si>
  <si>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</si>
  <si>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</si>
  <si>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</si>
  <si>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</si>
  <si>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</si>
  <si>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</si>
  <si>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</si>
  <si>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</si>
  <si>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</si>
  <si>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</si>
  <si>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</si>
  <si>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</si>
  <si>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</si>
  <si>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</si>
  <si>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</si>
  <si>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</si>
  <si>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</si>
  <si>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</si>
  <si>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</si>
  <si>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</si>
  <si>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</si>
  <si>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</si>
  <si>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</si>
  <si>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</si>
  <si>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</si>
  <si>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</si>
  <si>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</si>
  <si>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</si>
  <si>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</si>
  <si>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</si>
  <si>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</si>
  <si>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</si>
  <si>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</si>
  <si>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</si>
  <si>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</si>
  <si>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</si>
  <si>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</si>
  <si>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</si>
  <si>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</si>
  <si>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</si>
  <si>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</si>
  <si>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</si>
  <si>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</si>
  <si>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</si>
  <si>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</si>
  <si>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</si>
  <si>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</si>
  <si>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</si>
  <si>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</si>
  <si>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</si>
  <si>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</si>
  <si>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</si>
  <si>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</si>
  <si>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</si>
  <si>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</si>
  <si>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</si>
  <si>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</si>
  <si>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</si>
  <si>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</si>
  <si>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</si>
  <si>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</si>
  <si>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</si>
  <si>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</si>
  <si>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</si>
  <si>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</si>
  <si>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</si>
  <si>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</si>
  <si>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</si>
  <si>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</si>
  <si>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</si>
  <si>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</si>
  <si>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</si>
  <si>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</si>
  <si>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</si>
  <si>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</si>
  <si>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</si>
  <si>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</si>
  <si>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</si>
  <si>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</si>
  <si>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</si>
  <si>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</si>
  <si>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</si>
  <si>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</si>
  <si>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</si>
  <si>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</si>
  <si>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</si>
  <si>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</si>
  <si>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</si>
  <si>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</si>
  <si>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</si>
  <si>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</si>
  <si>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</si>
  <si>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</si>
  <si>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</si>
  <si>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</si>
  <si>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</si>
  <si>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</si>
  <si>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</si>
  <si>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</si>
  <si>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</si>
  <si>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</si>
  <si>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</si>
  <si>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</si>
  <si>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</si>
  <si>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</si>
  <si>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</si>
  <si>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</si>
  <si>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</si>
  <si>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</si>
  <si>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</si>
  <si>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</si>
  <si>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</si>
  <si>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</si>
  <si>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</si>
  <si>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</si>
  <si>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</si>
  <si>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</si>
  <si>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</si>
  <si>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</si>
  <si>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</si>
  <si>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</si>
  <si>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</si>
  <si>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</si>
  <si>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</si>
  <si>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</si>
  <si>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</si>
  <si>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</si>
  <si>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</si>
  <si>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</si>
  <si>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</si>
  <si>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</si>
  <si>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</si>
  <si>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</si>
  <si>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</si>
  <si>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</si>
  <si>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</si>
  <si>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</si>
  <si>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</si>
  <si>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</si>
  <si>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</si>
  <si>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</si>
  <si>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</si>
  <si>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</si>
  <si>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</si>
  <si>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</si>
  <si>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</si>
  <si>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</si>
  <si>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</si>
  <si>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</si>
  <si>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</si>
  <si>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</si>
  <si>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</si>
  <si>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</si>
  <si>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</si>
  <si>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</si>
  <si>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</si>
  <si>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</si>
  <si>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</si>
  <si>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</si>
  <si>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</si>
  <si>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</si>
  <si>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</si>
  <si>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</si>
  <si>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</si>
  <si>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</si>
  <si>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</si>
  <si>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</si>
  <si>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</si>
  <si>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</si>
  <si>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</si>
  <si>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</si>
  <si>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</si>
  <si>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</si>
  <si>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</si>
  <si>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</si>
  <si>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</si>
  <si>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</si>
  <si>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</si>
  <si>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</si>
  <si>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</si>
  <si>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</si>
  <si>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</si>
  <si>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</si>
  <si>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</si>
  <si>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</si>
  <si>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</si>
  <si>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</si>
  <si>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</si>
  <si>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</si>
  <si>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</si>
  <si>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</si>
  <si>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</si>
  <si>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</si>
  <si>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</si>
  <si>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</si>
  <si>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</si>
  <si>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</si>
  <si>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</si>
  <si>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</si>
  <si>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</si>
  <si>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</si>
  <si>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</si>
  <si>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</si>
  <si>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</si>
  <si>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</si>
  <si>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</si>
  <si>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</si>
  <si>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</si>
  <si>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</si>
  <si>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</si>
  <si>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</si>
  <si>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</si>
  <si>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</si>
  <si>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</si>
  <si>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</si>
  <si>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</si>
  <si>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</si>
  <si>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</si>
  <si>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</si>
  <si>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</si>
  <si>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</si>
  <si>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</si>
  <si>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</si>
  <si>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</si>
  <si>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</si>
  <si>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</si>
  <si>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</si>
  <si>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</si>
  <si>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</si>
  <si>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</si>
  <si>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</si>
  <si>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</si>
  <si>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</si>
  <si>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</si>
  <si>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</si>
  <si>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</si>
  <si>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</si>
  <si>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</si>
  <si>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InterfaceButtons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</si>
  <si>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</si>
  <si>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</si>
  <si>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</si>
  <si>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</si>
  <si>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</si>
  <si>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</si>
  <si>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</si>
  <si>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</si>
  <si>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</si>
  <si>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</si>
  <si>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</si>
  <si>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</si>
  <si>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</si>
  <si>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</si>
  <si>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</si>
  <si>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</si>
  <si>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</si>
  <si>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</si>
  <si>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</si>
  <si>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</si>
  <si>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</si>
  <si>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</si>
  <si>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</si>
  <si>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</si>
  <si>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</si>
  <si>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</si>
  <si>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</si>
  <si>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</si>
  <si>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</si>
  <si>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</si>
  <si>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</si>
  <si>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</si>
  <si>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</si>
  <si>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</si>
  <si>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</si>
  <si>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</si>
  <si>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</si>
  <si>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</si>
  <si>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</si>
  <si>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</si>
  <si>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</si>
  <si>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</si>
  <si>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</si>
  <si>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</si>
  <si>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</si>
  <si>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</si>
  <si>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</si>
  <si>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</si>
  <si>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</si>
  <si>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</si>
  <si>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</si>
  <si>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</si>
  <si>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</si>
  <si>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</si>
  <si>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</si>
  <si>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</si>
  <si>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</si>
  <si>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</si>
  <si>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</si>
  <si>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</si>
  <si>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</si>
  <si>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</si>
  <si>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</si>
  <si>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</si>
  <si>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</si>
  <si>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</si>
  <si>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</si>
  <si>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</si>
  <si>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</si>
  <si>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</si>
  <si>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</si>
  <si>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</si>
  <si>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</si>
  <si>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</si>
  <si>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</si>
  <si>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</si>
  <si>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</si>
  <si>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</si>
  <si>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</si>
  <si>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</si>
  <si>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</si>
  <si>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</si>
  <si>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</si>
  <si>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</si>
  <si>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</si>
  <si>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</si>
  <si>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</si>
  <si>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</si>
  <si>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</si>
  <si>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</si>
  <si>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</si>
  <si>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</si>
  <si>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</si>
  <si>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</si>
  <si>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</si>
  <si>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</si>
  <si>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</si>
  <si>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</si>
  <si>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</si>
  <si>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</si>
  <si>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</si>
  <si>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</si>
  <si>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</si>
  <si>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</si>
  <si>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</si>
  <si>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</si>
  <si>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</si>
  <si>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</si>
  <si>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</si>
  <si>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</si>
  <si>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</si>
  <si>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</si>
  <si>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</si>
  <si>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</si>
  <si>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</si>
  <si>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</si>
  <si>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</si>
  <si>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</si>
  <si>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</si>
  <si>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</si>
  <si>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</si>
  <si>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</si>
  <si>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</si>
  <si>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</si>
  <si>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</si>
  <si>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</si>
  <si>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</si>
  <si>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</si>
  <si>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</si>
  <si>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</si>
  <si>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</si>
  <si>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</si>
  <si>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</si>
  <si>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</si>
  <si>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</si>
  <si>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</si>
  <si>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</si>
  <si>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</si>
  <si>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</si>
  <si>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</si>
  <si>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</si>
  <si>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</si>
  <si>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</si>
  <si>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</si>
  <si>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</si>
  <si>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</si>
  <si>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</si>
  <si>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</si>
  <si>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</si>
  <si>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</si>
  <si>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</si>
  <si>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</si>
  <si>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</si>
  <si>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</si>
  <si>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</si>
  <si>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</si>
  <si>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</si>
  <si>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</si>
  <si>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</si>
  <si>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</si>
  <si>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</si>
  <si>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</si>
  <si>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</si>
  <si>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</si>
  <si>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</si>
  <si>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</si>
  <si>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</si>
  <si>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</si>
  <si>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</si>
  <si>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</si>
  <si>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</si>
  <si>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</si>
  <si>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</si>
  <si>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</si>
  <si>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</si>
  <si>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</si>
  <si>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</si>
  <si>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</si>
  <si>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</si>
  <si>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</si>
  <si>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</si>
  <si>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</si>
  <si>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</si>
  <si>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</si>
  <si>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</si>
  <si>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</si>
  <si>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</si>
  <si>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</si>
  <si>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</si>
  <si>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</si>
  <si>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</si>
  <si>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</si>
  <si>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</si>
  <si>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</si>
  <si>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</si>
  <si>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</si>
  <si>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</si>
  <si>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</si>
  <si>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</si>
  <si>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</si>
  <si>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</si>
  <si>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</si>
  <si>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</si>
  <si>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</si>
  <si>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</si>
  <si>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</si>
  <si>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</si>
  <si>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</si>
  <si>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</si>
  <si>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</si>
  <si>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</si>
  <si>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</si>
  <si>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</si>
  <si>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</si>
  <si>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</si>
  <si>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</si>
  <si>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</si>
  <si>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</si>
  <si>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</si>
  <si>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</si>
  <si>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</si>
  <si>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</si>
  <si>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</si>
  <si>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</si>
  <si>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</si>
  <si>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</si>
  <si>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</si>
  <si>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</si>
  <si>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</si>
  <si>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</si>
  <si>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</si>
  <si>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</si>
  <si>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</si>
  <si>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</si>
  <si>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</si>
  <si>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</si>
  <si>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</si>
  <si>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</si>
  <si>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</si>
  <si>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</si>
  <si>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</si>
  <si>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</si>
  <si>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</si>
  <si>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</si>
  <si>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</si>
  <si>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</si>
  <si>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</si>
  <si>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</si>
  <si>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</si>
  <si>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</si>
  <si>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</si>
  <si>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</si>
  <si>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</si>
  <si>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</si>
  <si>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</si>
  <si>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</si>
  <si>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</si>
  <si>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</si>
  <si>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</si>
  <si>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</si>
  <si>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</si>
  <si>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</si>
  <si>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</si>
  <si>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</si>
  <si>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</si>
  <si>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</si>
  <si>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</si>
  <si>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</si>
  <si>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</si>
  <si>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</si>
  <si>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</si>
  <si>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</si>
  <si>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</si>
  <si>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</si>
  <si>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</si>
  <si>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</si>
  <si>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</si>
  <si>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</si>
  <si>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</si>
  <si>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</si>
  <si>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</si>
  <si>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</si>
  <si>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</si>
  <si>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</si>
  <si>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</si>
  <si>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</si>
  <si>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</si>
  <si>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</si>
  <si>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</si>
  <si>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</si>
  <si>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</si>
  <si>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</si>
  <si>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</si>
  <si>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</si>
  <si>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</si>
  <si>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</si>
  <si>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</si>
  <si>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</si>
  <si>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</si>
  <si>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</si>
  <si>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</si>
  <si>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</si>
  <si>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</si>
  <si>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</si>
  <si>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</si>
  <si>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</si>
  <si>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</si>
  <si>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</si>
  <si>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</si>
  <si>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</si>
  <si>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</si>
  <si>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</si>
  <si>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</si>
  <si>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</si>
  <si>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</si>
  <si>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</si>
  <si>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</si>
  <si>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</si>
  <si>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</si>
  <si>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</si>
  <si>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</si>
  <si>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</si>
  <si>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</si>
  <si>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</si>
  <si>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</si>
  <si>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</si>
  <si>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</si>
  <si>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</si>
  <si>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</si>
  <si>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</si>
  <si>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</si>
  <si>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</si>
  <si>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</si>
  <si>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</si>
  <si>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</si>
  <si>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</si>
  <si>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</si>
  <si>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</si>
  <si>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</si>
  <si>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</si>
  <si>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</si>
  <si>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</si>
  <si>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</si>
  <si>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</si>
  <si>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</si>
  <si>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</si>
  <si>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</si>
  <si>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</si>
  <si>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</si>
  <si>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</si>
  <si>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</si>
  <si>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</si>
  <si>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</si>
  <si>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</si>
  <si>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</si>
  <si>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</si>
  <si>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</si>
  <si>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</si>
  <si>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</si>
  <si>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</si>
  <si>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</si>
  <si>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</si>
  <si>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</si>
  <si>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</si>
  <si>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</si>
  <si>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</si>
  <si>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</si>
  <si>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</si>
  <si>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</si>
  <si>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</si>
  <si>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</si>
  <si>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</si>
  <si>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</si>
  <si>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</si>
  <si>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</si>
  <si>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</si>
  <si>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</si>
  <si>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</si>
  <si>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</si>
  <si>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</si>
  <si>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</si>
  <si>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</si>
  <si>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</si>
  <si>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</si>
  <si>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</si>
  <si>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</si>
  <si>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</si>
  <si>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</si>
  <si>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</si>
  <si>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</si>
  <si>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</si>
  <si>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</si>
  <si>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</si>
  <si>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</si>
  <si>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</si>
  <si>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</si>
  <si>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</si>
  <si>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</si>
  <si>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</si>
  <si>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</si>
  <si>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</si>
  <si>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</si>
  <si>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</si>
  <si>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</si>
  <si>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</si>
  <si>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</si>
  <si>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</si>
  <si>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</si>
  <si>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</si>
  <si>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</si>
  <si>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</si>
  <si>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</si>
  <si>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</si>
  <si>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</si>
  <si>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</si>
  <si>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</si>
  <si>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</si>
  <si>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</si>
  <si>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</si>
  <si>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</si>
  <si>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</si>
  <si>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</si>
  <si>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</si>
  <si>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</si>
  <si>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</si>
  <si>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</si>
  <si>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</si>
  <si>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</si>
  <si>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</si>
  <si>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</si>
  <si>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</si>
  <si>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</si>
  <si>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</si>
  <si>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</si>
  <si>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</si>
  <si>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</si>
  <si>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</si>
  <si>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</si>
  <si>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</si>
  <si>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</si>
  <si>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</si>
  <si>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</si>
  <si>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</si>
  <si>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</si>
  <si>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</si>
  <si>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</si>
  <si>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</si>
  <si>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</si>
  <si>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</si>
  <si>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</si>
  <si>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</si>
  <si>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</si>
  <si>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</si>
  <si>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</si>
  <si>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</si>
  <si>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</si>
  <si>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</si>
  <si>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</si>
  <si>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</si>
  <si>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</si>
  <si>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</si>
  <si>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</si>
  <si>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</si>
  <si>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</si>
  <si>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</si>
  <si>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</si>
  <si>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</si>
  <si>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</si>
  <si>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</si>
  <si>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</si>
  <si>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</si>
  <si>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</si>
  <si>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</si>
  <si>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</si>
  <si>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</si>
  <si>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</si>
  <si>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</si>
  <si>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</si>
  <si>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</si>
  <si>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</si>
  <si>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</si>
  <si>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</si>
  <si>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</si>
  <si>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</si>
  <si>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</si>
  <si>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</si>
  <si>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</si>
  <si>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</si>
  <si>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</si>
  <si>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</si>
  <si>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</si>
  <si>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</si>
  <si>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</si>
  <si>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</si>
  <si>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</si>
  <si>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</si>
  <si>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</si>
  <si>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</si>
  <si>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</si>
  <si>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</si>
  <si>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</si>
  <si>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</si>
  <si>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</si>
  <si>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</si>
  <si>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</si>
  <si>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</si>
  <si>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</si>
  <si>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</si>
  <si>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</si>
  <si>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</si>
  <si>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</si>
  <si>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</si>
  <si>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</si>
  <si>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</si>
  <si>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</si>
  <si>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</si>
  <si>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</si>
  <si>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</si>
  <si>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</si>
  <si>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</si>
  <si>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</si>
  <si>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</si>
  <si>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</si>
  <si>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</si>
  <si>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</si>
  <si>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</si>
  <si>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</si>
  <si>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</si>
  <si>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</si>
  <si>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</si>
  <si>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</si>
  <si>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</si>
  <si>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</si>
  <si>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</si>
  <si>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</si>
  <si>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</si>
  <si>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</si>
  <si>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</si>
  <si>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</si>
  <si>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</si>
  <si>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</si>
  <si>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</si>
  <si>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</si>
  <si>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</si>
  <si>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</si>
  <si>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</si>
  <si>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</si>
  <si>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</si>
  <si>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</si>
  <si>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</si>
  <si>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</si>
  <si>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</si>
  <si>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</si>
  <si>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</si>
  <si>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</si>
  <si>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</si>
  <si>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</si>
  <si>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</si>
  <si>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</si>
  <si>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</si>
  <si>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</si>
  <si>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</si>
  <si>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</si>
  <si>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</si>
  <si>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</si>
  <si>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</si>
  <si>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</si>
  <si>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</si>
  <si>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</si>
  <si>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</si>
  <si>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</si>
  <si>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</si>
  <si>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</si>
  <si>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</si>
  <si>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</si>
  <si>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</si>
  <si>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</si>
  <si>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</si>
  <si>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</si>
  <si>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</si>
  <si>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</si>
  <si>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</si>
  <si>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</si>
  <si>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</si>
  <si>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</si>
  <si>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</si>
  <si>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</si>
  <si>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</si>
  <si>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</si>
  <si>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</si>
  <si>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</si>
  <si>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</si>
  <si>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</si>
  <si>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</si>
  <si>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</si>
  <si>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</si>
  <si>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</si>
  <si>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</si>
  <si>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</si>
  <si>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</si>
  <si>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</si>
  <si>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</si>
  <si>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</si>
  <si>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</si>
  <si>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</si>
  <si>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</si>
  <si>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</si>
  <si>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</si>
  <si>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</si>
  <si>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</si>
  <si>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</si>
  <si>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</si>
  <si>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</si>
  <si>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</si>
  <si>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</si>
  <si>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</si>
  <si>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</si>
  <si>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</si>
  <si>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</si>
  <si>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</si>
  <si>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</si>
  <si>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</si>
  <si>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</si>
  <si>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</si>
  <si>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</si>
  <si>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</si>
  <si>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</si>
  <si>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</si>
  <si>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</si>
  <si>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</si>
  <si>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</si>
  <si>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</si>
  <si>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</si>
  <si>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</si>
  <si>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</si>
  <si>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</si>
  <si>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</si>
  <si>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</si>
  <si>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</si>
  <si>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</si>
  <si>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</si>
  <si>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</si>
  <si>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</si>
  <si>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</si>
  <si>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</si>
  <si>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</si>
  <si>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</si>
  <si>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</si>
  <si>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</si>
  <si>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</si>
  <si>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</si>
  <si>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</si>
  <si>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</si>
  <si>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</si>
  <si>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</si>
  <si>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</si>
  <si>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</si>
  <si>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</si>
  <si>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</si>
  <si>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</si>
  <si>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</si>
  <si>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</si>
  <si>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</si>
  <si>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</si>
  <si>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</si>
  <si>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</si>
  <si>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</si>
  <si>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</si>
  <si>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</si>
  <si>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</si>
  <si>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</si>
  <si>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</si>
  <si>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</si>
  <si>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</si>
  <si>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</si>
  <si>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</si>
  <si>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</si>
  <si>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</si>
  <si>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</si>
  <si>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</si>
  <si>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</si>
  <si>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</si>
  <si>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</si>
  <si>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</si>
  <si>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</si>
  <si>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</si>
  <si>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</si>
  <si>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</si>
  <si>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</si>
  <si>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</si>
  <si>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</si>
  <si>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</si>
  <si>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</si>
  <si>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</si>
  <si>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</si>
  <si>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</si>
  <si>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</si>
  <si>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</si>
  <si>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</si>
  <si>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</si>
  <si>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</si>
  <si>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</si>
  <si>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</si>
  <si>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</si>
  <si>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</si>
  <si>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</si>
  <si>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</si>
  <si>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</si>
  <si>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</si>
  <si>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</si>
  <si>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</si>
  <si>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</si>
  <si>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</si>
  <si>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</si>
  <si>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</si>
  <si>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</si>
  <si>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</si>
  <si>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</si>
  <si>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</si>
  <si>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</si>
  <si>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</si>
  <si>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</si>
  <si>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</si>
  <si>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</si>
  <si>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</si>
  <si>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</si>
  <si>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</si>
  <si>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</si>
  <si>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</si>
  <si>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</si>
  <si>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</si>
  <si>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</si>
  <si>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</si>
  <si>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</si>
  <si>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</si>
  <si>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</si>
  <si>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</si>
  <si>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</si>
  <si>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</si>
  <si>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</si>
  <si>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</si>
  <si>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</si>
  <si>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</si>
  <si>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</si>
  <si>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</si>
  <si>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</si>
  <si>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</si>
  <si>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</si>
  <si>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</si>
  <si>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</si>
  <si>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</si>
  <si>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</si>
  <si>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</si>
  <si>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</si>
  <si>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</si>
  <si>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</si>
  <si>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</si>
  <si>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</si>
  <si>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</si>
  <si>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</si>
  <si>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</si>
  <si>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</si>
  <si>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</si>
  <si>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</si>
  <si>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</si>
  <si>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</si>
  <si>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</si>
  <si>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</si>
  <si>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</si>
  <si>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</si>
  <si>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</si>
  <si>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</si>
  <si>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</si>
  <si>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</si>
  <si>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</si>
  <si>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</si>
  <si>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</si>
  <si>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</si>
  <si>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</si>
  <si>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</si>
  <si>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</si>
  <si>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</si>
  <si>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</si>
  <si>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</si>
  <si>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</si>
  <si>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</si>
  <si>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</si>
  <si>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</si>
  <si>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</si>
  <si>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</si>
  <si>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</si>
  <si>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</si>
  <si>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</si>
  <si>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</si>
  <si>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</si>
  <si>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</si>
  <si>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</si>
  <si>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</si>
  <si>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</si>
  <si>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</si>
  <si>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</si>
  <si>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</si>
  <si>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</si>
  <si>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</si>
  <si>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</si>
  <si>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</si>
  <si>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</si>
  <si>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</si>
  <si>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</si>
  <si>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</si>
  <si>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</si>
  <si>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</si>
  <si>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</si>
  <si>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</si>
  <si>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</si>
  <si>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</si>
  <si>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</si>
  <si>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</si>
  <si>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</si>
  <si>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</si>
  <si>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</si>
  <si>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</si>
  <si>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</si>
  <si>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</si>
  <si>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</si>
  <si>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</si>
  <si>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</si>
  <si>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</si>
  <si>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</si>
  <si>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</si>
  <si>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</si>
  <si>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</si>
  <si>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</si>
  <si>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</si>
  <si>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</si>
  <si>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</si>
  <si>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</si>
  <si>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</si>
  <si>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</si>
  <si>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</si>
  <si>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</si>
  <si>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</si>
  <si>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</si>
  <si>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</si>
  <si>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</si>
  <si>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</si>
  <si>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</si>
  <si>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</si>
  <si>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</si>
  <si>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</si>
  <si>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</si>
  <si>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</si>
  <si>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</si>
  <si>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</si>
  <si>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</si>
  <si>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</si>
  <si>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</si>
  <si>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</si>
  <si>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</si>
  <si>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</si>
  <si>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</si>
  <si>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</si>
  <si>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</si>
  <si>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</si>
  <si>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</si>
  <si>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</si>
  <si>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</si>
  <si>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</si>
  <si>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</si>
  <si>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</si>
  <si>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</si>
  <si>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</si>
  <si>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</si>
  <si>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</si>
  <si>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</si>
  <si>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</si>
  <si>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</si>
  <si>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</si>
  <si>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</si>
  <si>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</si>
  <si>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</si>
  <si>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</si>
  <si>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</si>
  <si>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</si>
  <si>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</si>
  <si>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</si>
  <si>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</si>
  <si>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</si>
  <si>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</si>
  <si>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</si>
  <si>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</si>
  <si>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</si>
  <si>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</si>
  <si>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</si>
  <si>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</si>
  <si>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</si>
  <si>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</si>
  <si>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</si>
  <si>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</si>
  <si>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</si>
  <si>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</si>
  <si>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</si>
  <si>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</si>
  <si>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</si>
  <si>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</si>
  <si>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</si>
  <si>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</si>
  <si>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</si>
  <si>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</si>
  <si>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</si>
  <si>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</si>
  <si>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</si>
  <si>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</si>
  <si>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</si>
  <si>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</si>
  <si>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</si>
  <si>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</si>
  <si>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</si>
  <si>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</si>
  <si>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</si>
  <si>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</si>
  <si>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</si>
  <si>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</si>
  <si>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</si>
  <si>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</si>
  <si>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</si>
  <si>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</si>
  <si>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</si>
  <si>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</si>
  <si>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</si>
  <si>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</si>
  <si>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</si>
  <si>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</si>
  <si>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</si>
  <si>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</si>
  <si>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</si>
  <si>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</si>
  <si>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</si>
  <si>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</si>
  <si>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</si>
  <si>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</si>
  <si>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</si>
  <si>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</si>
  <si>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</si>
  <si>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</si>
  <si>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</si>
  <si>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</si>
  <si>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</si>
  <si>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</si>
  <si>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</si>
  <si>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</si>
  <si>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</si>
  <si>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</si>
  <si>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</si>
  <si>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</si>
  <si>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</si>
  <si>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</si>
  <si>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</si>
  <si>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</si>
  <si>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</si>
  <si>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</si>
  <si>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</si>
  <si>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</si>
  <si>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</si>
  <si>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</si>
  <si>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</si>
  <si>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</si>
  <si>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</si>
  <si>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</si>
  <si>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</si>
  <si>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</si>
  <si>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</si>
  <si>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</si>
  <si>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</si>
  <si>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</si>
  <si>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</si>
  <si>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</si>
  <si>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</si>
  <si>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</si>
  <si>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</si>
  <si>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</si>
  <si>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</si>
  <si>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</si>
  <si>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</si>
  <si>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</si>
  <si>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</si>
  <si>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</si>
  <si>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</si>
  <si>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</si>
  <si>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</si>
  <si>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</si>
  <si>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</si>
  <si>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</si>
  <si>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</si>
  <si>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</si>
  <si>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</si>
  <si>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</si>
  <si>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</si>
  <si>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</si>
  <si>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</si>
  <si>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</si>
  <si>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</si>
  <si>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</si>
  <si>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</si>
  <si>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</si>
  <si>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</si>
  <si>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</si>
  <si>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</si>
  <si>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</si>
  <si>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</si>
  <si>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</si>
  <si>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</si>
  <si>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</si>
  <si>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</si>
  <si>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</si>
  <si>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</si>
  <si>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</si>
  <si>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</si>
  <si>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</si>
  <si>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</si>
  <si>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</si>
  <si>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</si>
  <si>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</si>
  <si>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</si>
  <si>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</si>
  <si>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</si>
  <si>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</si>
  <si>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</si>
  <si>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</si>
  <si>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</si>
  <si>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</si>
  <si>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</si>
  <si>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</si>
  <si>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</si>
  <si>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</si>
  <si>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</si>
  <si>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</si>
  <si>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</si>
  <si>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</si>
  <si>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</si>
  <si>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</si>
  <si>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</si>
  <si>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</si>
  <si>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</si>
  <si>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</si>
  <si>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</si>
  <si>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</si>
  <si>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</si>
  <si>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</si>
  <si>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</si>
  <si>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</si>
  <si>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</si>
  <si>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</si>
  <si>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</si>
  <si>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</si>
  <si>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</si>
  <si>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</si>
  <si>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</si>
  <si>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</si>
  <si>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</si>
  <si>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</si>
  <si>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</si>
  <si>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</si>
  <si>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</si>
  <si>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</si>
  <si>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</si>
  <si>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</si>
  <si>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</si>
  <si>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</si>
  <si>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</si>
  <si>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</si>
  <si>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</si>
  <si>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</si>
  <si>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</si>
  <si>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</si>
  <si>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</si>
  <si>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</si>
  <si>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</si>
  <si>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</si>
  <si>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</si>
  <si>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</si>
  <si>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</si>
  <si>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</si>
  <si>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</si>
  <si>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</si>
  <si>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</si>
  <si>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</si>
  <si>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</si>
  <si>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</si>
  <si>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</si>
  <si>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</si>
  <si>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</si>
  <si>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</si>
  <si>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</si>
  <si>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</si>
  <si>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</si>
  <si>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</si>
  <si>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</si>
  <si>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</si>
  <si>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</si>
  <si>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</si>
  <si>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</si>
  <si>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</si>
  <si>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</si>
  <si>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</si>
  <si>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</si>
  <si>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</si>
  <si>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</si>
  <si>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</si>
  <si>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</si>
  <si>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</si>
  <si>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</si>
  <si>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</si>
  <si>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</si>
  <si>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</si>
  <si>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</si>
  <si>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</si>
  <si>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</si>
  <si>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</si>
  <si>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</si>
  <si>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</si>
  <si>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</si>
  <si>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</si>
  <si>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</si>
  <si>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</si>
  <si>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</si>
  <si>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</si>
  <si>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</si>
  <si>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</si>
  <si>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</si>
  <si>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</si>
  <si>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</si>
  <si>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</si>
  <si>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</si>
  <si>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</si>
  <si>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</si>
  <si>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</si>
  <si>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</si>
  <si>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</si>
  <si>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</si>
  <si>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</si>
  <si>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</si>
  <si>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</si>
  <si>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</si>
  <si>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</si>
  <si>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</si>
  <si>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</si>
  <si>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</si>
  <si>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</si>
  <si>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</si>
  <si>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</si>
  <si>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</si>
  <si>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</si>
  <si>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</si>
  <si>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</si>
  <si>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</si>
  <si>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</si>
  <si>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</si>
  <si>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</si>
  <si>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</si>
  <si>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</si>
  <si>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</si>
  <si>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</si>
  <si>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</si>
  <si>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</si>
  <si>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</si>
  <si>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</si>
  <si>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</si>
  <si>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</si>
  <si>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</si>
  <si>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</si>
  <si>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</si>
  <si>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</si>
  <si>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</si>
  <si>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</si>
  <si>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</si>
  <si>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</si>
  <si>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</si>
  <si>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</si>
  <si>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</si>
  <si>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</si>
  <si>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</si>
  <si>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</si>
  <si>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</si>
  <si>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</si>
  <si>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</si>
  <si>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</si>
  <si>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</si>
  <si>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</si>
  <si>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</si>
  <si>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</si>
  <si>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</si>
  <si>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</si>
  <si>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</si>
  <si>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</si>
  <si>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</si>
  <si>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</si>
  <si>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</si>
  <si>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</si>
  <si>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</si>
  <si>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</si>
  <si>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</si>
  <si>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</si>
  <si>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</si>
  <si>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</si>
  <si>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</si>
  <si>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</si>
  <si>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</si>
  <si>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</si>
  <si>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</si>
  <si>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</si>
  <si>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</si>
  <si>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</si>
  <si>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</si>
  <si>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</si>
  <si>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</si>
  <si>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</si>
  <si>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</si>
  <si>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</si>
  <si>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</si>
  <si>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</si>
  <si>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</si>
  <si>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</si>
  <si>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</si>
  <si>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</si>
  <si>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</si>
  <si>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</si>
  <si>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</si>
  <si>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</si>
  <si>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</si>
  <si>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</si>
  <si>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</si>
  <si>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</si>
  <si>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</si>
  <si>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</si>
  <si>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</si>
  <si>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</si>
  <si>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</si>
  <si>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</si>
  <si>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</si>
  <si>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</si>
  <si>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</si>
  <si>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</si>
  <si>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</si>
  <si>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</si>
  <si>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</si>
  <si>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</si>
  <si>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</si>
  <si>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</si>
  <si>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</si>
  <si>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</si>
  <si>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</si>
  <si>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</si>
  <si>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</si>
  <si>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</si>
  <si>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</si>
  <si>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</si>
  <si>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</si>
  <si>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</si>
  <si>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</si>
  <si>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</si>
  <si>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</si>
  <si>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</si>
  <si>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</si>
  <si>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</si>
  <si>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</si>
  <si>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</si>
  <si>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</si>
  <si>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</si>
  <si>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</si>
  <si>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</si>
  <si>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</si>
  <si>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</si>
  <si>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</si>
  <si>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</si>
  <si>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</si>
  <si>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</si>
  <si>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</si>
  <si>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</si>
  <si>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</si>
  <si>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</si>
  <si>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</si>
  <si>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</si>
  <si>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</si>
  <si>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</si>
  <si>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</si>
  <si>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</si>
  <si>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</si>
  <si>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</si>
  <si>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</si>
  <si>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</si>
  <si>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</si>
  <si>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</si>
  <si>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</si>
  <si>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</si>
  <si>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</si>
  <si>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</si>
  <si>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</si>
  <si>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</si>
  <si>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</si>
  <si>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</si>
  <si>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</si>
  <si>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</si>
  <si>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</si>
  <si>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</si>
  <si>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</si>
  <si>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</si>
  <si>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</si>
  <si>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</si>
  <si>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</si>
  <si>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</si>
  <si>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</si>
  <si>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</si>
  <si>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</si>
  <si>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</si>
  <si>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</si>
  <si>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</si>
  <si>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</si>
  <si>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</si>
  <si>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</si>
  <si>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</si>
  <si>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</si>
  <si>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</si>
  <si>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</si>
  <si>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</si>
  <si>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</si>
  <si>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</si>
  <si>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</si>
  <si>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</si>
  <si>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</si>
  <si>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</si>
  <si>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</si>
  <si>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</si>
  <si>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</si>
  <si>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</si>
  <si>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</si>
  <si>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</si>
  <si>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</si>
  <si>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</si>
  <si>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</si>
  <si>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</si>
  <si>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</si>
  <si>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</si>
  <si>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</si>
  <si>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</si>
  <si>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</si>
  <si>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</si>
  <si>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</si>
  <si>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</si>
  <si>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</si>
  <si>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</si>
  <si>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</si>
  <si>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</si>
  <si>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</si>
  <si>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</si>
  <si>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</si>
  <si>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</si>
  <si>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</si>
  <si>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</si>
  <si>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</si>
  <si>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</si>
  <si>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</si>
  <si>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</si>
  <si>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</si>
  <si>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</si>
  <si>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</si>
  <si>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</si>
  <si>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</si>
  <si>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</si>
  <si>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</si>
  <si>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</si>
  <si>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</si>
  <si>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</si>
  <si>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</si>
  <si>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</si>
  <si>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</si>
  <si>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</si>
  <si>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</si>
  <si>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</si>
  <si>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</si>
  <si>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</si>
  <si>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</si>
  <si>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</si>
  <si>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</si>
  <si>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</si>
  <si>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</si>
  <si>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</si>
  <si>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</si>
  <si>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</si>
  <si>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</si>
  <si>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</si>
  <si>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</si>
  <si>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</si>
  <si>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</si>
  <si>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</si>
  <si>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</si>
  <si>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</si>
  <si>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</si>
  <si>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</si>
  <si>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</si>
  <si>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</si>
  <si>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</si>
  <si>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</si>
  <si>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</si>
  <si>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</si>
  <si>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</si>
  <si>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</si>
  <si>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</si>
  <si>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</si>
  <si>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</si>
  <si>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</si>
  <si>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</si>
  <si>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</si>
  <si>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</si>
  <si>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</si>
  <si>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</si>
  <si>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</si>
  <si>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</si>
  <si>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</si>
  <si>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</si>
  <si>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</si>
  <si>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</si>
  <si>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</si>
  <si>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</si>
  <si>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</si>
  <si>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</si>
  <si>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</si>
  <si>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</si>
  <si>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</si>
  <si>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</si>
  <si>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</si>
  <si>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</si>
  <si>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</si>
  <si>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</si>
  <si>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</si>
  <si>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</si>
  <si>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</si>
  <si>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</si>
  <si>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</si>
  <si>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</si>
  <si>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</si>
  <si>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</si>
  <si>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</si>
  <si>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</si>
  <si>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</si>
  <si>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</si>
  <si>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</si>
  <si>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</si>
  <si>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</si>
  <si>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</si>
  <si>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</si>
  <si>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</si>
  <si>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</si>
  <si>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</si>
  <si>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</si>
  <si>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</si>
  <si>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</si>
  <si>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</si>
  <si>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</si>
  <si>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</si>
  <si>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</si>
  <si>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</si>
  <si>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</si>
  <si>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</si>
  <si>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</si>
  <si>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</si>
  <si>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</si>
  <si>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</si>
  <si>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</si>
  <si>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</si>
  <si>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</si>
  <si>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</si>
  <si>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</si>
  <si>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</si>
  <si>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</si>
  <si>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</si>
  <si>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</si>
  <si>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</si>
  <si>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</si>
  <si>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</si>
  <si>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</si>
  <si>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</si>
  <si>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</si>
  <si>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</si>
  <si>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</si>
  <si>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</si>
  <si>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</si>
  <si>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</si>
  <si>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</si>
  <si>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</si>
  <si>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</si>
  <si>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</si>
  <si>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</si>
  <si>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</si>
  <si>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</si>
  <si>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</si>
  <si>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</si>
  <si>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</si>
  <si>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</si>
  <si>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</si>
  <si>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</si>
  <si>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</si>
  <si>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</si>
  <si>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</si>
  <si>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</si>
  <si>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</si>
  <si>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</si>
  <si>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</si>
  <si>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</si>
  <si>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</si>
  <si>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</si>
  <si>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</si>
  <si>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</si>
  <si>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</si>
  <si>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</si>
  <si>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</si>
  <si>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</si>
  <si>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</si>
  <si>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</si>
  <si>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</si>
  <si>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</si>
  <si>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</si>
  <si>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</si>
  <si>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</si>
  <si>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</si>
  <si>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</si>
  <si>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</si>
  <si>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</si>
  <si>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</si>
  <si>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</si>
  <si>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</si>
  <si>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</si>
  <si>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</si>
  <si>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</si>
  <si>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</si>
  <si>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</si>
  <si>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</si>
  <si>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</si>
  <si>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</si>
  <si>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</si>
  <si>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</si>
  <si>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</si>
  <si>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</si>
  <si>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</si>
  <si>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</si>
  <si>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</si>
  <si>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</si>
  <si>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</si>
  <si>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</si>
  <si>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</si>
  <si>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</si>
  <si>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</si>
  <si>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</si>
  <si>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</si>
  <si>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</si>
  <si>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</si>
  <si>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</si>
  <si>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</si>
  <si>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</si>
  <si>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</si>
  <si>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</si>
  <si>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</si>
  <si>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</si>
  <si>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</si>
  <si>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</si>
  <si>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</si>
  <si>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</si>
  <si>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</si>
  <si>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</si>
  <si>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</si>
  <si>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</si>
  <si>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</si>
  <si>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</si>
  <si>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</si>
  <si>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</si>
  <si>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</si>
  <si>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</si>
  <si>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</si>
  <si>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</si>
  <si>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</si>
  <si>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</si>
  <si>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</si>
  <si>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</si>
  <si>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</si>
  <si>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</si>
  <si>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</si>
  <si>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</si>
  <si>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</si>
  <si>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</si>
  <si>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</si>
  <si>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</si>
  <si>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</si>
  <si>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</si>
  <si>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</si>
  <si>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</si>
  <si>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</si>
  <si>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</si>
  <si>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</si>
  <si>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</si>
  <si>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</si>
  <si>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</si>
  <si>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</si>
  <si>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</si>
  <si>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</si>
  <si>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</si>
  <si>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</si>
  <si>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</si>
  <si>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</si>
  <si>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</si>
  <si>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</si>
  <si>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</si>
  <si>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</si>
  <si>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</si>
  <si>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</si>
  <si>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</si>
  <si>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</si>
  <si>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</si>
  <si>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</si>
  <si>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</si>
  <si>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</si>
  <si>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</si>
  <si>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</si>
  <si>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</si>
  <si>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</si>
  <si>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</si>
  <si>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</si>
  <si>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</si>
  <si>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</si>
  <si>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</si>
  <si>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</si>
  <si>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</si>
  <si>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</si>
  <si>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</si>
  <si>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</si>
  <si>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</si>
  <si>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</si>
  <si>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</si>
  <si>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</si>
  <si>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</si>
  <si>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</si>
  <si>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</si>
  <si>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</si>
  <si>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</si>
  <si>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</si>
  <si>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</si>
  <si>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</si>
  <si>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</si>
  <si>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</si>
  <si>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</si>
  <si>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</si>
  <si>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</si>
  <si>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</si>
  <si>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</si>
  <si>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</si>
  <si>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</si>
  <si>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</si>
  <si>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</si>
  <si>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</si>
  <si>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</si>
  <si>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</si>
  <si>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</si>
  <si>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</si>
  <si>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</si>
  <si>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</si>
  <si>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</si>
  <si>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</si>
  <si>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</si>
  <si>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</si>
  <si>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</si>
  <si>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</si>
  <si>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</si>
  <si>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</si>
  <si>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</si>
  <si>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</si>
  <si>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</si>
  <si>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</si>
  <si>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</si>
  <si>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</si>
  <si>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</si>
  <si>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</si>
  <si>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</si>
  <si>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</si>
  <si>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</si>
  <si>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</si>
  <si>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</si>
  <si>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</si>
  <si>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</si>
  <si>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</si>
  <si>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</si>
  <si>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</si>
  <si>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</si>
  <si>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</si>
  <si>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</si>
  <si>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</si>
  <si>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</si>
  <si>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</si>
  <si>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</si>
  <si>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</si>
  <si>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</si>
  <si>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</si>
  <si>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</si>
  <si>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</si>
  <si>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</si>
  <si>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</si>
  <si>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</si>
  <si>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</si>
  <si>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</si>
  <si>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</si>
  <si>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</si>
  <si>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</si>
  <si>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</si>
  <si>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</si>
  <si>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</si>
  <si>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</si>
  <si>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</si>
  <si>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</si>
  <si>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</si>
  <si>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</si>
  <si>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</si>
  <si>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</si>
  <si>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</si>
  <si>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</si>
  <si>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</si>
  <si>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</si>
  <si>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</si>
  <si>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</si>
  <si>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</si>
  <si>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</si>
  <si>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</si>
  <si>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</si>
  <si>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</si>
  <si>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</si>
  <si>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</si>
  <si>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</si>
  <si>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</si>
  <si>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</si>
  <si>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</si>
  <si>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</si>
  <si>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</si>
  <si>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</si>
  <si>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</si>
  <si>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</si>
  <si>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</si>
  <si>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</si>
  <si>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</si>
  <si>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</si>
  <si>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Unknown_DataTable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</si>
  <si>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</si>
  <si>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</si>
  <si>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</si>
  <si>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</si>
  <si>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</si>
  <si>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</si>
  <si>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</si>
  <si>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</si>
  <si>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</si>
  <si>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</si>
  <si>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GFX_Pad_Trigger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</si>
  <si>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</si>
  <si>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</si>
  <si>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</si>
  <si>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</si>
  <si>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</si>
  <si>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</si>
  <si>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</si>
  <si>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</si>
  <si>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</si>
  <si>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</si>
  <si>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</si>
  <si>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</si>
  <si>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GFX_Pit_Low</t>
  </si>
  <si>
    <t>GFX_Pit_High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</si>
  <si>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</si>
  <si>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</si>
  <si>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</si>
  <si>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</si>
  <si>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</si>
  <si>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</si>
  <si>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</si>
  <si>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</si>
  <si>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</si>
  <si>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</si>
  <si>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</si>
  <si>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</si>
  <si>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</si>
  <si>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</si>
  <si>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</si>
  <si>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</si>
  <si>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</si>
  <si>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</si>
  <si>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</si>
  <si>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</si>
  <si>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</si>
  <si>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</si>
  <si>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</si>
  <si>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</si>
  <si>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</si>
  <si>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</si>
  <si>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</si>
  <si>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</si>
  <si>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</si>
  <si>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</si>
  <si>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</si>
  <si>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</si>
  <si>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</si>
  <si>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</si>
  <si>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</si>
  <si>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</si>
  <si>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</si>
  <si>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</si>
  <si>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</si>
  <si>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</si>
  <si>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</si>
  <si>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</si>
  <si>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</si>
  <si>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</si>
  <si>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</si>
  <si>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</si>
  <si>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</si>
  <si>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</si>
  <si>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</si>
  <si>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</si>
  <si>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</si>
  <si>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</si>
  <si>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</si>
  <si>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</si>
  <si>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</si>
  <si>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</si>
  <si>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</si>
  <si>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</si>
  <si>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</si>
  <si>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</si>
  <si>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</si>
  <si>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</si>
  <si>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</si>
  <si>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</si>
  <si>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</si>
  <si>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</si>
  <si>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</si>
  <si>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</si>
  <si>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</si>
  <si>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</si>
  <si>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</si>
  <si>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</si>
  <si>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</si>
  <si>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</si>
  <si>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</si>
  <si>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</si>
  <si>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</si>
  <si>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</si>
  <si>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</si>
  <si>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</si>
  <si>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</si>
  <si>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</si>
  <si>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</si>
  <si>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</si>
  <si>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</si>
  <si>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</si>
  <si>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</si>
  <si>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</si>
  <si>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</si>
  <si>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</si>
  <si>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GFX_Pad_Pit_Offsets</t>
  </si>
  <si>
    <t>GFX_Pad_Trigger_Offsets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</si>
  <si>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</si>
  <si>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</si>
  <si>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</si>
  <si>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</si>
  <si>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</si>
  <si>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</si>
  <si>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</si>
  <si>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</si>
  <si>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</si>
  <si>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</si>
  <si>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</si>
  <si>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</si>
  <si>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</si>
  <si>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GFX_Pad_Pit_Low_Positions</t>
  </si>
  <si>
    <t>GFX_Pad_Trigger_Positions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</si>
  <si>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</si>
  <si>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</si>
  <si>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</si>
  <si>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</si>
  <si>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</si>
  <si>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</si>
  <si>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</si>
  <si>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</si>
  <si>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</si>
  <si>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</si>
  <si>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</si>
  <si>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</si>
  <si>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</si>
  <si>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</si>
  <si>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</si>
  <si>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</si>
  <si>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</si>
  <si>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</si>
  <si>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</si>
  <si>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</si>
  <si>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</si>
  <si>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LittleDragon_Table_Unknown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</si>
  <si>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</si>
  <si>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</si>
  <si>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</si>
  <si>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</si>
  <si>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</si>
  <si>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</si>
  <si>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</si>
  <si>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</si>
  <si>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</si>
  <si>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Unknown Floor Object Data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</si>
  <si>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</si>
  <si>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</si>
  <si>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</si>
  <si>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</si>
  <si>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</si>
  <si>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</si>
  <si>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</si>
  <si>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</si>
  <si>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</si>
  <si>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</si>
  <si>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</si>
  <si>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</si>
  <si>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</si>
  <si>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</si>
  <si>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</si>
  <si>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</si>
  <si>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Behemoth_Position</t>
  </si>
  <si>
    <t>A6AA</t>
  </si>
  <si>
    <t>New_Behemoth_Offsets</t>
  </si>
  <si>
    <t>Behemoth_Claw_Offsets</t>
  </si>
  <si>
    <t>GFX_CrabFace_Heights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</si>
  <si>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</si>
  <si>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</si>
  <si>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</si>
  <si>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</si>
  <si>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</si>
  <si>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</si>
  <si>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</si>
  <si>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</si>
  <si>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GFX_Misc_Pillar_SpriteTable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</si>
  <si>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</si>
  <si>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</si>
  <si>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</si>
  <si>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</si>
  <si>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</si>
  <si>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</si>
  <si>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</si>
  <si>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</si>
  <si>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</si>
  <si>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</si>
  <si>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</si>
  <si>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</si>
  <si>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</si>
  <si>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</si>
  <si>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</si>
  <si>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</si>
  <si>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</si>
  <si>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</si>
  <si>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</si>
  <si>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</si>
  <si>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GFX_Wall_Signs_SpriteTable_TBC</t>
  </si>
  <si>
    <t>Click_CloseCurrentPage</t>
  </si>
  <si>
    <t>Click_ObjectInInventory</t>
  </si>
  <si>
    <t>Stack_ObjectFromInventory</t>
  </si>
  <si>
    <t>Return_ObjectToInventory</t>
  </si>
  <si>
    <t>Redraw_Inventory</t>
  </si>
  <si>
    <t>Redraw_HeldItem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</si>
  <si>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</si>
  <si>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</si>
  <si>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</si>
  <si>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</si>
  <si>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</si>
  <si>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</si>
  <si>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Wear_Object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</si>
  <si>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</si>
  <si>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</si>
  <si>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</si>
  <si>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</si>
  <si>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</si>
  <si>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</si>
  <si>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</si>
  <si>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</si>
  <si>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</si>
  <si>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</si>
  <si>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</si>
  <si>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</si>
  <si>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</si>
  <si>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</si>
  <si>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</si>
  <si>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</si>
  <si>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</si>
  <si>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</si>
  <si>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</si>
  <si>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</si>
  <si>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</si>
  <si>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</si>
  <si>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</si>
  <si>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</si>
  <si>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</si>
  <si>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</si>
  <si>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</si>
  <si>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</si>
  <si>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</si>
  <si>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</si>
  <si>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</si>
  <si>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</si>
  <si>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</si>
  <si>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</si>
  <si>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</si>
  <si>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</si>
  <si>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</si>
  <si>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</si>
  <si>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</si>
  <si>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</si>
  <si>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</si>
  <si>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</si>
  <si>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</si>
  <si>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</si>
  <si>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</si>
  <si>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</si>
  <si>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</si>
  <si>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</si>
  <si>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</si>
  <si>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</si>
  <si>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</si>
  <si>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</si>
  <si>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</si>
  <si>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</si>
  <si>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</si>
  <si>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</si>
  <si>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</si>
  <si>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</si>
  <si>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</si>
  <si>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</si>
  <si>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</si>
  <si>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</si>
  <si>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</si>
  <si>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</si>
  <si>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</si>
  <si>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</si>
  <si>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</si>
  <si>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</si>
  <si>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</si>
  <si>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</si>
  <si>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</si>
  <si>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</si>
  <si>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</si>
  <si>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</si>
  <si>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</si>
  <si>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</si>
  <si>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</si>
  <si>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</si>
  <si>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</si>
  <si>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</si>
  <si>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</si>
  <si>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</si>
  <si>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</si>
  <si>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</si>
  <si>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</si>
  <si>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</si>
  <si>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</si>
  <si>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</si>
  <si>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</si>
  <si>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</si>
  <si>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</si>
  <si>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</si>
  <si>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</si>
  <si>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</si>
  <si>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</si>
  <si>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</si>
  <si>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</si>
  <si>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</si>
  <si>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</si>
  <si>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</si>
  <si>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</si>
  <si>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</si>
  <si>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</si>
  <si>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</si>
  <si>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</si>
  <si>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</si>
  <si>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</si>
  <si>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</si>
  <si>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</si>
  <si>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</si>
  <si>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</si>
  <si>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</si>
  <si>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</si>
  <si>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</si>
  <si>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</si>
  <si>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</si>
  <si>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</si>
  <si>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</si>
  <si>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</si>
  <si>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</si>
  <si>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</si>
  <si>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</si>
  <si>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</si>
  <si>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</si>
  <si>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</si>
  <si>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</si>
  <si>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</si>
  <si>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</si>
  <si>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</si>
  <si>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</si>
  <si>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</si>
  <si>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</si>
  <si>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</si>
  <si>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</si>
  <si>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</si>
  <si>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</si>
  <si>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</si>
  <si>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</si>
  <si>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</si>
  <si>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</si>
  <si>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</si>
  <si>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</si>
  <si>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</si>
  <si>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</si>
  <si>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</si>
  <si>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</si>
  <si>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</si>
  <si>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</si>
  <si>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</si>
  <si>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</si>
  <si>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</si>
  <si>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</si>
  <si>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</si>
  <si>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</si>
  <si>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</si>
  <si>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</si>
  <si>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</si>
  <si>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</si>
  <si>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</si>
  <si>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</si>
  <si>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</si>
  <si>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</si>
  <si>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</si>
  <si>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</si>
  <si>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</si>
  <si>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</si>
  <si>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</si>
  <si>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</si>
  <si>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</si>
  <si>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</si>
  <si>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</si>
  <si>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</si>
  <si>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</si>
  <si>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</si>
  <si>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</si>
  <si>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</si>
  <si>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</si>
  <si>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</si>
  <si>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</si>
  <si>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</si>
  <si>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</si>
  <si>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</si>
  <si>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</si>
  <si>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</si>
  <si>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</si>
  <si>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</si>
  <si>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</si>
  <si>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</si>
  <si>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</si>
  <si>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</si>
  <si>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</si>
  <si>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</si>
  <si>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</si>
  <si>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</si>
  <si>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</si>
  <si>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</si>
  <si>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</si>
  <si>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</si>
  <si>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</si>
  <si>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</si>
  <si>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</si>
  <si>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</si>
  <si>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</si>
  <si>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</si>
  <si>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</si>
  <si>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</si>
  <si>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</si>
  <si>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</si>
  <si>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</si>
  <si>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</si>
  <si>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</si>
  <si>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</si>
  <si>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</si>
  <si>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</si>
  <si>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</si>
  <si>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</si>
  <si>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</si>
  <si>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</si>
  <si>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</si>
  <si>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</si>
  <si>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</si>
  <si>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</si>
  <si>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</si>
  <si>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</si>
  <si>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</si>
  <si>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</si>
  <si>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</si>
  <si>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</si>
  <si>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</si>
  <si>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</si>
  <si>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</si>
  <si>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monsters/Beholder_Body.offsets</t>
  </si>
  <si>
    <t>GFX_Beholder_UpperEyes_LookupTable</t>
  </si>
  <si>
    <t>Beholder_UpperEyes.offsets</t>
  </si>
  <si>
    <t>monsters/Beholder_UpperEyes.offsets</t>
  </si>
  <si>
    <t>monsters/Beholder_CentralEye_Near.offsets</t>
  </si>
  <si>
    <t>monsters/Beholder_CentralEye_Far.offsets</t>
  </si>
  <si>
    <t>Beholder_CentralEye_Near_Front.heights</t>
  </si>
  <si>
    <t>monsters/Beholder_CentralEye_Near_Front.heights</t>
  </si>
  <si>
    <t>GFX_Beholder_CentralEye_Near_YPositions</t>
  </si>
  <si>
    <t>Beholder_CentralEye_Near_Y.positions</t>
  </si>
  <si>
    <t>monsters/Beholder_CentralEye_Near_Y.positions</t>
  </si>
  <si>
    <t>Beholder_CentralEye_Near_Side.heights</t>
  </si>
  <si>
    <t>monsters/Beholder_CentralEye_Near_Side.heights</t>
  </si>
  <si>
    <t>GFX_Beholder_CentralEye_Near_Side_Mirrored_XPositions</t>
  </si>
  <si>
    <t>Beholder_CentralEye_Near_Side_Mirrored_X.positions</t>
  </si>
  <si>
    <t>monsters/Beholder_CentralEye_Near_Side_Mirrored_X.positions</t>
  </si>
  <si>
    <t>GFX_Beholder_CentralEye_Near_Side_YPositions</t>
  </si>
  <si>
    <t>Beholder_CentralEye_Near_Side_Y.positions</t>
  </si>
  <si>
    <t>monsters/Beholder_CentralEye_Near_Side_Y.positions</t>
  </si>
  <si>
    <t>GFX_Beholder_CentralEye_Far_YPositions</t>
  </si>
  <si>
    <t>Beholder_CentralEye_Far_Y.positions</t>
  </si>
  <si>
    <t>monsters/Beholder_CentralEye_Far_Y.positions</t>
  </si>
  <si>
    <t>GFX_Beholder_CentralEye_Far_Side_Mirrored_XPositions</t>
  </si>
  <si>
    <t>Beholder_CentralEye_Far_Side_Mirrored_X.positions</t>
  </si>
  <si>
    <t>monsters/Beholder_CentralEye_Far_Side_Mirrored_X.positions</t>
  </si>
  <si>
    <t>Beholder_Body.heights</t>
  </si>
  <si>
    <t>monsters/Beholder_Body.heights</t>
  </si>
  <si>
    <t>GFX_Beholder_Composite_XPositions</t>
  </si>
  <si>
    <t>Beholder_Composite_X.positions</t>
  </si>
  <si>
    <t>monsters/Beholder_Composite_X.positions</t>
  </si>
  <si>
    <t>GFX_Beholder_Composite_YPositions</t>
  </si>
  <si>
    <t>Beholder_Composite_Y.positions</t>
  </si>
  <si>
    <t>monsters/Beholder_Composite_Y.positions</t>
  </si>
  <si>
    <t>Beholder_UpperEyes.heights</t>
  </si>
  <si>
    <t>monsters/Beholder_UpperEyes.heights</t>
  </si>
  <si>
    <t>GFX_Beholder_Near_MirroredHalf_XPositions</t>
  </si>
  <si>
    <t>Beholder_Near_MirroredHalf_X.positions</t>
  </si>
  <si>
    <t>monsters/Beholder_Near_MirroredHalf_X.positions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</si>
  <si>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</si>
  <si>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</si>
  <si>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</si>
  <si>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</si>
  <si>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</si>
  <si>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</si>
  <si>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monsters/Beholder_Body.gfx</t>
  </si>
  <si>
    <t>Beholder_UpperEyes.gfx</t>
  </si>
  <si>
    <t>monsters/Beholder_UpperEyes.gfx</t>
  </si>
  <si>
    <t>data_append</t>
  </si>
  <si>
    <t>Beholder_CentralEye_Near.gfx</t>
  </si>
  <si>
    <t>monsters/Beholder_CentralEye_Near.gfx</t>
  </si>
  <si>
    <t>$4821C</t>
  </si>
  <si>
    <t>GFX_Beholder_CentralEye_Far</t>
  </si>
  <si>
    <t>Beholder_CentralEye_Far.gfx</t>
  </si>
  <si>
    <t>monsters/Beholder_CentralEye_Far.gfx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</si>
  <si>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</si>
  <si>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</si>
  <si>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</si>
  <si>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</si>
  <si>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</si>
  <si>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</si>
  <si>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</si>
  <si>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$4AAAC</t>
  </si>
  <si>
    <t>OLD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</si>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</sst>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3" borderId="0" xfId="0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0" fillId="7" borderId="0" xfId="0" applyFill="1"/>
    <xf numFmtId="0" fontId="2" fillId="3" borderId="0" xfId="0" applyFon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</cellXfs>
  <cellStyles count="2">
    <cellStyle name="Excel Built-in Normal" xfId="1" xr:uid="{ACE51F02-8306-284E-B6CB-6CB2D79D3F1F}"/>
    <cellStyle name="Normal" xfId="0" builtinId="0"/>
  </cellStyles>
  <dxfs count="6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647"/>
  <sheetViews>
    <sheetView tabSelected="1" zoomScale="90" zoomScaleNormal="90" workbookViewId="0">
      <pane xSplit="1" ySplit="1" topLeftCell="D65" activePane="bottomRight" state="frozen"/>
      <selection pane="topRight" activeCell="B1" sqref="B1"/>
      <selection pane="bottomLeft" activeCell="A2" sqref="A2"/>
      <selection pane="bottomRight" activeCell="F101" sqref="F101"/>
    </sheetView>
  </sheetViews>
  <sheetFormatPr baseColWidth="10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10" width="14.83203125" style="6" customWidth="1"/>
    <col min="11" max="12" width="70.83203125" customWidth="1"/>
    <col min="13" max="13" width="20.5" customWidth="1"/>
    <col min="15" max="15" width="10.83203125" customWidth="1"/>
  </cols>
  <sheetData>
    <row r="1" spans="1:15" ht="32" customHeight="1" x14ac:dyDescent="0.2">
      <c r="A1" s="11" t="s">
        <v>7</v>
      </c>
      <c r="B1" s="11" t="s">
        <v>303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3668</v>
      </c>
    </row>
    <row r="2" spans="1:15" x14ac:dyDescent="0.2">
      <c r="A2" t="s">
        <v>11</v>
      </c>
      <c r="B2" t="s">
        <v>11</v>
      </c>
      <c r="C2" s="5" t="s">
        <v>8</v>
      </c>
      <c r="D2" t="s">
        <v>9</v>
      </c>
      <c r="E2" t="str">
        <f t="shared" ref="E2:E43" si="0">C2&amp;"/"&amp;D2</f>
        <v>maps/gem-tan.locations</v>
      </c>
      <c r="F2" t="s">
        <v>10</v>
      </c>
      <c r="G2" s="5">
        <f t="shared" ref="G2:G66" si="1">IF(F2&lt;&gt;"",HEX2DEC(SUBSTITUTE(SUBSTITUTE(F2,"adrEA",""),"$","")),"")</f>
        <v>22390</v>
      </c>
      <c r="H2" s="5">
        <v>24</v>
      </c>
      <c r="I2" s="6" t="str">
        <f t="shared" ref="I2:I43" si="2">IFERROR(DEC2HEX(H2),"")</f>
        <v>18</v>
      </c>
      <c r="L2" t="s">
        <v>11</v>
      </c>
      <c r="N2">
        <f>MATCH(A2,A:A,0)</f>
        <v>2</v>
      </c>
      <c r="O2">
        <f>COUNTIF(A:A,A2)</f>
        <v>1</v>
      </c>
    </row>
    <row r="3" spans="1:15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t="s">
        <v>302</v>
      </c>
      <c r="G3" s="5">
        <f t="shared" si="1"/>
        <v>22414</v>
      </c>
      <c r="H3" s="5">
        <v>24</v>
      </c>
      <c r="I3" s="6" t="str">
        <f t="shared" si="2"/>
        <v>18</v>
      </c>
      <c r="L3" t="s">
        <v>13</v>
      </c>
    </row>
    <row r="4" spans="1:15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t="s">
        <v>15</v>
      </c>
      <c r="G4" s="5">
        <f t="shared" si="1"/>
        <v>22516</v>
      </c>
      <c r="H4" s="5">
        <v>64</v>
      </c>
      <c r="I4" s="6" t="str">
        <f t="shared" si="2"/>
        <v>40</v>
      </c>
      <c r="L4" t="s">
        <v>16</v>
      </c>
    </row>
    <row r="5" spans="1:15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t="s">
        <v>18</v>
      </c>
      <c r="G5" s="5">
        <f t="shared" si="1"/>
        <v>22580</v>
      </c>
      <c r="H5" s="5">
        <v>64</v>
      </c>
      <c r="I5" s="6" t="str">
        <f t="shared" si="2"/>
        <v>40</v>
      </c>
      <c r="L5" t="s">
        <v>19</v>
      </c>
    </row>
    <row r="6" spans="1:15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t="s">
        <v>3100</v>
      </c>
      <c r="G6" s="5">
        <f t="shared" si="1"/>
        <v>22644</v>
      </c>
      <c r="H6" s="5">
        <v>64</v>
      </c>
      <c r="I6" s="6" t="str">
        <f t="shared" si="2"/>
        <v>40</v>
      </c>
      <c r="K6" t="str">
        <f t="shared" ref="K6:K15" si="3">"$"&amp;DEC2HEX(G6)</f>
        <v>$5874</v>
      </c>
      <c r="L6" t="s">
        <v>21</v>
      </c>
    </row>
    <row r="7" spans="1:15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t="s">
        <v>3101</v>
      </c>
      <c r="G7" s="5">
        <f t="shared" si="1"/>
        <v>22708</v>
      </c>
      <c r="H7" s="5">
        <v>64</v>
      </c>
      <c r="I7" s="6" t="str">
        <f t="shared" si="2"/>
        <v>40</v>
      </c>
      <c r="K7" t="str">
        <f t="shared" si="3"/>
        <v>$58B4</v>
      </c>
      <c r="L7" t="s">
        <v>23</v>
      </c>
    </row>
    <row r="8" spans="1:15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t="s">
        <v>3102</v>
      </c>
      <c r="G8" s="5">
        <f t="shared" si="1"/>
        <v>22772</v>
      </c>
      <c r="H8" s="5">
        <v>64</v>
      </c>
      <c r="I8" s="6" t="str">
        <f t="shared" si="2"/>
        <v>40</v>
      </c>
      <c r="K8" t="str">
        <f t="shared" si="3"/>
        <v>$58F4</v>
      </c>
      <c r="L8" t="s">
        <v>25</v>
      </c>
    </row>
    <row r="9" spans="1:15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t="s">
        <v>3103</v>
      </c>
      <c r="G9" s="5">
        <f t="shared" si="1"/>
        <v>22836</v>
      </c>
      <c r="H9" s="5">
        <v>64</v>
      </c>
      <c r="I9" s="6" t="str">
        <f t="shared" si="2"/>
        <v>40</v>
      </c>
      <c r="K9" t="str">
        <f t="shared" si="3"/>
        <v>$5934</v>
      </c>
      <c r="L9" t="s">
        <v>27</v>
      </c>
    </row>
    <row r="10" spans="1:15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K10" t="str">
        <f t="shared" si="3"/>
        <v>$6CD2</v>
      </c>
      <c r="L10" t="s">
        <v>30</v>
      </c>
    </row>
    <row r="11" spans="1:15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K11" t="str">
        <f t="shared" si="3"/>
        <v>$6D52</v>
      </c>
      <c r="L11" t="s">
        <v>33</v>
      </c>
    </row>
    <row r="12" spans="1:15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K12" t="str">
        <f t="shared" si="3"/>
        <v>$6DD2</v>
      </c>
      <c r="L12" t="s">
        <v>36</v>
      </c>
    </row>
    <row r="13" spans="1:15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K13" t="str">
        <f t="shared" si="3"/>
        <v>$6E52</v>
      </c>
      <c r="L13" t="s">
        <v>39</v>
      </c>
    </row>
    <row r="14" spans="1:15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K14" t="str">
        <f t="shared" si="3"/>
        <v>$6ED2</v>
      </c>
      <c r="L14" t="s">
        <v>42</v>
      </c>
    </row>
    <row r="15" spans="1:15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K15" t="str">
        <f t="shared" si="3"/>
        <v>$6F52</v>
      </c>
      <c r="L15" t="s">
        <v>45</v>
      </c>
    </row>
    <row r="16" spans="1:15" x14ac:dyDescent="0.2">
      <c r="A16" t="s">
        <v>1754</v>
      </c>
      <c r="B16" s="19" t="s">
        <v>3216</v>
      </c>
      <c r="C16" s="18" t="s">
        <v>8</v>
      </c>
      <c r="D16" s="19" t="s">
        <v>3215</v>
      </c>
      <c r="E16" s="19" t="str">
        <f t="shared" si="0"/>
        <v>maps/keep.floors</v>
      </c>
      <c r="F16" s="19" t="s">
        <v>47</v>
      </c>
      <c r="G16" s="18">
        <f t="shared" si="1"/>
        <v>28744</v>
      </c>
      <c r="H16" s="18">
        <v>2</v>
      </c>
      <c r="I16" s="6" t="str">
        <f t="shared" si="2"/>
        <v>2</v>
      </c>
      <c r="L16" t="s">
        <v>3216</v>
      </c>
    </row>
    <row r="17" spans="1:12" s="12" customFormat="1" x14ac:dyDescent="0.2">
      <c r="A17" s="12" t="s">
        <v>1755</v>
      </c>
      <c r="B17" s="19" t="s">
        <v>3217</v>
      </c>
      <c r="C17" s="18" t="s">
        <v>8</v>
      </c>
      <c r="D17" s="19" t="s">
        <v>46</v>
      </c>
      <c r="E17" s="19" t="str">
        <f t="shared" si="0"/>
        <v>maps/keep.entrances</v>
      </c>
      <c r="F17" s="19" t="s">
        <v>3219</v>
      </c>
      <c r="G17" s="18">
        <f t="shared" si="1"/>
        <v>28746</v>
      </c>
      <c r="H17" s="18">
        <v>24</v>
      </c>
      <c r="I17" s="14" t="str">
        <f t="shared" si="2"/>
        <v>18</v>
      </c>
      <c r="J17" s="14"/>
      <c r="L17" s="12" t="s">
        <v>3217</v>
      </c>
    </row>
    <row r="18" spans="1:12" x14ac:dyDescent="0.2">
      <c r="A18" t="s">
        <v>1763</v>
      </c>
      <c r="B18" t="s">
        <v>3218</v>
      </c>
      <c r="C18" s="5" t="s">
        <v>48</v>
      </c>
      <c r="D18" t="s">
        <v>49</v>
      </c>
      <c r="E18" t="str">
        <f t="shared" si="0"/>
        <v>data/tower.entrances</v>
      </c>
      <c r="F18" t="s">
        <v>50</v>
      </c>
      <c r="G18" s="5">
        <f t="shared" si="1"/>
        <v>29030</v>
      </c>
      <c r="H18" s="5">
        <v>24</v>
      </c>
      <c r="I18" s="6" t="str">
        <f t="shared" si="2"/>
        <v>18</v>
      </c>
      <c r="L18" t="s">
        <v>3218</v>
      </c>
    </row>
    <row r="19" spans="1:12" x14ac:dyDescent="0.2">
      <c r="A19" t="s">
        <v>2263</v>
      </c>
      <c r="B19" t="s">
        <v>3265</v>
      </c>
      <c r="C19" s="7" t="s">
        <v>51</v>
      </c>
      <c r="D19" t="s">
        <v>3275</v>
      </c>
      <c r="E19" t="str">
        <f t="shared" si="0"/>
        <v>monsters/illusion.palette</v>
      </c>
      <c r="F19" t="s">
        <v>52</v>
      </c>
      <c r="G19" s="5">
        <f t="shared" si="1"/>
        <v>39640</v>
      </c>
      <c r="H19" s="5">
        <v>4</v>
      </c>
      <c r="I19" s="6" t="str">
        <f t="shared" si="2"/>
        <v>4</v>
      </c>
      <c r="L19" t="s">
        <v>3265</v>
      </c>
    </row>
    <row r="20" spans="1:12" x14ac:dyDescent="0.2">
      <c r="A20" t="s">
        <v>2264</v>
      </c>
      <c r="B20" t="s">
        <v>3264</v>
      </c>
      <c r="C20" s="7" t="s">
        <v>51</v>
      </c>
      <c r="D20" t="s">
        <v>3274</v>
      </c>
      <c r="E20" t="str">
        <f t="shared" si="0"/>
        <v>monsters/monsters.palette</v>
      </c>
      <c r="F20" t="s">
        <v>53</v>
      </c>
      <c r="G20" s="5">
        <f t="shared" si="1"/>
        <v>39644</v>
      </c>
      <c r="H20" s="5">
        <v>52</v>
      </c>
      <c r="I20" s="6" t="str">
        <f t="shared" si="2"/>
        <v>34</v>
      </c>
      <c r="L20" t="s">
        <v>3264</v>
      </c>
    </row>
    <row r="21" spans="1:12" x14ac:dyDescent="0.2">
      <c r="A21" t="s">
        <v>2275</v>
      </c>
      <c r="B21" t="s">
        <v>3266</v>
      </c>
      <c r="C21" s="5" t="s">
        <v>51</v>
      </c>
      <c r="D21" t="s">
        <v>54</v>
      </c>
      <c r="E21" t="str">
        <f t="shared" si="0"/>
        <v>monsters/crab.colours</v>
      </c>
      <c r="F21" t="s">
        <v>55</v>
      </c>
      <c r="G21" s="5">
        <f t="shared" si="1"/>
        <v>39836</v>
      </c>
      <c r="H21" s="5">
        <v>8</v>
      </c>
      <c r="I21" s="6" t="str">
        <f t="shared" si="2"/>
        <v>8</v>
      </c>
      <c r="L21" t="s">
        <v>3266</v>
      </c>
    </row>
    <row r="22" spans="1:12" x14ac:dyDescent="0.2">
      <c r="A22" t="s">
        <v>2328</v>
      </c>
      <c r="B22" t="s">
        <v>3267</v>
      </c>
      <c r="C22" s="5" t="s">
        <v>51</v>
      </c>
      <c r="D22" t="s">
        <v>56</v>
      </c>
      <c r="E22" t="str">
        <f t="shared" si="0"/>
        <v>monsters/beholder.colours</v>
      </c>
      <c r="F22" s="8" t="s">
        <v>57</v>
      </c>
      <c r="G22" s="5">
        <f t="shared" si="1"/>
        <v>40488</v>
      </c>
      <c r="H22" s="5">
        <v>8</v>
      </c>
      <c r="I22" s="6" t="str">
        <f t="shared" si="2"/>
        <v>8</v>
      </c>
      <c r="L22" t="s">
        <v>3267</v>
      </c>
    </row>
    <row r="23" spans="1:12" x14ac:dyDescent="0.2">
      <c r="A23" t="s">
        <v>3110</v>
      </c>
      <c r="B23" t="s">
        <v>3268</v>
      </c>
      <c r="C23" s="5" t="s">
        <v>51</v>
      </c>
      <c r="D23" t="s">
        <v>3112</v>
      </c>
      <c r="E23" t="str">
        <f t="shared" si="0"/>
        <v>monsters/summon.colours</v>
      </c>
      <c r="F23" s="8" t="s">
        <v>3225</v>
      </c>
      <c r="G23" s="5">
        <f t="shared" si="1"/>
        <v>39476</v>
      </c>
      <c r="H23" s="5">
        <v>8</v>
      </c>
      <c r="I23" s="6" t="str">
        <f t="shared" si="2"/>
        <v>8</v>
      </c>
      <c r="L23" t="s">
        <v>3268</v>
      </c>
    </row>
    <row r="24" spans="1:12" x14ac:dyDescent="0.2">
      <c r="A24" t="s">
        <v>2364</v>
      </c>
      <c r="B24" t="s">
        <v>3269</v>
      </c>
      <c r="C24" s="5" t="s">
        <v>51</v>
      </c>
      <c r="D24" t="s">
        <v>3111</v>
      </c>
      <c r="E24" t="str">
        <f t="shared" si="0"/>
        <v>monsters/dragon.colours</v>
      </c>
      <c r="F24" s="8" t="s">
        <v>3226</v>
      </c>
      <c r="G24" s="5">
        <f t="shared" si="1"/>
        <v>40994</v>
      </c>
      <c r="H24" s="5">
        <v>8</v>
      </c>
      <c r="I24" s="6" t="str">
        <f t="shared" si="2"/>
        <v>8</v>
      </c>
      <c r="L24" t="s">
        <v>3269</v>
      </c>
    </row>
    <row r="25" spans="1:12" x14ac:dyDescent="0.2">
      <c r="A25" t="s">
        <v>2385</v>
      </c>
      <c r="B25" t="s">
        <v>3270</v>
      </c>
      <c r="C25" s="5" t="s">
        <v>51</v>
      </c>
      <c r="D25" t="s">
        <v>3113</v>
      </c>
      <c r="E25" t="str">
        <f t="shared" si="0"/>
        <v>monsters/behemoth.colours</v>
      </c>
      <c r="F25" s="8" t="s">
        <v>3227</v>
      </c>
      <c r="G25" s="5">
        <f t="shared" si="1"/>
        <v>41386</v>
      </c>
      <c r="H25" s="5">
        <v>8</v>
      </c>
      <c r="I25" s="6" t="str">
        <f t="shared" si="2"/>
        <v>8</v>
      </c>
      <c r="L25" t="s">
        <v>3270</v>
      </c>
    </row>
    <row r="26" spans="1:12" x14ac:dyDescent="0.2">
      <c r="A26" t="s">
        <v>2412</v>
      </c>
      <c r="B26" t="s">
        <v>2412</v>
      </c>
      <c r="C26" s="5" t="s">
        <v>48</v>
      </c>
      <c r="D26" t="s">
        <v>58</v>
      </c>
      <c r="E26" t="str">
        <f t="shared" si="0"/>
        <v>data/characters.bodies</v>
      </c>
      <c r="F26" t="s">
        <v>59</v>
      </c>
      <c r="G26" s="5">
        <f t="shared" si="1"/>
        <v>42008</v>
      </c>
      <c r="H26" s="5">
        <v>86</v>
      </c>
      <c r="I26" s="6" t="str">
        <f t="shared" si="2"/>
        <v>56</v>
      </c>
      <c r="L26" t="s">
        <v>2412</v>
      </c>
    </row>
    <row r="27" spans="1:12" x14ac:dyDescent="0.2">
      <c r="A27" t="s">
        <v>2420</v>
      </c>
      <c r="B27" t="s">
        <v>2420</v>
      </c>
      <c r="C27" s="5" t="s">
        <v>48</v>
      </c>
      <c r="D27" t="s">
        <v>60</v>
      </c>
      <c r="E27" t="str">
        <f t="shared" si="0"/>
        <v>data/characters.heads</v>
      </c>
      <c r="F27" t="s">
        <v>3229</v>
      </c>
      <c r="G27" s="5">
        <f t="shared" si="1"/>
        <v>42390</v>
      </c>
      <c r="H27" s="5">
        <v>86</v>
      </c>
      <c r="I27" s="6" t="str">
        <f t="shared" si="2"/>
        <v>56</v>
      </c>
      <c r="L27" t="s">
        <v>2420</v>
      </c>
    </row>
    <row r="28" spans="1:12" x14ac:dyDescent="0.2">
      <c r="A28" t="s">
        <v>2902</v>
      </c>
      <c r="B28" s="22" t="s">
        <v>3305</v>
      </c>
      <c r="C28" s="5" t="s">
        <v>48</v>
      </c>
      <c r="D28" t="s">
        <v>61</v>
      </c>
      <c r="E28" t="str">
        <f t="shared" si="0"/>
        <v>data/objectpocketicons.block</v>
      </c>
      <c r="F28" t="s">
        <v>62</v>
      </c>
      <c r="G28" s="5">
        <f t="shared" si="1"/>
        <v>57664</v>
      </c>
      <c r="H28" s="5">
        <v>438</v>
      </c>
      <c r="I28" s="6" t="str">
        <f t="shared" si="2"/>
        <v>1B6</v>
      </c>
      <c r="L28" t="s">
        <v>3305</v>
      </c>
    </row>
    <row r="29" spans="1:12" x14ac:dyDescent="0.2">
      <c r="A29" t="s">
        <v>2903</v>
      </c>
      <c r="B29" t="s">
        <v>3304</v>
      </c>
      <c r="C29" s="5" t="s">
        <v>48</v>
      </c>
      <c r="D29" t="s">
        <v>63</v>
      </c>
      <c r="E29" t="str">
        <f t="shared" si="0"/>
        <v>data/objectflooricons.block</v>
      </c>
      <c r="F29" t="s">
        <v>64</v>
      </c>
      <c r="G29" s="5">
        <f t="shared" si="1"/>
        <v>58102</v>
      </c>
      <c r="H29" s="5">
        <v>110</v>
      </c>
      <c r="I29" s="6" t="str">
        <f t="shared" si="2"/>
        <v>6E</v>
      </c>
      <c r="L29" t="s">
        <v>3304</v>
      </c>
    </row>
    <row r="30" spans="1:12" x14ac:dyDescent="0.2">
      <c r="A30" s="12" t="s">
        <v>2897</v>
      </c>
      <c r="B30" s="12" t="s">
        <v>3262</v>
      </c>
      <c r="C30" s="13" t="s">
        <v>48</v>
      </c>
      <c r="D30" s="12" t="s">
        <v>65</v>
      </c>
      <c r="E30" s="12" t="str">
        <f>C30&amp;"/"&amp;D30</f>
        <v>data/objecttext.block</v>
      </c>
      <c r="F30" s="12" t="s">
        <v>66</v>
      </c>
      <c r="G30" s="13">
        <f t="shared" si="1"/>
        <v>56986</v>
      </c>
      <c r="H30" s="13">
        <v>610</v>
      </c>
      <c r="I30" s="6" t="str">
        <f t="shared" si="2"/>
        <v>262</v>
      </c>
      <c r="L30" t="s">
        <v>3262</v>
      </c>
    </row>
    <row r="31" spans="1:12" ht="17" customHeight="1" x14ac:dyDescent="0.2">
      <c r="A31" t="s">
        <v>2905</v>
      </c>
      <c r="B31" t="s">
        <v>3271</v>
      </c>
      <c r="C31" s="5" t="s">
        <v>48</v>
      </c>
      <c r="D31" t="s">
        <v>3263</v>
      </c>
      <c r="E31" s="27" t="str">
        <f t="shared" si="0"/>
        <v>data/objectfloor.colours</v>
      </c>
      <c r="F31" t="s">
        <v>3309</v>
      </c>
      <c r="G31" s="5">
        <f t="shared" si="1"/>
        <v>58348</v>
      </c>
      <c r="H31" s="5">
        <v>110</v>
      </c>
      <c r="I31" s="6" t="str">
        <f t="shared" si="2"/>
        <v>6E</v>
      </c>
      <c r="L31" t="s">
        <v>3271</v>
      </c>
    </row>
    <row r="32" spans="1:12" x14ac:dyDescent="0.2">
      <c r="A32" t="s">
        <v>2906</v>
      </c>
      <c r="B32" t="s">
        <v>3272</v>
      </c>
      <c r="C32" s="5" t="s">
        <v>48</v>
      </c>
      <c r="D32" t="s">
        <v>3273</v>
      </c>
      <c r="E32" s="27" t="str">
        <f t="shared" si="0"/>
        <v>data/objectfloor.palette</v>
      </c>
      <c r="F32" t="s">
        <v>3308</v>
      </c>
      <c r="G32" s="5">
        <f t="shared" si="1"/>
        <v>58458</v>
      </c>
      <c r="H32" s="5">
        <v>172</v>
      </c>
      <c r="I32" s="6" t="str">
        <f t="shared" si="2"/>
        <v>AC</v>
      </c>
      <c r="L32" t="s">
        <v>3272</v>
      </c>
    </row>
    <row r="33" spans="1:12" x14ac:dyDescent="0.2">
      <c r="A33" t="s">
        <v>3056</v>
      </c>
      <c r="B33" t="s">
        <v>3056</v>
      </c>
      <c r="C33" s="5" t="s">
        <v>124</v>
      </c>
      <c r="D33" t="s">
        <v>170</v>
      </c>
      <c r="E33" s="27" t="str">
        <f>C33&amp;"/"&amp;D33</f>
        <v>gfx/ObjectsOnFloor.gfx</v>
      </c>
      <c r="F33" s="9" t="s">
        <v>3315</v>
      </c>
      <c r="G33" s="5">
        <f>IF(F33&lt;&gt;"",HEX2DEC(SUBSTITUTE(SUBSTITUTE(F33,"adrEA",""),"$","")),"")</f>
        <v>207836</v>
      </c>
      <c r="H33" s="5">
        <v>6168</v>
      </c>
      <c r="I33" s="6" t="str">
        <f>IFERROR(DEC2HEX(H33),"")</f>
        <v>1818</v>
      </c>
      <c r="L33" t="s">
        <v>3056</v>
      </c>
    </row>
    <row r="34" spans="1:12" x14ac:dyDescent="0.2">
      <c r="A34" t="s">
        <v>2907</v>
      </c>
      <c r="B34" t="s">
        <v>3210</v>
      </c>
      <c r="C34" s="5" t="s">
        <v>124</v>
      </c>
      <c r="D34" t="s">
        <v>171</v>
      </c>
      <c r="E34" s="27" t="str">
        <f>C34&amp;"/"&amp;D34</f>
        <v>gfx/ObjectsOnFloor.offsets</v>
      </c>
      <c r="F34" t="s">
        <v>3307</v>
      </c>
      <c r="G34" s="5">
        <f>IF(F34&lt;&gt;"",HEX2DEC(SUBSTITUTE(SUBSTITUTE(F34,"adrEA",""),"$","")),"")</f>
        <v>58630</v>
      </c>
      <c r="H34" s="5">
        <v>270</v>
      </c>
      <c r="I34" s="6" t="str">
        <f>IFERROR(DEC2HEX(H34),"")</f>
        <v>10E</v>
      </c>
      <c r="L34" t="s">
        <v>3210</v>
      </c>
    </row>
    <row r="35" spans="1:12" x14ac:dyDescent="0.2">
      <c r="A35" t="s">
        <v>2904</v>
      </c>
      <c r="B35" t="s">
        <v>3211</v>
      </c>
      <c r="C35" s="5" t="s">
        <v>124</v>
      </c>
      <c r="D35" t="s">
        <v>172</v>
      </c>
      <c r="E35" s="27" t="str">
        <f>C35&amp;"/"&amp;D35</f>
        <v>gfx/ObjectsOnFloor.heights</v>
      </c>
      <c r="F35" t="s">
        <v>3306</v>
      </c>
      <c r="G35" s="5">
        <f>IF(F35&lt;&gt;"",HEX2DEC(SUBSTITUTE(SUBSTITUTE(F35,"adrEA",""),"$","")),"")</f>
        <v>58212</v>
      </c>
      <c r="H35" s="5">
        <v>136</v>
      </c>
      <c r="I35" s="6" t="str">
        <f>IFERROR(DEC2HEX(H35),"")</f>
        <v>88</v>
      </c>
      <c r="L35" t="s">
        <v>3211</v>
      </c>
    </row>
    <row r="36" spans="1:12" x14ac:dyDescent="0.2">
      <c r="A36" t="s">
        <v>2920</v>
      </c>
    </row>
    <row r="37" spans="1:12" x14ac:dyDescent="0.2">
      <c r="A37" s="9" t="s">
        <v>2921</v>
      </c>
      <c r="B37" t="s">
        <v>3337</v>
      </c>
      <c r="C37" s="5" t="s">
        <v>48</v>
      </c>
      <c r="D37" t="s">
        <v>67</v>
      </c>
      <c r="E37" t="str">
        <f t="shared" si="0"/>
        <v>data/champions.stats</v>
      </c>
      <c r="F37" t="s">
        <v>68</v>
      </c>
      <c r="G37" s="5">
        <f t="shared" si="1"/>
        <v>59302</v>
      </c>
      <c r="H37" s="5">
        <v>512</v>
      </c>
      <c r="I37" s="6" t="str">
        <f t="shared" si="2"/>
        <v>200</v>
      </c>
      <c r="L37" t="s">
        <v>3337</v>
      </c>
    </row>
    <row r="38" spans="1:12" x14ac:dyDescent="0.2">
      <c r="A38" s="9" t="s">
        <v>2925</v>
      </c>
      <c r="B38" t="s">
        <v>3338</v>
      </c>
      <c r="C38" s="5" t="s">
        <v>48</v>
      </c>
      <c r="D38" t="s">
        <v>69</v>
      </c>
      <c r="E38" t="str">
        <f t="shared" si="0"/>
        <v>data/champions.pockets</v>
      </c>
      <c r="F38" t="s">
        <v>70</v>
      </c>
      <c r="G38" s="5">
        <f t="shared" si="1"/>
        <v>59814</v>
      </c>
      <c r="H38" s="5">
        <v>256</v>
      </c>
      <c r="I38" s="6" t="str">
        <f t="shared" si="2"/>
        <v>100</v>
      </c>
      <c r="L38" t="s">
        <v>3338</v>
      </c>
    </row>
    <row r="39" spans="1:12" x14ac:dyDescent="0.2">
      <c r="A39" t="s">
        <v>3036</v>
      </c>
      <c r="B39" t="s">
        <v>3222</v>
      </c>
      <c r="C39" s="5" t="s">
        <v>48</v>
      </c>
      <c r="D39" t="s">
        <v>71</v>
      </c>
      <c r="E39" t="str">
        <f t="shared" si="0"/>
        <v>data/scrolls.text</v>
      </c>
      <c r="F39" t="s">
        <v>74</v>
      </c>
      <c r="G39" s="5">
        <f t="shared" si="1"/>
        <v>106538</v>
      </c>
      <c r="H39" s="5">
        <v>3234</v>
      </c>
      <c r="I39" s="6" t="str">
        <f t="shared" si="2"/>
        <v>CA2</v>
      </c>
      <c r="L39" t="s">
        <v>3222</v>
      </c>
    </row>
    <row r="40" spans="1:12" x14ac:dyDescent="0.2">
      <c r="A40" t="s">
        <v>3035</v>
      </c>
      <c r="B40" t="s">
        <v>3221</v>
      </c>
      <c r="C40" s="5" t="s">
        <v>48</v>
      </c>
      <c r="D40" t="s">
        <v>73</v>
      </c>
      <c r="E40" t="str">
        <f t="shared" si="0"/>
        <v>data/scrolls.offsets</v>
      </c>
      <c r="F40" t="s">
        <v>72</v>
      </c>
      <c r="G40" s="5">
        <f t="shared" si="1"/>
        <v>106392</v>
      </c>
      <c r="H40" s="5">
        <v>146</v>
      </c>
      <c r="I40" s="6" t="str">
        <f t="shared" si="2"/>
        <v>92</v>
      </c>
      <c r="L40" t="s">
        <v>3221</v>
      </c>
    </row>
    <row r="41" spans="1:12" x14ac:dyDescent="0.2">
      <c r="A41" t="s">
        <v>1432</v>
      </c>
      <c r="B41" t="s">
        <v>3220</v>
      </c>
      <c r="C41" s="5" t="s">
        <v>48</v>
      </c>
      <c r="D41" t="s">
        <v>3223</v>
      </c>
      <c r="E41" t="str">
        <f>C41&amp;"/"&amp;D41</f>
        <v>data/scrollstowers.data</v>
      </c>
      <c r="F41" t="s">
        <v>3224</v>
      </c>
      <c r="G41" s="5">
        <f t="shared" si="1"/>
        <v>21966</v>
      </c>
      <c r="H41" s="5">
        <v>6</v>
      </c>
      <c r="I41" s="6" t="str">
        <f>IFERROR(DEC2HEX(H41),"")</f>
        <v>6</v>
      </c>
      <c r="L41" t="s">
        <v>3220</v>
      </c>
    </row>
    <row r="42" spans="1:12" x14ac:dyDescent="0.2">
      <c r="A42" t="s">
        <v>2984</v>
      </c>
      <c r="B42" t="s">
        <v>2984</v>
      </c>
      <c r="C42" s="5" t="s">
        <v>8</v>
      </c>
      <c r="D42" t="s">
        <v>75</v>
      </c>
      <c r="E42" t="str">
        <f t="shared" si="0"/>
        <v>maps/mod0.map</v>
      </c>
      <c r="F42" t="s">
        <v>76</v>
      </c>
      <c r="G42" s="5">
        <f t="shared" si="1"/>
        <v>60348</v>
      </c>
      <c r="H42" s="5">
        <v>4096</v>
      </c>
      <c r="I42" s="6" t="str">
        <f t="shared" si="2"/>
        <v>1000</v>
      </c>
      <c r="L42" t="s">
        <v>2984</v>
      </c>
    </row>
    <row r="43" spans="1:12" x14ac:dyDescent="0.2">
      <c r="A43" t="s">
        <v>2985</v>
      </c>
      <c r="B43" t="s">
        <v>2985</v>
      </c>
      <c r="C43" s="5" t="s">
        <v>8</v>
      </c>
      <c r="D43" t="s">
        <v>77</v>
      </c>
      <c r="E43" t="str">
        <f t="shared" si="0"/>
        <v>maps/mod0.obj</v>
      </c>
      <c r="F43" t="s">
        <v>78</v>
      </c>
      <c r="G43" s="5">
        <f t="shared" si="1"/>
        <v>64444</v>
      </c>
      <c r="H43" s="5">
        <v>1026</v>
      </c>
      <c r="I43" s="6" t="str">
        <f t="shared" si="2"/>
        <v>402</v>
      </c>
      <c r="L43" t="s">
        <v>2985</v>
      </c>
    </row>
    <row r="44" spans="1:12" x14ac:dyDescent="0.2">
      <c r="A44" t="s">
        <v>2988</v>
      </c>
      <c r="B44" t="s">
        <v>2988</v>
      </c>
      <c r="C44" s="5" t="s">
        <v>8</v>
      </c>
      <c r="D44" t="s">
        <v>79</v>
      </c>
      <c r="E44" t="str">
        <f t="shared" ref="E44:E73" si="4">C44&amp;"/"&amp;D44</f>
        <v>maps/serp.map</v>
      </c>
      <c r="F44" t="s">
        <v>80</v>
      </c>
      <c r="G44" s="5">
        <f t="shared" si="1"/>
        <v>65470</v>
      </c>
      <c r="H44" s="5">
        <v>4096</v>
      </c>
      <c r="I44" s="6" t="str">
        <f t="shared" ref="I44:I73" si="5">IFERROR(DEC2HEX(H44),"")</f>
        <v>1000</v>
      </c>
      <c r="L44" t="s">
        <v>2988</v>
      </c>
    </row>
    <row r="45" spans="1:12" x14ac:dyDescent="0.2">
      <c r="A45" t="s">
        <v>2989</v>
      </c>
      <c r="B45" t="s">
        <v>2989</v>
      </c>
      <c r="C45" s="5" t="s">
        <v>8</v>
      </c>
      <c r="D45" t="s">
        <v>81</v>
      </c>
      <c r="E45" t="str">
        <f t="shared" si="4"/>
        <v>maps/serp.obj</v>
      </c>
      <c r="F45" t="s">
        <v>82</v>
      </c>
      <c r="G45" s="5">
        <f t="shared" si="1"/>
        <v>69566</v>
      </c>
      <c r="H45" s="5">
        <v>1026</v>
      </c>
      <c r="I45" s="6" t="str">
        <f t="shared" si="5"/>
        <v>402</v>
      </c>
      <c r="L45" t="s">
        <v>2989</v>
      </c>
    </row>
    <row r="46" spans="1:12" x14ac:dyDescent="0.2">
      <c r="A46" t="s">
        <v>3344</v>
      </c>
      <c r="B46" t="s">
        <v>3109</v>
      </c>
      <c r="C46" s="5" t="s">
        <v>8</v>
      </c>
      <c r="D46" t="s">
        <v>83</v>
      </c>
      <c r="E46" t="str">
        <f t="shared" si="4"/>
        <v>maps/moon.map</v>
      </c>
      <c r="F46" t="s">
        <v>84</v>
      </c>
      <c r="G46" s="5">
        <f t="shared" si="1"/>
        <v>70592</v>
      </c>
      <c r="H46" s="5">
        <v>4096</v>
      </c>
      <c r="I46" s="6" t="str">
        <f t="shared" si="5"/>
        <v>1000</v>
      </c>
      <c r="L46" t="s">
        <v>3109</v>
      </c>
    </row>
    <row r="47" spans="1:12" x14ac:dyDescent="0.2">
      <c r="A47" t="s">
        <v>2990</v>
      </c>
      <c r="B47" t="s">
        <v>2990</v>
      </c>
      <c r="C47" s="5" t="s">
        <v>8</v>
      </c>
      <c r="D47" t="s">
        <v>85</v>
      </c>
      <c r="E47" t="str">
        <f t="shared" si="4"/>
        <v>maps/moon.obj</v>
      </c>
      <c r="F47" t="s">
        <v>86</v>
      </c>
      <c r="G47" s="5">
        <f t="shared" si="1"/>
        <v>74688</v>
      </c>
      <c r="H47" s="5">
        <v>1026</v>
      </c>
      <c r="I47" s="6" t="str">
        <f t="shared" si="5"/>
        <v>402</v>
      </c>
      <c r="L47" t="s">
        <v>2990</v>
      </c>
    </row>
    <row r="48" spans="1:12" x14ac:dyDescent="0.2">
      <c r="A48" t="s">
        <v>2991</v>
      </c>
      <c r="B48" t="s">
        <v>2991</v>
      </c>
      <c r="C48" s="5" t="s">
        <v>8</v>
      </c>
      <c r="D48" t="s">
        <v>87</v>
      </c>
      <c r="E48" t="str">
        <f t="shared" si="4"/>
        <v>maps/drag.map</v>
      </c>
      <c r="F48" t="s">
        <v>88</v>
      </c>
      <c r="G48" s="5">
        <f t="shared" si="1"/>
        <v>75714</v>
      </c>
      <c r="H48" s="5">
        <v>4096</v>
      </c>
      <c r="I48" s="6" t="str">
        <f t="shared" si="5"/>
        <v>1000</v>
      </c>
      <c r="L48" t="s">
        <v>2991</v>
      </c>
    </row>
    <row r="49" spans="1:12" x14ac:dyDescent="0.2">
      <c r="A49" t="s">
        <v>2992</v>
      </c>
      <c r="B49" t="s">
        <v>2992</v>
      </c>
      <c r="C49" s="5" t="s">
        <v>8</v>
      </c>
      <c r="D49" t="s">
        <v>89</v>
      </c>
      <c r="E49" t="str">
        <f t="shared" si="4"/>
        <v>maps/drag.obj</v>
      </c>
      <c r="F49" t="s">
        <v>90</v>
      </c>
      <c r="G49" s="5">
        <f t="shared" si="1"/>
        <v>79810</v>
      </c>
      <c r="H49" s="5">
        <v>1026</v>
      </c>
      <c r="I49" s="6" t="str">
        <f t="shared" si="5"/>
        <v>402</v>
      </c>
      <c r="L49" t="s">
        <v>2992</v>
      </c>
    </row>
    <row r="50" spans="1:12" x14ac:dyDescent="0.2">
      <c r="A50" t="s">
        <v>2993</v>
      </c>
      <c r="B50" t="s">
        <v>2993</v>
      </c>
      <c r="C50" s="5" t="s">
        <v>8</v>
      </c>
      <c r="D50" t="s">
        <v>91</v>
      </c>
      <c r="E50" t="str">
        <f t="shared" si="4"/>
        <v>maps/chaos.map</v>
      </c>
      <c r="F50" t="s">
        <v>92</v>
      </c>
      <c r="G50" s="5">
        <f t="shared" si="1"/>
        <v>80836</v>
      </c>
      <c r="H50" s="5">
        <v>4096</v>
      </c>
      <c r="I50" s="6" t="str">
        <f t="shared" si="5"/>
        <v>1000</v>
      </c>
      <c r="L50" t="s">
        <v>2993</v>
      </c>
    </row>
    <row r="51" spans="1:12" x14ac:dyDescent="0.2">
      <c r="A51" t="s">
        <v>2994</v>
      </c>
      <c r="B51" t="s">
        <v>2994</v>
      </c>
      <c r="C51" s="5" t="s">
        <v>8</v>
      </c>
      <c r="D51" t="s">
        <v>93</v>
      </c>
      <c r="E51" t="str">
        <f t="shared" si="4"/>
        <v>maps/chaos.obj</v>
      </c>
      <c r="F51" t="s">
        <v>94</v>
      </c>
      <c r="G51" s="5">
        <f t="shared" si="1"/>
        <v>84932</v>
      </c>
      <c r="H51" s="5">
        <v>1026</v>
      </c>
      <c r="I51" s="6" t="str">
        <f t="shared" si="5"/>
        <v>402</v>
      </c>
      <c r="L51" t="s">
        <v>2994</v>
      </c>
    </row>
    <row r="52" spans="1:12" x14ac:dyDescent="0.2">
      <c r="A52" t="s">
        <v>2995</v>
      </c>
      <c r="B52" t="s">
        <v>2995</v>
      </c>
      <c r="C52" s="5" t="s">
        <v>8</v>
      </c>
      <c r="D52" t="s">
        <v>95</v>
      </c>
      <c r="E52" t="str">
        <f t="shared" si="4"/>
        <v>maps/zendik.map</v>
      </c>
      <c r="F52" t="s">
        <v>96</v>
      </c>
      <c r="G52" s="5">
        <f t="shared" si="1"/>
        <v>85958</v>
      </c>
      <c r="H52" s="5">
        <v>4096</v>
      </c>
      <c r="I52" s="6" t="str">
        <f t="shared" si="5"/>
        <v>1000</v>
      </c>
      <c r="L52" t="s">
        <v>2995</v>
      </c>
    </row>
    <row r="53" spans="1:12" x14ac:dyDescent="0.2">
      <c r="A53" t="s">
        <v>2996</v>
      </c>
      <c r="B53" t="s">
        <v>2996</v>
      </c>
      <c r="C53" s="5" t="s">
        <v>8</v>
      </c>
      <c r="D53" t="s">
        <v>97</v>
      </c>
      <c r="E53" t="str">
        <f t="shared" si="4"/>
        <v>maps/zendik.obj</v>
      </c>
      <c r="F53" t="s">
        <v>98</v>
      </c>
      <c r="G53" s="5">
        <f t="shared" si="1"/>
        <v>90054</v>
      </c>
      <c r="H53" s="5">
        <v>1026</v>
      </c>
      <c r="I53" s="6" t="str">
        <f t="shared" si="5"/>
        <v>402</v>
      </c>
      <c r="L53" t="s">
        <v>2996</v>
      </c>
    </row>
    <row r="54" spans="1:12" s="12" customFormat="1" x14ac:dyDescent="0.2">
      <c r="A54" s="12" t="s">
        <v>3011</v>
      </c>
      <c r="B54" s="12" t="s">
        <v>3011</v>
      </c>
      <c r="C54" s="13" t="s">
        <v>8</v>
      </c>
      <c r="D54" s="12" t="s">
        <v>99</v>
      </c>
      <c r="E54" s="12" t="str">
        <f t="shared" si="4"/>
        <v>maps/monsters.totals</v>
      </c>
      <c r="F54" s="12" t="s">
        <v>100</v>
      </c>
      <c r="G54" s="13">
        <f t="shared" si="1"/>
        <v>94708</v>
      </c>
      <c r="H54" s="13">
        <v>12</v>
      </c>
      <c r="I54" s="14" t="str">
        <f t="shared" si="5"/>
        <v>C</v>
      </c>
      <c r="J54" s="14" t="s">
        <v>3681</v>
      </c>
      <c r="L54" s="12" t="s">
        <v>3011</v>
      </c>
    </row>
    <row r="55" spans="1:12" ht="17" x14ac:dyDescent="0.25">
      <c r="A55" s="12" t="s">
        <v>3011</v>
      </c>
      <c r="B55" s="9" t="s">
        <v>3682</v>
      </c>
      <c r="C55" s="5" t="s">
        <v>8</v>
      </c>
      <c r="D55" t="s">
        <v>101</v>
      </c>
      <c r="E55" t="str">
        <f t="shared" si="4"/>
        <v>maps/mod0.monstercount</v>
      </c>
      <c r="F55" t="s">
        <v>100</v>
      </c>
      <c r="G55" s="5">
        <f t="shared" si="1"/>
        <v>94708</v>
      </c>
      <c r="H55" s="5">
        <v>2</v>
      </c>
      <c r="I55" s="6" t="str">
        <f t="shared" si="5"/>
        <v>2</v>
      </c>
      <c r="J55" s="26" t="s">
        <v>3667</v>
      </c>
    </row>
    <row r="56" spans="1:12" ht="17" x14ac:dyDescent="0.25">
      <c r="A56" s="12" t="s">
        <v>3011</v>
      </c>
      <c r="B56" s="9" t="s">
        <v>3683</v>
      </c>
      <c r="C56" s="5" t="s">
        <v>8</v>
      </c>
      <c r="D56" t="s">
        <v>102</v>
      </c>
      <c r="E56" t="str">
        <f t="shared" si="4"/>
        <v>maps/serp.monstercount</v>
      </c>
      <c r="F56" t="s">
        <v>103</v>
      </c>
      <c r="G56" s="5">
        <f t="shared" si="1"/>
        <v>94710</v>
      </c>
      <c r="H56" s="5">
        <v>2</v>
      </c>
      <c r="I56" s="6" t="str">
        <f t="shared" si="5"/>
        <v>2</v>
      </c>
      <c r="J56" s="26" t="s">
        <v>3674</v>
      </c>
    </row>
    <row r="57" spans="1:12" ht="17" x14ac:dyDescent="0.25">
      <c r="A57" s="12" t="s">
        <v>3011</v>
      </c>
      <c r="B57" s="9" t="s">
        <v>3684</v>
      </c>
      <c r="C57" s="5" t="s">
        <v>8</v>
      </c>
      <c r="D57" t="s">
        <v>104</v>
      </c>
      <c r="E57" t="str">
        <f t="shared" si="4"/>
        <v>maps/moon.monstercount</v>
      </c>
      <c r="F57" t="s">
        <v>105</v>
      </c>
      <c r="G57" s="5">
        <f t="shared" si="1"/>
        <v>94712</v>
      </c>
      <c r="H57" s="5">
        <v>2</v>
      </c>
      <c r="I57" s="6" t="str">
        <f t="shared" si="5"/>
        <v>2</v>
      </c>
      <c r="J57" s="26" t="s">
        <v>3674</v>
      </c>
    </row>
    <row r="58" spans="1:12" ht="17" x14ac:dyDescent="0.25">
      <c r="A58" s="12" t="s">
        <v>3011</v>
      </c>
      <c r="B58" s="9" t="s">
        <v>3685</v>
      </c>
      <c r="C58" s="5" t="s">
        <v>8</v>
      </c>
      <c r="D58" t="s">
        <v>106</v>
      </c>
      <c r="E58" t="str">
        <f t="shared" si="4"/>
        <v>maps/drag.monstercount</v>
      </c>
      <c r="F58" t="s">
        <v>107</v>
      </c>
      <c r="G58" s="5">
        <f t="shared" si="1"/>
        <v>94714</v>
      </c>
      <c r="H58" s="5">
        <v>2</v>
      </c>
      <c r="I58" s="6" t="str">
        <f t="shared" si="5"/>
        <v>2</v>
      </c>
      <c r="J58" s="26" t="s">
        <v>3674</v>
      </c>
    </row>
    <row r="59" spans="1:12" ht="17" x14ac:dyDescent="0.25">
      <c r="A59" s="12" t="s">
        <v>3011</v>
      </c>
      <c r="B59" s="9" t="s">
        <v>3686</v>
      </c>
      <c r="C59" s="5" t="s">
        <v>8</v>
      </c>
      <c r="D59" t="s">
        <v>108</v>
      </c>
      <c r="E59" t="str">
        <f t="shared" si="4"/>
        <v>maps/chaos.monstercount</v>
      </c>
      <c r="F59" t="s">
        <v>109</v>
      </c>
      <c r="G59" s="5">
        <f t="shared" si="1"/>
        <v>94716</v>
      </c>
      <c r="H59" s="5">
        <v>2</v>
      </c>
      <c r="I59" s="6" t="str">
        <f t="shared" si="5"/>
        <v>2</v>
      </c>
      <c r="J59" s="26" t="s">
        <v>3674</v>
      </c>
    </row>
    <row r="60" spans="1:12" ht="17" x14ac:dyDescent="0.25">
      <c r="A60" s="12" t="s">
        <v>3011</v>
      </c>
      <c r="B60" s="9" t="s">
        <v>3687</v>
      </c>
      <c r="C60" s="5" t="s">
        <v>8</v>
      </c>
      <c r="D60" t="s">
        <v>110</v>
      </c>
      <c r="E60" t="str">
        <f t="shared" si="4"/>
        <v>maps/zendik.monstercount</v>
      </c>
      <c r="F60" t="s">
        <v>111</v>
      </c>
      <c r="G60" s="5">
        <f t="shared" si="1"/>
        <v>94718</v>
      </c>
      <c r="H60" s="5">
        <v>2</v>
      </c>
      <c r="I60" s="6" t="str">
        <f t="shared" si="5"/>
        <v>2</v>
      </c>
      <c r="J60" s="26" t="s">
        <v>3674</v>
      </c>
    </row>
    <row r="61" spans="1:12" x14ac:dyDescent="0.2">
      <c r="A61" t="s">
        <v>3012</v>
      </c>
      <c r="B61" s="9"/>
      <c r="C61" s="5" t="s">
        <v>8</v>
      </c>
      <c r="D61" t="s">
        <v>112</v>
      </c>
      <c r="E61" t="str">
        <f t="shared" si="4"/>
        <v>maps/mod0.monsters</v>
      </c>
      <c r="F61" t="s">
        <v>113</v>
      </c>
      <c r="G61" s="5">
        <f t="shared" si="1"/>
        <v>94720</v>
      </c>
      <c r="H61" s="5">
        <v>768</v>
      </c>
      <c r="I61" s="6" t="str">
        <f t="shared" si="5"/>
        <v>300</v>
      </c>
    </row>
    <row r="62" spans="1:12" x14ac:dyDescent="0.2">
      <c r="A62" s="12" t="s">
        <v>3343</v>
      </c>
      <c r="B62" s="9"/>
      <c r="C62" s="5" t="s">
        <v>8</v>
      </c>
      <c r="D62" t="s">
        <v>114</v>
      </c>
      <c r="E62" t="str">
        <f t="shared" si="4"/>
        <v>maps/serp.monsters</v>
      </c>
      <c r="F62" t="s">
        <v>115</v>
      </c>
      <c r="G62" s="5">
        <f t="shared" si="1"/>
        <v>95488</v>
      </c>
      <c r="H62" s="5">
        <v>768</v>
      </c>
      <c r="I62" s="6" t="str">
        <f t="shared" si="5"/>
        <v>300</v>
      </c>
    </row>
    <row r="63" spans="1:12" x14ac:dyDescent="0.2">
      <c r="A63" s="12" t="s">
        <v>3343</v>
      </c>
      <c r="B63" s="9"/>
      <c r="C63" s="5" t="s">
        <v>8</v>
      </c>
      <c r="D63" t="s">
        <v>116</v>
      </c>
      <c r="E63" t="str">
        <f t="shared" si="4"/>
        <v>maps/moon.monsters</v>
      </c>
      <c r="F63" t="s">
        <v>117</v>
      </c>
      <c r="G63" s="5">
        <f t="shared" si="1"/>
        <v>96256</v>
      </c>
      <c r="H63" s="5">
        <v>768</v>
      </c>
      <c r="I63" s="6" t="str">
        <f t="shared" si="5"/>
        <v>300</v>
      </c>
    </row>
    <row r="64" spans="1:12" x14ac:dyDescent="0.2">
      <c r="A64" s="12" t="s">
        <v>3343</v>
      </c>
      <c r="B64" s="9"/>
      <c r="C64" s="5" t="s">
        <v>8</v>
      </c>
      <c r="D64" t="s">
        <v>118</v>
      </c>
      <c r="E64" t="str">
        <f t="shared" si="4"/>
        <v>maps/drag.monsters</v>
      </c>
      <c r="F64" t="s">
        <v>119</v>
      </c>
      <c r="G64" s="5">
        <f t="shared" si="1"/>
        <v>97024</v>
      </c>
      <c r="H64" s="5">
        <v>768</v>
      </c>
      <c r="I64" s="6" t="str">
        <f t="shared" si="5"/>
        <v>300</v>
      </c>
    </row>
    <row r="65" spans="1:17" x14ac:dyDescent="0.2">
      <c r="A65" s="12" t="s">
        <v>3343</v>
      </c>
      <c r="B65" s="9"/>
      <c r="C65" s="5" t="s">
        <v>8</v>
      </c>
      <c r="D65" t="s">
        <v>120</v>
      </c>
      <c r="E65" t="str">
        <f t="shared" si="4"/>
        <v>maps/chaos.monsters</v>
      </c>
      <c r="F65" t="s">
        <v>121</v>
      </c>
      <c r="G65" s="5">
        <f t="shared" si="1"/>
        <v>97792</v>
      </c>
      <c r="H65" s="5">
        <v>768</v>
      </c>
      <c r="I65" s="6" t="str">
        <f t="shared" si="5"/>
        <v>300</v>
      </c>
    </row>
    <row r="66" spans="1:17" x14ac:dyDescent="0.2">
      <c r="A66" s="12" t="s">
        <v>3343</v>
      </c>
      <c r="B66" s="9"/>
      <c r="C66" s="5" t="s">
        <v>8</v>
      </c>
      <c r="D66" t="s">
        <v>122</v>
      </c>
      <c r="E66" t="str">
        <f t="shared" si="4"/>
        <v>maps/zendik.monsters</v>
      </c>
      <c r="F66" t="s">
        <v>123</v>
      </c>
      <c r="G66" s="5">
        <f t="shared" si="1"/>
        <v>98816</v>
      </c>
      <c r="H66" s="5">
        <v>768</v>
      </c>
      <c r="I66" s="6" t="str">
        <f t="shared" si="5"/>
        <v>300</v>
      </c>
    </row>
    <row r="67" spans="1:17" x14ac:dyDescent="0.2">
      <c r="A67" t="s">
        <v>314</v>
      </c>
      <c r="B67" t="s">
        <v>125</v>
      </c>
      <c r="C67" s="5" t="s">
        <v>124</v>
      </c>
      <c r="D67" t="s">
        <v>125</v>
      </c>
      <c r="E67" t="str">
        <f t="shared" si="4"/>
        <v>gfx/GameFont</v>
      </c>
      <c r="F67" t="s">
        <v>315</v>
      </c>
      <c r="G67" s="5">
        <f>IF(F67&lt;&gt;"",HEX2DEC(SUBSTITUTE(SUBSTITUTE(F67,"adrEA",""),"$","")),"")</f>
        <v>100602</v>
      </c>
      <c r="H67" s="5">
        <v>640</v>
      </c>
      <c r="I67" s="6" t="str">
        <f t="shared" si="5"/>
        <v>280</v>
      </c>
      <c r="K67" t="str">
        <f>RIGHT(F67,5)</f>
        <v>188FA</v>
      </c>
      <c r="L67" t="s">
        <v>125</v>
      </c>
      <c r="M67">
        <f>HEX2DEC(K67)</f>
        <v>100602</v>
      </c>
      <c r="N67">
        <f t="shared" ref="N67:N73" si="6">M68-M67</f>
        <v>640</v>
      </c>
    </row>
    <row r="68" spans="1:17" x14ac:dyDescent="0.2">
      <c r="A68" t="s">
        <v>3025</v>
      </c>
      <c r="B68" t="s">
        <v>3204</v>
      </c>
      <c r="C68" s="5" t="s">
        <v>124</v>
      </c>
      <c r="D68" t="s">
        <v>126</v>
      </c>
      <c r="E68" t="str">
        <f t="shared" si="4"/>
        <v>gfx/ButtonHighlights.gfx</v>
      </c>
      <c r="F68" t="s">
        <v>3231</v>
      </c>
      <c r="G68" s="5">
        <f>IF(F68&lt;&gt;"",HEX2DEC(SUBSTITUTE(SUBSTITUTE(F68,"adrEA",""),"$","")),"")</f>
        <v>101242</v>
      </c>
      <c r="H68" s="5" t="s">
        <v>127</v>
      </c>
      <c r="I68" s="6" t="str">
        <f t="shared" si="5"/>
        <v>2C0</v>
      </c>
      <c r="K68" t="str">
        <f t="shared" ref="K68:K73" si="7">DEC2HEX(G67+H67)</f>
        <v>18B7A</v>
      </c>
      <c r="L68" t="s">
        <v>3204</v>
      </c>
      <c r="M68">
        <f>HEX2DEC(K68)</f>
        <v>101242</v>
      </c>
      <c r="N68">
        <f t="shared" si="6"/>
        <v>704</v>
      </c>
      <c r="P68" t="str">
        <f t="shared" ref="P68:P73" si="8">DEC2HEX(M67+N67)</f>
        <v>18B7A</v>
      </c>
      <c r="Q68" t="s">
        <v>3230</v>
      </c>
    </row>
    <row r="69" spans="1:17" x14ac:dyDescent="0.2">
      <c r="A69" t="s">
        <v>3026</v>
      </c>
      <c r="B69" t="s">
        <v>3205</v>
      </c>
      <c r="C69" s="5" t="s">
        <v>124</v>
      </c>
      <c r="D69" t="s">
        <v>128</v>
      </c>
      <c r="E69" t="str">
        <f t="shared" si="4"/>
        <v>gfx/Scroll_Edge_Top.gfx</v>
      </c>
      <c r="F69" t="s">
        <v>3232</v>
      </c>
      <c r="G69" s="5">
        <f>IF(F69&lt;&gt;"",HEX2DEC(SUBSTITUTE(SUBSTITUTE(F69,"adrEA",""),"$","")),"")</f>
        <v>101946</v>
      </c>
      <c r="H69" s="5" t="s">
        <v>129</v>
      </c>
      <c r="I69" s="6" t="str">
        <f t="shared" si="5"/>
        <v>2D0</v>
      </c>
      <c r="K69" t="str">
        <f t="shared" si="7"/>
        <v>18E3A</v>
      </c>
      <c r="L69" t="s">
        <v>3205</v>
      </c>
      <c r="M69">
        <f>HEX2DEC(K69)</f>
        <v>101946</v>
      </c>
      <c r="N69">
        <f t="shared" si="6"/>
        <v>720</v>
      </c>
      <c r="P69" t="str">
        <f t="shared" si="8"/>
        <v>18E3A</v>
      </c>
    </row>
    <row r="70" spans="1:17" x14ac:dyDescent="0.2">
      <c r="A70" t="s">
        <v>3027</v>
      </c>
      <c r="B70" t="s">
        <v>3207</v>
      </c>
      <c r="C70" s="5" t="s">
        <v>124</v>
      </c>
      <c r="D70" t="s">
        <v>130</v>
      </c>
      <c r="E70" t="str">
        <f t="shared" si="4"/>
        <v>gfx/Scroll_Edge_Bottom.gfx</v>
      </c>
      <c r="F70" t="s">
        <v>3233</v>
      </c>
      <c r="G70" s="5">
        <f>IF(F70&lt;&gt;"",HEX2DEC(SUBSTITUTE(SUBSTITUTE(F70,"adrEA",""),"$","")),"")</f>
        <v>102666</v>
      </c>
      <c r="H70" s="5" t="s">
        <v>129</v>
      </c>
      <c r="I70" s="6" t="str">
        <f t="shared" si="5"/>
        <v>2D0</v>
      </c>
      <c r="K70" t="str">
        <f t="shared" si="7"/>
        <v>1910A</v>
      </c>
      <c r="L70" t="s">
        <v>3207</v>
      </c>
      <c r="M70">
        <f>HEX2DEC(K70)</f>
        <v>102666</v>
      </c>
      <c r="N70">
        <f t="shared" si="6"/>
        <v>1620</v>
      </c>
      <c r="P70" t="str">
        <f t="shared" si="8"/>
        <v>1910A</v>
      </c>
    </row>
    <row r="71" spans="1:17" x14ac:dyDescent="0.2">
      <c r="A71" t="s">
        <v>3028</v>
      </c>
      <c r="B71" t="s">
        <v>3206</v>
      </c>
      <c r="C71" s="5" t="s">
        <v>124</v>
      </c>
      <c r="D71" t="s">
        <v>131</v>
      </c>
      <c r="E71" t="str">
        <f t="shared" si="4"/>
        <v>gfx/Scroll_Edge_Left.gfx</v>
      </c>
      <c r="F71" t="s">
        <v>3234</v>
      </c>
      <c r="G71" s="5">
        <f>IF(F71&lt;&gt;"",HEX2DEC(SUBSTITUTE(SUBSTITUTE(F71,"adrEA",""),"$","")),"")</f>
        <v>103386</v>
      </c>
      <c r="H71" s="5" t="s">
        <v>132</v>
      </c>
      <c r="I71" s="6" t="str">
        <f t="shared" si="5"/>
        <v>1D0</v>
      </c>
      <c r="K71" t="str">
        <f t="shared" si="7"/>
        <v>193DA</v>
      </c>
      <c r="L71" t="s">
        <v>3206</v>
      </c>
      <c r="M71">
        <f>HEX2DEC(RIGHT(A71,5))</f>
        <v>104286</v>
      </c>
      <c r="N71">
        <f t="shared" si="6"/>
        <v>464</v>
      </c>
      <c r="P71" t="str">
        <f t="shared" si="8"/>
        <v>1975E</v>
      </c>
    </row>
    <row r="72" spans="1:17" x14ac:dyDescent="0.2">
      <c r="A72" t="s">
        <v>3029</v>
      </c>
      <c r="B72" t="s">
        <v>3208</v>
      </c>
      <c r="C72" s="5" t="s">
        <v>124</v>
      </c>
      <c r="D72" t="s">
        <v>133</v>
      </c>
      <c r="E72" t="str">
        <f t="shared" si="4"/>
        <v>gfx/Scroll_Edge_Right.gfx</v>
      </c>
      <c r="F72" t="s">
        <v>3235</v>
      </c>
      <c r="G72" s="5">
        <f>G71+H71</f>
        <v>103850</v>
      </c>
      <c r="H72" s="5">
        <v>720</v>
      </c>
      <c r="I72" s="6" t="str">
        <f t="shared" si="5"/>
        <v>2D0</v>
      </c>
      <c r="K72" t="str">
        <f t="shared" si="7"/>
        <v>195AA</v>
      </c>
      <c r="L72" t="s">
        <v>3208</v>
      </c>
      <c r="M72">
        <f>HEX2DEC(RIGHT(A72,5))</f>
        <v>104750</v>
      </c>
      <c r="N72">
        <f t="shared" si="6"/>
        <v>720</v>
      </c>
      <c r="P72" t="str">
        <f t="shared" si="8"/>
        <v>1992E</v>
      </c>
    </row>
    <row r="73" spans="1:17" x14ac:dyDescent="0.2">
      <c r="A73" t="s">
        <v>3030</v>
      </c>
      <c r="B73" t="s">
        <v>3209</v>
      </c>
      <c r="C73" s="5" t="s">
        <v>124</v>
      </c>
      <c r="D73" t="s">
        <v>134</v>
      </c>
      <c r="E73" t="str">
        <f t="shared" si="4"/>
        <v>gfx/Shield_Clicked.gfx</v>
      </c>
      <c r="F73" t="s">
        <v>3236</v>
      </c>
      <c r="G73" s="5">
        <f>G72+H72</f>
        <v>104570</v>
      </c>
      <c r="H73" s="5" t="s">
        <v>135</v>
      </c>
      <c r="I73" s="6" t="str">
        <f t="shared" si="5"/>
        <v>290</v>
      </c>
      <c r="K73" t="str">
        <f t="shared" si="7"/>
        <v>1987A</v>
      </c>
      <c r="L73" t="s">
        <v>3209</v>
      </c>
      <c r="M73">
        <f>HEX2DEC(RIGHT(A73,5))</f>
        <v>105470</v>
      </c>
      <c r="N73">
        <f t="shared" si="6"/>
        <v>5202</v>
      </c>
      <c r="P73" t="str">
        <f t="shared" si="8"/>
        <v>19BFE</v>
      </c>
    </row>
    <row r="74" spans="1:17" x14ac:dyDescent="0.2">
      <c r="A74" t="s">
        <v>3037</v>
      </c>
      <c r="B74" t="s">
        <v>3170</v>
      </c>
      <c r="C74" s="5" t="s">
        <v>124</v>
      </c>
      <c r="D74" t="s">
        <v>137</v>
      </c>
      <c r="E74" t="str">
        <f>C74&amp;"/"&amp;D74</f>
        <v>gfx/Main_Walls.gfx</v>
      </c>
      <c r="F74" t="s">
        <v>138</v>
      </c>
      <c r="G74" s="5">
        <f>IF(F74&lt;&gt;"",HEX2DEC(SUBSTITUTE(SUBSTITUTE(F74,"adrEA",""),"$","")),"")</f>
        <v>109772</v>
      </c>
      <c r="H74" s="5">
        <v>18736</v>
      </c>
      <c r="I74" s="6" t="str">
        <f>IFERROR(DEC2HEX(H74),"")</f>
        <v>4930</v>
      </c>
      <c r="K74" t="str">
        <f>RIGHT(A74,5)</f>
        <v>1B050</v>
      </c>
      <c r="L74" t="s">
        <v>3170</v>
      </c>
      <c r="M74">
        <f t="shared" ref="M74" si="9">HEX2DEC(K74)</f>
        <v>110672</v>
      </c>
    </row>
    <row r="75" spans="1:17" x14ac:dyDescent="0.2">
      <c r="A75" t="s">
        <v>3038</v>
      </c>
      <c r="B75" t="s">
        <v>3193</v>
      </c>
      <c r="C75" s="5" t="s">
        <v>124</v>
      </c>
      <c r="D75" t="s">
        <v>139</v>
      </c>
      <c r="E75" t="str">
        <f>C75&amp;"/"&amp;D75</f>
        <v>gfx/Wooden_Wall.gfx</v>
      </c>
      <c r="F75" t="s">
        <v>140</v>
      </c>
      <c r="G75" s="5">
        <f>IF(F75&lt;&gt;"",HEX2DEC(SUBSTITUTE(SUBSTITUTE(F75,"adrEA",""),"$","")),"")</f>
        <v>128508</v>
      </c>
      <c r="H75" s="5">
        <v>18736</v>
      </c>
      <c r="I75" s="6" t="str">
        <f>IFERROR(DEC2HEX(H75),"")</f>
        <v>4930</v>
      </c>
      <c r="L75" t="s">
        <v>3193</v>
      </c>
    </row>
    <row r="76" spans="1:17" x14ac:dyDescent="0.2">
      <c r="A76" t="s">
        <v>3039</v>
      </c>
      <c r="B76" t="s">
        <v>3171</v>
      </c>
      <c r="C76" s="5" t="s">
        <v>124</v>
      </c>
      <c r="D76" t="s">
        <v>141</v>
      </c>
      <c r="E76" t="str">
        <f>C76&amp;"/"&amp;D76</f>
        <v>gfx/Wooden_Doors.gfx</v>
      </c>
      <c r="F76" t="s">
        <v>142</v>
      </c>
      <c r="G76" s="5">
        <f t="shared" ref="G76" si="10">IF(F76&lt;&gt;"",HEX2DEC(SUBSTITUTE(SUBSTITUTE(F76,"adrEA",""),"$","")),"")</f>
        <v>147244</v>
      </c>
      <c r="H76" s="5">
        <v>4576</v>
      </c>
      <c r="I76" s="6" t="str">
        <f>IFERROR(DEC2HEX(H76),"")</f>
        <v>11E0</v>
      </c>
      <c r="L76" t="s">
        <v>3171</v>
      </c>
    </row>
    <row r="77" spans="1:17" x14ac:dyDescent="0.2">
      <c r="A77" t="s">
        <v>3040</v>
      </c>
      <c r="B77" t="s">
        <v>3179</v>
      </c>
      <c r="C77" s="5" t="s">
        <v>124</v>
      </c>
      <c r="D77" t="s">
        <v>143</v>
      </c>
      <c r="E77" t="str">
        <f>C77&amp;"/"&amp;D77</f>
        <v>gfx/Main_Shelf.gfx</v>
      </c>
      <c r="F77" t="s">
        <v>144</v>
      </c>
      <c r="G77" s="5">
        <f>IF(F77&lt;&gt;"",HEX2DEC(SUBSTITUTE(SUBSTITUTE(F77,"adrEA",""),"$","")),"")</f>
        <v>151820</v>
      </c>
      <c r="H77" s="5">
        <v>2120</v>
      </c>
      <c r="I77" s="6" t="str">
        <f>IFERROR(DEC2HEX(H77),"")</f>
        <v>848</v>
      </c>
      <c r="L77" t="s">
        <v>3179</v>
      </c>
    </row>
    <row r="78" spans="1:17" x14ac:dyDescent="0.2">
      <c r="A78" t="s">
        <v>3041</v>
      </c>
      <c r="B78" t="s">
        <v>3180</v>
      </c>
      <c r="C78" s="5" t="s">
        <v>124</v>
      </c>
      <c r="D78" t="s">
        <v>145</v>
      </c>
      <c r="E78" t="str">
        <f t="shared" ref="E78:E103" si="11">C78&amp;"/"&amp;D78</f>
        <v>gfx/Main_Sign.gfx</v>
      </c>
      <c r="F78" t="s">
        <v>146</v>
      </c>
      <c r="G78" s="5">
        <f t="shared" ref="G78:G103" si="12">IF(F78&lt;&gt;"",HEX2DEC(SUBSTITUTE(SUBSTITUTE(F78,"adrEA",""),"$","")),"")</f>
        <v>153940</v>
      </c>
      <c r="H78" s="5">
        <v>4048</v>
      </c>
      <c r="I78" s="6" t="str">
        <f t="shared" ref="I78:I103" si="13">IFERROR(DEC2HEX(H78),"")</f>
        <v>FD0</v>
      </c>
      <c r="L78" t="s">
        <v>3180</v>
      </c>
    </row>
    <row r="79" spans="1:17" x14ac:dyDescent="0.2">
      <c r="A79" t="s">
        <v>3042</v>
      </c>
      <c r="B79" t="s">
        <v>3181</v>
      </c>
      <c r="C79" s="5" t="s">
        <v>124</v>
      </c>
      <c r="D79" t="s">
        <v>147</v>
      </c>
      <c r="E79" t="str">
        <f t="shared" si="11"/>
        <v>gfx/Main_SignOverlay.gfx</v>
      </c>
      <c r="F79" t="s">
        <v>148</v>
      </c>
      <c r="G79" s="5">
        <f t="shared" si="12"/>
        <v>157988</v>
      </c>
      <c r="H79" s="5">
        <v>6208</v>
      </c>
      <c r="I79" s="6" t="str">
        <f t="shared" si="13"/>
        <v>1840</v>
      </c>
      <c r="L79" t="s">
        <v>3181</v>
      </c>
    </row>
    <row r="80" spans="1:17" x14ac:dyDescent="0.2">
      <c r="A80" t="s">
        <v>3043</v>
      </c>
      <c r="B80" t="s">
        <v>3182</v>
      </c>
      <c r="C80" s="5" t="s">
        <v>124</v>
      </c>
      <c r="D80" t="s">
        <v>149</v>
      </c>
      <c r="E80" t="str">
        <f t="shared" si="11"/>
        <v>gfx/Main_Switches.gfx</v>
      </c>
      <c r="F80" t="s">
        <v>150</v>
      </c>
      <c r="G80" s="5">
        <f t="shared" si="12"/>
        <v>164196</v>
      </c>
      <c r="H80" s="5">
        <v>696</v>
      </c>
      <c r="I80" s="6" t="str">
        <f t="shared" si="13"/>
        <v>2B8</v>
      </c>
      <c r="L80" t="s">
        <v>3182</v>
      </c>
    </row>
    <row r="81" spans="1:16" x14ac:dyDescent="0.2">
      <c r="A81" t="s">
        <v>3044</v>
      </c>
      <c r="B81" t="s">
        <v>3183</v>
      </c>
      <c r="C81" s="5" t="s">
        <v>124</v>
      </c>
      <c r="D81" t="s">
        <v>151</v>
      </c>
      <c r="E81" t="str">
        <f t="shared" si="11"/>
        <v>gfx/Main_Slots.gfx</v>
      </c>
      <c r="F81" t="s">
        <v>152</v>
      </c>
      <c r="G81" s="5">
        <f t="shared" si="12"/>
        <v>164892</v>
      </c>
      <c r="H81" s="5">
        <v>1160</v>
      </c>
      <c r="I81" s="6" t="str">
        <f t="shared" si="13"/>
        <v>488</v>
      </c>
      <c r="L81" t="s">
        <v>3183</v>
      </c>
    </row>
    <row r="82" spans="1:16" x14ac:dyDescent="0.2">
      <c r="A82" t="s">
        <v>3045</v>
      </c>
      <c r="B82" t="s">
        <v>3184</v>
      </c>
      <c r="C82" s="5" t="s">
        <v>124</v>
      </c>
      <c r="D82" t="s">
        <v>153</v>
      </c>
      <c r="E82" t="str">
        <f t="shared" si="11"/>
        <v>gfx/Misc_Bed.gfx</v>
      </c>
      <c r="F82" t="s">
        <v>154</v>
      </c>
      <c r="G82" s="5">
        <f t="shared" si="12"/>
        <v>166052</v>
      </c>
      <c r="H82" s="5">
        <v>2680</v>
      </c>
      <c r="I82" s="6" t="str">
        <f t="shared" si="13"/>
        <v>A78</v>
      </c>
      <c r="L82" t="s">
        <v>3184</v>
      </c>
    </row>
    <row r="83" spans="1:16" x14ac:dyDescent="0.2">
      <c r="A83" t="s">
        <v>3046</v>
      </c>
      <c r="B83" t="s">
        <v>3185</v>
      </c>
      <c r="C83" s="5" t="s">
        <v>124</v>
      </c>
      <c r="D83" t="s">
        <v>155</v>
      </c>
      <c r="E83" t="str">
        <f t="shared" si="11"/>
        <v>gfx/Misc_Pillar.gfx</v>
      </c>
      <c r="F83" t="s">
        <v>156</v>
      </c>
      <c r="G83" s="5">
        <f t="shared" si="12"/>
        <v>168732</v>
      </c>
      <c r="H83" s="5">
        <v>5272</v>
      </c>
      <c r="I83" s="6" t="str">
        <f t="shared" si="13"/>
        <v>1498</v>
      </c>
      <c r="L83" t="s">
        <v>3185</v>
      </c>
    </row>
    <row r="84" spans="1:16" ht="17" x14ac:dyDescent="0.2">
      <c r="A84" t="s">
        <v>3047</v>
      </c>
      <c r="B84" t="s">
        <v>3186</v>
      </c>
      <c r="C84" s="5" t="s">
        <v>124</v>
      </c>
      <c r="D84" t="s">
        <v>157</v>
      </c>
      <c r="E84" t="str">
        <f t="shared" si="11"/>
        <v>gfx/Stairs_Up.gfx</v>
      </c>
      <c r="F84" t="s">
        <v>3239</v>
      </c>
      <c r="G84" s="5">
        <f t="shared" si="12"/>
        <v>174004</v>
      </c>
      <c r="H84" s="5">
        <v>7848</v>
      </c>
      <c r="I84" s="6" t="str">
        <f t="shared" si="13"/>
        <v>1EA8</v>
      </c>
      <c r="L84" t="s">
        <v>3186</v>
      </c>
      <c r="N84" s="20" t="s">
        <v>3238</v>
      </c>
      <c r="O84">
        <f>HEX2DEC(N84)</f>
        <v>174904</v>
      </c>
    </row>
    <row r="85" spans="1:16" x14ac:dyDescent="0.2">
      <c r="A85" t="s">
        <v>3048</v>
      </c>
      <c r="B85" t="s">
        <v>3187</v>
      </c>
      <c r="C85" s="5" t="s">
        <v>124</v>
      </c>
      <c r="D85" t="s">
        <v>158</v>
      </c>
      <c r="E85" t="str">
        <f t="shared" si="11"/>
        <v>gfx/Stairs_Down.gfx</v>
      </c>
      <c r="F85" t="s">
        <v>159</v>
      </c>
      <c r="G85" s="5">
        <f t="shared" si="12"/>
        <v>181852</v>
      </c>
      <c r="H85" s="5">
        <v>3200</v>
      </c>
      <c r="I85" s="6" t="str">
        <f t="shared" si="13"/>
        <v>C80</v>
      </c>
      <c r="L85" t="s">
        <v>3187</v>
      </c>
      <c r="M85" t="str">
        <f>DEC2HEX(HEX2DEC("2c65c")-H84)</f>
        <v>2A7B4</v>
      </c>
      <c r="N85" t="s">
        <v>3237</v>
      </c>
      <c r="O85">
        <f>HEX2DEC(N85)</f>
        <v>182752</v>
      </c>
      <c r="P85">
        <f>O85-O84</f>
        <v>7848</v>
      </c>
    </row>
    <row r="86" spans="1:16" x14ac:dyDescent="0.2">
      <c r="A86" t="s">
        <v>3049</v>
      </c>
      <c r="B86" t="s">
        <v>3188</v>
      </c>
      <c r="C86" s="5" t="s">
        <v>124</v>
      </c>
      <c r="D86" t="s">
        <v>160</v>
      </c>
      <c r="E86" t="str">
        <f t="shared" si="11"/>
        <v>gfx/Door_Open.gfx</v>
      </c>
      <c r="F86" t="s">
        <v>161</v>
      </c>
      <c r="G86" s="5">
        <f t="shared" si="12"/>
        <v>185052</v>
      </c>
      <c r="H86" s="5">
        <v>7008</v>
      </c>
      <c r="I86" s="6" t="str">
        <f t="shared" si="13"/>
        <v>1B60</v>
      </c>
      <c r="L86" t="s">
        <v>3188</v>
      </c>
    </row>
    <row r="87" spans="1:16" x14ac:dyDescent="0.2">
      <c r="A87" t="s">
        <v>3050</v>
      </c>
      <c r="B87" t="s">
        <v>3189</v>
      </c>
      <c r="C87" s="5" t="s">
        <v>124</v>
      </c>
      <c r="D87" t="s">
        <v>162</v>
      </c>
      <c r="E87" t="str">
        <f t="shared" si="11"/>
        <v>gfx/Door_Metal.gfx</v>
      </c>
      <c r="F87" t="s">
        <v>163</v>
      </c>
      <c r="G87" s="5">
        <f t="shared" si="12"/>
        <v>192068</v>
      </c>
      <c r="H87" s="5">
        <v>5256</v>
      </c>
      <c r="I87" s="6" t="str">
        <f t="shared" si="13"/>
        <v>1488</v>
      </c>
      <c r="L87" t="s">
        <v>3189</v>
      </c>
    </row>
    <row r="88" spans="1:16" x14ac:dyDescent="0.2">
      <c r="A88" t="s">
        <v>3051</v>
      </c>
      <c r="B88" t="s">
        <v>3190</v>
      </c>
      <c r="C88" s="5" t="s">
        <v>124</v>
      </c>
      <c r="D88" t="s">
        <v>164</v>
      </c>
      <c r="E88" t="str">
        <f t="shared" si="11"/>
        <v>gfx/Door_PortCullis.gfx</v>
      </c>
      <c r="F88" t="s">
        <v>165</v>
      </c>
      <c r="G88" s="5">
        <f t="shared" si="12"/>
        <v>197324</v>
      </c>
      <c r="H88" s="5">
        <v>5256</v>
      </c>
      <c r="I88" s="6" t="str">
        <f t="shared" si="13"/>
        <v>1488</v>
      </c>
      <c r="L88" t="s">
        <v>3190</v>
      </c>
    </row>
    <row r="89" spans="1:16" x14ac:dyDescent="0.2">
      <c r="A89" t="s">
        <v>3052</v>
      </c>
      <c r="B89" t="s">
        <v>3191</v>
      </c>
      <c r="C89" s="5" t="s">
        <v>124</v>
      </c>
      <c r="D89" t="s">
        <v>166</v>
      </c>
      <c r="E89" t="str">
        <f t="shared" si="11"/>
        <v>gfx/Pad_Pit_Low.gfx</v>
      </c>
      <c r="F89" t="s">
        <v>3312</v>
      </c>
      <c r="G89" s="5">
        <f t="shared" si="12"/>
        <v>202580</v>
      </c>
      <c r="H89" s="5">
        <v>584</v>
      </c>
      <c r="I89" s="6" t="str">
        <f t="shared" si="13"/>
        <v>248</v>
      </c>
      <c r="L89" t="s">
        <v>3191</v>
      </c>
    </row>
    <row r="90" spans="1:16" x14ac:dyDescent="0.2">
      <c r="A90" t="s">
        <v>3053</v>
      </c>
      <c r="B90" t="s">
        <v>3192</v>
      </c>
      <c r="C90" s="5" t="s">
        <v>124</v>
      </c>
      <c r="D90" t="s">
        <v>167</v>
      </c>
      <c r="E90" t="str">
        <f t="shared" si="11"/>
        <v>gfx/Pad_Pit_High.gfx</v>
      </c>
      <c r="F90" t="s">
        <v>3313</v>
      </c>
      <c r="G90" s="5">
        <f t="shared" si="12"/>
        <v>203164</v>
      </c>
      <c r="H90" s="5">
        <v>584</v>
      </c>
      <c r="I90" s="6" t="str">
        <f t="shared" si="13"/>
        <v>248</v>
      </c>
      <c r="L90" t="s">
        <v>3192</v>
      </c>
    </row>
    <row r="91" spans="1:16" x14ac:dyDescent="0.2">
      <c r="A91" t="s">
        <v>3054</v>
      </c>
      <c r="B91" t="s">
        <v>3178</v>
      </c>
      <c r="C91" s="5" t="s">
        <v>124</v>
      </c>
      <c r="D91" t="s">
        <v>168</v>
      </c>
      <c r="E91" t="str">
        <f t="shared" si="11"/>
        <v>gfx/Pad_Trigger.gfx</v>
      </c>
      <c r="F91" t="s">
        <v>3314</v>
      </c>
      <c r="G91" s="5">
        <f t="shared" si="12"/>
        <v>203748</v>
      </c>
      <c r="H91" s="5">
        <v>400</v>
      </c>
      <c r="I91" s="6" t="str">
        <f t="shared" si="13"/>
        <v>190</v>
      </c>
      <c r="L91" t="s">
        <v>3178</v>
      </c>
    </row>
    <row r="92" spans="1:16" x14ac:dyDescent="0.2">
      <c r="A92" t="s">
        <v>3055</v>
      </c>
      <c r="B92" t="s">
        <v>3055</v>
      </c>
      <c r="C92" s="5" t="s">
        <v>124</v>
      </c>
      <c r="D92" t="s">
        <v>169</v>
      </c>
      <c r="E92" t="str">
        <f t="shared" si="11"/>
        <v>gfx/FloorCeiling.gfx</v>
      </c>
      <c r="F92" t="s">
        <v>3228</v>
      </c>
      <c r="G92" s="5">
        <f t="shared" si="12"/>
        <v>204188</v>
      </c>
      <c r="H92" s="5">
        <v>3648</v>
      </c>
      <c r="I92" s="6" t="str">
        <f t="shared" si="13"/>
        <v>E40</v>
      </c>
      <c r="L92" t="s">
        <v>3055</v>
      </c>
    </row>
    <row r="93" spans="1:16" x14ac:dyDescent="0.2">
      <c r="A93" t="s">
        <v>3057</v>
      </c>
      <c r="B93" t="s">
        <v>3057</v>
      </c>
      <c r="C93" s="5" t="s">
        <v>124</v>
      </c>
      <c r="D93" t="s">
        <v>173</v>
      </c>
      <c r="E93" t="str">
        <f t="shared" si="11"/>
        <v>gfx/AirbourneFireball.gfx</v>
      </c>
      <c r="F93" s="9" t="s">
        <v>3694</v>
      </c>
      <c r="G93" s="5">
        <f t="shared" si="12"/>
        <v>214004</v>
      </c>
      <c r="H93" s="5" t="s">
        <v>174</v>
      </c>
      <c r="I93" s="6" t="str">
        <f t="shared" si="13"/>
        <v>2B8</v>
      </c>
      <c r="L93" t="s">
        <v>3057</v>
      </c>
    </row>
    <row r="94" spans="1:16" x14ac:dyDescent="0.2">
      <c r="A94" t="s">
        <v>3058</v>
      </c>
      <c r="B94" t="s">
        <v>3058</v>
      </c>
      <c r="C94" s="5" t="s">
        <v>124</v>
      </c>
      <c r="D94" t="s">
        <v>175</v>
      </c>
      <c r="E94" t="str">
        <f t="shared" si="11"/>
        <v>gfx/AirbourneSpells.gfx</v>
      </c>
      <c r="F94" s="9" t="s">
        <v>3695</v>
      </c>
      <c r="G94" s="5">
        <f t="shared" si="12"/>
        <v>214700</v>
      </c>
      <c r="H94" s="5">
        <v>1944</v>
      </c>
      <c r="I94" s="6" t="str">
        <f t="shared" si="13"/>
        <v>798</v>
      </c>
      <c r="L94" t="s">
        <v>3058</v>
      </c>
    </row>
    <row r="95" spans="1:16" x14ac:dyDescent="0.2">
      <c r="A95" t="s">
        <v>3059</v>
      </c>
      <c r="B95" t="s">
        <v>3059</v>
      </c>
      <c r="C95" s="5" t="s">
        <v>48</v>
      </c>
      <c r="D95" t="s">
        <v>176</v>
      </c>
      <c r="E95" t="str">
        <f t="shared" si="11"/>
        <v>data/characters.colours</v>
      </c>
      <c r="F95" s="9" t="s">
        <v>3696</v>
      </c>
      <c r="G95" s="5">
        <f t="shared" si="12"/>
        <v>216644</v>
      </c>
      <c r="H95" s="5">
        <v>1720</v>
      </c>
      <c r="I95" s="6" t="str">
        <f t="shared" si="13"/>
        <v>6B8</v>
      </c>
      <c r="L95" t="s">
        <v>3059</v>
      </c>
    </row>
    <row r="96" spans="1:16" x14ac:dyDescent="0.2">
      <c r="A96" t="s">
        <v>3061</v>
      </c>
      <c r="B96" t="s">
        <v>3136</v>
      </c>
      <c r="C96" s="5" t="s">
        <v>124</v>
      </c>
      <c r="D96" t="s">
        <v>177</v>
      </c>
      <c r="E96" t="str">
        <f t="shared" si="11"/>
        <v>gfx/HeadParts.gfx</v>
      </c>
      <c r="F96" t="s">
        <v>3697</v>
      </c>
      <c r="G96" s="5">
        <f t="shared" si="12"/>
        <v>218364</v>
      </c>
      <c r="H96" s="5">
        <v>15984</v>
      </c>
      <c r="I96" s="6" t="str">
        <f t="shared" si="13"/>
        <v>3E70</v>
      </c>
      <c r="L96" t="s">
        <v>3136</v>
      </c>
    </row>
    <row r="97" spans="1:22" x14ac:dyDescent="0.2">
      <c r="A97" t="s">
        <v>3062</v>
      </c>
      <c r="B97" t="s">
        <v>3177</v>
      </c>
      <c r="C97" s="5" t="s">
        <v>124</v>
      </c>
      <c r="D97" t="s">
        <v>178</v>
      </c>
      <c r="E97" t="str">
        <f t="shared" si="11"/>
        <v>gfx/BodyParts.gfx</v>
      </c>
      <c r="F97" t="s">
        <v>3698</v>
      </c>
      <c r="G97" s="5">
        <f t="shared" si="12"/>
        <v>234348</v>
      </c>
      <c r="H97" s="5">
        <v>34368</v>
      </c>
      <c r="I97" s="6" t="str">
        <f t="shared" si="13"/>
        <v>8640</v>
      </c>
      <c r="L97" t="s">
        <v>3177</v>
      </c>
    </row>
    <row r="98" spans="1:22" x14ac:dyDescent="0.2">
      <c r="A98" t="s">
        <v>3064</v>
      </c>
      <c r="B98" t="s">
        <v>3176</v>
      </c>
      <c r="C98" s="5" t="s">
        <v>124</v>
      </c>
      <c r="D98" t="s">
        <v>3166</v>
      </c>
      <c r="E98" t="str">
        <f t="shared" si="11"/>
        <v>gfx/Avatars_Large.gfx</v>
      </c>
      <c r="F98" t="s">
        <v>3699</v>
      </c>
      <c r="G98" s="5">
        <f t="shared" si="12"/>
        <v>268716</v>
      </c>
      <c r="H98" s="5">
        <v>7680</v>
      </c>
      <c r="I98" s="6" t="str">
        <f t="shared" si="13"/>
        <v>1E00</v>
      </c>
      <c r="L98" t="s">
        <v>3176</v>
      </c>
    </row>
    <row r="99" spans="1:22" x14ac:dyDescent="0.2">
      <c r="A99" t="s">
        <v>3065</v>
      </c>
      <c r="B99" t="s">
        <v>3175</v>
      </c>
      <c r="C99" s="5" t="s">
        <v>124</v>
      </c>
      <c r="D99" t="s">
        <v>179</v>
      </c>
      <c r="E99" t="str">
        <f t="shared" si="11"/>
        <v>gfx/Shield_Avatars.gfx</v>
      </c>
      <c r="F99" t="s">
        <v>3700</v>
      </c>
      <c r="G99" s="5">
        <f t="shared" si="12"/>
        <v>276396</v>
      </c>
      <c r="H99" s="5">
        <v>4096</v>
      </c>
      <c r="I99" s="6" t="str">
        <f t="shared" si="13"/>
        <v>1000</v>
      </c>
      <c r="L99" t="s">
        <v>3175</v>
      </c>
    </row>
    <row r="100" spans="1:22" x14ac:dyDescent="0.2">
      <c r="A100" t="s">
        <v>3066</v>
      </c>
      <c r="B100" t="s">
        <v>3174</v>
      </c>
      <c r="C100" s="5" t="s">
        <v>124</v>
      </c>
      <c r="D100" t="s">
        <v>180</v>
      </c>
      <c r="E100" t="str">
        <f t="shared" si="11"/>
        <v>gfx/ShieldTop.gfx</v>
      </c>
      <c r="F100" t="s">
        <v>3701</v>
      </c>
      <c r="G100" s="5">
        <f t="shared" si="12"/>
        <v>280492</v>
      </c>
      <c r="H100" s="5" t="s">
        <v>181</v>
      </c>
      <c r="I100" s="6" t="str">
        <f t="shared" si="13"/>
        <v>50</v>
      </c>
      <c r="L100" t="s">
        <v>3174</v>
      </c>
    </row>
    <row r="101" spans="1:22" x14ac:dyDescent="0.2">
      <c r="A101" t="s">
        <v>3067</v>
      </c>
      <c r="B101" t="s">
        <v>3173</v>
      </c>
      <c r="C101" s="5" t="s">
        <v>124</v>
      </c>
      <c r="D101" t="s">
        <v>182</v>
      </c>
      <c r="E101" t="str">
        <f t="shared" si="11"/>
        <v>gfx/ShieldBottom.gfx</v>
      </c>
      <c r="F101" t="s">
        <v>3702</v>
      </c>
      <c r="G101" s="5">
        <f t="shared" si="12"/>
        <v>280572</v>
      </c>
      <c r="H101" s="5" t="s">
        <v>183</v>
      </c>
      <c r="I101" s="6" t="str">
        <f t="shared" si="13"/>
        <v>90</v>
      </c>
      <c r="L101" t="s">
        <v>3173</v>
      </c>
    </row>
    <row r="102" spans="1:22" x14ac:dyDescent="0.2">
      <c r="A102" t="s">
        <v>3068</v>
      </c>
      <c r="B102" t="s">
        <v>3172</v>
      </c>
      <c r="C102" s="5" t="s">
        <v>124</v>
      </c>
      <c r="D102" t="s">
        <v>184</v>
      </c>
      <c r="E102" t="str">
        <f t="shared" si="11"/>
        <v>gfx/ShieldClasses.gfx</v>
      </c>
      <c r="F102" t="s">
        <v>3316</v>
      </c>
      <c r="G102" s="5">
        <f t="shared" si="12"/>
        <v>280716</v>
      </c>
      <c r="H102" s="5">
        <v>704</v>
      </c>
      <c r="I102" s="6" t="str">
        <f t="shared" si="13"/>
        <v>2C0</v>
      </c>
      <c r="L102" t="s">
        <v>3172</v>
      </c>
    </row>
    <row r="103" spans="1:22" x14ac:dyDescent="0.2">
      <c r="A103" t="s">
        <v>3069</v>
      </c>
      <c r="B103" t="s">
        <v>3137</v>
      </c>
      <c r="C103" s="5" t="s">
        <v>124</v>
      </c>
      <c r="D103" t="s">
        <v>185</v>
      </c>
      <c r="E103" t="str">
        <f t="shared" si="11"/>
        <v>gfx/Fairy.gfx</v>
      </c>
      <c r="F103" t="s">
        <v>3317</v>
      </c>
      <c r="G103" s="5">
        <f t="shared" si="12"/>
        <v>281420</v>
      </c>
      <c r="H103" s="5" t="s">
        <v>186</v>
      </c>
      <c r="I103" s="6" t="str">
        <f t="shared" si="13"/>
        <v>148</v>
      </c>
      <c r="L103" t="s">
        <v>3137</v>
      </c>
    </row>
    <row r="104" spans="1:22" s="9" customFormat="1" x14ac:dyDescent="0.2">
      <c r="A104" s="9" t="s">
        <v>3343</v>
      </c>
      <c r="C104" s="23" t="s">
        <v>51</v>
      </c>
      <c r="D104" s="9" t="s">
        <v>301</v>
      </c>
      <c r="E104" s="9" t="str">
        <f>C104&amp;"/"&amp;D104</f>
        <v>monsters/behemoth.gradeoffset</v>
      </c>
      <c r="G104" s="16" t="str">
        <f>IF(F104&lt;&gt;"",HEX2DEC(SUBSTITUTE(SUBSTITUTE(F104,"adrEA",""),"$","")),"")</f>
        <v/>
      </c>
      <c r="H104" s="16">
        <v>1</v>
      </c>
      <c r="I104" s="24" t="str">
        <f>IFERROR(DEC2HEX(H104),"")</f>
        <v>1</v>
      </c>
      <c r="J104" s="24"/>
      <c r="O104" s="9" t="s">
        <v>3240</v>
      </c>
    </row>
    <row r="105" spans="1:22" x14ac:dyDescent="0.2">
      <c r="A105" t="s">
        <v>3077</v>
      </c>
      <c r="B105" s="25" t="str">
        <f>"_Offset_GFX_Pockets_0x"&amp;V105</f>
        <v>_Offset_GFX_Pockets_0x3C00</v>
      </c>
      <c r="F105" t="str">
        <f t="shared" ref="F105:F117" si="14">"$"&amp;RIGHT(A105,5)</f>
        <v>$50302</v>
      </c>
      <c r="G105" s="5">
        <f t="shared" ref="G105:G117" si="15">IF(F105&lt;&gt;"",HEX2DEC(SUBSTITUTE(SUBSTITUTE(F105,"adrEA",""),"$","")),"")</f>
        <v>328450</v>
      </c>
      <c r="K105">
        <f t="shared" ref="K105:K117" si="16">M105-$M$187</f>
        <v>16260</v>
      </c>
      <c r="L105" t="s">
        <v>3544</v>
      </c>
      <c r="M105">
        <f t="shared" ref="M105:M117" si="17">(HEX2DEC(SUBSTITUTE(F105,"$","")))</f>
        <v>328450</v>
      </c>
      <c r="O105" t="str">
        <f t="shared" ref="O105:O117" si="18">DEC2HEX((HEX2DEC($O$187)+HEX2DEC(RIGHT(A105,5))-HEX2DEC($O$187)))</f>
        <v>50302</v>
      </c>
      <c r="P105">
        <f t="shared" ref="P105:P117" si="19">HEX2DEC(O105)-HEX2DEC($O$187)</f>
        <v>15360</v>
      </c>
      <c r="T105" s="17" t="s">
        <v>3243</v>
      </c>
      <c r="V105" t="str">
        <f>RIGHT(T105,4)</f>
        <v>3C00</v>
      </c>
    </row>
    <row r="106" spans="1:22" x14ac:dyDescent="0.2">
      <c r="A106" t="s">
        <v>3078</v>
      </c>
      <c r="B106" s="25" t="str">
        <f t="shared" ref="B106:B117" si="20">"_Offset_GFX_Pockets_0x"&amp;V106</f>
        <v>_Offset_GFX_Pockets_0x3C30</v>
      </c>
      <c r="F106" t="str">
        <f t="shared" si="14"/>
        <v>$50332</v>
      </c>
      <c r="G106" s="5">
        <f t="shared" si="15"/>
        <v>328498</v>
      </c>
      <c r="K106">
        <f t="shared" si="16"/>
        <v>16308</v>
      </c>
      <c r="L106" t="s">
        <v>3545</v>
      </c>
      <c r="M106">
        <f t="shared" si="17"/>
        <v>328498</v>
      </c>
      <c r="O106" t="str">
        <f t="shared" si="18"/>
        <v>50332</v>
      </c>
      <c r="P106">
        <f t="shared" si="19"/>
        <v>15408</v>
      </c>
      <c r="T106" s="17" t="s">
        <v>3244</v>
      </c>
      <c r="V106" t="str">
        <f t="shared" ref="V106:V117" si="21">RIGHT(T106,4)</f>
        <v>3C30</v>
      </c>
    </row>
    <row r="107" spans="1:22" x14ac:dyDescent="0.2">
      <c r="A107" t="s">
        <v>3079</v>
      </c>
      <c r="B107" s="25" t="str">
        <f t="shared" si="20"/>
        <v>_Offset_GFX_Pockets_0x3C60</v>
      </c>
      <c r="F107" t="str">
        <f t="shared" si="14"/>
        <v>$50362</v>
      </c>
      <c r="G107" s="5">
        <f t="shared" si="15"/>
        <v>328546</v>
      </c>
      <c r="K107">
        <f t="shared" si="16"/>
        <v>16356</v>
      </c>
      <c r="L107" t="s">
        <v>3546</v>
      </c>
      <c r="M107">
        <f t="shared" si="17"/>
        <v>328546</v>
      </c>
      <c r="O107" t="str">
        <f t="shared" si="18"/>
        <v>50362</v>
      </c>
      <c r="P107">
        <f t="shared" si="19"/>
        <v>15456</v>
      </c>
      <c r="T107" s="17" t="s">
        <v>3245</v>
      </c>
      <c r="V107" t="str">
        <f t="shared" si="21"/>
        <v>3C60</v>
      </c>
    </row>
    <row r="108" spans="1:22" x14ac:dyDescent="0.2">
      <c r="A108" t="s">
        <v>3080</v>
      </c>
      <c r="B108" s="25" t="str">
        <f t="shared" si="20"/>
        <v>_Offset_GFX_Pockets_0x4100</v>
      </c>
      <c r="F108" t="str">
        <f t="shared" si="14"/>
        <v>$50802</v>
      </c>
      <c r="G108" s="5">
        <f t="shared" si="15"/>
        <v>329730</v>
      </c>
      <c r="K108">
        <f t="shared" si="16"/>
        <v>17540</v>
      </c>
      <c r="L108" t="s">
        <v>3547</v>
      </c>
      <c r="M108">
        <f t="shared" si="17"/>
        <v>329730</v>
      </c>
      <c r="O108" t="str">
        <f t="shared" si="18"/>
        <v>50802</v>
      </c>
      <c r="P108">
        <f t="shared" si="19"/>
        <v>16640</v>
      </c>
      <c r="T108" s="17" t="s">
        <v>3246</v>
      </c>
      <c r="V108" t="str">
        <f t="shared" si="21"/>
        <v>4100</v>
      </c>
    </row>
    <row r="109" spans="1:22" x14ac:dyDescent="0.2">
      <c r="A109" t="s">
        <v>3081</v>
      </c>
      <c r="B109" s="25" t="str">
        <f t="shared" si="20"/>
        <v>_Offset_GFX_Pockets_0x4130</v>
      </c>
      <c r="F109" t="str">
        <f t="shared" si="14"/>
        <v>$50832</v>
      </c>
      <c r="G109" s="5">
        <f t="shared" si="15"/>
        <v>329778</v>
      </c>
      <c r="K109">
        <f t="shared" si="16"/>
        <v>17588</v>
      </c>
      <c r="L109" t="s">
        <v>3548</v>
      </c>
      <c r="M109">
        <f t="shared" si="17"/>
        <v>329778</v>
      </c>
      <c r="O109" t="str">
        <f t="shared" si="18"/>
        <v>50832</v>
      </c>
      <c r="P109">
        <f t="shared" si="19"/>
        <v>16688</v>
      </c>
      <c r="T109" s="17" t="s">
        <v>3247</v>
      </c>
      <c r="V109" t="str">
        <f t="shared" si="21"/>
        <v>4130</v>
      </c>
    </row>
    <row r="110" spans="1:22" x14ac:dyDescent="0.2">
      <c r="A110" t="s">
        <v>3082</v>
      </c>
      <c r="B110" s="25" t="str">
        <f t="shared" si="20"/>
        <v>_Offset_GFX_Pockets_0x5070</v>
      </c>
      <c r="F110" t="str">
        <f t="shared" si="14"/>
        <v>$51772</v>
      </c>
      <c r="G110" s="5">
        <f t="shared" si="15"/>
        <v>333682</v>
      </c>
      <c r="K110">
        <f t="shared" si="16"/>
        <v>21492</v>
      </c>
      <c r="L110" t="s">
        <v>3549</v>
      </c>
      <c r="M110">
        <f t="shared" si="17"/>
        <v>333682</v>
      </c>
      <c r="O110" t="str">
        <f t="shared" si="18"/>
        <v>51772</v>
      </c>
      <c r="P110">
        <f t="shared" si="19"/>
        <v>20592</v>
      </c>
      <c r="T110" s="17" t="s">
        <v>3248</v>
      </c>
      <c r="V110" t="str">
        <f t="shared" si="21"/>
        <v>5070</v>
      </c>
    </row>
    <row r="111" spans="1:22" x14ac:dyDescent="0.2">
      <c r="A111" t="s">
        <v>3083</v>
      </c>
      <c r="B111" s="25" t="str">
        <f t="shared" si="20"/>
        <v>_Offset_GFX_Pockets_0x6500</v>
      </c>
      <c r="F111" t="str">
        <f t="shared" si="14"/>
        <v>$52C02</v>
      </c>
      <c r="G111" s="5">
        <f t="shared" si="15"/>
        <v>338946</v>
      </c>
      <c r="K111">
        <f t="shared" si="16"/>
        <v>26756</v>
      </c>
      <c r="L111" t="s">
        <v>3550</v>
      </c>
      <c r="M111">
        <f t="shared" si="17"/>
        <v>338946</v>
      </c>
      <c r="O111" t="str">
        <f t="shared" si="18"/>
        <v>52C02</v>
      </c>
      <c r="P111">
        <f t="shared" si="19"/>
        <v>25856</v>
      </c>
      <c r="T111" s="17" t="s">
        <v>3249</v>
      </c>
      <c r="V111" t="str">
        <f t="shared" si="21"/>
        <v>6500</v>
      </c>
    </row>
    <row r="112" spans="1:22" x14ac:dyDescent="0.2">
      <c r="A112" t="s">
        <v>3084</v>
      </c>
      <c r="B112" s="25" t="str">
        <f t="shared" si="20"/>
        <v>_Offset_GFX_Pockets_0x6508</v>
      </c>
      <c r="F112" t="str">
        <f t="shared" si="14"/>
        <v>$52C0A</v>
      </c>
      <c r="G112" s="5">
        <f t="shared" si="15"/>
        <v>338954</v>
      </c>
      <c r="K112">
        <f t="shared" si="16"/>
        <v>26764</v>
      </c>
      <c r="L112" t="s">
        <v>3551</v>
      </c>
      <c r="M112">
        <f t="shared" si="17"/>
        <v>338954</v>
      </c>
      <c r="O112" t="str">
        <f t="shared" si="18"/>
        <v>52C0A</v>
      </c>
      <c r="P112">
        <f t="shared" si="19"/>
        <v>25864</v>
      </c>
      <c r="T112" s="17" t="s">
        <v>3250</v>
      </c>
      <c r="V112" t="str">
        <f t="shared" si="21"/>
        <v>6508</v>
      </c>
    </row>
    <row r="113" spans="1:22" x14ac:dyDescent="0.2">
      <c r="A113" t="s">
        <v>3085</v>
      </c>
      <c r="B113" s="25" t="str">
        <f t="shared" si="20"/>
        <v>_Offset_GFX_Pockets_0x67C0</v>
      </c>
      <c r="F113" t="str">
        <f t="shared" si="14"/>
        <v>$52EC2</v>
      </c>
      <c r="G113" s="5">
        <f t="shared" si="15"/>
        <v>339650</v>
      </c>
      <c r="K113">
        <f t="shared" si="16"/>
        <v>27460</v>
      </c>
      <c r="L113" t="s">
        <v>3552</v>
      </c>
      <c r="M113">
        <f t="shared" si="17"/>
        <v>339650</v>
      </c>
      <c r="O113" t="str">
        <f t="shared" si="18"/>
        <v>52EC2</v>
      </c>
      <c r="P113">
        <f t="shared" si="19"/>
        <v>26560</v>
      </c>
      <c r="T113" s="17" t="s">
        <v>3251</v>
      </c>
      <c r="V113" t="str">
        <f t="shared" si="21"/>
        <v>67C0</v>
      </c>
    </row>
    <row r="114" spans="1:22" x14ac:dyDescent="0.2">
      <c r="A114" t="s">
        <v>3086</v>
      </c>
      <c r="B114" s="25" t="str">
        <f t="shared" si="20"/>
        <v>_Offset_GFX_Pockets_0x67E0</v>
      </c>
      <c r="F114" t="str">
        <f t="shared" si="14"/>
        <v>$52EE2</v>
      </c>
      <c r="G114" s="5">
        <f t="shared" si="15"/>
        <v>339682</v>
      </c>
      <c r="K114">
        <f t="shared" si="16"/>
        <v>27492</v>
      </c>
      <c r="L114" t="s">
        <v>3553</v>
      </c>
      <c r="M114">
        <f t="shared" si="17"/>
        <v>339682</v>
      </c>
      <c r="O114" t="str">
        <f t="shared" si="18"/>
        <v>52EE2</v>
      </c>
      <c r="P114">
        <f t="shared" si="19"/>
        <v>26592</v>
      </c>
      <c r="T114" s="17" t="s">
        <v>3252</v>
      </c>
      <c r="V114" t="str">
        <f t="shared" si="21"/>
        <v>67E0</v>
      </c>
    </row>
    <row r="115" spans="1:22" x14ac:dyDescent="0.2">
      <c r="A115" t="s">
        <v>3087</v>
      </c>
      <c r="B115" s="25" t="str">
        <f t="shared" si="20"/>
        <v>_Offset_GFX_Pockets_0x6A60</v>
      </c>
      <c r="F115" t="str">
        <f t="shared" si="14"/>
        <v>$53162</v>
      </c>
      <c r="G115" s="5">
        <f t="shared" si="15"/>
        <v>340322</v>
      </c>
      <c r="K115">
        <f t="shared" si="16"/>
        <v>28132</v>
      </c>
      <c r="L115" t="s">
        <v>3554</v>
      </c>
      <c r="M115">
        <f t="shared" si="17"/>
        <v>340322</v>
      </c>
      <c r="O115" t="str">
        <f t="shared" si="18"/>
        <v>53162</v>
      </c>
      <c r="P115">
        <f t="shared" si="19"/>
        <v>27232</v>
      </c>
      <c r="T115" s="17" t="s">
        <v>3253</v>
      </c>
      <c r="V115" t="str">
        <f t="shared" si="21"/>
        <v>6A60</v>
      </c>
    </row>
    <row r="116" spans="1:22" x14ac:dyDescent="0.2">
      <c r="A116" t="s">
        <v>3088</v>
      </c>
      <c r="B116" s="25" t="str">
        <f t="shared" si="20"/>
        <v>_Offset_GFX_Pockets_0x7580</v>
      </c>
      <c r="F116" t="str">
        <f t="shared" si="14"/>
        <v>$53C82</v>
      </c>
      <c r="G116" s="5">
        <f t="shared" si="15"/>
        <v>343170</v>
      </c>
      <c r="K116">
        <f t="shared" si="16"/>
        <v>30980</v>
      </c>
      <c r="L116" t="s">
        <v>3555</v>
      </c>
      <c r="M116">
        <f t="shared" si="17"/>
        <v>343170</v>
      </c>
      <c r="O116" t="str">
        <f t="shared" si="18"/>
        <v>53C82</v>
      </c>
      <c r="P116">
        <f t="shared" si="19"/>
        <v>30080</v>
      </c>
      <c r="T116" s="17" t="s">
        <v>3254</v>
      </c>
      <c r="V116" t="str">
        <f t="shared" si="21"/>
        <v>7580</v>
      </c>
    </row>
    <row r="117" spans="1:22" x14ac:dyDescent="0.2">
      <c r="A117" t="s">
        <v>3089</v>
      </c>
      <c r="B117" s="25" t="str">
        <f t="shared" si="20"/>
        <v>_Offset_GFX_Pockets_0x7688</v>
      </c>
      <c r="F117" t="str">
        <f t="shared" si="14"/>
        <v>$53D8A</v>
      </c>
      <c r="G117" s="5">
        <f t="shared" si="15"/>
        <v>343434</v>
      </c>
      <c r="K117">
        <f t="shared" si="16"/>
        <v>31244</v>
      </c>
      <c r="L117" t="s">
        <v>3556</v>
      </c>
      <c r="M117">
        <f t="shared" si="17"/>
        <v>343434</v>
      </c>
      <c r="O117" t="str">
        <f t="shared" si="18"/>
        <v>53D8A</v>
      </c>
      <c r="P117">
        <f t="shared" si="19"/>
        <v>30344</v>
      </c>
      <c r="T117" s="17" t="s">
        <v>3255</v>
      </c>
      <c r="V117" t="str">
        <f t="shared" si="21"/>
        <v>7688</v>
      </c>
    </row>
    <row r="118" spans="1:22" x14ac:dyDescent="0.2">
      <c r="A118" t="s">
        <v>212</v>
      </c>
      <c r="B118" t="s">
        <v>3214</v>
      </c>
      <c r="C118" s="5" t="s">
        <v>124</v>
      </c>
      <c r="D118" t="s">
        <v>210</v>
      </c>
      <c r="E118" t="str">
        <f>C118&amp;"/"&amp;D118</f>
        <v>gfx/Main_Walls.offsets</v>
      </c>
      <c r="F118" t="s">
        <v>211</v>
      </c>
      <c r="G118" s="5">
        <f>IF(F118&lt;&gt;"",HEX2DEC(SUBSTITUTE(SUBSTITUTE(F118,"adrEA",""),"$","")),"")</f>
        <v>100186</v>
      </c>
      <c r="H118" s="5">
        <v>56</v>
      </c>
      <c r="I118" s="6" t="str">
        <f>IFERROR(DEC2HEX(H118),"")</f>
        <v>38</v>
      </c>
      <c r="L118" t="s">
        <v>3214</v>
      </c>
    </row>
    <row r="119" spans="1:22" x14ac:dyDescent="0.2">
      <c r="A119" t="s">
        <v>215</v>
      </c>
      <c r="B119" t="s">
        <v>3213</v>
      </c>
      <c r="C119" s="5" t="s">
        <v>124</v>
      </c>
      <c r="D119" t="s">
        <v>213</v>
      </c>
      <c r="E119" t="str">
        <f t="shared" ref="E119:E135" si="22">C119&amp;"/"&amp;D119</f>
        <v>gfx/Misc_Pillar.offsets</v>
      </c>
      <c r="F119" t="s">
        <v>214</v>
      </c>
      <c r="G119" s="5">
        <f t="shared" ref="G119:G135" si="23">IF(F119&lt;&gt;"",HEX2DEC(SUBSTITUTE(SUBSTITUTE(F119,"adrEA",""),"$","")),"")</f>
        <v>100242</v>
      </c>
      <c r="H119" s="5">
        <v>22</v>
      </c>
      <c r="I119" s="6" t="str">
        <f t="shared" ref="I119:I135" si="24">IFERROR(DEC2HEX(H119),"")</f>
        <v>16</v>
      </c>
      <c r="L119" t="s">
        <v>3213</v>
      </c>
    </row>
    <row r="120" spans="1:22" x14ac:dyDescent="0.2">
      <c r="A120" t="s">
        <v>218</v>
      </c>
      <c r="B120" t="s">
        <v>3212</v>
      </c>
      <c r="C120" s="5" t="s">
        <v>124</v>
      </c>
      <c r="D120" t="s">
        <v>216</v>
      </c>
      <c r="E120" t="str">
        <f t="shared" si="22"/>
        <v>gfx/Misc_Bed.offsets</v>
      </c>
      <c r="F120" t="s">
        <v>217</v>
      </c>
      <c r="G120" s="5">
        <f t="shared" si="23"/>
        <v>100264</v>
      </c>
      <c r="H120" s="5">
        <v>36</v>
      </c>
      <c r="I120" s="6" t="str">
        <f t="shared" si="24"/>
        <v>24</v>
      </c>
      <c r="L120" t="s">
        <v>3212</v>
      </c>
    </row>
    <row r="121" spans="1:22" x14ac:dyDescent="0.2">
      <c r="A121" t="s">
        <v>221</v>
      </c>
      <c r="B121" t="s">
        <v>3302</v>
      </c>
      <c r="C121" s="5" t="s">
        <v>124</v>
      </c>
      <c r="D121" t="s">
        <v>219</v>
      </c>
      <c r="E121" t="str">
        <f t="shared" si="22"/>
        <v>gfx/Wooden_Doors.offsets</v>
      </c>
      <c r="F121" t="s">
        <v>220</v>
      </c>
      <c r="G121" s="5">
        <f t="shared" si="23"/>
        <v>100300</v>
      </c>
      <c r="H121" s="5">
        <v>32</v>
      </c>
      <c r="I121" s="6" t="str">
        <f t="shared" si="24"/>
        <v>20</v>
      </c>
      <c r="L121" t="s">
        <v>3302</v>
      </c>
    </row>
    <row r="122" spans="1:22" x14ac:dyDescent="0.2">
      <c r="A122" t="s">
        <v>224</v>
      </c>
      <c r="B122" t="s">
        <v>3276</v>
      </c>
      <c r="C122" s="5" t="s">
        <v>124</v>
      </c>
      <c r="D122" t="s">
        <v>222</v>
      </c>
      <c r="E122" t="str">
        <f t="shared" si="22"/>
        <v>gfx/Wooden_Wall.offsets</v>
      </c>
      <c r="F122" t="s">
        <v>223</v>
      </c>
      <c r="G122" s="5">
        <f t="shared" si="23"/>
        <v>100332</v>
      </c>
      <c r="H122" s="5">
        <v>32</v>
      </c>
      <c r="I122" s="6" t="str">
        <f t="shared" si="24"/>
        <v>20</v>
      </c>
      <c r="L122" t="s">
        <v>3276</v>
      </c>
    </row>
    <row r="123" spans="1:22" x14ac:dyDescent="0.2">
      <c r="A123" t="s">
        <v>227</v>
      </c>
      <c r="B123" t="s">
        <v>3277</v>
      </c>
      <c r="C123" s="5" t="s">
        <v>124</v>
      </c>
      <c r="D123" t="s">
        <v>225</v>
      </c>
      <c r="E123" t="str">
        <f t="shared" si="22"/>
        <v>gfx/Main_Shelf.offsets</v>
      </c>
      <c r="F123" t="s">
        <v>226</v>
      </c>
      <c r="G123" s="5">
        <f t="shared" si="23"/>
        <v>100364</v>
      </c>
      <c r="H123" s="5">
        <v>32</v>
      </c>
      <c r="I123" s="6" t="str">
        <f t="shared" si="24"/>
        <v>20</v>
      </c>
      <c r="L123" t="s">
        <v>3277</v>
      </c>
    </row>
    <row r="124" spans="1:22" x14ac:dyDescent="0.2">
      <c r="A124" t="s">
        <v>230</v>
      </c>
      <c r="B124" t="s">
        <v>3278</v>
      </c>
      <c r="C124" s="5" t="s">
        <v>124</v>
      </c>
      <c r="D124" t="s">
        <v>228</v>
      </c>
      <c r="E124" t="str">
        <f t="shared" si="22"/>
        <v>gfx/Main_Sign.offsets</v>
      </c>
      <c r="F124" t="s">
        <v>229</v>
      </c>
      <c r="G124" s="5">
        <f t="shared" si="23"/>
        <v>100396</v>
      </c>
      <c r="H124" s="5">
        <v>32</v>
      </c>
      <c r="I124" s="6" t="str">
        <f t="shared" si="24"/>
        <v>20</v>
      </c>
      <c r="L124" t="s">
        <v>3278</v>
      </c>
    </row>
    <row r="125" spans="1:22" x14ac:dyDescent="0.2">
      <c r="A125" t="s">
        <v>233</v>
      </c>
      <c r="B125" t="s">
        <v>3279</v>
      </c>
      <c r="C125" s="5" t="s">
        <v>124</v>
      </c>
      <c r="D125" t="s">
        <v>231</v>
      </c>
      <c r="E125" t="str">
        <f t="shared" si="22"/>
        <v>gfx/Stairs_Up.offsets</v>
      </c>
      <c r="F125" t="s">
        <v>232</v>
      </c>
      <c r="G125" s="5">
        <f t="shared" si="23"/>
        <v>100428</v>
      </c>
      <c r="H125" s="5">
        <v>34</v>
      </c>
      <c r="I125" s="6" t="str">
        <f t="shared" si="24"/>
        <v>22</v>
      </c>
      <c r="L125" t="s">
        <v>3279</v>
      </c>
    </row>
    <row r="126" spans="1:22" x14ac:dyDescent="0.2">
      <c r="A126" t="s">
        <v>236</v>
      </c>
      <c r="B126" t="s">
        <v>3280</v>
      </c>
      <c r="C126" s="5" t="s">
        <v>124</v>
      </c>
      <c r="D126" t="s">
        <v>234</v>
      </c>
      <c r="E126" t="str">
        <f t="shared" si="22"/>
        <v>gfx/Stairs_Down.offsets</v>
      </c>
      <c r="F126" t="s">
        <v>235</v>
      </c>
      <c r="G126" s="5">
        <f t="shared" si="23"/>
        <v>100462</v>
      </c>
      <c r="H126" s="5">
        <v>34</v>
      </c>
      <c r="I126" s="6" t="str">
        <f t="shared" si="24"/>
        <v>22</v>
      </c>
      <c r="L126" t="s">
        <v>3280</v>
      </c>
    </row>
    <row r="127" spans="1:22" x14ac:dyDescent="0.2">
      <c r="A127" t="s">
        <v>239</v>
      </c>
      <c r="B127" t="s">
        <v>3281</v>
      </c>
      <c r="C127" s="5" t="s">
        <v>124</v>
      </c>
      <c r="D127" t="s">
        <v>237</v>
      </c>
      <c r="E127" t="str">
        <f t="shared" si="22"/>
        <v>gfx/Door.offsets</v>
      </c>
      <c r="F127" t="s">
        <v>238</v>
      </c>
      <c r="G127" s="5">
        <f t="shared" si="23"/>
        <v>100496</v>
      </c>
      <c r="H127" s="5">
        <v>26</v>
      </c>
      <c r="I127" s="6" t="str">
        <f t="shared" si="24"/>
        <v>1A</v>
      </c>
      <c r="L127" t="s">
        <v>3281</v>
      </c>
    </row>
    <row r="128" spans="1:22" x14ac:dyDescent="0.2">
      <c r="A128" t="s">
        <v>242</v>
      </c>
      <c r="B128" t="s">
        <v>3282</v>
      </c>
      <c r="C128" s="5" t="s">
        <v>124</v>
      </c>
      <c r="D128" t="s">
        <v>240</v>
      </c>
      <c r="E128" t="str">
        <f t="shared" si="22"/>
        <v>gfx/Main_Switches.offsets</v>
      </c>
      <c r="F128" t="s">
        <v>241</v>
      </c>
      <c r="G128" s="5">
        <f t="shared" si="23"/>
        <v>100522</v>
      </c>
      <c r="H128" s="5">
        <v>32</v>
      </c>
      <c r="I128" s="6" t="str">
        <f t="shared" si="24"/>
        <v>20</v>
      </c>
      <c r="L128" t="s">
        <v>3282</v>
      </c>
    </row>
    <row r="129" spans="1:12" x14ac:dyDescent="0.2">
      <c r="A129" t="s">
        <v>245</v>
      </c>
      <c r="B129" t="s">
        <v>3283</v>
      </c>
      <c r="C129" s="5" t="s">
        <v>124</v>
      </c>
      <c r="D129" t="s">
        <v>243</v>
      </c>
      <c r="E129" t="str">
        <f t="shared" si="22"/>
        <v>gfx/Pad_Pit.offsets</v>
      </c>
      <c r="F129" t="s">
        <v>244</v>
      </c>
      <c r="G129" s="5">
        <f t="shared" si="23"/>
        <v>100554</v>
      </c>
      <c r="H129" s="5">
        <v>24</v>
      </c>
      <c r="I129" s="6" t="str">
        <f t="shared" si="24"/>
        <v>18</v>
      </c>
      <c r="L129" t="s">
        <v>3283</v>
      </c>
    </row>
    <row r="130" spans="1:12" x14ac:dyDescent="0.2">
      <c r="A130" t="s">
        <v>248</v>
      </c>
      <c r="B130" t="s">
        <v>3284</v>
      </c>
      <c r="C130" s="5" t="s">
        <v>124</v>
      </c>
      <c r="D130" t="s">
        <v>246</v>
      </c>
      <c r="E130" t="str">
        <f t="shared" si="22"/>
        <v>gfx/Pad_Trigger.offsets</v>
      </c>
      <c r="F130" t="s">
        <v>247</v>
      </c>
      <c r="G130" s="5">
        <f t="shared" si="23"/>
        <v>100578</v>
      </c>
      <c r="H130" s="5">
        <v>24</v>
      </c>
      <c r="I130" s="6" t="str">
        <f t="shared" si="24"/>
        <v>18</v>
      </c>
      <c r="L130" t="s">
        <v>3284</v>
      </c>
    </row>
    <row r="131" spans="1:12" x14ac:dyDescent="0.2">
      <c r="A131" t="s">
        <v>251</v>
      </c>
      <c r="B131" t="s">
        <v>3285</v>
      </c>
      <c r="C131" s="5" t="s">
        <v>124</v>
      </c>
      <c r="D131" t="s">
        <v>249</v>
      </c>
      <c r="E131" t="str">
        <f t="shared" si="22"/>
        <v>gfx/Main_Walls.positions</v>
      </c>
      <c r="F131" t="s">
        <v>250</v>
      </c>
      <c r="G131" s="5">
        <f t="shared" si="23"/>
        <v>46778</v>
      </c>
      <c r="H131" s="5">
        <v>112</v>
      </c>
      <c r="I131" s="6" t="str">
        <f t="shared" si="24"/>
        <v>70</v>
      </c>
      <c r="L131" t="s">
        <v>3285</v>
      </c>
    </row>
    <row r="132" spans="1:12" x14ac:dyDescent="0.2">
      <c r="A132" t="s">
        <v>254</v>
      </c>
      <c r="B132" t="s">
        <v>3286</v>
      </c>
      <c r="C132" s="5" t="s">
        <v>124</v>
      </c>
      <c r="D132" t="s">
        <v>252</v>
      </c>
      <c r="E132" t="str">
        <f t="shared" si="22"/>
        <v>gfx/Wooden_Wall.positions</v>
      </c>
      <c r="F132" t="s">
        <v>253</v>
      </c>
      <c r="G132" s="5">
        <f t="shared" si="23"/>
        <v>46890</v>
      </c>
      <c r="H132" s="5">
        <v>112</v>
      </c>
      <c r="I132" s="6" t="str">
        <f t="shared" si="24"/>
        <v>70</v>
      </c>
      <c r="L132" t="s">
        <v>3286</v>
      </c>
    </row>
    <row r="133" spans="1:12" x14ac:dyDescent="0.2">
      <c r="A133" t="s">
        <v>257</v>
      </c>
      <c r="B133" t="s">
        <v>3287</v>
      </c>
      <c r="C133" s="5" t="s">
        <v>124</v>
      </c>
      <c r="D133" t="s">
        <v>255</v>
      </c>
      <c r="E133" t="str">
        <f t="shared" si="22"/>
        <v>gfx/Stairs_Up.positions</v>
      </c>
      <c r="F133" t="s">
        <v>256</v>
      </c>
      <c r="G133" s="5">
        <f t="shared" si="23"/>
        <v>47002</v>
      </c>
      <c r="H133" s="5">
        <v>116</v>
      </c>
      <c r="I133" s="6" t="str">
        <f t="shared" si="24"/>
        <v>74</v>
      </c>
      <c r="L133" t="s">
        <v>3287</v>
      </c>
    </row>
    <row r="134" spans="1:12" x14ac:dyDescent="0.2">
      <c r="A134" t="s">
        <v>260</v>
      </c>
      <c r="B134" t="s">
        <v>3288</v>
      </c>
      <c r="C134" s="5" t="s">
        <v>124</v>
      </c>
      <c r="D134" t="s">
        <v>258</v>
      </c>
      <c r="E134" t="str">
        <f t="shared" si="22"/>
        <v>gfx/Stairs_Down.positions</v>
      </c>
      <c r="F134" t="s">
        <v>259</v>
      </c>
      <c r="G134" s="5">
        <f t="shared" si="23"/>
        <v>47118</v>
      </c>
      <c r="H134" s="5">
        <v>116</v>
      </c>
      <c r="I134" s="6" t="str">
        <f t="shared" si="24"/>
        <v>74</v>
      </c>
      <c r="L134" t="s">
        <v>3288</v>
      </c>
    </row>
    <row r="135" spans="1:12" x14ac:dyDescent="0.2">
      <c r="A135" t="s">
        <v>263</v>
      </c>
      <c r="B135" t="s">
        <v>3289</v>
      </c>
      <c r="C135" s="5" t="s">
        <v>124</v>
      </c>
      <c r="D135" t="s">
        <v>261</v>
      </c>
      <c r="E135" t="str">
        <f t="shared" si="22"/>
        <v>gfx/Misc_Pillar.positions</v>
      </c>
      <c r="F135" t="s">
        <v>262</v>
      </c>
      <c r="G135" s="5">
        <f t="shared" si="23"/>
        <v>47234</v>
      </c>
      <c r="H135" s="5">
        <v>72</v>
      </c>
      <c r="I135" s="6" t="str">
        <f t="shared" si="24"/>
        <v>48</v>
      </c>
      <c r="L135" t="s">
        <v>3289</v>
      </c>
    </row>
    <row r="136" spans="1:12" x14ac:dyDescent="0.2">
      <c r="A136" t="s">
        <v>266</v>
      </c>
      <c r="B136" t="s">
        <v>3290</v>
      </c>
      <c r="C136" s="5" t="s">
        <v>124</v>
      </c>
      <c r="D136" t="s">
        <v>264</v>
      </c>
      <c r="E136" t="str">
        <f t="shared" ref="E136:E149" si="25">C136&amp;"/"&amp;D136</f>
        <v>gfx/Door.Positions</v>
      </c>
      <c r="F136" t="s">
        <v>265</v>
      </c>
      <c r="G136" s="5">
        <f t="shared" ref="G136:G149" si="26">IF(F136&lt;&gt;"",HEX2DEC(SUBSTITUTE(SUBSTITUTE(F136,"adrEA",""),"$","")),"")</f>
        <v>47306</v>
      </c>
      <c r="H136" s="5">
        <v>80</v>
      </c>
      <c r="I136" s="6" t="str">
        <f t="shared" ref="I136:I149" si="27">IFERROR(DEC2HEX(H136),"")</f>
        <v>50</v>
      </c>
      <c r="L136" t="s">
        <v>3290</v>
      </c>
    </row>
    <row r="137" spans="1:12" x14ac:dyDescent="0.2">
      <c r="A137" t="s">
        <v>269</v>
      </c>
      <c r="B137" t="s">
        <v>3291</v>
      </c>
      <c r="C137" s="5" t="s">
        <v>124</v>
      </c>
      <c r="D137" t="s">
        <v>267</v>
      </c>
      <c r="E137" t="str">
        <f t="shared" si="25"/>
        <v>gfx/Misc_Bed.positions</v>
      </c>
      <c r="F137" t="s">
        <v>268</v>
      </c>
      <c r="G137" s="5">
        <f t="shared" si="26"/>
        <v>47386</v>
      </c>
      <c r="H137" s="5">
        <v>72</v>
      </c>
      <c r="I137" s="6" t="str">
        <f t="shared" si="27"/>
        <v>48</v>
      </c>
      <c r="L137" t="s">
        <v>3291</v>
      </c>
    </row>
    <row r="138" spans="1:12" x14ac:dyDescent="0.2">
      <c r="A138" t="s">
        <v>272</v>
      </c>
      <c r="B138" t="s">
        <v>3292</v>
      </c>
      <c r="C138" s="5" t="s">
        <v>124</v>
      </c>
      <c r="D138" t="s">
        <v>270</v>
      </c>
      <c r="E138" t="str">
        <f t="shared" si="25"/>
        <v>gfx/Main_Shelf.positions</v>
      </c>
      <c r="F138" t="s">
        <v>271</v>
      </c>
      <c r="G138" s="5">
        <f t="shared" si="26"/>
        <v>47458</v>
      </c>
      <c r="H138" s="5">
        <v>112</v>
      </c>
      <c r="I138" s="6" t="str">
        <f t="shared" si="27"/>
        <v>70</v>
      </c>
      <c r="L138" t="s">
        <v>3292</v>
      </c>
    </row>
    <row r="139" spans="1:12" x14ac:dyDescent="0.2">
      <c r="A139" t="s">
        <v>275</v>
      </c>
      <c r="B139" t="s">
        <v>3293</v>
      </c>
      <c r="C139" s="5" t="s">
        <v>124</v>
      </c>
      <c r="D139" t="s">
        <v>273</v>
      </c>
      <c r="E139" t="str">
        <f t="shared" si="25"/>
        <v>gfx/Main_Sign.positions</v>
      </c>
      <c r="F139" t="s">
        <v>274</v>
      </c>
      <c r="G139" s="5">
        <f t="shared" si="26"/>
        <v>47570</v>
      </c>
      <c r="H139" s="5">
        <v>112</v>
      </c>
      <c r="I139" s="6" t="str">
        <f t="shared" si="27"/>
        <v>70</v>
      </c>
      <c r="L139" t="s">
        <v>3293</v>
      </c>
    </row>
    <row r="140" spans="1:12" x14ac:dyDescent="0.2">
      <c r="A140" t="s">
        <v>278</v>
      </c>
      <c r="B140" t="s">
        <v>3294</v>
      </c>
      <c r="C140" s="5" t="s">
        <v>124</v>
      </c>
      <c r="D140" t="s">
        <v>276</v>
      </c>
      <c r="E140" t="str">
        <f t="shared" si="25"/>
        <v>gfx/Main_SignOverlay.positions</v>
      </c>
      <c r="F140" t="s">
        <v>277</v>
      </c>
      <c r="G140" s="5">
        <f t="shared" si="26"/>
        <v>47682</v>
      </c>
      <c r="H140" s="5">
        <v>112</v>
      </c>
      <c r="I140" s="6" t="str">
        <f t="shared" si="27"/>
        <v>70</v>
      </c>
      <c r="L140" t="s">
        <v>3294</v>
      </c>
    </row>
    <row r="141" spans="1:12" x14ac:dyDescent="0.2">
      <c r="A141" t="s">
        <v>281</v>
      </c>
      <c r="B141" t="s">
        <v>3295</v>
      </c>
      <c r="C141" s="5" t="s">
        <v>124</v>
      </c>
      <c r="D141" t="s">
        <v>279</v>
      </c>
      <c r="E141" t="str">
        <f t="shared" si="25"/>
        <v>gfx/Main_SignOverlay.offsets</v>
      </c>
      <c r="F141" t="s">
        <v>280</v>
      </c>
      <c r="G141" s="5">
        <f t="shared" si="26"/>
        <v>44800</v>
      </c>
      <c r="H141" s="5">
        <v>32</v>
      </c>
      <c r="I141" s="6" t="str">
        <f t="shared" si="27"/>
        <v>20</v>
      </c>
      <c r="L141" t="s">
        <v>3295</v>
      </c>
    </row>
    <row r="142" spans="1:12" x14ac:dyDescent="0.2">
      <c r="A142" t="s">
        <v>284</v>
      </c>
      <c r="B142" t="s">
        <v>3296</v>
      </c>
      <c r="C142" s="5" t="s">
        <v>124</v>
      </c>
      <c r="D142" t="s">
        <v>282</v>
      </c>
      <c r="E142" t="str">
        <f t="shared" si="25"/>
        <v>gfx/Main_Slots.positions</v>
      </c>
      <c r="F142" t="s">
        <v>283</v>
      </c>
      <c r="G142" s="5">
        <f t="shared" si="26"/>
        <v>47794</v>
      </c>
      <c r="H142" s="5">
        <v>112</v>
      </c>
      <c r="I142" s="6" t="str">
        <f t="shared" si="27"/>
        <v>70</v>
      </c>
      <c r="L142" t="s">
        <v>3296</v>
      </c>
    </row>
    <row r="143" spans="1:12" x14ac:dyDescent="0.2">
      <c r="A143" t="s">
        <v>287</v>
      </c>
      <c r="B143" t="s">
        <v>3297</v>
      </c>
      <c r="C143" s="5" t="s">
        <v>124</v>
      </c>
      <c r="D143" t="s">
        <v>285</v>
      </c>
      <c r="E143" t="str">
        <f t="shared" si="25"/>
        <v>gfx/Main_Switches.positions</v>
      </c>
      <c r="F143" t="s">
        <v>286</v>
      </c>
      <c r="G143" s="5">
        <f t="shared" si="26"/>
        <v>47906</v>
      </c>
      <c r="H143" s="5">
        <v>112</v>
      </c>
      <c r="I143" s="6" t="str">
        <f>IFERROR(DEC2HEX(H143),"")</f>
        <v>70</v>
      </c>
      <c r="L143" t="s">
        <v>3297</v>
      </c>
    </row>
    <row r="144" spans="1:12" x14ac:dyDescent="0.2">
      <c r="A144" t="s">
        <v>290</v>
      </c>
      <c r="B144" t="s">
        <v>3298</v>
      </c>
      <c r="C144" s="5" t="s">
        <v>124</v>
      </c>
      <c r="D144" t="s">
        <v>288</v>
      </c>
      <c r="E144" t="str">
        <f t="shared" si="25"/>
        <v>gfx/Pad_Pit_Low.positions</v>
      </c>
      <c r="F144" t="s">
        <v>289</v>
      </c>
      <c r="G144" s="5">
        <f t="shared" si="26"/>
        <v>48018</v>
      </c>
      <c r="H144" s="5">
        <v>76</v>
      </c>
      <c r="I144" s="6" t="str">
        <f t="shared" si="27"/>
        <v>4C</v>
      </c>
      <c r="L144" t="s">
        <v>3298</v>
      </c>
    </row>
    <row r="145" spans="1:12" x14ac:dyDescent="0.2">
      <c r="A145" t="s">
        <v>293</v>
      </c>
      <c r="B145" t="s">
        <v>3299</v>
      </c>
      <c r="C145" s="5" t="s">
        <v>124</v>
      </c>
      <c r="D145" t="s">
        <v>291</v>
      </c>
      <c r="E145" t="str">
        <f t="shared" si="25"/>
        <v>gfx/Pad_Trigger.positions</v>
      </c>
      <c r="F145" t="s">
        <v>292</v>
      </c>
      <c r="G145" s="5">
        <f t="shared" si="26"/>
        <v>48094</v>
      </c>
      <c r="H145" s="5">
        <v>76</v>
      </c>
      <c r="I145" s="6" t="str">
        <f t="shared" si="27"/>
        <v>4C</v>
      </c>
      <c r="L145" t="s">
        <v>3299</v>
      </c>
    </row>
    <row r="146" spans="1:12" x14ac:dyDescent="0.2">
      <c r="A146" t="s">
        <v>296</v>
      </c>
      <c r="B146" t="s">
        <v>3300</v>
      </c>
      <c r="C146" s="5" t="s">
        <v>124</v>
      </c>
      <c r="D146" t="s">
        <v>294</v>
      </c>
      <c r="E146" t="str">
        <f t="shared" si="25"/>
        <v>gfx/Wooden_Doors.positions</v>
      </c>
      <c r="F146" t="s">
        <v>295</v>
      </c>
      <c r="G146" s="5">
        <f t="shared" si="26"/>
        <v>48170</v>
      </c>
      <c r="H146" s="5">
        <v>112</v>
      </c>
      <c r="I146" s="6" t="str">
        <f t="shared" si="27"/>
        <v>70</v>
      </c>
      <c r="L146" t="s">
        <v>3300</v>
      </c>
    </row>
    <row r="147" spans="1:12" x14ac:dyDescent="0.2">
      <c r="A147" t="s">
        <v>298</v>
      </c>
      <c r="B147" t="s">
        <v>3301</v>
      </c>
      <c r="C147" s="5" t="s">
        <v>124</v>
      </c>
      <c r="D147" t="s">
        <v>297</v>
      </c>
      <c r="E147" t="str">
        <f t="shared" si="25"/>
        <v>gfx/Main_Slots.offsets</v>
      </c>
      <c r="F147" t="s">
        <v>3318</v>
      </c>
      <c r="G147" s="5">
        <f t="shared" si="26"/>
        <v>44704</v>
      </c>
      <c r="H147" s="5">
        <v>32</v>
      </c>
      <c r="I147" s="6" t="str">
        <f t="shared" si="27"/>
        <v>20</v>
      </c>
      <c r="L147" t="s">
        <v>3301</v>
      </c>
    </row>
    <row r="148" spans="1:12" x14ac:dyDescent="0.2">
      <c r="A148" t="s">
        <v>299</v>
      </c>
      <c r="B148" t="s">
        <v>3194</v>
      </c>
      <c r="C148" s="5" t="s">
        <v>124</v>
      </c>
      <c r="D148" t="s">
        <v>3195</v>
      </c>
      <c r="E148" t="str">
        <f t="shared" si="25"/>
        <v>gfx/Switches.colours</v>
      </c>
      <c r="F148" t="s">
        <v>3319</v>
      </c>
      <c r="G148" s="5">
        <f t="shared" si="26"/>
        <v>44736</v>
      </c>
      <c r="H148" s="5">
        <v>32</v>
      </c>
      <c r="I148" s="6" t="str">
        <f t="shared" si="27"/>
        <v>20</v>
      </c>
      <c r="L148" t="s">
        <v>3194</v>
      </c>
    </row>
    <row r="149" spans="1:12" x14ac:dyDescent="0.2">
      <c r="A149" t="s">
        <v>300</v>
      </c>
      <c r="B149" t="s">
        <v>3303</v>
      </c>
      <c r="C149" s="5" t="s">
        <v>124</v>
      </c>
      <c r="D149" t="s">
        <v>3105</v>
      </c>
      <c r="E149" t="str">
        <f t="shared" si="25"/>
        <v>gfx/Main_Sign.colours</v>
      </c>
      <c r="F149" t="s">
        <v>3320</v>
      </c>
      <c r="G149" s="5">
        <f t="shared" si="26"/>
        <v>44768</v>
      </c>
      <c r="H149" s="5">
        <v>32</v>
      </c>
      <c r="I149" s="6" t="str">
        <f t="shared" si="27"/>
        <v>20</v>
      </c>
      <c r="L149" t="s">
        <v>3303</v>
      </c>
    </row>
    <row r="150" spans="1:12" x14ac:dyDescent="0.2">
      <c r="A150" t="s">
        <v>3060</v>
      </c>
      <c r="B150" t="s">
        <v>3124</v>
      </c>
      <c r="C150" s="5" t="s">
        <v>124</v>
      </c>
      <c r="L150" t="s">
        <v>3124</v>
      </c>
    </row>
    <row r="151" spans="1:12" s="12" customFormat="1" x14ac:dyDescent="0.2">
      <c r="A151" s="12" t="s">
        <v>3063</v>
      </c>
      <c r="B151" s="12" t="s">
        <v>3163</v>
      </c>
      <c r="C151" s="13"/>
      <c r="G151" s="13"/>
      <c r="H151" s="13"/>
      <c r="I151" s="14"/>
      <c r="J151" s="14"/>
      <c r="L151" s="12" t="s">
        <v>3163</v>
      </c>
    </row>
    <row r="152" spans="1:12" x14ac:dyDescent="0.2">
      <c r="A152" t="s">
        <v>3070</v>
      </c>
      <c r="B152" t="s">
        <v>3141</v>
      </c>
      <c r="C152" s="7" t="s">
        <v>51</v>
      </c>
      <c r="D152" t="s">
        <v>187</v>
      </c>
      <c r="E152" t="str">
        <f>C152&amp;"/"&amp;D152</f>
        <v>monsters/Summon.gfx</v>
      </c>
      <c r="F152" t="s">
        <v>3326</v>
      </c>
      <c r="G152" s="5">
        <f t="shared" ref="G152:G175" si="28">IF(F152&lt;&gt;"",HEX2DEC(SUBSTITUTE(SUBSTITUTE(F152,"adrEA",""),"$","")),"")</f>
        <v>281748</v>
      </c>
      <c r="H152" s="5">
        <v>5816</v>
      </c>
      <c r="L152" t="s">
        <v>3141</v>
      </c>
    </row>
    <row r="153" spans="1:12" x14ac:dyDescent="0.2">
      <c r="A153" t="s">
        <v>3071</v>
      </c>
      <c r="B153" t="s">
        <v>3138</v>
      </c>
      <c r="C153" s="7" t="s">
        <v>51</v>
      </c>
      <c r="D153" t="s">
        <v>188</v>
      </c>
      <c r="E153" t="str">
        <f>C153&amp;"/"&amp;D153</f>
        <v>monsters/Behemoth.gfx</v>
      </c>
      <c r="F153" t="s">
        <v>3327</v>
      </c>
      <c r="G153" s="5">
        <f t="shared" si="28"/>
        <v>287564</v>
      </c>
      <c r="H153" s="5">
        <v>5096</v>
      </c>
      <c r="I153" s="6" t="str">
        <f t="shared" ref="I153:I175" si="29">IFERROR(DEC2HEX(H153),"")</f>
        <v>13E8</v>
      </c>
      <c r="K153">
        <f>G152+H152</f>
        <v>287564</v>
      </c>
      <c r="L153" t="s">
        <v>3138</v>
      </c>
    </row>
    <row r="154" spans="1:12" x14ac:dyDescent="0.2">
      <c r="A154" t="s">
        <v>3072</v>
      </c>
      <c r="B154" t="s">
        <v>3139</v>
      </c>
      <c r="C154" s="7" t="s">
        <v>51</v>
      </c>
      <c r="D154" t="s">
        <v>189</v>
      </c>
      <c r="E154" t="str">
        <f>C154&amp;"/"&amp;D154</f>
        <v>monsters/Crab.gfx</v>
      </c>
      <c r="F154" t="s">
        <v>3328</v>
      </c>
      <c r="G154" s="5">
        <f t="shared" si="28"/>
        <v>292660</v>
      </c>
      <c r="H154" s="5">
        <v>1112</v>
      </c>
      <c r="I154" s="6" t="str">
        <f t="shared" si="29"/>
        <v>458</v>
      </c>
      <c r="K154">
        <f>G153+H153</f>
        <v>292660</v>
      </c>
      <c r="L154" t="s">
        <v>3139</v>
      </c>
    </row>
    <row r="155" spans="1:12" x14ac:dyDescent="0.2">
      <c r="A155" t="s">
        <v>3073</v>
      </c>
      <c r="B155" t="s">
        <v>3140</v>
      </c>
      <c r="C155" s="7" t="s">
        <v>51</v>
      </c>
      <c r="D155" t="s">
        <v>190</v>
      </c>
      <c r="E155" t="str">
        <f>C155&amp;"/"&amp;D155</f>
        <v>monsters/CrabClaw.gfx</v>
      </c>
      <c r="F155" t="s">
        <v>3329</v>
      </c>
      <c r="G155" s="5">
        <f t="shared" si="28"/>
        <v>293772</v>
      </c>
      <c r="H155" s="5" t="s">
        <v>191</v>
      </c>
      <c r="I155" s="6" t="str">
        <f t="shared" si="29"/>
        <v>350</v>
      </c>
      <c r="K155">
        <f>G154+H154</f>
        <v>293772</v>
      </c>
      <c r="L155" t="s">
        <v>3140</v>
      </c>
    </row>
    <row r="156" spans="1:12" x14ac:dyDescent="0.2">
      <c r="A156" t="s">
        <v>2350</v>
      </c>
      <c r="B156" t="s">
        <v>3576</v>
      </c>
      <c r="C156" s="7" t="s">
        <v>51</v>
      </c>
      <c r="D156" t="s">
        <v>3577</v>
      </c>
      <c r="E156" t="s">
        <v>3627</v>
      </c>
      <c r="F156" t="s">
        <v>3584</v>
      </c>
      <c r="G156" s="5">
        <f t="shared" si="28"/>
        <v>40816</v>
      </c>
      <c r="H156" s="5">
        <v>12</v>
      </c>
      <c r="I156" s="6" t="str">
        <f t="shared" si="29"/>
        <v>C</v>
      </c>
      <c r="K156">
        <f>G155+H155</f>
        <v>294620</v>
      </c>
      <c r="L156" t="s">
        <v>3142</v>
      </c>
    </row>
    <row r="157" spans="1:12" x14ac:dyDescent="0.2">
      <c r="A157" t="s">
        <v>2351</v>
      </c>
      <c r="B157" t="s">
        <v>3628</v>
      </c>
      <c r="C157" s="7" t="s">
        <v>51</v>
      </c>
      <c r="D157" t="s">
        <v>3629</v>
      </c>
      <c r="E157" t="s">
        <v>3630</v>
      </c>
      <c r="F157" t="s">
        <v>3585</v>
      </c>
      <c r="G157" s="5">
        <f t="shared" si="28"/>
        <v>40828</v>
      </c>
      <c r="H157" s="5">
        <v>8</v>
      </c>
      <c r="I157" s="6" t="str">
        <f t="shared" si="29"/>
        <v>8</v>
      </c>
      <c r="L157" t="s">
        <v>3144</v>
      </c>
    </row>
    <row r="158" spans="1:12" x14ac:dyDescent="0.2">
      <c r="A158" t="s">
        <v>2352</v>
      </c>
      <c r="B158" t="s">
        <v>3578</v>
      </c>
      <c r="C158" s="7" t="s">
        <v>51</v>
      </c>
      <c r="D158" t="s">
        <v>3581</v>
      </c>
      <c r="E158" t="s">
        <v>3631</v>
      </c>
      <c r="F158" t="s">
        <v>3586</v>
      </c>
      <c r="G158" s="5">
        <f t="shared" si="28"/>
        <v>40836</v>
      </c>
      <c r="H158" s="5">
        <v>32</v>
      </c>
      <c r="I158" s="6" t="str">
        <f t="shared" si="29"/>
        <v>20</v>
      </c>
    </row>
    <row r="159" spans="1:12" x14ac:dyDescent="0.2">
      <c r="A159" t="s">
        <v>2353</v>
      </c>
      <c r="B159" t="s">
        <v>3579</v>
      </c>
      <c r="C159" s="7" t="s">
        <v>51</v>
      </c>
      <c r="D159" t="s">
        <v>3580</v>
      </c>
      <c r="E159" t="s">
        <v>3632</v>
      </c>
      <c r="F159" t="s">
        <v>3587</v>
      </c>
      <c r="G159" s="5">
        <f t="shared" si="28"/>
        <v>40868</v>
      </c>
      <c r="H159" s="5">
        <v>8</v>
      </c>
      <c r="I159" s="6" t="str">
        <f t="shared" si="29"/>
        <v>8</v>
      </c>
    </row>
    <row r="160" spans="1:12" x14ac:dyDescent="0.2">
      <c r="A160" t="s">
        <v>2329</v>
      </c>
      <c r="B160" t="s">
        <v>3588</v>
      </c>
      <c r="C160" s="7" t="s">
        <v>51</v>
      </c>
      <c r="D160" t="s">
        <v>3633</v>
      </c>
      <c r="E160" t="s">
        <v>3634</v>
      </c>
      <c r="F160" t="s">
        <v>3589</v>
      </c>
      <c r="G160" s="5">
        <f t="shared" si="28"/>
        <v>40496</v>
      </c>
      <c r="H160" s="5">
        <v>4</v>
      </c>
      <c r="I160" s="6" t="str">
        <f t="shared" si="29"/>
        <v>4</v>
      </c>
      <c r="K160" t="s">
        <v>3590</v>
      </c>
    </row>
    <row r="161" spans="1:13" x14ac:dyDescent="0.2">
      <c r="A161" t="s">
        <v>2330</v>
      </c>
      <c r="B161" t="s">
        <v>3635</v>
      </c>
      <c r="C161" s="7" t="s">
        <v>51</v>
      </c>
      <c r="D161" t="s">
        <v>3636</v>
      </c>
      <c r="E161" t="s">
        <v>3637</v>
      </c>
      <c r="F161" t="s">
        <v>3591</v>
      </c>
      <c r="G161" s="5">
        <f t="shared" si="28"/>
        <v>40500</v>
      </c>
      <c r="H161" s="5">
        <v>4</v>
      </c>
      <c r="I161" s="6" t="str">
        <f t="shared" si="29"/>
        <v>4</v>
      </c>
      <c r="K161" t="s">
        <v>3592</v>
      </c>
    </row>
    <row r="162" spans="1:13" x14ac:dyDescent="0.2">
      <c r="A162" t="s">
        <v>2333</v>
      </c>
      <c r="B162" t="s">
        <v>3593</v>
      </c>
      <c r="C162" s="7" t="s">
        <v>51</v>
      </c>
      <c r="D162" t="s">
        <v>3638</v>
      </c>
      <c r="E162" t="s">
        <v>3639</v>
      </c>
      <c r="F162" t="s">
        <v>3594</v>
      </c>
      <c r="G162" s="5">
        <f t="shared" si="28"/>
        <v>40560</v>
      </c>
      <c r="H162" s="5">
        <v>4</v>
      </c>
      <c r="I162" s="6" t="str">
        <f t="shared" si="29"/>
        <v>4</v>
      </c>
      <c r="K162" t="s">
        <v>3595</v>
      </c>
    </row>
    <row r="163" spans="1:13" x14ac:dyDescent="0.2">
      <c r="A163" t="s">
        <v>2334</v>
      </c>
      <c r="B163" t="s">
        <v>3640</v>
      </c>
      <c r="C163" s="7" t="s">
        <v>51</v>
      </c>
      <c r="D163" t="s">
        <v>3641</v>
      </c>
      <c r="E163" t="s">
        <v>3642</v>
      </c>
      <c r="F163" t="s">
        <v>3596</v>
      </c>
      <c r="G163" s="5">
        <f t="shared" si="28"/>
        <v>40564</v>
      </c>
      <c r="H163" s="5">
        <v>4</v>
      </c>
      <c r="I163" s="6" t="str">
        <f t="shared" si="29"/>
        <v>4</v>
      </c>
      <c r="K163" t="s">
        <v>3597</v>
      </c>
    </row>
    <row r="164" spans="1:13" x14ac:dyDescent="0.2">
      <c r="A164" t="s">
        <v>2335</v>
      </c>
      <c r="B164" t="s">
        <v>3643</v>
      </c>
      <c r="C164" s="7" t="s">
        <v>51</v>
      </c>
      <c r="D164" t="s">
        <v>3644</v>
      </c>
      <c r="E164" t="s">
        <v>3645</v>
      </c>
      <c r="F164" t="s">
        <v>3598</v>
      </c>
      <c r="G164" s="5">
        <f t="shared" si="28"/>
        <v>40568</v>
      </c>
      <c r="H164" s="5">
        <v>4</v>
      </c>
      <c r="I164" s="6" t="str">
        <f t="shared" si="29"/>
        <v>4</v>
      </c>
      <c r="K164" t="s">
        <v>3599</v>
      </c>
    </row>
    <row r="165" spans="1:13" x14ac:dyDescent="0.2">
      <c r="A165" t="s">
        <v>2337</v>
      </c>
      <c r="B165" t="s">
        <v>3646</v>
      </c>
      <c r="C165" s="7" t="s">
        <v>51</v>
      </c>
      <c r="D165" t="s">
        <v>3647</v>
      </c>
      <c r="E165" t="s">
        <v>3648</v>
      </c>
      <c r="F165" t="s">
        <v>3600</v>
      </c>
      <c r="G165" s="5">
        <f t="shared" si="28"/>
        <v>40606</v>
      </c>
      <c r="H165" s="5">
        <v>2</v>
      </c>
      <c r="I165" s="6" t="str">
        <f t="shared" si="29"/>
        <v>2</v>
      </c>
      <c r="K165" t="s">
        <v>3601</v>
      </c>
    </row>
    <row r="166" spans="1:13" x14ac:dyDescent="0.2">
      <c r="A166" t="s">
        <v>2338</v>
      </c>
      <c r="B166" t="s">
        <v>3649</v>
      </c>
      <c r="C166" s="7" t="s">
        <v>51</v>
      </c>
      <c r="D166" t="s">
        <v>3650</v>
      </c>
      <c r="E166" t="s">
        <v>3651</v>
      </c>
      <c r="F166" t="s">
        <v>3602</v>
      </c>
      <c r="G166" s="5">
        <f t="shared" si="28"/>
        <v>40608</v>
      </c>
      <c r="H166" s="5">
        <v>2</v>
      </c>
      <c r="I166" s="6" t="str">
        <f t="shared" si="29"/>
        <v>2</v>
      </c>
      <c r="K166" t="s">
        <v>3603</v>
      </c>
    </row>
    <row r="167" spans="1:13" x14ac:dyDescent="0.2">
      <c r="A167" t="s">
        <v>2341</v>
      </c>
      <c r="B167" t="s">
        <v>3604</v>
      </c>
      <c r="C167" s="7" t="s">
        <v>51</v>
      </c>
      <c r="D167" t="s">
        <v>3652</v>
      </c>
      <c r="E167" t="s">
        <v>3653</v>
      </c>
      <c r="F167" t="s">
        <v>3605</v>
      </c>
      <c r="G167" s="5">
        <f t="shared" si="28"/>
        <v>40660</v>
      </c>
      <c r="H167" s="5">
        <v>6</v>
      </c>
      <c r="I167" s="6" t="str">
        <f t="shared" si="29"/>
        <v>6</v>
      </c>
      <c r="K167" t="s">
        <v>3606</v>
      </c>
    </row>
    <row r="168" spans="1:13" x14ac:dyDescent="0.2">
      <c r="A168" t="s">
        <v>2342</v>
      </c>
      <c r="B168" t="s">
        <v>3654</v>
      </c>
      <c r="C168" s="7" t="s">
        <v>51</v>
      </c>
      <c r="D168" t="s">
        <v>3655</v>
      </c>
      <c r="E168" t="s">
        <v>3656</v>
      </c>
      <c r="F168" t="s">
        <v>3607</v>
      </c>
      <c r="G168" s="5">
        <f t="shared" si="28"/>
        <v>40666</v>
      </c>
      <c r="H168" s="5">
        <v>6</v>
      </c>
      <c r="I168" s="6" t="str">
        <f t="shared" si="29"/>
        <v>6</v>
      </c>
      <c r="K168" t="s">
        <v>3608</v>
      </c>
    </row>
    <row r="169" spans="1:13" x14ac:dyDescent="0.2">
      <c r="A169" t="s">
        <v>2343</v>
      </c>
      <c r="B169" t="s">
        <v>3657</v>
      </c>
      <c r="C169" s="7" t="s">
        <v>51</v>
      </c>
      <c r="D169" t="s">
        <v>3658</v>
      </c>
      <c r="E169" t="s">
        <v>3659</v>
      </c>
      <c r="F169" t="s">
        <v>3609</v>
      </c>
      <c r="G169" s="5">
        <f t="shared" si="28"/>
        <v>40672</v>
      </c>
      <c r="H169" s="5">
        <v>6</v>
      </c>
      <c r="I169" s="6" t="str">
        <f t="shared" si="29"/>
        <v>6</v>
      </c>
      <c r="K169" t="s">
        <v>3610</v>
      </c>
    </row>
    <row r="170" spans="1:13" x14ac:dyDescent="0.2">
      <c r="A170" t="s">
        <v>2344</v>
      </c>
      <c r="B170" t="s">
        <v>3611</v>
      </c>
      <c r="C170" s="7" t="s">
        <v>51</v>
      </c>
      <c r="D170" t="s">
        <v>3660</v>
      </c>
      <c r="E170" t="s">
        <v>3661</v>
      </c>
      <c r="F170" t="s">
        <v>3612</v>
      </c>
      <c r="G170" s="5">
        <f t="shared" si="28"/>
        <v>40678</v>
      </c>
      <c r="H170" s="5">
        <v>4</v>
      </c>
      <c r="I170" s="6" t="str">
        <f t="shared" si="29"/>
        <v>4</v>
      </c>
      <c r="K170" t="s">
        <v>3613</v>
      </c>
    </row>
    <row r="171" spans="1:13" x14ac:dyDescent="0.2">
      <c r="A171" t="s">
        <v>2348</v>
      </c>
      <c r="B171" t="s">
        <v>3662</v>
      </c>
      <c r="C171" s="7" t="s">
        <v>51</v>
      </c>
      <c r="D171" t="s">
        <v>3663</v>
      </c>
      <c r="E171" t="s">
        <v>3664</v>
      </c>
      <c r="F171" t="s">
        <v>3614</v>
      </c>
      <c r="G171" s="5">
        <f t="shared" si="28"/>
        <v>40798</v>
      </c>
      <c r="H171" s="5">
        <v>2</v>
      </c>
      <c r="I171" s="6" t="str">
        <f t="shared" si="29"/>
        <v>2</v>
      </c>
      <c r="K171" t="s">
        <v>3615</v>
      </c>
    </row>
    <row r="172" spans="1:13" x14ac:dyDescent="0.2">
      <c r="A172" t="s">
        <v>3123</v>
      </c>
      <c r="B172" t="s">
        <v>3665</v>
      </c>
      <c r="C172" s="7" t="s">
        <v>51</v>
      </c>
      <c r="D172" t="s">
        <v>3666</v>
      </c>
      <c r="E172" t="s">
        <v>3671</v>
      </c>
      <c r="F172" t="s">
        <v>3330</v>
      </c>
      <c r="G172" s="5">
        <f t="shared" si="28"/>
        <v>294620</v>
      </c>
      <c r="H172" s="5">
        <v>672</v>
      </c>
      <c r="I172" s="6" t="str">
        <f t="shared" si="29"/>
        <v>2A0</v>
      </c>
      <c r="J172" s="6" t="s">
        <v>3667</v>
      </c>
      <c r="L172" t="s">
        <v>3143</v>
      </c>
    </row>
    <row r="173" spans="1:13" x14ac:dyDescent="0.2">
      <c r="A173" t="s">
        <v>3123</v>
      </c>
      <c r="B173" t="s">
        <v>3669</v>
      </c>
      <c r="C173" s="7" t="s">
        <v>51</v>
      </c>
      <c r="D173" t="s">
        <v>3672</v>
      </c>
      <c r="E173" t="s">
        <v>3673</v>
      </c>
      <c r="F173" t="s">
        <v>3332</v>
      </c>
      <c r="G173" s="5">
        <f t="shared" si="28"/>
        <v>295292</v>
      </c>
      <c r="H173" s="5">
        <v>160</v>
      </c>
      <c r="I173" s="6" t="str">
        <f t="shared" si="29"/>
        <v>A0</v>
      </c>
      <c r="J173" s="6" t="s">
        <v>3674</v>
      </c>
      <c r="L173" t="s">
        <v>3143</v>
      </c>
    </row>
    <row r="174" spans="1:13" x14ac:dyDescent="0.2">
      <c r="A174" t="s">
        <v>3123</v>
      </c>
      <c r="B174" t="s">
        <v>3670</v>
      </c>
      <c r="C174" s="7" t="s">
        <v>51</v>
      </c>
      <c r="D174" t="s">
        <v>3675</v>
      </c>
      <c r="E174" t="s">
        <v>3676</v>
      </c>
      <c r="F174" t="s">
        <v>3677</v>
      </c>
      <c r="G174" s="5">
        <f t="shared" si="28"/>
        <v>295452</v>
      </c>
      <c r="H174" s="5">
        <v>864</v>
      </c>
      <c r="I174" s="6" t="str">
        <f t="shared" si="29"/>
        <v>360</v>
      </c>
      <c r="J174" s="6" t="s">
        <v>3674</v>
      </c>
      <c r="L174" t="s">
        <v>3143</v>
      </c>
    </row>
    <row r="175" spans="1:13" x14ac:dyDescent="0.2">
      <c r="A175" t="s">
        <v>3123</v>
      </c>
      <c r="B175" t="s">
        <v>3678</v>
      </c>
      <c r="C175" s="7" t="s">
        <v>51</v>
      </c>
      <c r="D175" t="s">
        <v>3679</v>
      </c>
      <c r="E175" t="s">
        <v>3680</v>
      </c>
      <c r="F175" t="s">
        <v>3583</v>
      </c>
      <c r="G175" s="5">
        <f t="shared" si="28"/>
        <v>296316</v>
      </c>
      <c r="H175" s="5">
        <v>96</v>
      </c>
      <c r="I175" s="6" t="str">
        <f t="shared" si="29"/>
        <v>60</v>
      </c>
      <c r="J175" s="6" t="s">
        <v>3674</v>
      </c>
      <c r="L175" t="s">
        <v>3143</v>
      </c>
    </row>
    <row r="176" spans="1:13" x14ac:dyDescent="0.2">
      <c r="A176" t="s">
        <v>3114</v>
      </c>
      <c r="C176" s="7"/>
      <c r="K176">
        <f>G172+H172</f>
        <v>295292</v>
      </c>
      <c r="L176" t="s">
        <v>3146</v>
      </c>
      <c r="M176" t="str">
        <f>DEC2HEX(K176)</f>
        <v>4817C</v>
      </c>
    </row>
    <row r="177" spans="1:21" x14ac:dyDescent="0.2">
      <c r="A177" t="s">
        <v>3115</v>
      </c>
      <c r="C177" s="7"/>
      <c r="K177">
        <f t="shared" ref="K177:K188" si="30">K176+H176</f>
        <v>295292</v>
      </c>
      <c r="L177" t="s">
        <v>3147</v>
      </c>
      <c r="M177" t="str">
        <f t="shared" ref="M177:M188" si="31">DEC2HEX(K177)</f>
        <v>4817C</v>
      </c>
    </row>
    <row r="178" spans="1:21" x14ac:dyDescent="0.2">
      <c r="A178" t="s">
        <v>3116</v>
      </c>
      <c r="C178" s="7"/>
      <c r="K178">
        <f t="shared" si="30"/>
        <v>295292</v>
      </c>
      <c r="L178" t="s">
        <v>3148</v>
      </c>
      <c r="M178" t="str">
        <f t="shared" si="31"/>
        <v>4817C</v>
      </c>
    </row>
    <row r="179" spans="1:21" x14ac:dyDescent="0.2">
      <c r="A179" t="s">
        <v>3117</v>
      </c>
      <c r="C179" s="7"/>
      <c r="K179">
        <f t="shared" si="30"/>
        <v>295292</v>
      </c>
      <c r="L179" t="s">
        <v>3149</v>
      </c>
      <c r="M179" t="str">
        <f t="shared" si="31"/>
        <v>4817C</v>
      </c>
    </row>
    <row r="180" spans="1:21" x14ac:dyDescent="0.2">
      <c r="A180" t="s">
        <v>3118</v>
      </c>
      <c r="C180" s="7"/>
      <c r="K180">
        <f t="shared" si="30"/>
        <v>295292</v>
      </c>
      <c r="L180" t="s">
        <v>3150</v>
      </c>
      <c r="M180" t="str">
        <f t="shared" si="31"/>
        <v>4817C</v>
      </c>
    </row>
    <row r="181" spans="1:21" x14ac:dyDescent="0.2">
      <c r="A181" t="s">
        <v>3119</v>
      </c>
      <c r="C181" s="7"/>
      <c r="K181">
        <f t="shared" si="30"/>
        <v>295292</v>
      </c>
      <c r="L181" t="s">
        <v>3145</v>
      </c>
      <c r="M181" t="str">
        <f t="shared" si="31"/>
        <v>4817C</v>
      </c>
    </row>
    <row r="182" spans="1:21" x14ac:dyDescent="0.2">
      <c r="A182" t="s">
        <v>3120</v>
      </c>
      <c r="C182" s="7"/>
      <c r="K182">
        <f t="shared" si="30"/>
        <v>295292</v>
      </c>
      <c r="L182" t="s">
        <v>3151</v>
      </c>
      <c r="M182" t="str">
        <f t="shared" si="31"/>
        <v>4817C</v>
      </c>
    </row>
    <row r="183" spans="1:21" x14ac:dyDescent="0.2">
      <c r="A183" t="s">
        <v>3121</v>
      </c>
      <c r="C183" s="7"/>
      <c r="K183">
        <f t="shared" si="30"/>
        <v>295292</v>
      </c>
      <c r="L183" t="s">
        <v>3152</v>
      </c>
      <c r="M183" t="str">
        <f t="shared" si="31"/>
        <v>4817C</v>
      </c>
    </row>
    <row r="184" spans="1:21" x14ac:dyDescent="0.2">
      <c r="A184" t="s">
        <v>3122</v>
      </c>
      <c r="C184" s="7"/>
      <c r="K184">
        <f t="shared" si="30"/>
        <v>295292</v>
      </c>
      <c r="L184" t="s">
        <v>3153</v>
      </c>
      <c r="M184" t="str">
        <f t="shared" si="31"/>
        <v>4817C</v>
      </c>
    </row>
    <row r="185" spans="1:21" x14ac:dyDescent="0.2">
      <c r="A185" t="s">
        <v>3074</v>
      </c>
      <c r="B185" t="s">
        <v>3154</v>
      </c>
      <c r="C185" s="7" t="s">
        <v>51</v>
      </c>
      <c r="D185" t="s">
        <v>192</v>
      </c>
      <c r="E185" t="str">
        <f t="shared" ref="E185:E198" si="32">C185&amp;"/"&amp;D185</f>
        <v>monsters/Dragon.gfx</v>
      </c>
      <c r="F185" t="s">
        <v>3582</v>
      </c>
      <c r="G185" s="5">
        <f t="shared" ref="G185:G198" si="33">IF(F185&lt;&gt;"",HEX2DEC(SUBSTITUTE(SUBSTITUTE(F185,"adrEA",""),"$","")),"")</f>
        <v>296412</v>
      </c>
      <c r="H185" s="5">
        <v>10544</v>
      </c>
      <c r="I185" s="6" t="str">
        <f t="shared" ref="I185:I198" si="34">IFERROR(DEC2HEX(H185),"")</f>
        <v>2930</v>
      </c>
      <c r="K185">
        <f t="shared" si="30"/>
        <v>295292</v>
      </c>
      <c r="L185" t="s">
        <v>3154</v>
      </c>
      <c r="M185" t="str">
        <f>DEC2HEX(K185)</f>
        <v>4817C</v>
      </c>
      <c r="T185" s="15" t="s">
        <v>3332</v>
      </c>
      <c r="U185" t="s">
        <v>3689</v>
      </c>
    </row>
    <row r="186" spans="1:21" x14ac:dyDescent="0.2">
      <c r="A186" t="s">
        <v>3075</v>
      </c>
      <c r="B186" t="s">
        <v>3155</v>
      </c>
      <c r="C186" s="7" t="s">
        <v>51</v>
      </c>
      <c r="D186" t="s">
        <v>193</v>
      </c>
      <c r="E186" t="str">
        <f t="shared" si="32"/>
        <v>monsters/Entropy.gfx</v>
      </c>
      <c r="F186" t="s">
        <v>3690</v>
      </c>
      <c r="G186" s="5">
        <f t="shared" si="33"/>
        <v>306956</v>
      </c>
      <c r="H186" s="5">
        <v>5234</v>
      </c>
      <c r="I186" s="6" t="str">
        <f t="shared" si="34"/>
        <v>1472</v>
      </c>
      <c r="K186">
        <f t="shared" si="30"/>
        <v>305836</v>
      </c>
      <c r="L186" t="s">
        <v>3155</v>
      </c>
      <c r="M186" s="25" t="str">
        <f t="shared" si="31"/>
        <v>4AAAC</v>
      </c>
      <c r="T186" s="15" t="s">
        <v>3688</v>
      </c>
      <c r="U186" t="s">
        <v>3689</v>
      </c>
    </row>
    <row r="187" spans="1:21" x14ac:dyDescent="0.2">
      <c r="A187" t="s">
        <v>3076</v>
      </c>
      <c r="B187" t="s">
        <v>3135</v>
      </c>
      <c r="C187" s="5" t="s">
        <v>124</v>
      </c>
      <c r="D187" t="s">
        <v>194</v>
      </c>
      <c r="E187" t="str">
        <f>C187&amp;"/"&amp;D187</f>
        <v>gfx/Pockets.gfx</v>
      </c>
      <c r="F187" t="s">
        <v>3257</v>
      </c>
      <c r="G187" s="5">
        <f>IF(F187&lt;&gt;"",HEX2DEC(SUBSTITUTE(SUBSTITUTE(F187,"adrEA",""),"$","")),"")</f>
        <v>312190</v>
      </c>
      <c r="H187" s="5">
        <v>32032</v>
      </c>
      <c r="I187" s="6" t="str">
        <f>IFERROR(DEC2HEX(H187),"")</f>
        <v>7D20</v>
      </c>
      <c r="K187">
        <f t="shared" si="30"/>
        <v>311070</v>
      </c>
      <c r="L187" t="s">
        <v>3135</v>
      </c>
      <c r="M187" s="25">
        <f>(HEX2DEC(SUBSTITUTE(F187,"$","")))</f>
        <v>312190</v>
      </c>
      <c r="O187" t="s">
        <v>3242</v>
      </c>
      <c r="P187" s="21" t="s">
        <v>3241</v>
      </c>
      <c r="R187" t="s">
        <v>3256</v>
      </c>
      <c r="S187" t="s">
        <v>3106</v>
      </c>
    </row>
    <row r="188" spans="1:21" x14ac:dyDescent="0.2">
      <c r="A188" t="s">
        <v>3090</v>
      </c>
      <c r="B188" t="s">
        <v>3156</v>
      </c>
      <c r="C188" s="5" t="s">
        <v>195</v>
      </c>
      <c r="D188" t="s">
        <v>196</v>
      </c>
      <c r="E188" t="str">
        <f t="shared" si="32"/>
        <v>sfx/sample1.sound</v>
      </c>
      <c r="F188" t="s">
        <v>197</v>
      </c>
      <c r="G188" s="5">
        <f t="shared" si="33"/>
        <v>344222</v>
      </c>
      <c r="H188" s="5">
        <v>132</v>
      </c>
      <c r="I188" s="6" t="str">
        <f t="shared" si="34"/>
        <v>84</v>
      </c>
      <c r="K188">
        <f t="shared" si="30"/>
        <v>343102</v>
      </c>
      <c r="L188" t="s">
        <v>3156</v>
      </c>
      <c r="M188" s="25" t="str">
        <f t="shared" si="31"/>
        <v>53C3E</v>
      </c>
    </row>
    <row r="189" spans="1:21" x14ac:dyDescent="0.2">
      <c r="A189" t="s">
        <v>3161</v>
      </c>
      <c r="B189" t="s">
        <v>3163</v>
      </c>
      <c r="L189" t="s">
        <v>3163</v>
      </c>
    </row>
    <row r="190" spans="1:21" x14ac:dyDescent="0.2">
      <c r="A190" t="s">
        <v>3162</v>
      </c>
      <c r="B190" t="s">
        <v>3163</v>
      </c>
      <c r="L190" t="s">
        <v>3163</v>
      </c>
    </row>
    <row r="191" spans="1:21" x14ac:dyDescent="0.2">
      <c r="A191" t="s">
        <v>3164</v>
      </c>
      <c r="B191" t="s">
        <v>3163</v>
      </c>
      <c r="L191" t="s">
        <v>3163</v>
      </c>
    </row>
    <row r="192" spans="1:21" x14ac:dyDescent="0.2">
      <c r="A192" t="s">
        <v>3165</v>
      </c>
      <c r="B192" t="s">
        <v>3163</v>
      </c>
      <c r="L192" t="s">
        <v>3163</v>
      </c>
    </row>
    <row r="193" spans="1:14" x14ac:dyDescent="0.2">
      <c r="A193" t="s">
        <v>3091</v>
      </c>
      <c r="B193" t="s">
        <v>3157</v>
      </c>
      <c r="C193" s="5" t="s">
        <v>195</v>
      </c>
      <c r="D193" t="s">
        <v>198</v>
      </c>
      <c r="E193" t="str">
        <f t="shared" si="32"/>
        <v>sfx/sample2.sound</v>
      </c>
      <c r="F193" t="s">
        <v>199</v>
      </c>
      <c r="G193" s="5">
        <f t="shared" si="33"/>
        <v>344354</v>
      </c>
      <c r="H193" s="5">
        <v>1474</v>
      </c>
      <c r="I193" s="6" t="str">
        <f t="shared" si="34"/>
        <v>5C2</v>
      </c>
      <c r="L193" t="s">
        <v>3157</v>
      </c>
    </row>
    <row r="194" spans="1:14" x14ac:dyDescent="0.2">
      <c r="A194" t="s">
        <v>3092</v>
      </c>
      <c r="B194" s="15" t="s">
        <v>3158</v>
      </c>
      <c r="C194" s="5" t="s">
        <v>195</v>
      </c>
      <c r="D194" t="s">
        <v>200</v>
      </c>
      <c r="E194" t="str">
        <f t="shared" si="32"/>
        <v>sfx/sample3.sound</v>
      </c>
      <c r="F194" t="s">
        <v>201</v>
      </c>
      <c r="G194" s="5">
        <f t="shared" si="33"/>
        <v>345828</v>
      </c>
      <c r="H194" s="5">
        <v>6280</v>
      </c>
      <c r="I194" s="6" t="str">
        <f t="shared" si="34"/>
        <v>1888</v>
      </c>
      <c r="L194" t="s">
        <v>3158</v>
      </c>
    </row>
    <row r="195" spans="1:14" x14ac:dyDescent="0.2">
      <c r="A195" t="s">
        <v>3093</v>
      </c>
      <c r="B195" s="15" t="s">
        <v>3159</v>
      </c>
      <c r="C195" s="5" t="s">
        <v>195</v>
      </c>
      <c r="D195" t="s">
        <v>202</v>
      </c>
      <c r="E195" t="str">
        <f t="shared" si="32"/>
        <v>sfx/sample4.sound</v>
      </c>
      <c r="F195" t="s">
        <v>203</v>
      </c>
      <c r="G195" s="5">
        <f t="shared" si="33"/>
        <v>352108</v>
      </c>
      <c r="H195" s="5">
        <v>6070</v>
      </c>
      <c r="I195" s="6" t="str">
        <f t="shared" si="34"/>
        <v>17B6</v>
      </c>
      <c r="L195" t="s">
        <v>3159</v>
      </c>
    </row>
    <row r="196" spans="1:14" x14ac:dyDescent="0.2">
      <c r="A196" t="s">
        <v>3094</v>
      </c>
      <c r="B196" s="15" t="s">
        <v>3160</v>
      </c>
      <c r="C196" s="5" t="s">
        <v>195</v>
      </c>
      <c r="D196" t="s">
        <v>204</v>
      </c>
      <c r="E196" t="str">
        <f t="shared" si="32"/>
        <v>sfx/sample5.sound</v>
      </c>
      <c r="F196" t="s">
        <v>205</v>
      </c>
      <c r="G196" s="5">
        <f t="shared" si="33"/>
        <v>358178</v>
      </c>
      <c r="H196" s="5">
        <v>3458</v>
      </c>
      <c r="I196" s="6" t="str">
        <f t="shared" si="34"/>
        <v>D82</v>
      </c>
      <c r="L196" t="s">
        <v>3160</v>
      </c>
    </row>
    <row r="197" spans="1:14" x14ac:dyDescent="0.2">
      <c r="A197" t="s">
        <v>3095</v>
      </c>
      <c r="B197" t="s">
        <v>3096</v>
      </c>
      <c r="C197" s="5" t="s">
        <v>48</v>
      </c>
      <c r="D197" t="s">
        <v>206</v>
      </c>
      <c r="E197" t="str">
        <f t="shared" si="32"/>
        <v>data/reservespace1.block</v>
      </c>
      <c r="F197" t="s">
        <v>207</v>
      </c>
      <c r="G197" s="5">
        <f t="shared" si="33"/>
        <v>362636</v>
      </c>
      <c r="H197" s="5">
        <v>1000</v>
      </c>
      <c r="I197" s="6" t="str">
        <f t="shared" si="34"/>
        <v>3E8</v>
      </c>
      <c r="L197" t="s">
        <v>3096</v>
      </c>
    </row>
    <row r="198" spans="1:14" x14ac:dyDescent="0.2">
      <c r="A198" t="s">
        <v>3097</v>
      </c>
      <c r="B198" t="s">
        <v>3098</v>
      </c>
      <c r="C198" s="5" t="s">
        <v>48</v>
      </c>
      <c r="D198" t="s">
        <v>208</v>
      </c>
      <c r="E198" t="str">
        <f t="shared" si="32"/>
        <v>data/reservespace2.block</v>
      </c>
      <c r="F198" t="s">
        <v>209</v>
      </c>
      <c r="G198" s="5">
        <f t="shared" si="33"/>
        <v>361636</v>
      </c>
      <c r="H198" s="5">
        <v>1000</v>
      </c>
      <c r="I198" s="6" t="str">
        <f t="shared" si="34"/>
        <v>3E8</v>
      </c>
      <c r="L198" t="s">
        <v>3098</v>
      </c>
    </row>
    <row r="199" spans="1:14" x14ac:dyDescent="0.2">
      <c r="A199" t="s">
        <v>304</v>
      </c>
      <c r="B199" t="str">
        <f>IF(L199&lt;&gt;"",L199,_xlfn.XLOOKUP(A199,AI_NAMES!C:C,AI_NAMES!D:D,"",0))</f>
        <v>MonsterCommsType</v>
      </c>
      <c r="C199" s="25"/>
      <c r="L199" t="s">
        <v>305</v>
      </c>
      <c r="M199" t="str">
        <f>IF(C199&lt;&gt;"",C199,_xlfn.XLOOKUP(B199,AI_NAMES!D:D,AI_NAMES!E:E,"",0))</f>
        <v/>
      </c>
    </row>
    <row r="200" spans="1:14" x14ac:dyDescent="0.2">
      <c r="A200" t="s">
        <v>306</v>
      </c>
      <c r="B200" t="str">
        <f>IF(L200&lt;&gt;"",L200,_xlfn.XLOOKUP(A200,AI_NAMES!C:C,AI_NAMES!D:D,"",0))</f>
        <v>MonsterCommsNotTraderTBC</v>
      </c>
      <c r="C200" s="25"/>
      <c r="L200" t="s">
        <v>309</v>
      </c>
      <c r="M200" t="str">
        <f>IF(C200&lt;&gt;"",C200,_xlfn.XLOOKUP(B200,AI_NAMES!D:D,AI_NAMES!E:E,"",0))</f>
        <v/>
      </c>
    </row>
    <row r="201" spans="1:14" x14ac:dyDescent="0.2">
      <c r="A201" t="s">
        <v>307</v>
      </c>
      <c r="B201" t="str">
        <f>IF(L201&lt;&gt;"",L201,_xlfn.XLOOKUP(A201,AI_NAMES!C:C,AI_NAMES!D:D,"",0))</f>
        <v>MonsterCommsTraderMaybe</v>
      </c>
      <c r="C201" s="25"/>
      <c r="L201" t="s">
        <v>308</v>
      </c>
      <c r="M201" t="str">
        <f>IF(C201&lt;&gt;"",C201,_xlfn.XLOOKUP(B201,AI_NAMES!D:D,AI_NAMES!E:E,"",0))</f>
        <v/>
      </c>
    </row>
    <row r="202" spans="1:14" x14ac:dyDescent="0.2">
      <c r="A202" t="s">
        <v>310</v>
      </c>
      <c r="B202" t="str">
        <f>IF(L202&lt;&gt;"",L202,_xlfn.XLOOKUP(A202,AI_NAMES!C:C,AI_NAMES!D:D,"",0))</f>
        <v>Comms_Champion_TBC</v>
      </c>
      <c r="C202" s="25"/>
      <c r="L202" t="s">
        <v>3099</v>
      </c>
      <c r="M202" t="str">
        <f>IF(C202&lt;&gt;"",C202,_xlfn.XLOOKUP(B202,AI_NAMES!D:D,AI_NAMES!E:E,"",0))</f>
        <v/>
      </c>
    </row>
    <row r="203" spans="1:14" x14ac:dyDescent="0.2">
      <c r="A203" t="s">
        <v>311</v>
      </c>
      <c r="B203" t="str">
        <f>IF(L203&lt;&gt;"",L203,_xlfn.XLOOKUP(A203,AI_NAMES!C:C,AI_NAMES!D:D,"",0))</f>
        <v>Comms_ObjectTrade</v>
      </c>
      <c r="C203" s="25"/>
      <c r="L203" t="s">
        <v>312</v>
      </c>
      <c r="M203" t="str">
        <f>IF(C203&lt;&gt;"",C203,_xlfn.XLOOKUP(B203,AI_NAMES!D:D,AI_NAMES!E:E,"",0))</f>
        <v/>
      </c>
    </row>
    <row r="204" spans="1:14" x14ac:dyDescent="0.2">
      <c r="A204" t="s">
        <v>313</v>
      </c>
      <c r="B204" t="str">
        <f>IF(L204&lt;&gt;"",L204,_xlfn.XLOOKUP(A204,AI_NAMES!C:C,AI_NAMES!D:D,"",0))</f>
        <v/>
      </c>
      <c r="C204" s="25"/>
      <c r="M204">
        <f>IF(C204&lt;&gt;"",C204,_xlfn.XLOOKUP(B204,AI_NAMES!D:D,AI_NAMES!E:E,"",0))</f>
        <v>0</v>
      </c>
    </row>
    <row r="205" spans="1:14" x14ac:dyDescent="0.2">
      <c r="A205" t="s">
        <v>316</v>
      </c>
      <c r="B205" t="str">
        <f>IF(L205&lt;&gt;"",L205,_xlfn.XLOOKUP(A205,AI_NAMES!C:C,AI_NAMES!D:D,"",0))</f>
        <v>ProgStart</v>
      </c>
      <c r="C205" s="25"/>
      <c r="L205" t="s">
        <v>316</v>
      </c>
      <c r="M205" t="str">
        <f>IF(C205&lt;&gt;"",C205,_xlfn.XLOOKUP(B205,AI_NAMES!D:D,AI_NAMES!E:E,"",0))</f>
        <v/>
      </c>
    </row>
    <row r="206" spans="1:14" x14ac:dyDescent="0.2">
      <c r="A206" t="s">
        <v>317</v>
      </c>
      <c r="B206" t="str">
        <f>IF(L206&lt;&gt;"",L206,_xlfn.XLOOKUP(A206,AI_NAMES!C:C,AI_NAMES!D:D,"",0))</f>
        <v>.loop</v>
      </c>
      <c r="C206" s="25"/>
      <c r="L206" t="s">
        <v>317</v>
      </c>
      <c r="M206" t="str">
        <f>IF(C206&lt;&gt;"",C206,_xlfn.XLOOKUP(B206,AI_NAMES!D:D,AI_NAMES!E:E,"",0))</f>
        <v/>
      </c>
    </row>
    <row r="207" spans="1:14" x14ac:dyDescent="0.2">
      <c r="A207" t="s">
        <v>318</v>
      </c>
      <c r="B207" t="str">
        <f>IF(L207&lt;&gt;"",L207,_xlfn.XLOOKUP(A207,AI_NAMES!C:C,AI_NAMES!D:D,"",0))</f>
        <v>CodeMover</v>
      </c>
      <c r="C207" s="25"/>
      <c r="L207" t="s">
        <v>318</v>
      </c>
      <c r="M207" t="str">
        <f>IF(C207&lt;&gt;"",C207,_xlfn.XLOOKUP(B207,AI_NAMES!D:D,AI_NAMES!E:E,"",0))</f>
        <v/>
      </c>
    </row>
    <row r="208" spans="1:14" x14ac:dyDescent="0.2">
      <c r="A208" t="s">
        <v>317</v>
      </c>
      <c r="B208" t="str">
        <f>IF(L208&lt;&gt;"",L208,_xlfn.XLOOKUP(A208,AI_NAMES!C:C,AI_NAMES!D:D,"",0))</f>
        <v>.loop</v>
      </c>
      <c r="C208" s="25"/>
      <c r="L208" t="s">
        <v>317</v>
      </c>
      <c r="M208" t="str">
        <f>IF(C208&lt;&gt;"",C208,_xlfn.XLOOKUP(B208,AI_NAMES!D:D,AI_NAMES!E:E,"",0))</f>
        <v/>
      </c>
      <c r="N208">
        <f>COUNTIF(A:A,".loop")</f>
        <v>2</v>
      </c>
    </row>
    <row r="209" spans="1:13" x14ac:dyDescent="0.2">
      <c r="A209" t="s">
        <v>319</v>
      </c>
      <c r="B209" t="str">
        <f>IF(L209&lt;&gt;"",L209,_xlfn.XLOOKUP(A209,AI_NAMES!C:C,AI_NAMES!D:D,"",0))</f>
        <v>GameStart</v>
      </c>
      <c r="C209" s="25"/>
      <c r="L209" t="s">
        <v>319</v>
      </c>
      <c r="M209" t="str">
        <f>IF(C209&lt;&gt;"",C209,_xlfn.XLOOKUP(B209,AI_NAMES!D:D,AI_NAMES!E:E,"",0))</f>
        <v/>
      </c>
    </row>
    <row r="210" spans="1:13" x14ac:dyDescent="0.2">
      <c r="A210" t="s">
        <v>320</v>
      </c>
      <c r="B210" t="str">
        <f>IF(L210&lt;&gt;"",L210,_xlfn.XLOOKUP(A210,AI_NAMES!C:C,AI_NAMES!D:D,"",0))</f>
        <v>PostMainMenu_ChampionSetup_AI_TBC</v>
      </c>
      <c r="C210" s="25"/>
      <c r="L210" t="s">
        <v>321</v>
      </c>
      <c r="M210">
        <f>IF(C210&lt;&gt;"",C210,_xlfn.XLOOKUP(B210,AI_NAMES!D:D,AI_NAMES!E:E,"",0))</f>
        <v>0</v>
      </c>
    </row>
    <row r="211" spans="1:13" x14ac:dyDescent="0.2">
      <c r="A211" t="s">
        <v>322</v>
      </c>
      <c r="B211" t="str">
        <f>IF(L211&lt;&gt;"",L211,_xlfn.XLOOKUP(A211,AI_NAMES!C:C,AI_NAMES!D:D,"",0))</f>
        <v>DBFWait1a</v>
      </c>
      <c r="C211" s="25"/>
      <c r="L211" t="s">
        <v>323</v>
      </c>
      <c r="M211" t="str">
        <f>IF(C211&lt;&gt;"",C211,_xlfn.XLOOKUP(B211,AI_NAMES!D:D,AI_NAMES!E:E,"",0))</f>
        <v/>
      </c>
    </row>
    <row r="212" spans="1:13" x14ac:dyDescent="0.2">
      <c r="A212" t="s">
        <v>324</v>
      </c>
      <c r="B212" t="str">
        <f>IF(L212&lt;&gt;"",L212,_xlfn.XLOOKUP(A212,AI_NAMES!C:C,AI_NAMES!D:D,"",0))</f>
        <v>MainMenu_ReturnToStart_AI_TBC</v>
      </c>
      <c r="C212" s="25"/>
      <c r="L212" t="s">
        <v>321</v>
      </c>
      <c r="M212">
        <f>IF(C212&lt;&gt;"",C212,_xlfn.XLOOKUP(B212,AI_NAMES!D:D,AI_NAMES!E:E,"",0))</f>
        <v>0</v>
      </c>
    </row>
    <row r="213" spans="1:13" x14ac:dyDescent="0.2">
      <c r="A213" t="s">
        <v>325</v>
      </c>
      <c r="B213" t="str">
        <f>IF(L213&lt;&gt;"",L213,_xlfn.XLOOKUP(A213,AI_NAMES!C:C,AI_NAMES!D:D,"",0))</f>
        <v>Init_CustomChipRegisters_AI_TBC</v>
      </c>
      <c r="C213" s="25"/>
      <c r="L213" t="s">
        <v>321</v>
      </c>
      <c r="M213">
        <f>IF(C213&lt;&gt;"",C213,_xlfn.XLOOKUP(B213,AI_NAMES!D:D,AI_NAMES!E:E,"",0))</f>
        <v>0</v>
      </c>
    </row>
    <row r="214" spans="1:13" x14ac:dyDescent="0.2">
      <c r="A214" t="s">
        <v>326</v>
      </c>
      <c r="B214" t="str">
        <f>IF(L214&lt;&gt;"",L214,_xlfn.XLOOKUP(A214,AI_NAMES!C:C,AI_NAMES!D:D,"",0))</f>
        <v>Copper_SpriteInitLoop_AI_TBC</v>
      </c>
      <c r="C214" s="25"/>
      <c r="L214" t="s">
        <v>321</v>
      </c>
      <c r="M214">
        <f>IF(C214&lt;&gt;"",C214,_xlfn.XLOOKUP(B214,AI_NAMES!D:D,AI_NAMES!E:E,"",0))</f>
        <v>0</v>
      </c>
    </row>
    <row r="215" spans="1:13" x14ac:dyDescent="0.2">
      <c r="A215" t="s">
        <v>327</v>
      </c>
      <c r="B215" t="str">
        <f>IF(L215&lt;&gt;"",L215,_xlfn.XLOOKUP(A215,AI_NAMES!C:C,AI_NAMES!D:D,"",0))</f>
        <v>Interrupt_VectorInitLoop_AI_TBC</v>
      </c>
      <c r="C215" s="25"/>
      <c r="L215" t="s">
        <v>321</v>
      </c>
      <c r="M215">
        <f>IF(C215&lt;&gt;"",C215,_xlfn.XLOOKUP(B215,AI_NAMES!D:D,AI_NAMES!E:E,"",0))</f>
        <v>0</v>
      </c>
    </row>
    <row r="216" spans="1:13" x14ac:dyDescent="0.2">
      <c r="A216" t="s">
        <v>328</v>
      </c>
      <c r="B216" t="str">
        <f>IF(L216&lt;&gt;"",L216,_xlfn.XLOOKUP(A216,AI_NAMES!C:C,AI_NAMES!D:D,"",0))</f>
        <v>Copper_SpriteOffsetTable_DATA_AI_TBC</v>
      </c>
      <c r="C216" s="25"/>
      <c r="L216" t="s">
        <v>321</v>
      </c>
      <c r="M216">
        <f>IF(C216&lt;&gt;"",C216,_xlfn.XLOOKUP(B216,AI_NAMES!D:D,AI_NAMES!E:E,"",0))</f>
        <v>0</v>
      </c>
    </row>
    <row r="217" spans="1:13" x14ac:dyDescent="0.2">
      <c r="A217" t="s">
        <v>329</v>
      </c>
      <c r="B217" t="str">
        <f>IF(L217&lt;&gt;"",L217,_xlfn.XLOOKUP(A217,AI_NAMES!C:C,AI_NAMES!D:D,"",0))</f>
        <v>Sprite_PositionPointerTable_DATA_AI_TBC</v>
      </c>
      <c r="C217" s="25"/>
      <c r="L217" t="s">
        <v>321</v>
      </c>
      <c r="M217">
        <f>IF(C217&lt;&gt;"",C217,_xlfn.XLOOKUP(B217,AI_NAMES!D:D,AI_NAMES!E:E,"",0))</f>
        <v>0</v>
      </c>
    </row>
    <row r="218" spans="1:13" x14ac:dyDescent="0.2">
      <c r="A218" t="s">
        <v>330</v>
      </c>
      <c r="B218" t="str">
        <f>IF(L218&lt;&gt;"",L218,_xlfn.XLOOKUP(A218,AI_NAMES!C:C,AI_NAMES!D:D,"",0))</f>
        <v>Level2Int_LastKeyScratch_AI_TBC</v>
      </c>
      <c r="C218" s="25"/>
      <c r="L218" t="s">
        <v>321</v>
      </c>
      <c r="M218">
        <f>IF(C218&lt;&gt;"",C218,_xlfn.XLOOKUP(B218,AI_NAMES!D:D,AI_NAMES!E:E,"",0))</f>
        <v>0</v>
      </c>
    </row>
    <row r="219" spans="1:13" x14ac:dyDescent="0.2">
      <c r="A219" t="s">
        <v>331</v>
      </c>
      <c r="B219" t="str">
        <f>IF(L219&lt;&gt;"",L219,_xlfn.XLOOKUP(A219,AI_NAMES!C:C,AI_NAMES!D:D,"",0))</f>
        <v>KeyboardKeyCode</v>
      </c>
      <c r="C219" s="25"/>
      <c r="L219" t="s">
        <v>332</v>
      </c>
      <c r="M219" t="str">
        <f>IF(C219&lt;&gt;"",C219,_xlfn.XLOOKUP(B219,AI_NAMES!D:D,AI_NAMES!E:E,"",0))</f>
        <v/>
      </c>
    </row>
    <row r="220" spans="1:13" x14ac:dyDescent="0.2">
      <c r="A220" t="s">
        <v>333</v>
      </c>
      <c r="B220" t="str">
        <f>IF(L220&lt;&gt;"",L220,_xlfn.XLOOKUP(A220,AI_NAMES!C:C,AI_NAMES!D:D,"",0))</f>
        <v>Level_2_Interrupt</v>
      </c>
      <c r="C220" s="25"/>
      <c r="L220" t="s">
        <v>334</v>
      </c>
      <c r="M220" t="str">
        <f>IF(C220&lt;&gt;"",C220,_xlfn.XLOOKUP(B220,AI_NAMES!D:D,AI_NAMES!E:E,"",0))</f>
        <v/>
      </c>
    </row>
    <row r="221" spans="1:13" x14ac:dyDescent="0.2">
      <c r="A221" t="s">
        <v>335</v>
      </c>
      <c r="B221" t="str">
        <f>IF(L221&lt;&gt;"",L221,_xlfn.XLOOKUP(A221,AI_NAMES!C:C,AI_NAMES!D:D,"",0))</f>
        <v>.L2InteruptLoop</v>
      </c>
      <c r="C221" s="25"/>
      <c r="L221" t="s">
        <v>336</v>
      </c>
      <c r="M221" t="str">
        <f>IF(C221&lt;&gt;"",C221,_xlfn.XLOOKUP(B221,AI_NAMES!D:D,AI_NAMES!E:E,"",0))</f>
        <v/>
      </c>
    </row>
    <row r="222" spans="1:13" x14ac:dyDescent="0.2">
      <c r="A222" t="s">
        <v>337</v>
      </c>
      <c r="B222" t="str">
        <f>IF(L222&lt;&gt;"",L222,_xlfn.XLOOKUP(A222,AI_NAMES!C:C,AI_NAMES!D:D,"",0))</f>
        <v>CheckKeyboard</v>
      </c>
      <c r="C222" s="25"/>
      <c r="L222" t="s">
        <v>338</v>
      </c>
      <c r="M222" t="str">
        <f>IF(C222&lt;&gt;"",C222,_xlfn.XLOOKUP(B222,AI_NAMES!D:D,AI_NAMES!E:E,"",0))</f>
        <v/>
      </c>
    </row>
    <row r="223" spans="1:13" x14ac:dyDescent="0.2">
      <c r="A223" t="s">
        <v>339</v>
      </c>
      <c r="B223" t="str">
        <f>IF(L223&lt;&gt;"",L223,_xlfn.XLOOKUP(A223,AI_NAMES!C:C,AI_NAMES!D:D,"",0))</f>
        <v>.keyboardloop</v>
      </c>
      <c r="C223" s="25"/>
      <c r="L223" t="s">
        <v>340</v>
      </c>
      <c r="M223" t="str">
        <f>IF(C223&lt;&gt;"",C223,_xlfn.XLOOKUP(B223,AI_NAMES!D:D,AI_NAMES!E:E,"",0))</f>
        <v/>
      </c>
    </row>
    <row r="224" spans="1:13" x14ac:dyDescent="0.2">
      <c r="A224" t="s">
        <v>341</v>
      </c>
      <c r="B224" t="str">
        <f>IF(L224&lt;&gt;"",L224,_xlfn.XLOOKUP(A224,AI_NAMES!C:C,AI_NAMES!D:D,"",0))</f>
        <v>KeyboardAction</v>
      </c>
      <c r="C224" s="25"/>
      <c r="L224" t="s">
        <v>342</v>
      </c>
      <c r="M224" t="str">
        <f>IF(C224&lt;&gt;"",C224,_xlfn.XLOOKUP(B224,AI_NAMES!D:D,AI_NAMES!E:E,"",0))</f>
        <v/>
      </c>
    </row>
    <row r="225" spans="1:13" x14ac:dyDescent="0.2">
      <c r="A225" t="s">
        <v>343</v>
      </c>
      <c r="B225" t="str">
        <f>IF(L225&lt;&gt;"",L225,_xlfn.XLOOKUP(A225,AI_NAMES!C:C,AI_NAMES!D:D,"",0))</f>
        <v>.skipPlayer2</v>
      </c>
      <c r="C225" s="25"/>
      <c r="L225" t="s">
        <v>344</v>
      </c>
      <c r="M225" t="str">
        <f>IF(C225&lt;&gt;"",C225,_xlfn.XLOOKUP(B225,AI_NAMES!D:D,AI_NAMES!E:E,"",0))</f>
        <v/>
      </c>
    </row>
    <row r="226" spans="1:13" x14ac:dyDescent="0.2">
      <c r="A226" t="s">
        <v>345</v>
      </c>
      <c r="B226" t="str">
        <f>IF(L226&lt;&gt;"",L226,_xlfn.XLOOKUP(A226,AI_NAMES!C:C,AI_NAMES!D:D,"",0))</f>
        <v>RawKeyCodes</v>
      </c>
      <c r="C226" s="25"/>
      <c r="L226" t="s">
        <v>345</v>
      </c>
      <c r="M226" t="str">
        <f>IF(C226&lt;&gt;"",C226,_xlfn.XLOOKUP(B226,AI_NAMES!D:D,AI_NAMES!E:E,"",0))</f>
        <v/>
      </c>
    </row>
    <row r="227" spans="1:13" x14ac:dyDescent="0.2">
      <c r="A227" t="s">
        <v>346</v>
      </c>
      <c r="B227" t="str">
        <f>IF(L227&lt;&gt;"",L227,_xlfn.XLOOKUP(A227,AI_NAMES!C:C,AI_NAMES!D:D,"",0))</f>
        <v>MainMenuBuffer</v>
      </c>
      <c r="C227" s="25"/>
      <c r="L227" t="s">
        <v>347</v>
      </c>
      <c r="M227" t="str">
        <f>IF(C227&lt;&gt;"",C227,_xlfn.XLOOKUP(B227,AI_NAMES!D:D,AI_NAMES!E:E,"",0))</f>
        <v/>
      </c>
    </row>
    <row r="228" spans="1:13" x14ac:dyDescent="0.2">
      <c r="A228" t="s">
        <v>348</v>
      </c>
      <c r="B228" t="str">
        <f>IF(L228&lt;&gt;"",L228,_xlfn.XLOOKUP(A228,AI_NAMES!C:C,AI_NAMES!D:D,"",0))</f>
        <v>MainMenuInitColours</v>
      </c>
      <c r="C228" s="25"/>
      <c r="L228" t="s">
        <v>349</v>
      </c>
      <c r="M228" t="str">
        <f>IF(C228&lt;&gt;"",C228,_xlfn.XLOOKUP(B228,AI_NAMES!D:D,AI_NAMES!E:E,"",0))</f>
        <v/>
      </c>
    </row>
    <row r="229" spans="1:13" x14ac:dyDescent="0.2">
      <c r="A229" t="s">
        <v>350</v>
      </c>
      <c r="B229" t="str">
        <f>IF(L229&lt;&gt;"",L229,_xlfn.XLOOKUP(A229,AI_NAMES!C:C,AI_NAMES!D:D,"",0))</f>
        <v>MainMenuText</v>
      </c>
      <c r="C229" s="25"/>
      <c r="L229" t="s">
        <v>346</v>
      </c>
      <c r="M229" t="str">
        <f>IF(C229&lt;&gt;"",C229,_xlfn.XLOOKUP(B229,AI_NAMES!D:D,AI_NAMES!E:E,"",0))</f>
        <v/>
      </c>
    </row>
    <row r="230" spans="1:13" x14ac:dyDescent="0.2">
      <c r="A230" t="s">
        <v>351</v>
      </c>
      <c r="B230" t="str">
        <f>IF(L230&lt;&gt;"",L230,_xlfn.XLOOKUP(A230,AI_NAMES!C:C,AI_NAMES!D:D,"",0))</f>
        <v>MainMenu</v>
      </c>
      <c r="C230" s="25"/>
      <c r="L230" t="s">
        <v>352</v>
      </c>
      <c r="M230" t="str">
        <f>IF(C230&lt;&gt;"",C230,_xlfn.XLOOKUP(B230,AI_NAMES!D:D,AI_NAMES!E:E,"",0))</f>
        <v/>
      </c>
    </row>
    <row r="231" spans="1:13" x14ac:dyDescent="0.2">
      <c r="A231" t="s">
        <v>353</v>
      </c>
      <c r="B231" t="str">
        <f>IF(L231&lt;&gt;"",L231,_xlfn.XLOOKUP(A231,AI_NAMES!C:C,AI_NAMES!D:D,"",0))</f>
        <v>.menuscreen</v>
      </c>
      <c r="C231" s="25"/>
      <c r="L231" t="s">
        <v>354</v>
      </c>
      <c r="M231" t="str">
        <f>IF(C231&lt;&gt;"",C231,_xlfn.XLOOKUP(B231,AI_NAMES!D:D,AI_NAMES!E:E,"",0))</f>
        <v/>
      </c>
    </row>
    <row r="232" spans="1:13" x14ac:dyDescent="0.2">
      <c r="A232" t="s">
        <v>355</v>
      </c>
      <c r="B232" t="str">
        <f>IF(L232&lt;&gt;"",L232,_xlfn.XLOOKUP(A232,AI_NAMES!C:C,AI_NAMES!D:D,"",0))</f>
        <v>MenuKeyboard</v>
      </c>
      <c r="C232" s="25"/>
      <c r="L232" t="s">
        <v>355</v>
      </c>
      <c r="M232" t="str">
        <f>IF(C232&lt;&gt;"",C232,_xlfn.XLOOKUP(B232,AI_NAMES!D:D,AI_NAMES!E:E,"",0))</f>
        <v/>
      </c>
    </row>
    <row r="233" spans="1:13" x14ac:dyDescent="0.2">
      <c r="A233" t="s">
        <v>356</v>
      </c>
      <c r="B233" t="str">
        <f>IF(L233&lt;&gt;"",L233,_xlfn.XLOOKUP(A233,AI_NAMES!C:C,AI_NAMES!D:D,"",0))</f>
        <v>.menukeyboardloop</v>
      </c>
      <c r="C233" s="25"/>
      <c r="L233" t="s">
        <v>357</v>
      </c>
      <c r="M233" t="str">
        <f>IF(C233&lt;&gt;"",C233,_xlfn.XLOOKUP(B233,AI_NAMES!D:D,AI_NAMES!E:E,"",0))</f>
        <v/>
      </c>
    </row>
    <row r="234" spans="1:13" x14ac:dyDescent="0.2">
      <c r="A234" t="s">
        <v>358</v>
      </c>
      <c r="B234" t="str">
        <f>IF(L234&lt;&gt;"",L234,_xlfn.XLOOKUP(A234,AI_NAMES!C:C,AI_NAMES!D:D,"",0))</f>
        <v>LoadGameFromMenu</v>
      </c>
      <c r="C234" s="25"/>
      <c r="L234" t="s">
        <v>358</v>
      </c>
      <c r="M234" t="str">
        <f>IF(C234&lt;&gt;"",C234,_xlfn.XLOOKUP(B234,AI_NAMES!D:D,AI_NAMES!E:E,"",0))</f>
        <v/>
      </c>
    </row>
    <row r="235" spans="1:13" x14ac:dyDescent="0.2">
      <c r="A235" t="s">
        <v>359</v>
      </c>
      <c r="B235" t="str">
        <f>IF(L235&lt;&gt;"",L235,_xlfn.XLOOKUP(A235,AI_NAMES!C:C,AI_NAMES!D:D,"",0))</f>
        <v>Ply1_Start</v>
      </c>
      <c r="C235" s="25"/>
      <c r="L235" t="s">
        <v>359</v>
      </c>
      <c r="M235" t="str">
        <f>IF(C235&lt;&gt;"",C235,_xlfn.XLOOKUP(B235,AI_NAMES!D:D,AI_NAMES!E:E,"",0))</f>
        <v/>
      </c>
    </row>
    <row r="236" spans="1:13" x14ac:dyDescent="0.2">
      <c r="A236" t="s">
        <v>360</v>
      </c>
      <c r="B236" t="str">
        <f>IF(L236&lt;&gt;"",L236,_xlfn.XLOOKUP(A236,AI_NAMES!C:C,AI_NAMES!D:D,"",0))</f>
        <v>Ply2_Start</v>
      </c>
      <c r="C236" s="25"/>
      <c r="L236" t="s">
        <v>360</v>
      </c>
      <c r="M236" t="str">
        <f>IF(C236&lt;&gt;"",C236,_xlfn.XLOOKUP(B236,AI_NAMES!D:D,AI_NAMES!E:E,"",0))</f>
        <v/>
      </c>
    </row>
    <row r="237" spans="1:13" x14ac:dyDescent="0.2">
      <c r="A237" t="s">
        <v>361</v>
      </c>
      <c r="B237" t="str">
        <f>IF(L237&lt;&gt;"",L237,_xlfn.XLOOKUP(A237,AI_NAMES!C:C,AI_NAMES!D:D,"",0))</f>
        <v>QkPly1_Start</v>
      </c>
      <c r="C237" s="25"/>
      <c r="L237" t="s">
        <v>361</v>
      </c>
      <c r="M237" t="str">
        <f>IF(C237&lt;&gt;"",C237,_xlfn.XLOOKUP(B237,AI_NAMES!D:D,AI_NAMES!E:E,"",0))</f>
        <v/>
      </c>
    </row>
    <row r="238" spans="1:13" x14ac:dyDescent="0.2">
      <c r="A238" t="s">
        <v>362</v>
      </c>
      <c r="B238" t="str">
        <f>IF(L238&lt;&gt;"",L238,_xlfn.XLOOKUP(A238,AI_NAMES!C:C,AI_NAMES!D:D,"",0))</f>
        <v>QkPly2_Start</v>
      </c>
      <c r="C238" s="25"/>
      <c r="L238" t="s">
        <v>362</v>
      </c>
      <c r="M238" t="str">
        <f>IF(C238&lt;&gt;"",C238,_xlfn.XLOOKUP(B238,AI_NAMES!D:D,AI_NAMES!E:E,"",0))</f>
        <v/>
      </c>
    </row>
    <row r="239" spans="1:13" x14ac:dyDescent="0.2">
      <c r="A239" t="s">
        <v>363</v>
      </c>
      <c r="B239" t="str">
        <f>IF(L239&lt;&gt;"",L239,_xlfn.XLOOKUP(A239,AI_NAMES!C:C,AI_NAMES!D:D,"",0))</f>
        <v>Init_DisplayDMA_AI_TBC</v>
      </c>
      <c r="C239" s="25"/>
      <c r="L239" t="s">
        <v>321</v>
      </c>
      <c r="M239">
        <f>IF(C239&lt;&gt;"",C239,_xlfn.XLOOKUP(B239,AI_NAMES!D:D,AI_NAMES!E:E,"",0))</f>
        <v>0</v>
      </c>
    </row>
    <row r="240" spans="1:13" x14ac:dyDescent="0.2">
      <c r="A240" t="s">
        <v>364</v>
      </c>
      <c r="B240" t="str">
        <f>IF(L240&lt;&gt;"",L240,_xlfn.XLOOKUP(A240,AI_NAMES!C:C,AI_NAMES!D:D,"",0))</f>
        <v>SpellsPracticed_InitializeEntriesLoop_AI_TBC</v>
      </c>
      <c r="C240" s="25"/>
      <c r="L240" t="s">
        <v>321</v>
      </c>
      <c r="M240">
        <f>IF(C240&lt;&gt;"",C240,_xlfn.XLOOKUP(B240,AI_NAMES!D:D,AI_NAMES!E:E,"",0))</f>
        <v>0</v>
      </c>
    </row>
    <row r="241" spans="1:13" x14ac:dyDescent="0.2">
      <c r="A241" t="s">
        <v>365</v>
      </c>
      <c r="B241" t="str">
        <f>IF(L241&lt;&gt;"",L241,_xlfn.XLOOKUP(A241,AI_NAMES!C:C,AI_NAMES!D:D,"",0))</f>
        <v>SpellsPracticed_AccumulateEntryBitsLoop_AI_TBC</v>
      </c>
      <c r="C241" s="25"/>
      <c r="L241" t="s">
        <v>321</v>
      </c>
      <c r="M241">
        <f>IF(C241&lt;&gt;"",C241,_xlfn.XLOOKUP(B241,AI_NAMES!D:D,AI_NAMES!E:E,"",0))</f>
        <v>0</v>
      </c>
    </row>
    <row r="242" spans="1:13" x14ac:dyDescent="0.2">
      <c r="A242" t="s">
        <v>366</v>
      </c>
      <c r="B242" t="str">
        <f>IF(L242&lt;&gt;"",L242,_xlfn.XLOOKUP(A242,AI_NAMES!C:C,AI_NAMES!D:D,"",0))</f>
        <v>SpellsPracticed_ClearEntriesLoop_AI_TBC</v>
      </c>
      <c r="C242" s="25"/>
      <c r="L242" t="s">
        <v>321</v>
      </c>
      <c r="M242">
        <f>IF(C242&lt;&gt;"",C242,_xlfn.XLOOKUP(B242,AI_NAMES!D:D,AI_NAMES!E:E,"",0))</f>
        <v>0</v>
      </c>
    </row>
    <row r="243" spans="1:13" x14ac:dyDescent="0.2">
      <c r="A243" t="s">
        <v>367</v>
      </c>
      <c r="B243" t="str">
        <f>IF(L243&lt;&gt;"",L243,_xlfn.XLOOKUP(A243,AI_NAMES!C:C,AI_NAMES!D:D,"",0))</f>
        <v>SpellPractice_CountInit_DATA_AI_TBC</v>
      </c>
      <c r="C243" s="25"/>
      <c r="L243" t="s">
        <v>321</v>
      </c>
      <c r="M243">
        <f>IF(C243&lt;&gt;"",C243,_xlfn.XLOOKUP(B243,AI_NAMES!D:D,AI_NAMES!E:E,"",0))</f>
        <v>0</v>
      </c>
    </row>
    <row r="244" spans="1:13" x14ac:dyDescent="0.2">
      <c r="A244" t="s">
        <v>368</v>
      </c>
      <c r="B244" t="str">
        <f>IF(L244&lt;&gt;"",L244,_xlfn.XLOOKUP(A244,AI_NAMES!C:C,AI_NAMES!D:D,"",0))</f>
        <v>SpellPractice_UpdateCountLoop_AI_TBC</v>
      </c>
      <c r="C244" s="25"/>
      <c r="L244" t="s">
        <v>321</v>
      </c>
      <c r="M244">
        <f>IF(C244&lt;&gt;"",C244,_xlfn.XLOOKUP(B244,AI_NAMES!D:D,AI_NAMES!E:E,"",0))</f>
        <v>0</v>
      </c>
    </row>
    <row r="245" spans="1:13" x14ac:dyDescent="0.2">
      <c r="A245" t="s">
        <v>369</v>
      </c>
      <c r="B245" t="str">
        <f>IF(L245&lt;&gt;"",L245,_xlfn.XLOOKUP(A245,AI_NAMES!C:C,AI_NAMES!D:D,"",0))</f>
        <v>SpellPractice_ComputeThreshold_AI_TBC</v>
      </c>
      <c r="C245" s="25"/>
      <c r="L245" t="s">
        <v>321</v>
      </c>
      <c r="M245">
        <f>IF(C245&lt;&gt;"",C245,_xlfn.XLOOKUP(B245,AI_NAMES!D:D,AI_NAMES!E:E,"",0))</f>
        <v>0</v>
      </c>
    </row>
    <row r="246" spans="1:13" x14ac:dyDescent="0.2">
      <c r="A246" t="s">
        <v>370</v>
      </c>
      <c r="B246" t="str">
        <f>IF(L246&lt;&gt;"",L246,_xlfn.XLOOKUP(A246,AI_NAMES!C:C,AI_NAMES!D:D,"",0))</f>
        <v>SpellPractice_ClampThreshold_AI_TBC</v>
      </c>
      <c r="C246" s="25"/>
      <c r="L246" t="s">
        <v>321</v>
      </c>
      <c r="M246">
        <f>IF(C246&lt;&gt;"",C246,_xlfn.XLOOKUP(B246,AI_NAMES!D:D,AI_NAMES!E:E,"",0))</f>
        <v>0</v>
      </c>
    </row>
    <row r="247" spans="1:13" x14ac:dyDescent="0.2">
      <c r="A247" t="s">
        <v>371</v>
      </c>
      <c r="B247" t="str">
        <f>IF(L247&lt;&gt;"",L247,_xlfn.XLOOKUP(A247,AI_NAMES!C:C,AI_NAMES!D:D,"",0))</f>
        <v>SpellCost_SelectOrComputeFallback_AI_TBC</v>
      </c>
      <c r="C247" s="25"/>
      <c r="L247" t="s">
        <v>321</v>
      </c>
      <c r="M247">
        <f>IF(C247&lt;&gt;"",C247,_xlfn.XLOOKUP(B247,AI_NAMES!D:D,AI_NAMES!E:E,"",0))</f>
        <v>0</v>
      </c>
    </row>
    <row r="248" spans="1:13" x14ac:dyDescent="0.2">
      <c r="A248" t="s">
        <v>372</v>
      </c>
      <c r="B248" t="str">
        <f>IF(L248&lt;&gt;"",L248,_xlfn.XLOOKUP(A248,AI_NAMES!C:C,AI_NAMES!D:D,"",0))</f>
        <v>SpellCost_BasicValues_DATA_AI_TBC</v>
      </c>
      <c r="C248" s="25"/>
      <c r="L248" t="s">
        <v>321</v>
      </c>
      <c r="M248">
        <f>IF(C248&lt;&gt;"",C248,_xlfn.XLOOKUP(B248,AI_NAMES!D:D,AI_NAMES!E:E,"",0))</f>
        <v>0</v>
      </c>
    </row>
    <row r="249" spans="1:13" x14ac:dyDescent="0.2">
      <c r="A249" t="s">
        <v>373</v>
      </c>
      <c r="B249" t="str">
        <f>IF(L249&lt;&gt;"",L249,_xlfn.XLOOKUP(A249,AI_NAMES!C:C,AI_NAMES!D:D,"",0))</f>
        <v>SpellCost_AlternateSelector_AI_TBC</v>
      </c>
      <c r="C249" s="25"/>
      <c r="L249" t="s">
        <v>321</v>
      </c>
      <c r="M249">
        <f>IF(C249&lt;&gt;"",C249,_xlfn.XLOOKUP(B249,AI_NAMES!D:D,AI_NAMES!E:E,"",0))</f>
        <v>0</v>
      </c>
    </row>
    <row r="250" spans="1:13" x14ac:dyDescent="0.2">
      <c r="A250" t="s">
        <v>374</v>
      </c>
      <c r="B250" t="str">
        <f>IF(L250&lt;&gt;"",L250,_xlfn.XLOOKUP(A250,AI_NAMES!C:C,AI_NAMES!D:D,"",0))</f>
        <v>SpellCost_AlternateValues_DATA_AI_TBC</v>
      </c>
      <c r="C250" s="25"/>
      <c r="L250" t="s">
        <v>321</v>
      </c>
      <c r="M250">
        <f>IF(C250&lt;&gt;"",C250,_xlfn.XLOOKUP(B250,AI_NAMES!D:D,AI_NAMES!E:E,"",0))</f>
        <v>0</v>
      </c>
    </row>
    <row r="251" spans="1:13" x14ac:dyDescent="0.2">
      <c r="A251" t="s">
        <v>375</v>
      </c>
      <c r="B251" t="str">
        <f>IF(L251&lt;&gt;"",L251,_xlfn.XLOOKUP(A251,AI_NAMES!C:C,AI_NAMES!D:D,"",0))</f>
        <v>SpellCost_ShiftSelector_AI_TBC</v>
      </c>
      <c r="C251" s="25"/>
      <c r="L251" t="s">
        <v>321</v>
      </c>
      <c r="M251">
        <f>IF(C251&lt;&gt;"",C251,_xlfn.XLOOKUP(B251,AI_NAMES!D:D,AI_NAMES!E:E,"",0))</f>
        <v>0</v>
      </c>
    </row>
    <row r="252" spans="1:13" x14ac:dyDescent="0.2">
      <c r="A252" t="s">
        <v>376</v>
      </c>
      <c r="B252" t="str">
        <f>IF(L252&lt;&gt;"",L252,_xlfn.XLOOKUP(A252,AI_NAMES!C:C,AI_NAMES!D:D,"",0))</f>
        <v>SpellCost_FinalizeCost_AI_TBC</v>
      </c>
      <c r="C252" s="25"/>
      <c r="L252" t="s">
        <v>321</v>
      </c>
      <c r="M252">
        <f>IF(C252&lt;&gt;"",C252,_xlfn.XLOOKUP(B252,AI_NAMES!D:D,AI_NAMES!E:E,"",0))</f>
        <v>0</v>
      </c>
    </row>
    <row r="253" spans="1:13" x14ac:dyDescent="0.2">
      <c r="A253" t="s">
        <v>377</v>
      </c>
      <c r="B253" t="str">
        <f>IF(L253&lt;&gt;"",L253,_xlfn.XLOOKUP(A253,AI_NAMES!C:C,AI_NAMES!D:D,"",0))</f>
        <v>SpellCost_ShiftFactors_DATA_AI_TBC</v>
      </c>
      <c r="C253" s="25"/>
      <c r="L253" t="s">
        <v>321</v>
      </c>
      <c r="M253">
        <f>IF(C253&lt;&gt;"",C253,_xlfn.XLOOKUP(B253,AI_NAMES!D:D,AI_NAMES!E:E,"",0))</f>
        <v>0</v>
      </c>
    </row>
    <row r="254" spans="1:13" x14ac:dyDescent="0.2">
      <c r="A254" t="s">
        <v>378</v>
      </c>
      <c r="B254" t="str">
        <f>IF(L254&lt;&gt;"",L254,_xlfn.XLOOKUP(A254,AI_NAMES!C:C,AI_NAMES!D:D,"",0))</f>
        <v>Map_Traps_InitProcessing_AI_TBC</v>
      </c>
      <c r="C254" s="25"/>
      <c r="L254" t="s">
        <v>321</v>
      </c>
      <c r="M254">
        <f>IF(C254&lt;&gt;"",C254,_xlfn.XLOOKUP(B254,AI_NAMES!D:D,AI_NAMES!E:E,"",0))</f>
        <v>0</v>
      </c>
    </row>
    <row r="255" spans="1:13" x14ac:dyDescent="0.2">
      <c r="A255" t="s">
        <v>379</v>
      </c>
      <c r="B255" t="str">
        <f>IF(L255&lt;&gt;"",L255,_xlfn.XLOOKUP(A255,AI_NAMES!C:C,AI_NAMES!D:D,"",0))</f>
        <v>Map_Traps_ProcessNextEntryLoop_AI_TBC</v>
      </c>
      <c r="C255" s="25"/>
      <c r="L255" t="s">
        <v>321</v>
      </c>
      <c r="M255">
        <f>IF(C255&lt;&gt;"",C255,_xlfn.XLOOKUP(B255,AI_NAMES!D:D,AI_NAMES!E:E,"",0))</f>
        <v>0</v>
      </c>
    </row>
    <row r="256" spans="1:13" x14ac:dyDescent="0.2">
      <c r="A256" t="s">
        <v>380</v>
      </c>
      <c r="B256" t="str">
        <f>IF(L256&lt;&gt;"",L256,_xlfn.XLOOKUP(A256,AI_NAMES!C:C,AI_NAMES!D:D,"",0))</f>
        <v>Map_Traps_ProcessingDone_AI_TBC</v>
      </c>
      <c r="C256" s="25"/>
      <c r="L256" t="s">
        <v>321</v>
      </c>
      <c r="M256">
        <f>IF(C256&lt;&gt;"",C256,_xlfn.XLOOKUP(B256,AI_NAMES!D:D,AI_NAMES!E:E,"",0))</f>
        <v>0</v>
      </c>
    </row>
    <row r="257" spans="1:13" x14ac:dyDescent="0.2">
      <c r="A257" t="s">
        <v>381</v>
      </c>
      <c r="B257" t="str">
        <f>IF(L257&lt;&gt;"",L257,_xlfn.XLOOKUP(A257,AI_NAMES!C:C,AI_NAMES!D:D,"",0))</f>
        <v>PrepareCharacters</v>
      </c>
      <c r="C257" s="25"/>
      <c r="L257" t="s">
        <v>381</v>
      </c>
      <c r="M257" t="str">
        <f>IF(C257&lt;&gt;"",C257,_xlfn.XLOOKUP(B257,AI_NAMES!D:D,AI_NAMES!E:E,"",0))</f>
        <v/>
      </c>
    </row>
    <row r="258" spans="1:13" x14ac:dyDescent="0.2">
      <c r="A258" t="s">
        <v>382</v>
      </c>
      <c r="B258" t="str">
        <f>IF(L258&lt;&gt;"",L258,_xlfn.XLOOKUP(A258,AI_NAMES!C:C,AI_NAMES!D:D,"",0))</f>
        <v>CharacterFillLoop</v>
      </c>
      <c r="C258" s="25"/>
      <c r="L258" t="s">
        <v>382</v>
      </c>
      <c r="M258" t="str">
        <f>IF(C258&lt;&gt;"",C258,_xlfn.XLOOKUP(B258,AI_NAMES!D:D,AI_NAMES!E:E,"",0))</f>
        <v/>
      </c>
    </row>
    <row r="259" spans="1:13" x14ac:dyDescent="0.2">
      <c r="A259" t="s">
        <v>383</v>
      </c>
      <c r="B259" t="str">
        <f>IF(L259&lt;&gt;"",L259,_xlfn.XLOOKUP(A259,AI_NAMES!C:C,AI_NAMES!D:D,"",0))</f>
        <v/>
      </c>
      <c r="C259" s="25" t="str">
        <f>IF(B259&lt;&gt;"",B259,_xlfn.XLOOKUP(A259,AI_NAMES!C:C,AI_NAMES!D:D,"",0))</f>
        <v/>
      </c>
      <c r="L259" t="s">
        <v>321</v>
      </c>
      <c r="M259">
        <f>IF(C259&lt;&gt;"",C259,_xlfn.XLOOKUP(B259,AI_NAMES!D:D,AI_NAMES!E:E,"",0))</f>
        <v>0</v>
      </c>
    </row>
    <row r="260" spans="1:13" x14ac:dyDescent="0.2">
      <c r="A260" t="s">
        <v>384</v>
      </c>
      <c r="B260" t="str">
        <f>IF(L260&lt;&gt;"",L260,_xlfn.XLOOKUP(A260,AI_NAMES!C:C,AI_NAMES!D:D,"",0))</f>
        <v>MonsterTransfer</v>
      </c>
      <c r="L260" t="s">
        <v>385</v>
      </c>
      <c r="M260" t="str">
        <f>IF(C260&lt;&gt;"",C260,_xlfn.XLOOKUP(B260,AI_NAMES!D:D,AI_NAMES!E:E,"",0))</f>
        <v/>
      </c>
    </row>
    <row r="261" spans="1:13" x14ac:dyDescent="0.2">
      <c r="A261" t="s">
        <v>386</v>
      </c>
      <c r="B261" t="str">
        <f>IF(L261&lt;&gt;"",L261,_xlfn.XLOOKUP(A261,AI_NAMES!C:C,AI_NAMES!D:D,"",0))</f>
        <v/>
      </c>
      <c r="L261" t="s">
        <v>321</v>
      </c>
      <c r="M261">
        <f>IF(C261&lt;&gt;"",C261,_xlfn.XLOOKUP(B261,AI_NAMES!D:D,AI_NAMES!E:E,"",0))</f>
        <v>0</v>
      </c>
    </row>
    <row r="262" spans="1:13" x14ac:dyDescent="0.2">
      <c r="A262" t="s">
        <v>387</v>
      </c>
      <c r="B262" t="str">
        <f>IF(L262&lt;&gt;"",L262,_xlfn.XLOOKUP(A262,AI_NAMES!C:C,AI_NAMES!D:D,"",0))</f>
        <v>.ClearMonstersLoop</v>
      </c>
      <c r="L262" t="s">
        <v>388</v>
      </c>
      <c r="M262" t="str">
        <f>IF(C262&lt;&gt;"",C262,_xlfn.XLOOKUP(B262,AI_NAMES!D:D,AI_NAMES!E:E,"",0))</f>
        <v/>
      </c>
    </row>
    <row r="263" spans="1:13" x14ac:dyDescent="0.2">
      <c r="A263" t="s">
        <v>389</v>
      </c>
      <c r="B263" t="str">
        <f>IF(L263&lt;&gt;"",L263,_xlfn.XLOOKUP(A263,AI_NAMES!C:C,AI_NAMES!D:D,"",0))</f>
        <v>.FillMonstersLoop</v>
      </c>
      <c r="L263" t="s">
        <v>390</v>
      </c>
      <c r="M263" t="str">
        <f>IF(C263&lt;&gt;"",C263,_xlfn.XLOOKUP(B263,AI_NAMES!D:D,AI_NAMES!E:E,"",0))</f>
        <v/>
      </c>
    </row>
    <row r="264" spans="1:13" x14ac:dyDescent="0.2">
      <c r="A264" t="s">
        <v>391</v>
      </c>
      <c r="B264" t="str">
        <f>IF(L264&lt;&gt;"",L264,_xlfn.XLOOKUP(A264,AI_NAMES!C:C,AI_NAMES!D:D,"",0))</f>
        <v>.MarkedOnMap</v>
      </c>
      <c r="L264" t="s">
        <v>392</v>
      </c>
      <c r="M264" t="str">
        <f>IF(C264&lt;&gt;"",C264,_xlfn.XLOOKUP(B264,AI_NAMES!D:D,AI_NAMES!E:E,"",0))</f>
        <v/>
      </c>
    </row>
    <row r="265" spans="1:13" x14ac:dyDescent="0.2">
      <c r="A265" t="s">
        <v>393</v>
      </c>
      <c r="B265" t="str">
        <f>IF(L265&lt;&gt;"",L265,_xlfn.XLOOKUP(A265,AI_NAMES!C:C,AI_NAMES!D:D,"",0))</f>
        <v>.SkipSomething1_TEMP</v>
      </c>
      <c r="L265" t="s">
        <v>394</v>
      </c>
      <c r="M265" t="str">
        <f>IF(C265&lt;&gt;"",C265,_xlfn.XLOOKUP(B265,AI_NAMES!D:D,AI_NAMES!E:E,"",0))</f>
        <v/>
      </c>
    </row>
    <row r="266" spans="1:13" x14ac:dyDescent="0.2">
      <c r="A266" t="s">
        <v>395</v>
      </c>
      <c r="B266" t="str">
        <f>IF(L266&lt;&gt;"",L266,_xlfn.XLOOKUP(A266,AI_NAMES!C:C,AI_NAMES!D:D,"",0))</f>
        <v>.SkipSomething2_TEMP</v>
      </c>
      <c r="L266" t="s">
        <v>396</v>
      </c>
      <c r="M266" t="str">
        <f>IF(C266&lt;&gt;"",C266,_xlfn.XLOOKUP(B266,AI_NAMES!D:D,AI_NAMES!E:E,"",0))</f>
        <v/>
      </c>
    </row>
    <row r="267" spans="1:13" x14ac:dyDescent="0.2">
      <c r="A267" t="s">
        <v>397</v>
      </c>
      <c r="B267" t="str">
        <f>IF(L267&lt;&gt;"",L267,_xlfn.XLOOKUP(A267,AI_NAMES!C:C,AI_NAMES!D:D,"",0))</f>
        <v>.SkipSomething3_TEMP</v>
      </c>
      <c r="L267" t="s">
        <v>398</v>
      </c>
      <c r="M267" t="str">
        <f>IF(C267&lt;&gt;"",C267,_xlfn.XLOOKUP(B267,AI_NAMES!D:D,AI_NAMES!E:E,"",0))</f>
        <v/>
      </c>
    </row>
    <row r="268" spans="1:13" x14ac:dyDescent="0.2">
      <c r="A268" t="s">
        <v>399</v>
      </c>
      <c r="B268" t="str">
        <f>IF(L268&lt;&gt;"",L268,_xlfn.XLOOKUP(A268,AI_NAMES!C:C,AI_NAMES!D:D,"",0))</f>
        <v>.SpecialObjects</v>
      </c>
      <c r="L268" t="s">
        <v>400</v>
      </c>
      <c r="M268" t="str">
        <f>IF(C268&lt;&gt;"",C268,_xlfn.XLOOKUP(B268,AI_NAMES!D:D,AI_NAMES!E:E,"",0))</f>
        <v/>
      </c>
    </row>
    <row r="269" spans="1:13" x14ac:dyDescent="0.2">
      <c r="A269" t="s">
        <v>401</v>
      </c>
      <c r="B269" t="str">
        <f>IF(L269&lt;&gt;"",L269,_xlfn.XLOOKUP(A269,AI_NAMES!C:C,AI_NAMES!D:D,"",0))</f>
        <v>.SkipSomething4_TEMP</v>
      </c>
      <c r="L269" t="s">
        <v>402</v>
      </c>
      <c r="M269" t="str">
        <f>IF(C269&lt;&gt;"",C269,_xlfn.XLOOKUP(B269,AI_NAMES!D:D,AI_NAMES!E:E,"",0))</f>
        <v/>
      </c>
    </row>
    <row r="270" spans="1:13" x14ac:dyDescent="0.2">
      <c r="A270" t="s">
        <v>403</v>
      </c>
      <c r="B270" t="str">
        <f>IF(L270&lt;&gt;"",L270,_xlfn.XLOOKUP(A270,AI_NAMES!C:C,AI_NAMES!D:D,"",0))</f>
        <v>.SkipSomething5_TEMP</v>
      </c>
      <c r="L270" t="s">
        <v>404</v>
      </c>
      <c r="M270" t="str">
        <f>IF(C270&lt;&gt;"",C270,_xlfn.XLOOKUP(B270,AI_NAMES!D:D,AI_NAMES!E:E,"",0))</f>
        <v/>
      </c>
    </row>
    <row r="271" spans="1:13" x14ac:dyDescent="0.2">
      <c r="A271" t="s">
        <v>405</v>
      </c>
      <c r="B271" t="str">
        <f>IF(L271&lt;&gt;"",L271,_xlfn.XLOOKUP(A271,AI_NAMES!C:C,AI_NAMES!D:D,"",0))</f>
        <v/>
      </c>
      <c r="L271" t="s">
        <v>321</v>
      </c>
      <c r="M271">
        <f>IF(C271&lt;&gt;"",C271,_xlfn.XLOOKUP(B271,AI_NAMES!D:D,AI_NAMES!E:E,"",0))</f>
        <v>0</v>
      </c>
    </row>
    <row r="272" spans="1:13" x14ac:dyDescent="0.2">
      <c r="A272" t="s">
        <v>406</v>
      </c>
      <c r="B272" t="str">
        <f>IF(L272&lt;&gt;"",L272,_xlfn.XLOOKUP(A272,AI_NAMES!C:C,AI_NAMES!D:D,"",0))</f>
        <v/>
      </c>
      <c r="L272" t="s">
        <v>321</v>
      </c>
      <c r="M272">
        <f>IF(C272&lt;&gt;"",C272,_xlfn.XLOOKUP(B272,AI_NAMES!D:D,AI_NAMES!E:E,"",0))</f>
        <v>0</v>
      </c>
    </row>
    <row r="273" spans="1:13" x14ac:dyDescent="0.2">
      <c r="A273" t="s">
        <v>407</v>
      </c>
      <c r="B273" t="str">
        <f>IF(L273&lt;&gt;"",L273,_xlfn.XLOOKUP(A273,AI_NAMES!C:C,AI_NAMES!D:D,"",0))</f>
        <v/>
      </c>
      <c r="L273" t="s">
        <v>321</v>
      </c>
      <c r="M273">
        <f>IF(C273&lt;&gt;"",C273,_xlfn.XLOOKUP(B273,AI_NAMES!D:D,AI_NAMES!E:E,"",0))</f>
        <v>0</v>
      </c>
    </row>
    <row r="274" spans="1:13" x14ac:dyDescent="0.2">
      <c r="A274" t="s">
        <v>408</v>
      </c>
      <c r="B274" t="str">
        <f>IF(L274&lt;&gt;"",L274,_xlfn.XLOOKUP(A274,AI_NAMES!C:C,AI_NAMES!D:D,"",0))</f>
        <v>Load_LevelLookupTable_AI_TBC</v>
      </c>
      <c r="L274" t="s">
        <v>321</v>
      </c>
      <c r="M274">
        <f>IF(C274&lt;&gt;"",C274,_xlfn.XLOOKUP(B274,AI_NAMES!D:D,AI_NAMES!E:E,"",0))</f>
        <v>0</v>
      </c>
    </row>
    <row r="275" spans="1:13" x14ac:dyDescent="0.2">
      <c r="A275" t="s">
        <v>409</v>
      </c>
      <c r="B275" t="str">
        <f>IF(L275&lt;&gt;"",L275,_xlfn.XLOOKUP(A275,AI_NAMES!C:C,AI_NAMES!D:D,"",0))</f>
        <v/>
      </c>
      <c r="L275" t="s">
        <v>321</v>
      </c>
      <c r="M275">
        <f>IF(C275&lt;&gt;"",C275,_xlfn.XLOOKUP(B275,AI_NAMES!D:D,AI_NAMES!E:E,"",0))</f>
        <v>0</v>
      </c>
    </row>
    <row r="276" spans="1:13" x14ac:dyDescent="0.2">
      <c r="A276" t="s">
        <v>410</v>
      </c>
      <c r="B276" t="str">
        <f>IF(L276&lt;&gt;"",L276,_xlfn.XLOOKUP(A276,AI_NAMES!C:C,AI_NAMES!D:D,"",0))</f>
        <v>LevelData_LookupTable</v>
      </c>
      <c r="L276" t="s">
        <v>411</v>
      </c>
      <c r="M276" t="str">
        <f>IF(C276&lt;&gt;"",C276,_xlfn.XLOOKUP(B276,AI_NAMES!D:D,AI_NAMES!E:E,"",0))</f>
        <v/>
      </c>
    </row>
    <row r="277" spans="1:13" x14ac:dyDescent="0.2">
      <c r="A277" t="s">
        <v>412</v>
      </c>
      <c r="B277" t="str">
        <f>IF(L277&lt;&gt;"",L277,_xlfn.XLOOKUP(A277,AI_NAMES!C:C,AI_NAMES!D:D,"",0))</f>
        <v>PrepareCharacterData_AI_TBC</v>
      </c>
      <c r="L277" t="s">
        <v>321</v>
      </c>
      <c r="M277">
        <f>IF(C277&lt;&gt;"",C277,_xlfn.XLOOKUP(B277,AI_NAMES!D:D,AI_NAMES!E:E,"",0))</f>
        <v>0</v>
      </c>
    </row>
    <row r="278" spans="1:13" x14ac:dyDescent="0.2">
      <c r="A278" t="s">
        <v>413</v>
      </c>
      <c r="B278" t="str">
        <f>IF(L278&lt;&gt;"",L278,_xlfn.XLOOKUP(A278,AI_NAMES!C:C,AI_NAMES!D:D,"",0))</f>
        <v/>
      </c>
      <c r="L278" t="s">
        <v>321</v>
      </c>
      <c r="M278">
        <f>IF(C278&lt;&gt;"",C278,_xlfn.XLOOKUP(B278,AI_NAMES!D:D,AI_NAMES!E:E,"",0))</f>
        <v>0</v>
      </c>
    </row>
    <row r="279" spans="1:13" x14ac:dyDescent="0.2">
      <c r="A279" t="s">
        <v>414</v>
      </c>
      <c r="B279" t="str">
        <f>IF(L279&lt;&gt;"",L279,_xlfn.XLOOKUP(A279,AI_NAMES!C:C,AI_NAMES!D:D,"",0))</f>
        <v/>
      </c>
      <c r="L279" t="s">
        <v>321</v>
      </c>
      <c r="M279">
        <f>IF(C279&lt;&gt;"",C279,_xlfn.XLOOKUP(B279,AI_NAMES!D:D,AI_NAMES!E:E,"",0))</f>
        <v>0</v>
      </c>
    </row>
    <row r="280" spans="1:13" x14ac:dyDescent="0.2">
      <c r="A280" t="s">
        <v>415</v>
      </c>
      <c r="B280" t="str">
        <f>IF(L280&lt;&gt;"",L280,_xlfn.XLOOKUP(A280,AI_NAMES!C:C,AI_NAMES!D:D,"",0))</f>
        <v/>
      </c>
      <c r="L280" t="s">
        <v>321</v>
      </c>
      <c r="M280">
        <f>IF(C280&lt;&gt;"",C280,_xlfn.XLOOKUP(B280,AI_NAMES!D:D,AI_NAMES!E:E,"",0))</f>
        <v>0</v>
      </c>
    </row>
    <row r="281" spans="1:13" x14ac:dyDescent="0.2">
      <c r="A281" t="s">
        <v>416</v>
      </c>
      <c r="B281" t="str">
        <f>IF(L281&lt;&gt;"",L281,_xlfn.XLOOKUP(A281,AI_NAMES!C:C,AI_NAMES!D:D,"",0))</f>
        <v>Wait_FrameSync_AI_TBC</v>
      </c>
      <c r="L281" t="s">
        <v>321</v>
      </c>
      <c r="M281">
        <f>IF(C281&lt;&gt;"",C281,_xlfn.XLOOKUP(B281,AI_NAMES!D:D,AI_NAMES!E:E,"",0))</f>
        <v>0</v>
      </c>
    </row>
    <row r="282" spans="1:13" x14ac:dyDescent="0.2">
      <c r="A282" t="s">
        <v>417</v>
      </c>
      <c r="B282" t="str">
        <f>IF(L282&lt;&gt;"",L282,_xlfn.XLOOKUP(A282,AI_NAMES!C:C,AI_NAMES!D:D,"",0))</f>
        <v>Menu_RenderLoop_AI_TBC</v>
      </c>
      <c r="L282" t="s">
        <v>321</v>
      </c>
      <c r="M282">
        <f>IF(C282&lt;&gt;"",C282,_xlfn.XLOOKUP(B282,AI_NAMES!D:D,AI_NAMES!E:E,"",0))</f>
        <v>0</v>
      </c>
    </row>
    <row r="283" spans="1:13" x14ac:dyDescent="0.2">
      <c r="A283" t="s">
        <v>418</v>
      </c>
      <c r="B283" t="str">
        <f>IF(L283&lt;&gt;"",L283,_xlfn.XLOOKUP(A283,AI_NAMES!C:C,AI_NAMES!D:D,"",0))</f>
        <v>Menu_IdlePoll_AI_TBC</v>
      </c>
      <c r="L283" t="s">
        <v>321</v>
      </c>
      <c r="M283">
        <f>IF(C283&lt;&gt;"",C283,_xlfn.XLOOKUP(B283,AI_NAMES!D:D,AI_NAMES!E:E,"",0))</f>
        <v>0</v>
      </c>
    </row>
    <row r="284" spans="1:13" x14ac:dyDescent="0.2">
      <c r="A284" t="s">
        <v>419</v>
      </c>
      <c r="B284" t="str">
        <f>IF(L284&lt;&gt;"",L284,_xlfn.XLOOKUP(A284,AI_NAMES!C:C,AI_NAMES!D:D,"",0))</f>
        <v/>
      </c>
      <c r="L284" t="s">
        <v>321</v>
      </c>
      <c r="M284">
        <f>IF(C284&lt;&gt;"",C284,_xlfn.XLOOKUP(B284,AI_NAMES!D:D,AI_NAMES!E:E,"",0))</f>
        <v>0</v>
      </c>
    </row>
    <row r="285" spans="1:13" x14ac:dyDescent="0.2">
      <c r="A285" t="s">
        <v>420</v>
      </c>
      <c r="B285" t="str">
        <f>IF(L285&lt;&gt;"",L285,_xlfn.XLOOKUP(A285,AI_NAMES!C:C,AI_NAMES!D:D,"",0))</f>
        <v/>
      </c>
      <c r="L285" t="s">
        <v>321</v>
      </c>
      <c r="M285">
        <f>IF(C285&lt;&gt;"",C285,_xlfn.XLOOKUP(B285,AI_NAMES!D:D,AI_NAMES!E:E,"",0))</f>
        <v>0</v>
      </c>
    </row>
    <row r="286" spans="1:13" x14ac:dyDescent="0.2">
      <c r="A286" t="s">
        <v>421</v>
      </c>
      <c r="B286" t="str">
        <f>IF(L286&lt;&gt;"",L286,_xlfn.XLOOKUP(A286,AI_NAMES!C:C,AI_NAMES!D:D,"",0))</f>
        <v>DelayLoop1a_AI_TBC</v>
      </c>
      <c r="L286" t="s">
        <v>321</v>
      </c>
      <c r="M286">
        <f>IF(C286&lt;&gt;"",C286,_xlfn.XLOOKUP(B286,AI_NAMES!D:D,AI_NAMES!E:E,"",0))</f>
        <v>0</v>
      </c>
    </row>
    <row r="287" spans="1:13" x14ac:dyDescent="0.2">
      <c r="A287" t="s">
        <v>422</v>
      </c>
      <c r="B287" t="str">
        <f>IF(L287&lt;&gt;"",L287,_xlfn.XLOOKUP(A287,AI_NAMES!C:C,AI_NAMES!D:D,"",0))</f>
        <v>DBFWait1b</v>
      </c>
      <c r="L287" t="s">
        <v>423</v>
      </c>
      <c r="M287" t="str">
        <f>IF(C287&lt;&gt;"",C287,_xlfn.XLOOKUP(B287,AI_NAMES!D:D,AI_NAMES!E:E,"",0))</f>
        <v/>
      </c>
    </row>
    <row r="288" spans="1:13" x14ac:dyDescent="0.2">
      <c r="A288" t="s">
        <v>424</v>
      </c>
      <c r="B288" t="str">
        <f>IF(L288&lt;&gt;"",L288,_xlfn.XLOOKUP(A288,AI_NAMES!C:C,AI_NAMES!D:D,"",0))</f>
        <v>DBFWait1c</v>
      </c>
      <c r="L288" t="s">
        <v>425</v>
      </c>
      <c r="M288" t="str">
        <f>IF(C288&lt;&gt;"",C288,_xlfn.XLOOKUP(B288,AI_NAMES!D:D,AI_NAMES!E:E,"",0))</f>
        <v/>
      </c>
    </row>
    <row r="289" spans="1:13" x14ac:dyDescent="0.2">
      <c r="A289" t="s">
        <v>426</v>
      </c>
      <c r="B289" t="str">
        <f>IF(L289&lt;&gt;"",L289,_xlfn.XLOOKUP(A289,AI_NAMES!C:C,AI_NAMES!D:D,"",0))</f>
        <v>RelocateTraps_AI_TBC</v>
      </c>
      <c r="L289" t="s">
        <v>321</v>
      </c>
      <c r="M289">
        <f>IF(C289&lt;&gt;"",C289,_xlfn.XLOOKUP(B289,AI_NAMES!D:D,AI_NAMES!E:E,"",0))</f>
        <v>0</v>
      </c>
    </row>
    <row r="290" spans="1:13" x14ac:dyDescent="0.2">
      <c r="A290" t="s">
        <v>427</v>
      </c>
      <c r="B290" t="str">
        <f>IF(L290&lt;&gt;"",L290,_xlfn.XLOOKUP(A290,AI_NAMES!C:C,AI_NAMES!D:D,"",0))</f>
        <v>Setup_PlayerZOffset_AI_TBC</v>
      </c>
      <c r="L290" t="s">
        <v>321</v>
      </c>
      <c r="M290">
        <f>IF(C290&lt;&gt;"",C290,_xlfn.XLOOKUP(B290,AI_NAMES!D:D,AI_NAMES!E:E,"",0))</f>
        <v>0</v>
      </c>
    </row>
    <row r="291" spans="1:13" x14ac:dyDescent="0.2">
      <c r="A291" t="s">
        <v>428</v>
      </c>
      <c r="B291" t="str">
        <f>IF(L291&lt;&gt;"",L291,_xlfn.XLOOKUP(A291,AI_NAMES!C:C,AI_NAMES!D:D,"",0))</f>
        <v>Player_HeightAdjust_AI_TBC</v>
      </c>
      <c r="L291" t="s">
        <v>321</v>
      </c>
      <c r="M291">
        <f>IF(C291&lt;&gt;"",C291,_xlfn.XLOOKUP(B291,AI_NAMES!D:D,AI_NAMES!E:E,"",0))</f>
        <v>0</v>
      </c>
    </row>
    <row r="292" spans="1:13" x14ac:dyDescent="0.2">
      <c r="A292" t="s">
        <v>429</v>
      </c>
      <c r="B292" t="str">
        <f>IF(L292&lt;&gt;"",L292,_xlfn.XLOOKUP(A292,AI_NAMES!C:C,AI_NAMES!D:D,"",0))</f>
        <v>Player_HeightCheck_AI_TBC</v>
      </c>
      <c r="L292" t="s">
        <v>321</v>
      </c>
      <c r="M292">
        <f>IF(C292&lt;&gt;"",C292,_xlfn.XLOOKUP(B292,AI_NAMES!D:D,AI_NAMES!E:E,"",0))</f>
        <v>0</v>
      </c>
    </row>
    <row r="293" spans="1:13" x14ac:dyDescent="0.2">
      <c r="A293" t="s">
        <v>430</v>
      </c>
      <c r="B293" t="str">
        <f>IF(L293&lt;&gt;"",L293,_xlfn.XLOOKUP(A293,AI_NAMES!C:C,AI_NAMES!D:D,"",0))</f>
        <v>Setup_ScreenFade_AI_TBC</v>
      </c>
      <c r="L293" t="s">
        <v>321</v>
      </c>
      <c r="M293">
        <f>IF(C293&lt;&gt;"",C293,_xlfn.XLOOKUP(B293,AI_NAMES!D:D,AI_NAMES!E:E,"",0))</f>
        <v>0</v>
      </c>
    </row>
    <row r="294" spans="1:13" x14ac:dyDescent="0.2">
      <c r="A294" t="s">
        <v>431</v>
      </c>
      <c r="B294" t="str">
        <f>IF(L294&lt;&gt;"",L294,_xlfn.XLOOKUP(A294,AI_NAMES!C:C,AI_NAMES!D:D,"",0))</f>
        <v>ScreenFade_Control_AI_TBC</v>
      </c>
      <c r="L294" t="s">
        <v>321</v>
      </c>
      <c r="M294">
        <f>IF(C294&lt;&gt;"",C294,_xlfn.XLOOKUP(B294,AI_NAMES!D:D,AI_NAMES!E:E,"",0))</f>
        <v>0</v>
      </c>
    </row>
    <row r="295" spans="1:13" x14ac:dyDescent="0.2">
      <c r="A295" t="s">
        <v>432</v>
      </c>
      <c r="B295" t="str">
        <f>IF(L295&lt;&gt;"",L295,_xlfn.XLOOKUP(A295,AI_NAMES!C:C,AI_NAMES!D:D,"",0))</f>
        <v/>
      </c>
      <c r="L295" t="s">
        <v>321</v>
      </c>
      <c r="M295">
        <f>IF(C295&lt;&gt;"",C295,_xlfn.XLOOKUP(B295,AI_NAMES!D:D,AI_NAMES!E:E,"",0))</f>
        <v>0</v>
      </c>
    </row>
    <row r="296" spans="1:13" x14ac:dyDescent="0.2">
      <c r="A296" t="s">
        <v>433</v>
      </c>
      <c r="B296" t="str">
        <f>IF(L296&lt;&gt;"",L296,_xlfn.XLOOKUP(A296,AI_NAMES!C:C,AI_NAMES!D:D,"",0))</f>
        <v/>
      </c>
      <c r="L296" t="s">
        <v>321</v>
      </c>
      <c r="M296">
        <f>IF(C296&lt;&gt;"",C296,_xlfn.XLOOKUP(B296,AI_NAMES!D:D,AI_NAMES!E:E,"",0))</f>
        <v>0</v>
      </c>
    </row>
    <row r="297" spans="1:13" x14ac:dyDescent="0.2">
      <c r="A297" t="s">
        <v>434</v>
      </c>
      <c r="B297" t="str">
        <f>IF(L297&lt;&gt;"",L297,_xlfn.XLOOKUP(A297,AI_NAMES!C:C,AI_NAMES!D:D,"",0))</f>
        <v/>
      </c>
      <c r="L297" t="s">
        <v>321</v>
      </c>
      <c r="M297">
        <f>IF(C297&lt;&gt;"",C297,_xlfn.XLOOKUP(B297,AI_NAMES!D:D,AI_NAMES!E:E,"",0))</f>
        <v>0</v>
      </c>
    </row>
    <row r="298" spans="1:13" x14ac:dyDescent="0.2">
      <c r="A298" t="s">
        <v>435</v>
      </c>
      <c r="B298" t="str">
        <f>IF(L298&lt;&gt;"",L298,_xlfn.XLOOKUP(A298,AI_NAMES!C:C,AI_NAMES!D:D,"",0))</f>
        <v/>
      </c>
      <c r="L298" t="s">
        <v>321</v>
      </c>
      <c r="M298">
        <f>IF(C298&lt;&gt;"",C298,_xlfn.XLOOKUP(B298,AI_NAMES!D:D,AI_NAMES!E:E,"",0))</f>
        <v>0</v>
      </c>
    </row>
    <row r="299" spans="1:13" x14ac:dyDescent="0.2">
      <c r="A299" t="s">
        <v>436</v>
      </c>
      <c r="B299" t="str">
        <f>IF(L299&lt;&gt;"",L299,_xlfn.XLOOKUP(A299,AI_NAMES!C:C,AI_NAMES!D:D,"",0))</f>
        <v/>
      </c>
      <c r="L299" t="s">
        <v>321</v>
      </c>
      <c r="M299">
        <f>IF(C299&lt;&gt;"",C299,_xlfn.XLOOKUP(B299,AI_NAMES!D:D,AI_NAMES!E:E,"",0))</f>
        <v>0</v>
      </c>
    </row>
    <row r="300" spans="1:13" x14ac:dyDescent="0.2">
      <c r="A300" t="s">
        <v>437</v>
      </c>
      <c r="B300" t="str">
        <f>IF(L300&lt;&gt;"",L300,_xlfn.XLOOKUP(A300,AI_NAMES!C:C,AI_NAMES!D:D,"",0))</f>
        <v/>
      </c>
      <c r="L300" t="s">
        <v>321</v>
      </c>
      <c r="M300">
        <f>IF(C300&lt;&gt;"",C300,_xlfn.XLOOKUP(B300,AI_NAMES!D:D,AI_NAMES!E:E,"",0))</f>
        <v>0</v>
      </c>
    </row>
    <row r="301" spans="1:13" x14ac:dyDescent="0.2">
      <c r="A301" t="s">
        <v>438</v>
      </c>
      <c r="B301" t="str">
        <f>IF(L301&lt;&gt;"",L301,_xlfn.XLOOKUP(A301,AI_NAMES!C:C,AI_NAMES!D:D,"",0))</f>
        <v/>
      </c>
      <c r="L301" t="s">
        <v>321</v>
      </c>
      <c r="M301">
        <f>IF(C301&lt;&gt;"",C301,_xlfn.XLOOKUP(B301,AI_NAMES!D:D,AI_NAMES!E:E,"",0))</f>
        <v>0</v>
      </c>
    </row>
    <row r="302" spans="1:13" x14ac:dyDescent="0.2">
      <c r="A302" t="s">
        <v>439</v>
      </c>
      <c r="B302" t="str">
        <f>IF(L302&lt;&gt;"",L302,_xlfn.XLOOKUP(A302,AI_NAMES!C:C,AI_NAMES!D:D,"",0))</f>
        <v>Keyboard_InterruptService_AI_TBC</v>
      </c>
      <c r="L302" t="s">
        <v>321</v>
      </c>
      <c r="M302">
        <f>IF(C302&lt;&gt;"",C302,_xlfn.XLOOKUP(B302,AI_NAMES!D:D,AI_NAMES!E:E,"",0))</f>
        <v>0</v>
      </c>
    </row>
    <row r="303" spans="1:13" x14ac:dyDescent="0.2">
      <c r="A303" t="s">
        <v>440</v>
      </c>
      <c r="B303" t="str">
        <f>IF(L303&lt;&gt;"",L303,_xlfn.XLOOKUP(A303,AI_NAMES!C:C,AI_NAMES!D:D,"",0))</f>
        <v>CheckKeyboard_InputLoop_AI_TBC</v>
      </c>
      <c r="L303" t="s">
        <v>321</v>
      </c>
      <c r="M303">
        <f>IF(C303&lt;&gt;"",C303,_xlfn.XLOOKUP(B303,AI_NAMES!D:D,AI_NAMES!E:E,"",0))</f>
        <v>0</v>
      </c>
    </row>
    <row r="304" spans="1:13" x14ac:dyDescent="0.2">
      <c r="A304" t="s">
        <v>441</v>
      </c>
      <c r="B304" t="str">
        <f>IF(L304&lt;&gt;"",L304,_xlfn.XLOOKUP(A304,AI_NAMES!C:C,AI_NAMES!D:D,"",0))</f>
        <v>ProcessKeyCode_AI_TBC</v>
      </c>
      <c r="L304" t="s">
        <v>321</v>
      </c>
      <c r="M304">
        <f>IF(C304&lt;&gt;"",C304,_xlfn.XLOOKUP(B304,AI_NAMES!D:D,AI_NAMES!E:E,"",0))</f>
        <v>0</v>
      </c>
    </row>
    <row r="305" spans="1:13" x14ac:dyDescent="0.2">
      <c r="A305" t="s">
        <v>442</v>
      </c>
      <c r="B305" t="str">
        <f>IF(L305&lt;&gt;"",L305,_xlfn.XLOOKUP(A305,AI_NAMES!C:C,AI_NAMES!D:D,"",0))</f>
        <v/>
      </c>
      <c r="L305" t="s">
        <v>321</v>
      </c>
      <c r="M305">
        <f>IF(C305&lt;&gt;"",C305,_xlfn.XLOOKUP(B305,AI_NAMES!D:D,AI_NAMES!E:E,"",0))</f>
        <v>0</v>
      </c>
    </row>
    <row r="306" spans="1:13" x14ac:dyDescent="0.2">
      <c r="A306" t="s">
        <v>443</v>
      </c>
      <c r="B306" t="str">
        <f>IF(L306&lt;&gt;"",L306,_xlfn.XLOOKUP(A306,AI_NAMES!C:C,AI_NAMES!D:D,"",0))</f>
        <v/>
      </c>
      <c r="L306" t="s">
        <v>321</v>
      </c>
      <c r="M306">
        <f>IF(C306&lt;&gt;"",C306,_xlfn.XLOOKUP(B306,AI_NAMES!D:D,AI_NAMES!E:E,"",0))</f>
        <v>0</v>
      </c>
    </row>
    <row r="307" spans="1:13" x14ac:dyDescent="0.2">
      <c r="A307" t="s">
        <v>444</v>
      </c>
      <c r="B307" t="str">
        <f>IF(L307&lt;&gt;"",L307,_xlfn.XLOOKUP(A307,AI_NAMES!C:C,AI_NAMES!D:D,"",0))</f>
        <v/>
      </c>
      <c r="L307" t="s">
        <v>321</v>
      </c>
      <c r="M307">
        <f>IF(C307&lt;&gt;"",C307,_xlfn.XLOOKUP(B307,AI_NAMES!D:D,AI_NAMES!E:E,"",0))</f>
        <v>0</v>
      </c>
    </row>
    <row r="308" spans="1:13" x14ac:dyDescent="0.2">
      <c r="A308" t="s">
        <v>445</v>
      </c>
      <c r="B308" t="str">
        <f>IF(L308&lt;&gt;"",L308,_xlfn.XLOOKUP(A308,AI_NAMES!C:C,AI_NAMES!D:D,"",0))</f>
        <v>RandomWalk_Init_AI_TBC</v>
      </c>
      <c r="L308" t="s">
        <v>321</v>
      </c>
      <c r="M308">
        <f>IF(C308&lt;&gt;"",C308,_xlfn.XLOOKUP(B308,AI_NAMES!D:D,AI_NAMES!E:E,"",0))</f>
        <v>0</v>
      </c>
    </row>
    <row r="309" spans="1:13" x14ac:dyDescent="0.2">
      <c r="A309" t="s">
        <v>446</v>
      </c>
      <c r="B309" t="str">
        <f>IF(L309&lt;&gt;"",L309,_xlfn.XLOOKUP(A309,AI_NAMES!C:C,AI_NAMES!D:D,"",0))</f>
        <v/>
      </c>
      <c r="L309" t="s">
        <v>321</v>
      </c>
      <c r="M309">
        <f>IF(C309&lt;&gt;"",C309,_xlfn.XLOOKUP(B309,AI_NAMES!D:D,AI_NAMES!E:E,"",0))</f>
        <v>0</v>
      </c>
    </row>
    <row r="310" spans="1:13" x14ac:dyDescent="0.2">
      <c r="A310" t="s">
        <v>447</v>
      </c>
      <c r="B310" t="str">
        <f>IF(L310&lt;&gt;"",L310,_xlfn.XLOOKUP(A310,AI_NAMES!C:C,AI_NAMES!D:D,"",0))</f>
        <v>RandomWalk_NormalReturn_AI_TBC</v>
      </c>
      <c r="L310" t="s">
        <v>321</v>
      </c>
      <c r="M310">
        <f>IF(C310&lt;&gt;"",C310,_xlfn.XLOOKUP(B310,AI_NAMES!D:D,AI_NAMES!E:E,"",0))</f>
        <v>0</v>
      </c>
    </row>
    <row r="311" spans="1:13" x14ac:dyDescent="0.2">
      <c r="A311" t="s">
        <v>448</v>
      </c>
      <c r="B311" t="str">
        <f>IF(L311&lt;&gt;"",L311,_xlfn.XLOOKUP(A311,AI_NAMES!C:C,AI_NAMES!D:D,"",0))</f>
        <v/>
      </c>
      <c r="L311" t="s">
        <v>321</v>
      </c>
      <c r="M311">
        <f>IF(C311&lt;&gt;"",C311,_xlfn.XLOOKUP(B311,AI_NAMES!D:D,AI_NAMES!E:E,"",0))</f>
        <v>0</v>
      </c>
    </row>
    <row r="312" spans="1:13" x14ac:dyDescent="0.2">
      <c r="A312" t="s">
        <v>449</v>
      </c>
      <c r="B312" t="str">
        <f>IF(L312&lt;&gt;"",L312,_xlfn.XLOOKUP(A312,AI_NAMES!C:C,AI_NAMES!D:D,"",0))</f>
        <v/>
      </c>
      <c r="L312" t="s">
        <v>321</v>
      </c>
      <c r="M312">
        <f>IF(C312&lt;&gt;"",C312,_xlfn.XLOOKUP(B312,AI_NAMES!D:D,AI_NAMES!E:E,"",0))</f>
        <v>0</v>
      </c>
    </row>
    <row r="313" spans="1:13" x14ac:dyDescent="0.2">
      <c r="A313" t="s">
        <v>450</v>
      </c>
      <c r="B313" t="str">
        <f>IF(L313&lt;&gt;"",L313,_xlfn.XLOOKUP(A313,AI_NAMES!C:C,AI_NAMES!D:D,"",0))</f>
        <v/>
      </c>
      <c r="L313" t="s">
        <v>321</v>
      </c>
      <c r="M313">
        <f>IF(C313&lt;&gt;"",C313,_xlfn.XLOOKUP(B313,AI_NAMES!D:D,AI_NAMES!E:E,"",0))</f>
        <v>0</v>
      </c>
    </row>
    <row r="314" spans="1:13" x14ac:dyDescent="0.2">
      <c r="A314" t="s">
        <v>451</v>
      </c>
      <c r="B314" t="str">
        <f>IF(L314&lt;&gt;"",L314,_xlfn.XLOOKUP(A314,AI_NAMES!C:C,AI_NAMES!D:D,"",0))</f>
        <v>Stat_UpdateLoop_AI_TBC</v>
      </c>
      <c r="L314" t="s">
        <v>321</v>
      </c>
      <c r="M314">
        <f>IF(C314&lt;&gt;"",C314,_xlfn.XLOOKUP(B314,AI_NAMES!D:D,AI_NAMES!E:E,"",0))</f>
        <v>0</v>
      </c>
    </row>
    <row r="315" spans="1:13" x14ac:dyDescent="0.2">
      <c r="A315" t="s">
        <v>452</v>
      </c>
      <c r="B315" t="str">
        <f>IF(L315&lt;&gt;"",L315,_xlfn.XLOOKUP(A315,AI_NAMES!C:C,AI_NAMES!D:D,"",0))</f>
        <v/>
      </c>
      <c r="L315" t="s">
        <v>321</v>
      </c>
      <c r="M315">
        <f>IF(C315&lt;&gt;"",C315,_xlfn.XLOOKUP(B315,AI_NAMES!D:D,AI_NAMES!E:E,"",0))</f>
        <v>0</v>
      </c>
    </row>
    <row r="316" spans="1:13" x14ac:dyDescent="0.2">
      <c r="A316" t="s">
        <v>453</v>
      </c>
      <c r="B316" t="str">
        <f>IF(L316&lt;&gt;"",L316,_xlfn.XLOOKUP(A316,AI_NAMES!C:C,AI_NAMES!D:D,"",0))</f>
        <v>ChampionFlag_Reset_AI_TBC</v>
      </c>
      <c r="L316" t="s">
        <v>321</v>
      </c>
      <c r="M316">
        <f>IF(C316&lt;&gt;"",C316,_xlfn.XLOOKUP(B316,AI_NAMES!D:D,AI_NAMES!E:E,"",0))</f>
        <v>0</v>
      </c>
    </row>
    <row r="317" spans="1:13" x14ac:dyDescent="0.2">
      <c r="A317" t="s">
        <v>454</v>
      </c>
      <c r="B317" t="str">
        <f>IF(L317&lt;&gt;"",L317,_xlfn.XLOOKUP(A317,AI_NAMES!C:C,AI_NAMES!D:D,"",0))</f>
        <v>ChampionFlag_Test_AI_TBC</v>
      </c>
      <c r="L317" t="s">
        <v>321</v>
      </c>
      <c r="M317">
        <f>IF(C317&lt;&gt;"",C317,_xlfn.XLOOKUP(B317,AI_NAMES!D:D,AI_NAMES!E:E,"",0))</f>
        <v>0</v>
      </c>
    </row>
    <row r="318" spans="1:13" x14ac:dyDescent="0.2">
      <c r="A318" t="s">
        <v>455</v>
      </c>
      <c r="B318" t="str">
        <f>IF(L318&lt;&gt;"",L318,_xlfn.XLOOKUP(A318,AI_NAMES!C:C,AI_NAMES!D:D,"",0))</f>
        <v/>
      </c>
      <c r="L318" t="s">
        <v>321</v>
      </c>
      <c r="M318">
        <f>IF(C318&lt;&gt;"",C318,_xlfn.XLOOKUP(B318,AI_NAMES!D:D,AI_NAMES!E:E,"",0))</f>
        <v>0</v>
      </c>
    </row>
    <row r="319" spans="1:13" x14ac:dyDescent="0.2">
      <c r="A319" t="s">
        <v>456</v>
      </c>
      <c r="B319" t="str">
        <f>IF(L319&lt;&gt;"",L319,_xlfn.XLOOKUP(A319,AI_NAMES!C:C,AI_NAMES!D:D,"",0))</f>
        <v>TeamAvatar_UpdateLoop_AI_TBC</v>
      </c>
      <c r="L319" t="s">
        <v>321</v>
      </c>
      <c r="M319">
        <f>IF(C319&lt;&gt;"",C319,_xlfn.XLOOKUP(B319,AI_NAMES!D:D,AI_NAMES!E:E,"",0))</f>
        <v>0</v>
      </c>
    </row>
    <row r="320" spans="1:13" x14ac:dyDescent="0.2">
      <c r="A320" t="s">
        <v>457</v>
      </c>
      <c r="B320" t="str">
        <f>IF(L320&lt;&gt;"",L320,_xlfn.XLOOKUP(A320,AI_NAMES!C:C,AI_NAMES!D:D,"",0))</f>
        <v/>
      </c>
      <c r="L320" t="s">
        <v>321</v>
      </c>
      <c r="M320">
        <f>IF(C320&lt;&gt;"",C320,_xlfn.XLOOKUP(B320,AI_NAMES!D:D,AI_NAMES!E:E,"",0))</f>
        <v>0</v>
      </c>
    </row>
    <row r="321" spans="1:13" x14ac:dyDescent="0.2">
      <c r="A321" t="s">
        <v>458</v>
      </c>
      <c r="B321" t="str">
        <f>IF(L321&lt;&gt;"",L321,_xlfn.XLOOKUP(A321,AI_NAMES!C:C,AI_NAMES!D:D,"",0))</f>
        <v>TriggerState_Reset_AI_TBC</v>
      </c>
      <c r="L321" t="s">
        <v>321</v>
      </c>
      <c r="M321">
        <f>IF(C321&lt;&gt;"",C321,_xlfn.XLOOKUP(B321,AI_NAMES!D:D,AI_NAMES!E:E,"",0))</f>
        <v>0</v>
      </c>
    </row>
    <row r="322" spans="1:13" x14ac:dyDescent="0.2">
      <c r="A322" t="s">
        <v>459</v>
      </c>
      <c r="B322" t="str">
        <f>IF(L322&lt;&gt;"",L322,_xlfn.XLOOKUP(A322,AI_NAMES!C:C,AI_NAMES!D:D,"",0))</f>
        <v/>
      </c>
      <c r="L322" t="s">
        <v>321</v>
      </c>
      <c r="M322">
        <f>IF(C322&lt;&gt;"",C322,_xlfn.XLOOKUP(B322,AI_NAMES!D:D,AI_NAMES!E:E,"",0))</f>
        <v>0</v>
      </c>
    </row>
    <row r="323" spans="1:13" x14ac:dyDescent="0.2">
      <c r="A323" t="s">
        <v>460</v>
      </c>
      <c r="B323" t="str">
        <f>IF(L323&lt;&gt;"",L323,_xlfn.XLOOKUP(A323,AI_NAMES!C:C,AI_NAMES!D:D,"",0))</f>
        <v>TriggerState_Check_AI_TBC</v>
      </c>
      <c r="L323" t="s">
        <v>321</v>
      </c>
      <c r="M323">
        <f>IF(C323&lt;&gt;"",C323,_xlfn.XLOOKUP(B323,AI_NAMES!D:D,AI_NAMES!E:E,"",0))</f>
        <v>0</v>
      </c>
    </row>
    <row r="324" spans="1:13" x14ac:dyDescent="0.2">
      <c r="A324" t="s">
        <v>461</v>
      </c>
      <c r="B324" t="str">
        <f>IF(L324&lt;&gt;"",L324,_xlfn.XLOOKUP(A324,AI_NAMES!C:C,AI_NAMES!D:D,"",0))</f>
        <v>FloorTrigger_Handler_AI_TBC</v>
      </c>
      <c r="L324" t="s">
        <v>321</v>
      </c>
      <c r="M324">
        <f>IF(C324&lt;&gt;"",C324,_xlfn.XLOOKUP(B324,AI_NAMES!D:D,AI_NAMES!E:E,"",0))</f>
        <v>0</v>
      </c>
    </row>
    <row r="325" spans="1:13" x14ac:dyDescent="0.2">
      <c r="A325" t="s">
        <v>462</v>
      </c>
      <c r="B325" t="str">
        <f>IF(L325&lt;&gt;"",L325,_xlfn.XLOOKUP(A325,AI_NAMES!C:C,AI_NAMES!D:D,"",0))</f>
        <v/>
      </c>
      <c r="L325" t="s">
        <v>321</v>
      </c>
      <c r="M325">
        <f>IF(C325&lt;&gt;"",C325,_xlfn.XLOOKUP(B325,AI_NAMES!D:D,AI_NAMES!E:E,"",0))</f>
        <v>0</v>
      </c>
    </row>
    <row r="326" spans="1:13" x14ac:dyDescent="0.2">
      <c r="A326" t="s">
        <v>463</v>
      </c>
      <c r="B326" t="str">
        <f>IF(L326&lt;&gt;"",L326,_xlfn.XLOOKUP(A326,AI_NAMES!C:C,AI_NAMES!D:D,"",0))</f>
        <v/>
      </c>
      <c r="L326" t="s">
        <v>321</v>
      </c>
      <c r="M326">
        <f>IF(C326&lt;&gt;"",C326,_xlfn.XLOOKUP(B326,AI_NAMES!D:D,AI_NAMES!E:E,"",0))</f>
        <v>0</v>
      </c>
    </row>
    <row r="327" spans="1:13" x14ac:dyDescent="0.2">
      <c r="A327" t="s">
        <v>464</v>
      </c>
      <c r="B327" t="str">
        <f>IF(L327&lt;&gt;"",L327,_xlfn.XLOOKUP(A327,AI_NAMES!C:C,AI_NAMES!D:D,"",0))</f>
        <v/>
      </c>
      <c r="L327" t="s">
        <v>321</v>
      </c>
      <c r="M327">
        <f>IF(C327&lt;&gt;"",C327,_xlfn.XLOOKUP(B327,AI_NAMES!D:D,AI_NAMES!E:E,"",0))</f>
        <v>0</v>
      </c>
    </row>
    <row r="328" spans="1:13" x14ac:dyDescent="0.2">
      <c r="A328" t="s">
        <v>465</v>
      </c>
      <c r="B328" t="str">
        <f>IF(L328&lt;&gt;"",L328,_xlfn.XLOOKUP(A328,AI_NAMES!C:C,AI_NAMES!D:D,"",0))</f>
        <v/>
      </c>
      <c r="L328" t="s">
        <v>321</v>
      </c>
      <c r="M328">
        <f>IF(C328&lt;&gt;"",C328,_xlfn.XLOOKUP(B328,AI_NAMES!D:D,AI_NAMES!E:E,"",0))</f>
        <v>0</v>
      </c>
    </row>
    <row r="329" spans="1:13" x14ac:dyDescent="0.2">
      <c r="A329" t="s">
        <v>466</v>
      </c>
      <c r="B329" t="str">
        <f>IF(L329&lt;&gt;"",L329,_xlfn.XLOOKUP(A329,AI_NAMES!C:C,AI_NAMES!D:D,"",0))</f>
        <v/>
      </c>
      <c r="L329" t="s">
        <v>321</v>
      </c>
      <c r="M329">
        <f>IF(C329&lt;&gt;"",C329,_xlfn.XLOOKUP(B329,AI_NAMES!D:D,AI_NAMES!E:E,"",0))</f>
        <v>0</v>
      </c>
    </row>
    <row r="330" spans="1:13" x14ac:dyDescent="0.2">
      <c r="A330" t="s">
        <v>467</v>
      </c>
      <c r="B330" t="str">
        <f>IF(L330&lt;&gt;"",L330,_xlfn.XLOOKUP(A330,AI_NAMES!C:C,AI_NAMES!D:D,"",0))</f>
        <v/>
      </c>
      <c r="L330" t="s">
        <v>321</v>
      </c>
      <c r="M330">
        <f>IF(C330&lt;&gt;"",C330,_xlfn.XLOOKUP(B330,AI_NAMES!D:D,AI_NAMES!E:E,"",0))</f>
        <v>0</v>
      </c>
    </row>
    <row r="331" spans="1:13" x14ac:dyDescent="0.2">
      <c r="A331" t="s">
        <v>468</v>
      </c>
      <c r="B331" t="str">
        <f>IF(L331&lt;&gt;"",L331,_xlfn.XLOOKUP(A331,AI_NAMES!C:C,AI_NAMES!D:D,"",0))</f>
        <v/>
      </c>
      <c r="L331" t="s">
        <v>321</v>
      </c>
      <c r="M331">
        <f>IF(C331&lt;&gt;"",C331,_xlfn.XLOOKUP(B331,AI_NAMES!D:D,AI_NAMES!E:E,"",0))</f>
        <v>0</v>
      </c>
    </row>
    <row r="332" spans="1:13" x14ac:dyDescent="0.2">
      <c r="A332" t="s">
        <v>469</v>
      </c>
      <c r="B332" t="str">
        <f>IF(L332&lt;&gt;"",L332,_xlfn.XLOOKUP(A332,AI_NAMES!C:C,AI_NAMES!D:D,"",0))</f>
        <v/>
      </c>
      <c r="L332" t="s">
        <v>321</v>
      </c>
      <c r="M332">
        <f>IF(C332&lt;&gt;"",C332,_xlfn.XLOOKUP(B332,AI_NAMES!D:D,AI_NAMES!E:E,"",0))</f>
        <v>0</v>
      </c>
    </row>
    <row r="333" spans="1:13" x14ac:dyDescent="0.2">
      <c r="A333" t="s">
        <v>470</v>
      </c>
      <c r="B333" t="str">
        <f>IF(L333&lt;&gt;"",L333,_xlfn.XLOOKUP(A333,AI_NAMES!C:C,AI_NAMES!D:D,"",0))</f>
        <v/>
      </c>
      <c r="L333" t="s">
        <v>321</v>
      </c>
      <c r="M333">
        <f>IF(C333&lt;&gt;"",C333,_xlfn.XLOOKUP(B333,AI_NAMES!D:D,AI_NAMES!E:E,"",0))</f>
        <v>0</v>
      </c>
    </row>
    <row r="334" spans="1:13" x14ac:dyDescent="0.2">
      <c r="A334" t="s">
        <v>471</v>
      </c>
      <c r="B334" t="str">
        <f>IF(L334&lt;&gt;"",L334,_xlfn.XLOOKUP(A334,AI_NAMES!C:C,AI_NAMES!D:D,"",0))</f>
        <v/>
      </c>
      <c r="L334" t="s">
        <v>321</v>
      </c>
      <c r="M334">
        <f>IF(C334&lt;&gt;"",C334,_xlfn.XLOOKUP(B334,AI_NAMES!D:D,AI_NAMES!E:E,"",0))</f>
        <v>0</v>
      </c>
    </row>
    <row r="335" spans="1:13" x14ac:dyDescent="0.2">
      <c r="A335" t="s">
        <v>472</v>
      </c>
      <c r="B335" t="str">
        <f>IF(L335&lt;&gt;"",L335,_xlfn.XLOOKUP(A335,AI_NAMES!C:C,AI_NAMES!D:D,"",0))</f>
        <v/>
      </c>
      <c r="L335" t="s">
        <v>321</v>
      </c>
      <c r="M335">
        <f>IF(C335&lt;&gt;"",C335,_xlfn.XLOOKUP(B335,AI_NAMES!D:D,AI_NAMES!E:E,"",0))</f>
        <v>0</v>
      </c>
    </row>
    <row r="336" spans="1:13" x14ac:dyDescent="0.2">
      <c r="A336" t="s">
        <v>473</v>
      </c>
      <c r="B336" t="str">
        <f>IF(L336&lt;&gt;"",L336,_xlfn.XLOOKUP(A336,AI_NAMES!C:C,AI_NAMES!D:D,"",0))</f>
        <v/>
      </c>
      <c r="L336" t="s">
        <v>321</v>
      </c>
      <c r="M336">
        <f>IF(C336&lt;&gt;"",C336,_xlfn.XLOOKUP(B336,AI_NAMES!D:D,AI_NAMES!E:E,"",0))</f>
        <v>0</v>
      </c>
    </row>
    <row r="337" spans="1:13" x14ac:dyDescent="0.2">
      <c r="A337" t="s">
        <v>474</v>
      </c>
      <c r="B337" t="str">
        <f>IF(L337&lt;&gt;"",L337,_xlfn.XLOOKUP(A337,AI_NAMES!C:C,AI_NAMES!D:D,"",0))</f>
        <v/>
      </c>
      <c r="L337" t="s">
        <v>321</v>
      </c>
      <c r="M337">
        <f>IF(C337&lt;&gt;"",C337,_xlfn.XLOOKUP(B337,AI_NAMES!D:D,AI_NAMES!E:E,"",0))</f>
        <v>0</v>
      </c>
    </row>
    <row r="338" spans="1:13" x14ac:dyDescent="0.2">
      <c r="A338" t="s">
        <v>475</v>
      </c>
      <c r="B338" t="str">
        <f>IF(L338&lt;&gt;"",L338,_xlfn.XLOOKUP(A338,AI_NAMES!C:C,AI_NAMES!D:D,"",0))</f>
        <v/>
      </c>
      <c r="L338" t="s">
        <v>321</v>
      </c>
      <c r="M338">
        <f>IF(C338&lt;&gt;"",C338,_xlfn.XLOOKUP(B338,AI_NAMES!D:D,AI_NAMES!E:E,"",0))</f>
        <v>0</v>
      </c>
    </row>
    <row r="339" spans="1:13" x14ac:dyDescent="0.2">
      <c r="A339" t="s">
        <v>476</v>
      </c>
      <c r="B339" t="str">
        <f>IF(L339&lt;&gt;"",L339,_xlfn.XLOOKUP(A339,AI_NAMES!C:C,AI_NAMES!D:D,"",0))</f>
        <v/>
      </c>
      <c r="L339" t="s">
        <v>321</v>
      </c>
      <c r="M339">
        <f>IF(C339&lt;&gt;"",C339,_xlfn.XLOOKUP(B339,AI_NAMES!D:D,AI_NAMES!E:E,"",0))</f>
        <v>0</v>
      </c>
    </row>
    <row r="340" spans="1:13" x14ac:dyDescent="0.2">
      <c r="A340" t="s">
        <v>477</v>
      </c>
      <c r="B340" t="str">
        <f>IF(L340&lt;&gt;"",L340,_xlfn.XLOOKUP(A340,AI_NAMES!C:C,AI_NAMES!D:D,"",0))</f>
        <v/>
      </c>
      <c r="L340" t="s">
        <v>321</v>
      </c>
      <c r="M340">
        <f>IF(C340&lt;&gt;"",C340,_xlfn.XLOOKUP(B340,AI_NAMES!D:D,AI_NAMES!E:E,"",0))</f>
        <v>0</v>
      </c>
    </row>
    <row r="341" spans="1:13" x14ac:dyDescent="0.2">
      <c r="A341" t="s">
        <v>478</v>
      </c>
      <c r="B341" t="str">
        <f>IF(L341&lt;&gt;"",L341,_xlfn.XLOOKUP(A341,AI_NAMES!C:C,AI_NAMES!D:D,"",0))</f>
        <v/>
      </c>
      <c r="L341" t="s">
        <v>321</v>
      </c>
      <c r="M341">
        <f>IF(C341&lt;&gt;"",C341,_xlfn.XLOOKUP(B341,AI_NAMES!D:D,AI_NAMES!E:E,"",0))</f>
        <v>0</v>
      </c>
    </row>
    <row r="342" spans="1:13" x14ac:dyDescent="0.2">
      <c r="A342" t="s">
        <v>479</v>
      </c>
      <c r="B342" t="str">
        <f>IF(L342&lt;&gt;"",L342,_xlfn.XLOOKUP(A342,AI_NAMES!C:C,AI_NAMES!D:D,"",0))</f>
        <v/>
      </c>
      <c r="L342" t="s">
        <v>321</v>
      </c>
      <c r="M342">
        <f>IF(C342&lt;&gt;"",C342,_xlfn.XLOOKUP(B342,AI_NAMES!D:D,AI_NAMES!E:E,"",0))</f>
        <v>0</v>
      </c>
    </row>
    <row r="343" spans="1:13" x14ac:dyDescent="0.2">
      <c r="A343" t="s">
        <v>480</v>
      </c>
      <c r="B343" t="str">
        <f>IF(L343&lt;&gt;"",L343,_xlfn.XLOOKUP(A343,AI_NAMES!C:C,AI_NAMES!D:D,"",0))</f>
        <v/>
      </c>
      <c r="L343" t="s">
        <v>321</v>
      </c>
      <c r="M343">
        <f>IF(C343&lt;&gt;"",C343,_xlfn.XLOOKUP(B343,AI_NAMES!D:D,AI_NAMES!E:E,"",0))</f>
        <v>0</v>
      </c>
    </row>
    <row r="344" spans="1:13" x14ac:dyDescent="0.2">
      <c r="A344" t="s">
        <v>481</v>
      </c>
      <c r="B344" t="str">
        <f>IF(L344&lt;&gt;"",L344,_xlfn.XLOOKUP(A344,AI_NAMES!C:C,AI_NAMES!D:D,"",0))</f>
        <v/>
      </c>
      <c r="L344" t="s">
        <v>321</v>
      </c>
      <c r="M344">
        <f>IF(C344&lt;&gt;"",C344,_xlfn.XLOOKUP(B344,AI_NAMES!D:D,AI_NAMES!E:E,"",0))</f>
        <v>0</v>
      </c>
    </row>
    <row r="345" spans="1:13" x14ac:dyDescent="0.2">
      <c r="A345" t="s">
        <v>482</v>
      </c>
      <c r="B345" t="str">
        <f>IF(L345&lt;&gt;"",L345,_xlfn.XLOOKUP(A345,AI_NAMES!C:C,AI_NAMES!D:D,"",0))</f>
        <v/>
      </c>
      <c r="L345" t="s">
        <v>321</v>
      </c>
      <c r="M345">
        <f>IF(C345&lt;&gt;"",C345,_xlfn.XLOOKUP(B345,AI_NAMES!D:D,AI_NAMES!E:E,"",0))</f>
        <v>0</v>
      </c>
    </row>
    <row r="346" spans="1:13" x14ac:dyDescent="0.2">
      <c r="A346" t="s">
        <v>483</v>
      </c>
      <c r="B346" t="str">
        <f>IF(L346&lt;&gt;"",L346,_xlfn.XLOOKUP(A346,AI_NAMES!C:C,AI_NAMES!D:D,"",0))</f>
        <v/>
      </c>
      <c r="L346" t="s">
        <v>321</v>
      </c>
      <c r="M346">
        <f>IF(C346&lt;&gt;"",C346,_xlfn.XLOOKUP(B346,AI_NAMES!D:D,AI_NAMES!E:E,"",0))</f>
        <v>0</v>
      </c>
    </row>
    <row r="347" spans="1:13" x14ac:dyDescent="0.2">
      <c r="A347" t="s">
        <v>484</v>
      </c>
      <c r="B347" t="str">
        <f>IF(L347&lt;&gt;"",L347,_xlfn.XLOOKUP(A347,AI_NAMES!C:C,AI_NAMES!D:D,"",0))</f>
        <v/>
      </c>
      <c r="L347" t="s">
        <v>321</v>
      </c>
      <c r="M347">
        <f>IF(C347&lt;&gt;"",C347,_xlfn.XLOOKUP(B347,AI_NAMES!D:D,AI_NAMES!E:E,"",0))</f>
        <v>0</v>
      </c>
    </row>
    <row r="348" spans="1:13" x14ac:dyDescent="0.2">
      <c r="A348" t="s">
        <v>485</v>
      </c>
      <c r="B348" t="str">
        <f>IF(L348&lt;&gt;"",L348,_xlfn.XLOOKUP(A348,AI_NAMES!C:C,AI_NAMES!D:D,"",0))</f>
        <v/>
      </c>
      <c r="L348" t="s">
        <v>321</v>
      </c>
      <c r="M348">
        <f>IF(C348&lt;&gt;"",C348,_xlfn.XLOOKUP(B348,AI_NAMES!D:D,AI_NAMES!E:E,"",0))</f>
        <v>0</v>
      </c>
    </row>
    <row r="349" spans="1:13" x14ac:dyDescent="0.2">
      <c r="A349" t="s">
        <v>486</v>
      </c>
      <c r="B349" t="str">
        <f>IF(L349&lt;&gt;"",L349,_xlfn.XLOOKUP(A349,AI_NAMES!C:C,AI_NAMES!D:D,"",0))</f>
        <v/>
      </c>
      <c r="L349" t="s">
        <v>321</v>
      </c>
      <c r="M349">
        <f>IF(C349&lt;&gt;"",C349,_xlfn.XLOOKUP(B349,AI_NAMES!D:D,AI_NAMES!E:E,"",0))</f>
        <v>0</v>
      </c>
    </row>
    <row r="350" spans="1:13" x14ac:dyDescent="0.2">
      <c r="A350" t="s">
        <v>487</v>
      </c>
      <c r="B350" t="str">
        <f>IF(L350&lt;&gt;"",L350,_xlfn.XLOOKUP(A350,AI_NAMES!C:C,AI_NAMES!D:D,"",0))</f>
        <v/>
      </c>
      <c r="L350" t="s">
        <v>321</v>
      </c>
      <c r="M350">
        <f>IF(C350&lt;&gt;"",C350,_xlfn.XLOOKUP(B350,AI_NAMES!D:D,AI_NAMES!E:E,"",0))</f>
        <v>0</v>
      </c>
    </row>
    <row r="351" spans="1:13" x14ac:dyDescent="0.2">
      <c r="A351" t="s">
        <v>488</v>
      </c>
      <c r="B351" t="str">
        <f>IF(L351&lt;&gt;"",L351,_xlfn.XLOOKUP(A351,AI_NAMES!C:C,AI_NAMES!D:D,"",0))</f>
        <v/>
      </c>
      <c r="L351" t="s">
        <v>321</v>
      </c>
      <c r="M351">
        <f>IF(C351&lt;&gt;"",C351,_xlfn.XLOOKUP(B351,AI_NAMES!D:D,AI_NAMES!E:E,"",0))</f>
        <v>0</v>
      </c>
    </row>
    <row r="352" spans="1:13" x14ac:dyDescent="0.2">
      <c r="A352" t="s">
        <v>489</v>
      </c>
      <c r="B352" t="str">
        <f>IF(L352&lt;&gt;"",L352,_xlfn.XLOOKUP(A352,AI_NAMES!C:C,AI_NAMES!D:D,"",0))</f>
        <v/>
      </c>
      <c r="L352" t="s">
        <v>321</v>
      </c>
      <c r="M352">
        <f>IF(C352&lt;&gt;"",C352,_xlfn.XLOOKUP(B352,AI_NAMES!D:D,AI_NAMES!E:E,"",0))</f>
        <v>0</v>
      </c>
    </row>
    <row r="353" spans="1:13" x14ac:dyDescent="0.2">
      <c r="A353" t="s">
        <v>490</v>
      </c>
      <c r="B353" t="str">
        <f>IF(L353&lt;&gt;"",L353,_xlfn.XLOOKUP(A353,AI_NAMES!C:C,AI_NAMES!D:D,"",0))</f>
        <v/>
      </c>
      <c r="L353" t="s">
        <v>321</v>
      </c>
      <c r="M353">
        <f>IF(C353&lt;&gt;"",C353,_xlfn.XLOOKUP(B353,AI_NAMES!D:D,AI_NAMES!E:E,"",0))</f>
        <v>0</v>
      </c>
    </row>
    <row r="354" spans="1:13" x14ac:dyDescent="0.2">
      <c r="A354" t="s">
        <v>491</v>
      </c>
      <c r="B354" t="str">
        <f>IF(L354&lt;&gt;"",L354,_xlfn.XLOOKUP(A354,AI_NAMES!C:C,AI_NAMES!D:D,"",0))</f>
        <v/>
      </c>
      <c r="L354" t="s">
        <v>321</v>
      </c>
      <c r="M354">
        <f>IF(C354&lt;&gt;"",C354,_xlfn.XLOOKUP(B354,AI_NAMES!D:D,AI_NAMES!E:E,"",0))</f>
        <v>0</v>
      </c>
    </row>
    <row r="355" spans="1:13" x14ac:dyDescent="0.2">
      <c r="A355" t="s">
        <v>492</v>
      </c>
      <c r="B355" t="str">
        <f>IF(L355&lt;&gt;"",L355,_xlfn.XLOOKUP(A355,AI_NAMES!C:C,AI_NAMES!D:D,"",0))</f>
        <v/>
      </c>
      <c r="L355" t="s">
        <v>321</v>
      </c>
      <c r="M355">
        <f>IF(C355&lt;&gt;"",C355,_xlfn.XLOOKUP(B355,AI_NAMES!D:D,AI_NAMES!E:E,"",0))</f>
        <v>0</v>
      </c>
    </row>
    <row r="356" spans="1:13" x14ac:dyDescent="0.2">
      <c r="A356" t="s">
        <v>493</v>
      </c>
      <c r="B356" t="str">
        <f>IF(L356&lt;&gt;"",L356,_xlfn.XLOOKUP(A356,AI_NAMES!C:C,AI_NAMES!D:D,"",0))</f>
        <v/>
      </c>
      <c r="L356" t="s">
        <v>321</v>
      </c>
      <c r="M356">
        <f>IF(C356&lt;&gt;"",C356,_xlfn.XLOOKUP(B356,AI_NAMES!D:D,AI_NAMES!E:E,"",0))</f>
        <v>0</v>
      </c>
    </row>
    <row r="357" spans="1:13" x14ac:dyDescent="0.2">
      <c r="A357" t="s">
        <v>494</v>
      </c>
      <c r="B357" t="str">
        <f>IF(L357&lt;&gt;"",L357,_xlfn.XLOOKUP(A357,AI_NAMES!C:C,AI_NAMES!D:D,"",0))</f>
        <v/>
      </c>
      <c r="L357" t="s">
        <v>321</v>
      </c>
      <c r="M357">
        <f>IF(C357&lt;&gt;"",C357,_xlfn.XLOOKUP(B357,AI_NAMES!D:D,AI_NAMES!E:E,"",0))</f>
        <v>0</v>
      </c>
    </row>
    <row r="358" spans="1:13" x14ac:dyDescent="0.2">
      <c r="A358" t="s">
        <v>495</v>
      </c>
      <c r="B358" t="str">
        <f>IF(L358&lt;&gt;"",L358,_xlfn.XLOOKUP(A358,AI_NAMES!C:C,AI_NAMES!D:D,"",0))</f>
        <v/>
      </c>
      <c r="L358" t="s">
        <v>321</v>
      </c>
      <c r="M358">
        <f>IF(C358&lt;&gt;"",C358,_xlfn.XLOOKUP(B358,AI_NAMES!D:D,AI_NAMES!E:E,"",0))</f>
        <v>0</v>
      </c>
    </row>
    <row r="359" spans="1:13" x14ac:dyDescent="0.2">
      <c r="A359" t="s">
        <v>496</v>
      </c>
      <c r="B359" t="str">
        <f>IF(L359&lt;&gt;"",L359,_xlfn.XLOOKUP(A359,AI_NAMES!C:C,AI_NAMES!D:D,"",0))</f>
        <v/>
      </c>
      <c r="L359" t="s">
        <v>321</v>
      </c>
      <c r="M359">
        <f>IF(C359&lt;&gt;"",C359,_xlfn.XLOOKUP(B359,AI_NAMES!D:D,AI_NAMES!E:E,"",0))</f>
        <v>0</v>
      </c>
    </row>
    <row r="360" spans="1:13" x14ac:dyDescent="0.2">
      <c r="A360" t="s">
        <v>497</v>
      </c>
      <c r="B360" t="str">
        <f>IF(L360&lt;&gt;"",L360,_xlfn.XLOOKUP(A360,AI_NAMES!C:C,AI_NAMES!D:D,"",0))</f>
        <v/>
      </c>
      <c r="L360" t="s">
        <v>321</v>
      </c>
      <c r="M360">
        <f>IF(C360&lt;&gt;"",C360,_xlfn.XLOOKUP(B360,AI_NAMES!D:D,AI_NAMES!E:E,"",0))</f>
        <v>0</v>
      </c>
    </row>
    <row r="361" spans="1:13" x14ac:dyDescent="0.2">
      <c r="A361" t="s">
        <v>498</v>
      </c>
      <c r="B361" t="str">
        <f>IF(L361&lt;&gt;"",L361,_xlfn.XLOOKUP(A361,AI_NAMES!C:C,AI_NAMES!D:D,"",0))</f>
        <v/>
      </c>
      <c r="L361" t="s">
        <v>321</v>
      </c>
      <c r="M361">
        <f>IF(C361&lt;&gt;"",C361,_xlfn.XLOOKUP(B361,AI_NAMES!D:D,AI_NAMES!E:E,"",0))</f>
        <v>0</v>
      </c>
    </row>
    <row r="362" spans="1:13" x14ac:dyDescent="0.2">
      <c r="A362" t="s">
        <v>499</v>
      </c>
      <c r="B362" t="str">
        <f>IF(L362&lt;&gt;"",L362,_xlfn.XLOOKUP(A362,AI_NAMES!C:C,AI_NAMES!D:D,"",0))</f>
        <v/>
      </c>
      <c r="L362" t="s">
        <v>321</v>
      </c>
      <c r="M362">
        <f>IF(C362&lt;&gt;"",C362,_xlfn.XLOOKUP(B362,AI_NAMES!D:D,AI_NAMES!E:E,"",0))</f>
        <v>0</v>
      </c>
    </row>
    <row r="363" spans="1:13" x14ac:dyDescent="0.2">
      <c r="A363" t="s">
        <v>500</v>
      </c>
      <c r="B363" t="str">
        <f>IF(L363&lt;&gt;"",L363,_xlfn.XLOOKUP(A363,AI_NAMES!C:C,AI_NAMES!D:D,"",0))</f>
        <v/>
      </c>
      <c r="L363" t="s">
        <v>321</v>
      </c>
      <c r="M363">
        <f>IF(C363&lt;&gt;"",C363,_xlfn.XLOOKUP(B363,AI_NAMES!D:D,AI_NAMES!E:E,"",0))</f>
        <v>0</v>
      </c>
    </row>
    <row r="364" spans="1:13" x14ac:dyDescent="0.2">
      <c r="A364" t="s">
        <v>501</v>
      </c>
      <c r="B364" t="str">
        <f>IF(L364&lt;&gt;"",L364,_xlfn.XLOOKUP(A364,AI_NAMES!C:C,AI_NAMES!D:D,"",0))</f>
        <v/>
      </c>
      <c r="L364" t="s">
        <v>321</v>
      </c>
      <c r="M364">
        <f>IF(C364&lt;&gt;"",C364,_xlfn.XLOOKUP(B364,AI_NAMES!D:D,AI_NAMES!E:E,"",0))</f>
        <v>0</v>
      </c>
    </row>
    <row r="365" spans="1:13" x14ac:dyDescent="0.2">
      <c r="A365" t="s">
        <v>502</v>
      </c>
      <c r="B365" t="str">
        <f>IF(L365&lt;&gt;"",L365,_xlfn.XLOOKUP(A365,AI_NAMES!C:C,AI_NAMES!D:D,"",0))</f>
        <v/>
      </c>
      <c r="L365" t="s">
        <v>321</v>
      </c>
      <c r="M365">
        <f>IF(C365&lt;&gt;"",C365,_xlfn.XLOOKUP(B365,AI_NAMES!D:D,AI_NAMES!E:E,"",0))</f>
        <v>0</v>
      </c>
    </row>
    <row r="366" spans="1:13" x14ac:dyDescent="0.2">
      <c r="A366" t="s">
        <v>503</v>
      </c>
      <c r="B366" t="str">
        <f>IF(L366&lt;&gt;"",L366,_xlfn.XLOOKUP(A366,AI_NAMES!C:C,AI_NAMES!D:D,"",0))</f>
        <v/>
      </c>
      <c r="L366" t="s">
        <v>321</v>
      </c>
      <c r="M366">
        <f>IF(C366&lt;&gt;"",C366,_xlfn.XLOOKUP(B366,AI_NAMES!D:D,AI_NAMES!E:E,"",0))</f>
        <v>0</v>
      </c>
    </row>
    <row r="367" spans="1:13" x14ac:dyDescent="0.2">
      <c r="A367" t="s">
        <v>504</v>
      </c>
      <c r="B367" t="str">
        <f>IF(L367&lt;&gt;"",L367,_xlfn.XLOOKUP(A367,AI_NAMES!C:C,AI_NAMES!D:D,"",0))</f>
        <v/>
      </c>
      <c r="L367" t="s">
        <v>321</v>
      </c>
      <c r="M367">
        <f>IF(C367&lt;&gt;"",C367,_xlfn.XLOOKUP(B367,AI_NAMES!D:D,AI_NAMES!E:E,"",0))</f>
        <v>0</v>
      </c>
    </row>
    <row r="368" spans="1:13" x14ac:dyDescent="0.2">
      <c r="A368" t="s">
        <v>505</v>
      </c>
      <c r="B368" t="str">
        <f>IF(L368&lt;&gt;"",L368,_xlfn.XLOOKUP(A368,AI_NAMES!C:C,AI_NAMES!D:D,"",0))</f>
        <v/>
      </c>
      <c r="L368" t="s">
        <v>321</v>
      </c>
      <c r="M368">
        <f>IF(C368&lt;&gt;"",C368,_xlfn.XLOOKUP(B368,AI_NAMES!D:D,AI_NAMES!E:E,"",0))</f>
        <v>0</v>
      </c>
    </row>
    <row r="369" spans="1:13" x14ac:dyDescent="0.2">
      <c r="A369" t="s">
        <v>506</v>
      </c>
      <c r="B369" t="str">
        <f>IF(L369&lt;&gt;"",L369,_xlfn.XLOOKUP(A369,AI_NAMES!C:C,AI_NAMES!D:D,"",0))</f>
        <v/>
      </c>
      <c r="L369" t="s">
        <v>321</v>
      </c>
      <c r="M369">
        <f>IF(C369&lt;&gt;"",C369,_xlfn.XLOOKUP(B369,AI_NAMES!D:D,AI_NAMES!E:E,"",0))</f>
        <v>0</v>
      </c>
    </row>
    <row r="370" spans="1:13" x14ac:dyDescent="0.2">
      <c r="A370" t="s">
        <v>507</v>
      </c>
      <c r="B370" t="str">
        <f>IF(L370&lt;&gt;"",L370,_xlfn.XLOOKUP(A370,AI_NAMES!C:C,AI_NAMES!D:D,"",0))</f>
        <v/>
      </c>
      <c r="L370" t="s">
        <v>321</v>
      </c>
      <c r="M370">
        <f>IF(C370&lt;&gt;"",C370,_xlfn.XLOOKUP(B370,AI_NAMES!D:D,AI_NAMES!E:E,"",0))</f>
        <v>0</v>
      </c>
    </row>
    <row r="371" spans="1:13" x14ac:dyDescent="0.2">
      <c r="A371" t="s">
        <v>508</v>
      </c>
      <c r="B371" t="str">
        <f>IF(L371&lt;&gt;"",L371,_xlfn.XLOOKUP(A371,AI_NAMES!C:C,AI_NAMES!D:D,"",0))</f>
        <v/>
      </c>
      <c r="L371" t="s">
        <v>321</v>
      </c>
      <c r="M371">
        <f>IF(C371&lt;&gt;"",C371,_xlfn.XLOOKUP(B371,AI_NAMES!D:D,AI_NAMES!E:E,"",0))</f>
        <v>0</v>
      </c>
    </row>
    <row r="372" spans="1:13" x14ac:dyDescent="0.2">
      <c r="A372" t="s">
        <v>509</v>
      </c>
      <c r="B372" t="str">
        <f>IF(L372&lt;&gt;"",L372,_xlfn.XLOOKUP(A372,AI_NAMES!C:C,AI_NAMES!D:D,"",0))</f>
        <v/>
      </c>
      <c r="L372" t="s">
        <v>321</v>
      </c>
      <c r="M372">
        <f>IF(C372&lt;&gt;"",C372,_xlfn.XLOOKUP(B372,AI_NAMES!D:D,AI_NAMES!E:E,"",0))</f>
        <v>0</v>
      </c>
    </row>
    <row r="373" spans="1:13" x14ac:dyDescent="0.2">
      <c r="A373" t="s">
        <v>510</v>
      </c>
      <c r="B373" t="str">
        <f>IF(L373&lt;&gt;"",L373,_xlfn.XLOOKUP(A373,AI_NAMES!C:C,AI_NAMES!D:D,"",0))</f>
        <v/>
      </c>
      <c r="L373" t="s">
        <v>321</v>
      </c>
      <c r="M373">
        <f>IF(C373&lt;&gt;"",C373,_xlfn.XLOOKUP(B373,AI_NAMES!D:D,AI_NAMES!E:E,"",0))</f>
        <v>0</v>
      </c>
    </row>
    <row r="374" spans="1:13" x14ac:dyDescent="0.2">
      <c r="A374" t="s">
        <v>511</v>
      </c>
      <c r="B374" t="str">
        <f>IF(L374&lt;&gt;"",L374,_xlfn.XLOOKUP(A374,AI_NAMES!C:C,AI_NAMES!D:D,"",0))</f>
        <v/>
      </c>
      <c r="L374" t="s">
        <v>321</v>
      </c>
      <c r="M374">
        <f>IF(C374&lt;&gt;"",C374,_xlfn.XLOOKUP(B374,AI_NAMES!D:D,AI_NAMES!E:E,"",0))</f>
        <v>0</v>
      </c>
    </row>
    <row r="375" spans="1:13" x14ac:dyDescent="0.2">
      <c r="A375" t="s">
        <v>512</v>
      </c>
      <c r="B375" t="str">
        <f>IF(L375&lt;&gt;"",L375,_xlfn.XLOOKUP(A375,AI_NAMES!C:C,AI_NAMES!D:D,"",0))</f>
        <v/>
      </c>
      <c r="L375" t="s">
        <v>321</v>
      </c>
      <c r="M375">
        <f>IF(C375&lt;&gt;"",C375,_xlfn.XLOOKUP(B375,AI_NAMES!D:D,AI_NAMES!E:E,"",0))</f>
        <v>0</v>
      </c>
    </row>
    <row r="376" spans="1:13" x14ac:dyDescent="0.2">
      <c r="A376" t="s">
        <v>513</v>
      </c>
      <c r="B376" t="str">
        <f>IF(L376&lt;&gt;"",L376,_xlfn.XLOOKUP(A376,AI_NAMES!C:C,AI_NAMES!D:D,"",0))</f>
        <v/>
      </c>
      <c r="L376" t="s">
        <v>321</v>
      </c>
      <c r="M376">
        <f>IF(C376&lt;&gt;"",C376,_xlfn.XLOOKUP(B376,AI_NAMES!D:D,AI_NAMES!E:E,"",0))</f>
        <v>0</v>
      </c>
    </row>
    <row r="377" spans="1:13" x14ac:dyDescent="0.2">
      <c r="A377" t="s">
        <v>514</v>
      </c>
      <c r="B377" t="str">
        <f>IF(L377&lt;&gt;"",L377,_xlfn.XLOOKUP(A377,AI_NAMES!C:C,AI_NAMES!D:D,"",0))</f>
        <v/>
      </c>
      <c r="L377" t="s">
        <v>321</v>
      </c>
      <c r="M377">
        <f>IF(C377&lt;&gt;"",C377,_xlfn.XLOOKUP(B377,AI_NAMES!D:D,AI_NAMES!E:E,"",0))</f>
        <v>0</v>
      </c>
    </row>
    <row r="378" spans="1:13" x14ac:dyDescent="0.2">
      <c r="A378" t="s">
        <v>515</v>
      </c>
      <c r="B378" t="str">
        <f>IF(L378&lt;&gt;"",L378,_xlfn.XLOOKUP(A378,AI_NAMES!C:C,AI_NAMES!D:D,"",0))</f>
        <v/>
      </c>
      <c r="L378" t="s">
        <v>321</v>
      </c>
      <c r="M378">
        <f>IF(C378&lt;&gt;"",C378,_xlfn.XLOOKUP(B378,AI_NAMES!D:D,AI_NAMES!E:E,"",0))</f>
        <v>0</v>
      </c>
    </row>
    <row r="379" spans="1:13" x14ac:dyDescent="0.2">
      <c r="A379" t="s">
        <v>516</v>
      </c>
      <c r="B379" t="str">
        <f>IF(L379&lt;&gt;"",L379,_xlfn.XLOOKUP(A379,AI_NAMES!C:C,AI_NAMES!D:D,"",0))</f>
        <v/>
      </c>
      <c r="L379" t="s">
        <v>321</v>
      </c>
      <c r="M379">
        <f>IF(C379&lt;&gt;"",C379,_xlfn.XLOOKUP(B379,AI_NAMES!D:D,AI_NAMES!E:E,"",0))</f>
        <v>0</v>
      </c>
    </row>
    <row r="380" spans="1:13" x14ac:dyDescent="0.2">
      <c r="A380" t="s">
        <v>517</v>
      </c>
      <c r="B380" t="str">
        <f>IF(L380&lt;&gt;"",L380,_xlfn.XLOOKUP(A380,AI_NAMES!C:C,AI_NAMES!D:D,"",0))</f>
        <v/>
      </c>
      <c r="L380" t="s">
        <v>321</v>
      </c>
      <c r="M380">
        <f>IF(C380&lt;&gt;"",C380,_xlfn.XLOOKUP(B380,AI_NAMES!D:D,AI_NAMES!E:E,"",0))</f>
        <v>0</v>
      </c>
    </row>
    <row r="381" spans="1:13" x14ac:dyDescent="0.2">
      <c r="A381" t="s">
        <v>518</v>
      </c>
      <c r="B381" t="str">
        <f>IF(L381&lt;&gt;"",L381,_xlfn.XLOOKUP(A381,AI_NAMES!C:C,AI_NAMES!D:D,"",0))</f>
        <v/>
      </c>
      <c r="L381" t="s">
        <v>321</v>
      </c>
      <c r="M381">
        <f>IF(C381&lt;&gt;"",C381,_xlfn.XLOOKUP(B381,AI_NAMES!D:D,AI_NAMES!E:E,"",0))</f>
        <v>0</v>
      </c>
    </row>
    <row r="382" spans="1:13" x14ac:dyDescent="0.2">
      <c r="A382" t="s">
        <v>519</v>
      </c>
      <c r="B382" t="str">
        <f>IF(L382&lt;&gt;"",L382,_xlfn.XLOOKUP(A382,AI_NAMES!C:C,AI_NAMES!D:D,"",0))</f>
        <v/>
      </c>
      <c r="L382" t="s">
        <v>321</v>
      </c>
      <c r="M382">
        <f>IF(C382&lt;&gt;"",C382,_xlfn.XLOOKUP(B382,AI_NAMES!D:D,AI_NAMES!E:E,"",0))</f>
        <v>0</v>
      </c>
    </row>
    <row r="383" spans="1:13" x14ac:dyDescent="0.2">
      <c r="A383" t="s">
        <v>520</v>
      </c>
      <c r="B383" t="str">
        <f>IF(L383&lt;&gt;"",L383,_xlfn.XLOOKUP(A383,AI_NAMES!C:C,AI_NAMES!D:D,"",0))</f>
        <v/>
      </c>
      <c r="L383" t="s">
        <v>321</v>
      </c>
      <c r="M383">
        <f>IF(C383&lt;&gt;"",C383,_xlfn.XLOOKUP(B383,AI_NAMES!D:D,AI_NAMES!E:E,"",0))</f>
        <v>0</v>
      </c>
    </row>
    <row r="384" spans="1:13" x14ac:dyDescent="0.2">
      <c r="A384" t="s">
        <v>521</v>
      </c>
      <c r="B384" t="str">
        <f>IF(L384&lt;&gt;"",L384,_xlfn.XLOOKUP(A384,AI_NAMES!C:C,AI_NAMES!D:D,"",0))</f>
        <v/>
      </c>
      <c r="L384" t="s">
        <v>321</v>
      </c>
      <c r="M384">
        <f>IF(C384&lt;&gt;"",C384,_xlfn.XLOOKUP(B384,AI_NAMES!D:D,AI_NAMES!E:E,"",0))</f>
        <v>0</v>
      </c>
    </row>
    <row r="385" spans="1:13" x14ac:dyDescent="0.2">
      <c r="A385" t="s">
        <v>522</v>
      </c>
      <c r="B385" t="str">
        <f>IF(L385&lt;&gt;"",L385,_xlfn.XLOOKUP(A385,AI_NAMES!C:C,AI_NAMES!D:D,"",0))</f>
        <v/>
      </c>
      <c r="L385" t="s">
        <v>321</v>
      </c>
      <c r="M385">
        <f>IF(C385&lt;&gt;"",C385,_xlfn.XLOOKUP(B385,AI_NAMES!D:D,AI_NAMES!E:E,"",0))</f>
        <v>0</v>
      </c>
    </row>
    <row r="386" spans="1:13" x14ac:dyDescent="0.2">
      <c r="A386" t="s">
        <v>523</v>
      </c>
      <c r="B386" t="str">
        <f>IF(L386&lt;&gt;"",L386,_xlfn.XLOOKUP(A386,AI_NAMES!C:C,AI_NAMES!D:D,"",0))</f>
        <v/>
      </c>
      <c r="L386" t="s">
        <v>321</v>
      </c>
      <c r="M386">
        <f>IF(C386&lt;&gt;"",C386,_xlfn.XLOOKUP(B386,AI_NAMES!D:D,AI_NAMES!E:E,"",0))</f>
        <v>0</v>
      </c>
    </row>
    <row r="387" spans="1:13" x14ac:dyDescent="0.2">
      <c r="A387" t="s">
        <v>524</v>
      </c>
      <c r="B387" t="str">
        <f>IF(L387&lt;&gt;"",L387,_xlfn.XLOOKUP(A387,AI_NAMES!C:C,AI_NAMES!D:D,"",0))</f>
        <v/>
      </c>
      <c r="L387" t="s">
        <v>321</v>
      </c>
      <c r="M387">
        <f>IF(C387&lt;&gt;"",C387,_xlfn.XLOOKUP(B387,AI_NAMES!D:D,AI_NAMES!E:E,"",0))</f>
        <v>0</v>
      </c>
    </row>
    <row r="388" spans="1:13" x14ac:dyDescent="0.2">
      <c r="A388" t="s">
        <v>525</v>
      </c>
      <c r="B388" t="str">
        <f>IF(L388&lt;&gt;"",L388,_xlfn.XLOOKUP(A388,AI_NAMES!C:C,AI_NAMES!D:D,"",0))</f>
        <v/>
      </c>
      <c r="L388" t="s">
        <v>321</v>
      </c>
      <c r="M388">
        <f>IF(C388&lt;&gt;"",C388,_xlfn.XLOOKUP(B388,AI_NAMES!D:D,AI_NAMES!E:E,"",0))</f>
        <v>0</v>
      </c>
    </row>
    <row r="389" spans="1:13" x14ac:dyDescent="0.2">
      <c r="A389" t="s">
        <v>526</v>
      </c>
      <c r="B389" t="str">
        <f>IF(L389&lt;&gt;"",L389,_xlfn.XLOOKUP(A389,AI_NAMES!C:C,AI_NAMES!D:D,"",0))</f>
        <v/>
      </c>
      <c r="L389" t="s">
        <v>321</v>
      </c>
      <c r="M389">
        <f>IF(C389&lt;&gt;"",C389,_xlfn.XLOOKUP(B389,AI_NAMES!D:D,AI_NAMES!E:E,"",0))</f>
        <v>0</v>
      </c>
    </row>
    <row r="390" spans="1:13" x14ac:dyDescent="0.2">
      <c r="A390" t="s">
        <v>527</v>
      </c>
      <c r="B390" t="str">
        <f>IF(L390&lt;&gt;"",L390,_xlfn.XLOOKUP(A390,AI_NAMES!C:C,AI_NAMES!D:D,"",0))</f>
        <v/>
      </c>
      <c r="L390" t="s">
        <v>321</v>
      </c>
      <c r="M390">
        <f>IF(C390&lt;&gt;"",C390,_xlfn.XLOOKUP(B390,AI_NAMES!D:D,AI_NAMES!E:E,"",0))</f>
        <v>0</v>
      </c>
    </row>
    <row r="391" spans="1:13" x14ac:dyDescent="0.2">
      <c r="A391" t="s">
        <v>528</v>
      </c>
      <c r="B391" t="str">
        <f>IF(L391&lt;&gt;"",L391,_xlfn.XLOOKUP(A391,AI_NAMES!C:C,AI_NAMES!D:D,"",0))</f>
        <v/>
      </c>
      <c r="L391" t="s">
        <v>321</v>
      </c>
      <c r="M391">
        <f>IF(C391&lt;&gt;"",C391,_xlfn.XLOOKUP(B391,AI_NAMES!D:D,AI_NAMES!E:E,"",0))</f>
        <v>0</v>
      </c>
    </row>
    <row r="392" spans="1:13" x14ac:dyDescent="0.2">
      <c r="A392" t="s">
        <v>529</v>
      </c>
      <c r="B392" t="str">
        <f>IF(L392&lt;&gt;"",L392,_xlfn.XLOOKUP(A392,AI_NAMES!C:C,AI_NAMES!D:D,"",0))</f>
        <v/>
      </c>
      <c r="L392" t="s">
        <v>321</v>
      </c>
      <c r="M392">
        <f>IF(C392&lt;&gt;"",C392,_xlfn.XLOOKUP(B392,AI_NAMES!D:D,AI_NAMES!E:E,"",0))</f>
        <v>0</v>
      </c>
    </row>
    <row r="393" spans="1:13" x14ac:dyDescent="0.2">
      <c r="A393" t="s">
        <v>530</v>
      </c>
      <c r="B393" t="str">
        <f>IF(L393&lt;&gt;"",L393,_xlfn.XLOOKUP(A393,AI_NAMES!C:C,AI_NAMES!D:D,"",0))</f>
        <v/>
      </c>
      <c r="L393" t="s">
        <v>321</v>
      </c>
      <c r="M393">
        <f>IF(C393&lt;&gt;"",C393,_xlfn.XLOOKUP(B393,AI_NAMES!D:D,AI_NAMES!E:E,"",0))</f>
        <v>0</v>
      </c>
    </row>
    <row r="394" spans="1:13" x14ac:dyDescent="0.2">
      <c r="A394" t="s">
        <v>531</v>
      </c>
      <c r="B394" t="str">
        <f>IF(L394&lt;&gt;"",L394,_xlfn.XLOOKUP(A394,AI_NAMES!C:C,AI_NAMES!D:D,"",0))</f>
        <v/>
      </c>
      <c r="L394" t="s">
        <v>321</v>
      </c>
      <c r="M394">
        <f>IF(C394&lt;&gt;"",C394,_xlfn.XLOOKUP(B394,AI_NAMES!D:D,AI_NAMES!E:E,"",0))</f>
        <v>0</v>
      </c>
    </row>
    <row r="395" spans="1:13" x14ac:dyDescent="0.2">
      <c r="A395" t="s">
        <v>532</v>
      </c>
      <c r="B395" t="str">
        <f>IF(L395&lt;&gt;"",L395,_xlfn.XLOOKUP(A395,AI_NAMES!C:C,AI_NAMES!D:D,"",0))</f>
        <v/>
      </c>
      <c r="L395" t="s">
        <v>321</v>
      </c>
      <c r="M395">
        <f>IF(C395&lt;&gt;"",C395,_xlfn.XLOOKUP(B395,AI_NAMES!D:D,AI_NAMES!E:E,"",0))</f>
        <v>0</v>
      </c>
    </row>
    <row r="396" spans="1:13" x14ac:dyDescent="0.2">
      <c r="A396" t="s">
        <v>533</v>
      </c>
      <c r="B396" t="str">
        <f>IF(L396&lt;&gt;"",L396,_xlfn.XLOOKUP(A396,AI_NAMES!C:C,AI_NAMES!D:D,"",0))</f>
        <v/>
      </c>
      <c r="L396" t="s">
        <v>321</v>
      </c>
      <c r="M396">
        <f>IF(C396&lt;&gt;"",C396,_xlfn.XLOOKUP(B396,AI_NAMES!D:D,AI_NAMES!E:E,"",0))</f>
        <v>0</v>
      </c>
    </row>
    <row r="397" spans="1:13" x14ac:dyDescent="0.2">
      <c r="A397" t="s">
        <v>534</v>
      </c>
      <c r="B397" t="str">
        <f>IF(L397&lt;&gt;"",L397,_xlfn.XLOOKUP(A397,AI_NAMES!C:C,AI_NAMES!D:D,"",0))</f>
        <v/>
      </c>
      <c r="L397" t="s">
        <v>321</v>
      </c>
      <c r="M397">
        <f>IF(C397&lt;&gt;"",C397,_xlfn.XLOOKUP(B397,AI_NAMES!D:D,AI_NAMES!E:E,"",0))</f>
        <v>0</v>
      </c>
    </row>
    <row r="398" spans="1:13" x14ac:dyDescent="0.2">
      <c r="A398" t="s">
        <v>535</v>
      </c>
      <c r="B398" t="str">
        <f>IF(L398&lt;&gt;"",L398,_xlfn.XLOOKUP(A398,AI_NAMES!C:C,AI_NAMES!D:D,"",0))</f>
        <v/>
      </c>
      <c r="L398" t="s">
        <v>321</v>
      </c>
      <c r="M398">
        <f>IF(C398&lt;&gt;"",C398,_xlfn.XLOOKUP(B398,AI_NAMES!D:D,AI_NAMES!E:E,"",0))</f>
        <v>0</v>
      </c>
    </row>
    <row r="399" spans="1:13" x14ac:dyDescent="0.2">
      <c r="A399" t="s">
        <v>536</v>
      </c>
      <c r="B399" t="str">
        <f>IF(L399&lt;&gt;"",L399,_xlfn.XLOOKUP(A399,AI_NAMES!C:C,AI_NAMES!D:D,"",0))</f>
        <v/>
      </c>
      <c r="L399" t="s">
        <v>321</v>
      </c>
      <c r="M399">
        <f>IF(C399&lt;&gt;"",C399,_xlfn.XLOOKUP(B399,AI_NAMES!D:D,AI_NAMES!E:E,"",0))</f>
        <v>0</v>
      </c>
    </row>
    <row r="400" spans="1:13" x14ac:dyDescent="0.2">
      <c r="A400" t="s">
        <v>537</v>
      </c>
      <c r="B400" t="str">
        <f>IF(L400&lt;&gt;"",L400,_xlfn.XLOOKUP(A400,AI_NAMES!C:C,AI_NAMES!D:D,"",0))</f>
        <v/>
      </c>
      <c r="L400" t="s">
        <v>321</v>
      </c>
      <c r="M400">
        <f>IF(C400&lt;&gt;"",C400,_xlfn.XLOOKUP(B400,AI_NAMES!D:D,AI_NAMES!E:E,"",0))</f>
        <v>0</v>
      </c>
    </row>
    <row r="401" spans="1:13" x14ac:dyDescent="0.2">
      <c r="A401" t="s">
        <v>538</v>
      </c>
      <c r="B401" t="str">
        <f>IF(L401&lt;&gt;"",L401,_xlfn.XLOOKUP(A401,AI_NAMES!C:C,AI_NAMES!D:D,"",0))</f>
        <v>MonsterAttackTypeTable</v>
      </c>
      <c r="L401" t="s">
        <v>3368</v>
      </c>
      <c r="M401" t="str">
        <f>IF(C401&lt;&gt;"",C401,_xlfn.XLOOKUP(B401,AI_NAMES!D:D,AI_NAMES!E:E,"",0))</f>
        <v/>
      </c>
    </row>
    <row r="402" spans="1:13" x14ac:dyDescent="0.2">
      <c r="A402" t="s">
        <v>539</v>
      </c>
      <c r="B402" t="str">
        <f>IF(L402&lt;&gt;"",L402,_xlfn.XLOOKUP(A402,AI_NAMES!C:C,AI_NAMES!D:D,"",0))</f>
        <v>AttackType_DroneSpells</v>
      </c>
      <c r="L402" t="s">
        <v>3372</v>
      </c>
      <c r="M402" t="str">
        <f>IF(C402&lt;&gt;"",C402,_xlfn.XLOOKUP(B402,AI_NAMES!D:D,AI_NAMES!E:E,"",0))</f>
        <v/>
      </c>
    </row>
    <row r="403" spans="1:13" x14ac:dyDescent="0.2">
      <c r="A403" t="s">
        <v>540</v>
      </c>
      <c r="B403" t="str">
        <f>IF(L403&lt;&gt;"",L403,_xlfn.XLOOKUP(A403,AI_NAMES!C:C,AI_NAMES!D:D,"",0))</f>
        <v>MonsterAttackSpells</v>
      </c>
      <c r="C403" s="5" t="s">
        <v>48</v>
      </c>
      <c r="D403" t="s">
        <v>3341</v>
      </c>
      <c r="E403" t="str">
        <f t="shared" ref="E403" si="35">C403&amp;"/"&amp;D403</f>
        <v>data/monsters.spellbook.block</v>
      </c>
      <c r="F403" t="s">
        <v>3340</v>
      </c>
      <c r="G403" s="5">
        <f t="shared" ref="G403" si="36">IF(F403&lt;&gt;"",HEX2DEC(SUBSTITUTE(SUBSTITUTE(F403,"adrEA",""),"$","")),"")</f>
        <v>4674</v>
      </c>
      <c r="H403" s="5">
        <v>16</v>
      </c>
      <c r="I403" s="6" t="str">
        <f t="shared" ref="I403" si="37">IFERROR(DEC2HEX(H403),"")</f>
        <v>10</v>
      </c>
      <c r="L403" t="s">
        <v>3339</v>
      </c>
      <c r="M403" t="str">
        <f>IF(C403&lt;&gt;"",C403,_xlfn.XLOOKUP(B403,AI_NAMES!D:D,AI_NAMES!E:E,"",0))</f>
        <v>data</v>
      </c>
    </row>
    <row r="404" spans="1:13" x14ac:dyDescent="0.2">
      <c r="A404" t="s">
        <v>541</v>
      </c>
      <c r="B404" t="str">
        <f>IF(L404&lt;&gt;"",L404,_xlfn.XLOOKUP(A404,AI_NAMES!C:C,AI_NAMES!D:D,"",0))</f>
        <v>AttackType_Spells</v>
      </c>
      <c r="L404" t="s">
        <v>3370</v>
      </c>
      <c r="M404" t="str">
        <f>IF(C404&lt;&gt;"",C404,_xlfn.XLOOKUP(B404,AI_NAMES!D:D,AI_NAMES!E:E,"",0))</f>
        <v/>
      </c>
    </row>
    <row r="405" spans="1:13" x14ac:dyDescent="0.2">
      <c r="A405" t="s">
        <v>542</v>
      </c>
      <c r="B405" t="str">
        <f>IF(L405&lt;&gt;"",L405,_xlfn.XLOOKUP(A405,AI_NAMES!C:C,AI_NAMES!D:D,"",0))</f>
        <v/>
      </c>
      <c r="L405" t="s">
        <v>321</v>
      </c>
      <c r="M405">
        <f>IF(C405&lt;&gt;"",C405,_xlfn.XLOOKUP(B405,AI_NAMES!D:D,AI_NAMES!E:E,"",0))</f>
        <v>0</v>
      </c>
    </row>
    <row r="406" spans="1:13" x14ac:dyDescent="0.2">
      <c r="A406" t="s">
        <v>543</v>
      </c>
      <c r="B406" t="str">
        <f>IF(L406&lt;&gt;"",L406,_xlfn.XLOOKUP(A406,AI_NAMES!C:C,AI_NAMES!D:D,"",0))</f>
        <v/>
      </c>
      <c r="L406" t="s">
        <v>321</v>
      </c>
      <c r="M406">
        <f>IF(C406&lt;&gt;"",C406,_xlfn.XLOOKUP(B406,AI_NAMES!D:D,AI_NAMES!E:E,"",0))</f>
        <v>0</v>
      </c>
    </row>
    <row r="407" spans="1:13" x14ac:dyDescent="0.2">
      <c r="A407" t="s">
        <v>544</v>
      </c>
      <c r="B407" t="str">
        <f>IF(L407&lt;&gt;"",L407,_xlfn.XLOOKUP(A407,AI_NAMES!C:C,AI_NAMES!D:D,"",0))</f>
        <v/>
      </c>
      <c r="L407" t="s">
        <v>321</v>
      </c>
      <c r="M407">
        <f>IF(C407&lt;&gt;"",C407,_xlfn.XLOOKUP(B407,AI_NAMES!D:D,AI_NAMES!E:E,"",0))</f>
        <v>0</v>
      </c>
    </row>
    <row r="408" spans="1:13" x14ac:dyDescent="0.2">
      <c r="A408" t="s">
        <v>545</v>
      </c>
      <c r="B408" t="str">
        <f>IF(L408&lt;&gt;"",L408,_xlfn.XLOOKUP(A408,AI_NAMES!C:C,AI_NAMES!D:D,"",0))</f>
        <v/>
      </c>
      <c r="L408" t="s">
        <v>321</v>
      </c>
      <c r="M408">
        <f>IF(C408&lt;&gt;"",C408,_xlfn.XLOOKUP(B408,AI_NAMES!D:D,AI_NAMES!E:E,"",0))</f>
        <v>0</v>
      </c>
    </row>
    <row r="409" spans="1:13" x14ac:dyDescent="0.2">
      <c r="A409" t="s">
        <v>546</v>
      </c>
      <c r="B409" t="str">
        <f>IF(L409&lt;&gt;"",L409,_xlfn.XLOOKUP(A409,AI_NAMES!C:C,AI_NAMES!D:D,"",0))</f>
        <v>AttackType_NoSpells</v>
      </c>
      <c r="L409" t="s">
        <v>3369</v>
      </c>
      <c r="M409" t="str">
        <f>IF(C409&lt;&gt;"",C409,_xlfn.XLOOKUP(B409,AI_NAMES!D:D,AI_NAMES!E:E,"",0))</f>
        <v/>
      </c>
    </row>
    <row r="410" spans="1:13" x14ac:dyDescent="0.2">
      <c r="A410" t="s">
        <v>547</v>
      </c>
      <c r="B410" t="str">
        <f>IF(L410&lt;&gt;"",L410,_xlfn.XLOOKUP(A410,AI_NAMES!C:C,AI_NAMES!D:D,"",0))</f>
        <v>AttackType_ArcBoltMachine</v>
      </c>
      <c r="L410" t="s">
        <v>3373</v>
      </c>
      <c r="M410" t="str">
        <f>IF(C410&lt;&gt;"",C410,_xlfn.XLOOKUP(B410,AI_NAMES!D:D,AI_NAMES!E:E,"",0))</f>
        <v/>
      </c>
    </row>
    <row r="411" spans="1:13" x14ac:dyDescent="0.2">
      <c r="A411" t="s">
        <v>548</v>
      </c>
      <c r="B411" t="str">
        <f>IF(L411&lt;&gt;"",L411,_xlfn.XLOOKUP(A411,AI_NAMES!C:C,AI_NAMES!D:D,"",0))</f>
        <v/>
      </c>
      <c r="L411" t="s">
        <v>321</v>
      </c>
      <c r="M411">
        <f>IF(C411&lt;&gt;"",C411,_xlfn.XLOOKUP(B411,AI_NAMES!D:D,AI_NAMES!E:E,"",0))</f>
        <v>0</v>
      </c>
    </row>
    <row r="412" spans="1:13" x14ac:dyDescent="0.2">
      <c r="A412" t="s">
        <v>549</v>
      </c>
      <c r="B412" t="str">
        <f>IF(L412&lt;&gt;"",L412,_xlfn.XLOOKUP(A412,AI_NAMES!C:C,AI_NAMES!D:D,"",0))</f>
        <v/>
      </c>
      <c r="L412" t="s">
        <v>321</v>
      </c>
      <c r="M412">
        <f>IF(C412&lt;&gt;"",C412,_xlfn.XLOOKUP(B412,AI_NAMES!D:D,AI_NAMES!E:E,"",0))</f>
        <v>0</v>
      </c>
    </row>
    <row r="413" spans="1:13" x14ac:dyDescent="0.2">
      <c r="A413" t="s">
        <v>550</v>
      </c>
      <c r="B413" t="str">
        <f>IF(L413&lt;&gt;"",L413,_xlfn.XLOOKUP(A413,AI_NAMES!C:C,AI_NAMES!D:D,"",0))</f>
        <v/>
      </c>
      <c r="L413" t="s">
        <v>321</v>
      </c>
      <c r="M413">
        <f>IF(C413&lt;&gt;"",C413,_xlfn.XLOOKUP(B413,AI_NAMES!D:D,AI_NAMES!E:E,"",0))</f>
        <v>0</v>
      </c>
    </row>
    <row r="414" spans="1:13" x14ac:dyDescent="0.2">
      <c r="A414" t="s">
        <v>551</v>
      </c>
      <c r="B414" t="str">
        <f>IF(L414&lt;&gt;"",L414,_xlfn.XLOOKUP(A414,AI_NAMES!C:C,AI_NAMES!D:D,"",0))</f>
        <v/>
      </c>
      <c r="L414" t="s">
        <v>321</v>
      </c>
      <c r="M414">
        <f>IF(C414&lt;&gt;"",C414,_xlfn.XLOOKUP(B414,AI_NAMES!D:D,AI_NAMES!E:E,"",0))</f>
        <v>0</v>
      </c>
    </row>
    <row r="415" spans="1:13" x14ac:dyDescent="0.2">
      <c r="A415" t="s">
        <v>552</v>
      </c>
      <c r="B415" t="str">
        <f>IF(L415&lt;&gt;"",L415,_xlfn.XLOOKUP(A415,AI_NAMES!C:C,AI_NAMES!D:D,"",0))</f>
        <v/>
      </c>
      <c r="L415" t="s">
        <v>321</v>
      </c>
      <c r="M415">
        <f>IF(C415&lt;&gt;"",C415,_xlfn.XLOOKUP(B415,AI_NAMES!D:D,AI_NAMES!E:E,"",0))</f>
        <v>0</v>
      </c>
    </row>
    <row r="416" spans="1:13" x14ac:dyDescent="0.2">
      <c r="A416" t="s">
        <v>553</v>
      </c>
      <c r="B416" t="str">
        <f>IF(L416&lt;&gt;"",L416,_xlfn.XLOOKUP(A416,AI_NAMES!C:C,AI_NAMES!D:D,"",0))</f>
        <v/>
      </c>
      <c r="L416" t="s">
        <v>321</v>
      </c>
      <c r="M416">
        <f>IF(C416&lt;&gt;"",C416,_xlfn.XLOOKUP(B416,AI_NAMES!D:D,AI_NAMES!E:E,"",0))</f>
        <v>0</v>
      </c>
    </row>
    <row r="417" spans="1:13" x14ac:dyDescent="0.2">
      <c r="A417" t="s">
        <v>554</v>
      </c>
      <c r="B417" t="str">
        <f>IF(L417&lt;&gt;"",L417,_xlfn.XLOOKUP(A417,AI_NAMES!C:C,AI_NAMES!D:D,"",0))</f>
        <v/>
      </c>
      <c r="L417" t="s">
        <v>321</v>
      </c>
      <c r="M417">
        <f>IF(C417&lt;&gt;"",C417,_xlfn.XLOOKUP(B417,AI_NAMES!D:D,AI_NAMES!E:E,"",0))</f>
        <v>0</v>
      </c>
    </row>
    <row r="418" spans="1:13" x14ac:dyDescent="0.2">
      <c r="A418" t="s">
        <v>555</v>
      </c>
      <c r="B418" t="str">
        <f>IF(L418&lt;&gt;"",L418,_xlfn.XLOOKUP(A418,AI_NAMES!C:C,AI_NAMES!D:D,"",0))</f>
        <v>AttackType_Drone</v>
      </c>
      <c r="L418" t="s">
        <v>3371</v>
      </c>
      <c r="M418" t="str">
        <f>IF(C418&lt;&gt;"",C418,_xlfn.XLOOKUP(B418,AI_NAMES!D:D,AI_NAMES!E:E,"",0))</f>
        <v/>
      </c>
    </row>
    <row r="419" spans="1:13" x14ac:dyDescent="0.2">
      <c r="A419" t="s">
        <v>556</v>
      </c>
      <c r="B419" t="str">
        <f>IF(L419&lt;&gt;"",L419,_xlfn.XLOOKUP(A419,AI_NAMES!C:C,AI_NAMES!D:D,"",0))</f>
        <v/>
      </c>
      <c r="L419" t="s">
        <v>321</v>
      </c>
      <c r="M419">
        <f>IF(C419&lt;&gt;"",C419,_xlfn.XLOOKUP(B419,AI_NAMES!D:D,AI_NAMES!E:E,"",0))</f>
        <v>0</v>
      </c>
    </row>
    <row r="420" spans="1:13" x14ac:dyDescent="0.2">
      <c r="A420" t="s">
        <v>557</v>
      </c>
      <c r="B420" t="str">
        <f>IF(L420&lt;&gt;"",L420,_xlfn.XLOOKUP(A420,AI_NAMES!C:C,AI_NAMES!D:D,"",0))</f>
        <v/>
      </c>
      <c r="L420" t="s">
        <v>321</v>
      </c>
      <c r="M420">
        <f>IF(C420&lt;&gt;"",C420,_xlfn.XLOOKUP(B420,AI_NAMES!D:D,AI_NAMES!E:E,"",0))</f>
        <v>0</v>
      </c>
    </row>
    <row r="421" spans="1:13" x14ac:dyDescent="0.2">
      <c r="A421" t="s">
        <v>558</v>
      </c>
      <c r="B421" t="str">
        <f>IF(L421&lt;&gt;"",L421,_xlfn.XLOOKUP(A421,AI_NAMES!C:C,AI_NAMES!D:D,"",0))</f>
        <v/>
      </c>
      <c r="L421" t="s">
        <v>321</v>
      </c>
      <c r="M421">
        <f>IF(C421&lt;&gt;"",C421,_xlfn.XLOOKUP(B421,AI_NAMES!D:D,AI_NAMES!E:E,"",0))</f>
        <v>0</v>
      </c>
    </row>
    <row r="422" spans="1:13" x14ac:dyDescent="0.2">
      <c r="A422" t="s">
        <v>559</v>
      </c>
      <c r="B422" t="str">
        <f>IF(L422&lt;&gt;"",L422,_xlfn.XLOOKUP(A422,AI_NAMES!C:C,AI_NAMES!D:D,"",0))</f>
        <v/>
      </c>
      <c r="L422" t="s">
        <v>321</v>
      </c>
      <c r="M422">
        <f>IF(C422&lt;&gt;"",C422,_xlfn.XLOOKUP(B422,AI_NAMES!D:D,AI_NAMES!E:E,"",0))</f>
        <v>0</v>
      </c>
    </row>
    <row r="423" spans="1:13" x14ac:dyDescent="0.2">
      <c r="A423" t="s">
        <v>560</v>
      </c>
      <c r="B423" t="str">
        <f>IF(L423&lt;&gt;"",L423,_xlfn.XLOOKUP(A423,AI_NAMES!C:C,AI_NAMES!D:D,"",0))</f>
        <v/>
      </c>
      <c r="L423" t="s">
        <v>321</v>
      </c>
      <c r="M423">
        <f>IF(C423&lt;&gt;"",C423,_xlfn.XLOOKUP(B423,AI_NAMES!D:D,AI_NAMES!E:E,"",0))</f>
        <v>0</v>
      </c>
    </row>
    <row r="424" spans="1:13" x14ac:dyDescent="0.2">
      <c r="A424" t="s">
        <v>561</v>
      </c>
      <c r="B424" t="str">
        <f>IF(L424&lt;&gt;"",L424,_xlfn.XLOOKUP(A424,AI_NAMES!C:C,AI_NAMES!D:D,"",0))</f>
        <v/>
      </c>
      <c r="L424" t="s">
        <v>321</v>
      </c>
      <c r="M424">
        <f>IF(C424&lt;&gt;"",C424,_xlfn.XLOOKUP(B424,AI_NAMES!D:D,AI_NAMES!E:E,"",0))</f>
        <v>0</v>
      </c>
    </row>
    <row r="425" spans="1:13" x14ac:dyDescent="0.2">
      <c r="A425" t="s">
        <v>562</v>
      </c>
      <c r="B425" t="str">
        <f>IF(L425&lt;&gt;"",L425,_xlfn.XLOOKUP(A425,AI_NAMES!C:C,AI_NAMES!D:D,"",0))</f>
        <v/>
      </c>
      <c r="L425" t="s">
        <v>321</v>
      </c>
      <c r="M425">
        <f>IF(C425&lt;&gt;"",C425,_xlfn.XLOOKUP(B425,AI_NAMES!D:D,AI_NAMES!E:E,"",0))</f>
        <v>0</v>
      </c>
    </row>
    <row r="426" spans="1:13" x14ac:dyDescent="0.2">
      <c r="A426" t="s">
        <v>563</v>
      </c>
      <c r="B426" t="str">
        <f>IF(L426&lt;&gt;"",L426,_xlfn.XLOOKUP(A426,AI_NAMES!C:C,AI_NAMES!D:D,"",0))</f>
        <v>Monster_Movement_DataTable</v>
      </c>
      <c r="L426" t="s">
        <v>3374</v>
      </c>
      <c r="M426" t="str">
        <f>IF(C426&lt;&gt;"",C426,_xlfn.XLOOKUP(B426,AI_NAMES!D:D,AI_NAMES!E:E,"",0))</f>
        <v/>
      </c>
    </row>
    <row r="427" spans="1:13" x14ac:dyDescent="0.2">
      <c r="A427" t="s">
        <v>564</v>
      </c>
      <c r="B427" t="str">
        <f>IF(L427&lt;&gt;"",L427,_xlfn.XLOOKUP(A427,AI_NAMES!C:C,AI_NAMES!D:D,"",0))</f>
        <v/>
      </c>
      <c r="L427" t="s">
        <v>321</v>
      </c>
      <c r="M427">
        <f>IF(C427&lt;&gt;"",C427,_xlfn.XLOOKUP(B427,AI_NAMES!D:D,AI_NAMES!E:E,"",0))</f>
        <v>0</v>
      </c>
    </row>
    <row r="428" spans="1:13" x14ac:dyDescent="0.2">
      <c r="A428" t="s">
        <v>565</v>
      </c>
      <c r="B428" t="str">
        <f>IF(L428&lt;&gt;"",L428,_xlfn.XLOOKUP(A428,AI_NAMES!C:C,AI_NAMES!D:D,"",0))</f>
        <v/>
      </c>
      <c r="L428" t="s">
        <v>321</v>
      </c>
      <c r="M428">
        <f>IF(C428&lt;&gt;"",C428,_xlfn.XLOOKUP(B428,AI_NAMES!D:D,AI_NAMES!E:E,"",0))</f>
        <v>0</v>
      </c>
    </row>
    <row r="429" spans="1:13" x14ac:dyDescent="0.2">
      <c r="A429" t="s">
        <v>566</v>
      </c>
      <c r="B429" t="str">
        <f>IF(L429&lt;&gt;"",L429,_xlfn.XLOOKUP(A429,AI_NAMES!C:C,AI_NAMES!D:D,"",0))</f>
        <v/>
      </c>
      <c r="L429" t="s">
        <v>321</v>
      </c>
      <c r="M429">
        <f>IF(C429&lt;&gt;"",C429,_xlfn.XLOOKUP(B429,AI_NAMES!D:D,AI_NAMES!E:E,"",0))</f>
        <v>0</v>
      </c>
    </row>
    <row r="430" spans="1:13" x14ac:dyDescent="0.2">
      <c r="A430" t="s">
        <v>567</v>
      </c>
      <c r="B430" t="str">
        <f>IF(L430&lt;&gt;"",L430,_xlfn.XLOOKUP(A430,AI_NAMES!C:C,AI_NAMES!D:D,"",0))</f>
        <v/>
      </c>
      <c r="L430" t="s">
        <v>321</v>
      </c>
      <c r="M430">
        <f>IF(C430&lt;&gt;"",C430,_xlfn.XLOOKUP(B430,AI_NAMES!D:D,AI_NAMES!E:E,"",0))</f>
        <v>0</v>
      </c>
    </row>
    <row r="431" spans="1:13" x14ac:dyDescent="0.2">
      <c r="A431" t="s">
        <v>568</v>
      </c>
      <c r="B431" t="str">
        <f>IF(L431&lt;&gt;"",L431,_xlfn.XLOOKUP(A431,AI_NAMES!C:C,AI_NAMES!D:D,"",0))</f>
        <v/>
      </c>
      <c r="L431" t="s">
        <v>321</v>
      </c>
      <c r="M431">
        <f>IF(C431&lt;&gt;"",C431,_xlfn.XLOOKUP(B431,AI_NAMES!D:D,AI_NAMES!E:E,"",0))</f>
        <v>0</v>
      </c>
    </row>
    <row r="432" spans="1:13" x14ac:dyDescent="0.2">
      <c r="A432" t="s">
        <v>569</v>
      </c>
      <c r="B432" t="str">
        <f>IF(L432&lt;&gt;"",L432,_xlfn.XLOOKUP(A432,AI_NAMES!C:C,AI_NAMES!D:D,"",0))</f>
        <v/>
      </c>
      <c r="L432" t="s">
        <v>321</v>
      </c>
      <c r="M432">
        <f>IF(C432&lt;&gt;"",C432,_xlfn.XLOOKUP(B432,AI_NAMES!D:D,AI_NAMES!E:E,"",0))</f>
        <v>0</v>
      </c>
    </row>
    <row r="433" spans="1:13" x14ac:dyDescent="0.2">
      <c r="A433" t="s">
        <v>570</v>
      </c>
      <c r="B433" t="str">
        <f>IF(L433&lt;&gt;"",L433,_xlfn.XLOOKUP(A433,AI_NAMES!C:C,AI_NAMES!D:D,"",0))</f>
        <v/>
      </c>
      <c r="L433" t="s">
        <v>321</v>
      </c>
      <c r="M433">
        <f>IF(C433&lt;&gt;"",C433,_xlfn.XLOOKUP(B433,AI_NAMES!D:D,AI_NAMES!E:E,"",0))</f>
        <v>0</v>
      </c>
    </row>
    <row r="434" spans="1:13" x14ac:dyDescent="0.2">
      <c r="A434" t="s">
        <v>571</v>
      </c>
      <c r="B434" t="str">
        <f>IF(L434&lt;&gt;"",L434,_xlfn.XLOOKUP(A434,AI_NAMES!C:C,AI_NAMES!D:D,"",0))</f>
        <v/>
      </c>
      <c r="L434" t="s">
        <v>321</v>
      </c>
      <c r="M434">
        <f>IF(C434&lt;&gt;"",C434,_xlfn.XLOOKUP(B434,AI_NAMES!D:D,AI_NAMES!E:E,"",0))</f>
        <v>0</v>
      </c>
    </row>
    <row r="435" spans="1:13" x14ac:dyDescent="0.2">
      <c r="A435" t="s">
        <v>572</v>
      </c>
      <c r="B435" t="str">
        <f>IF(L435&lt;&gt;"",L435,_xlfn.XLOOKUP(A435,AI_NAMES!C:C,AI_NAMES!D:D,"",0))</f>
        <v/>
      </c>
      <c r="L435" t="s">
        <v>321</v>
      </c>
      <c r="M435">
        <f>IF(C435&lt;&gt;"",C435,_xlfn.XLOOKUP(B435,AI_NAMES!D:D,AI_NAMES!E:E,"",0))</f>
        <v>0</v>
      </c>
    </row>
    <row r="436" spans="1:13" x14ac:dyDescent="0.2">
      <c r="A436" t="s">
        <v>573</v>
      </c>
      <c r="B436" t="str">
        <f>IF(L436&lt;&gt;"",L436,_xlfn.XLOOKUP(A436,AI_NAMES!C:C,AI_NAMES!D:D,"",0))</f>
        <v/>
      </c>
      <c r="L436" t="s">
        <v>321</v>
      </c>
      <c r="M436">
        <f>IF(C436&lt;&gt;"",C436,_xlfn.XLOOKUP(B436,AI_NAMES!D:D,AI_NAMES!E:E,"",0))</f>
        <v>0</v>
      </c>
    </row>
    <row r="437" spans="1:13" x14ac:dyDescent="0.2">
      <c r="A437" t="s">
        <v>574</v>
      </c>
      <c r="B437" t="str">
        <f>IF(L437&lt;&gt;"",L437,_xlfn.XLOOKUP(A437,AI_NAMES!C:C,AI_NAMES!D:D,"",0))</f>
        <v/>
      </c>
      <c r="L437" t="s">
        <v>321</v>
      </c>
      <c r="M437">
        <f>IF(C437&lt;&gt;"",C437,_xlfn.XLOOKUP(B437,AI_NAMES!D:D,AI_NAMES!E:E,"",0))</f>
        <v>0</v>
      </c>
    </row>
    <row r="438" spans="1:13" x14ac:dyDescent="0.2">
      <c r="A438" t="s">
        <v>575</v>
      </c>
      <c r="B438" t="str">
        <f>IF(L438&lt;&gt;"",L438,_xlfn.XLOOKUP(A438,AI_NAMES!C:C,AI_NAMES!D:D,"",0))</f>
        <v/>
      </c>
      <c r="L438" t="s">
        <v>321</v>
      </c>
      <c r="M438">
        <f>IF(C438&lt;&gt;"",C438,_xlfn.XLOOKUP(B438,AI_NAMES!D:D,AI_NAMES!E:E,"",0))</f>
        <v>0</v>
      </c>
    </row>
    <row r="439" spans="1:13" x14ac:dyDescent="0.2">
      <c r="A439" t="s">
        <v>576</v>
      </c>
      <c r="B439" t="str">
        <f>IF(L439&lt;&gt;"",L439,_xlfn.XLOOKUP(A439,AI_NAMES!C:C,AI_NAMES!D:D,"",0))</f>
        <v/>
      </c>
      <c r="L439" t="s">
        <v>321</v>
      </c>
      <c r="M439">
        <f>IF(C439&lt;&gt;"",C439,_xlfn.XLOOKUP(B439,AI_NAMES!D:D,AI_NAMES!E:E,"",0))</f>
        <v>0</v>
      </c>
    </row>
    <row r="440" spans="1:13" x14ac:dyDescent="0.2">
      <c r="A440" t="s">
        <v>577</v>
      </c>
      <c r="B440" t="str">
        <f>IF(L440&lt;&gt;"",L440,_xlfn.XLOOKUP(A440,AI_NAMES!C:C,AI_NAMES!D:D,"",0))</f>
        <v/>
      </c>
      <c r="L440" t="s">
        <v>321</v>
      </c>
      <c r="M440">
        <f>IF(C440&lt;&gt;"",C440,_xlfn.XLOOKUP(B440,AI_NAMES!D:D,AI_NAMES!E:E,"",0))</f>
        <v>0</v>
      </c>
    </row>
    <row r="441" spans="1:13" x14ac:dyDescent="0.2">
      <c r="A441" t="s">
        <v>578</v>
      </c>
      <c r="B441" t="str">
        <f>IF(L441&lt;&gt;"",L441,_xlfn.XLOOKUP(A441,AI_NAMES!C:C,AI_NAMES!D:D,"",0))</f>
        <v/>
      </c>
      <c r="L441" t="s">
        <v>321</v>
      </c>
      <c r="M441">
        <f>IF(C441&lt;&gt;"",C441,_xlfn.XLOOKUP(B441,AI_NAMES!D:D,AI_NAMES!E:E,"",0))</f>
        <v>0</v>
      </c>
    </row>
    <row r="442" spans="1:13" x14ac:dyDescent="0.2">
      <c r="A442" t="s">
        <v>579</v>
      </c>
      <c r="B442" t="str">
        <f>IF(L442&lt;&gt;"",L442,_xlfn.XLOOKUP(A442,AI_NAMES!C:C,AI_NAMES!D:D,"",0))</f>
        <v/>
      </c>
      <c r="L442" t="s">
        <v>321</v>
      </c>
      <c r="M442">
        <f>IF(C442&lt;&gt;"",C442,_xlfn.XLOOKUP(B442,AI_NAMES!D:D,AI_NAMES!E:E,"",0))</f>
        <v>0</v>
      </c>
    </row>
    <row r="443" spans="1:13" x14ac:dyDescent="0.2">
      <c r="A443" t="s">
        <v>580</v>
      </c>
      <c r="B443" t="str">
        <f>IF(L443&lt;&gt;"",L443,_xlfn.XLOOKUP(A443,AI_NAMES!C:C,AI_NAMES!D:D,"",0))</f>
        <v/>
      </c>
      <c r="L443" t="s">
        <v>321</v>
      </c>
      <c r="M443">
        <f>IF(C443&lt;&gt;"",C443,_xlfn.XLOOKUP(B443,AI_NAMES!D:D,AI_NAMES!E:E,"",0))</f>
        <v>0</v>
      </c>
    </row>
    <row r="444" spans="1:13" x14ac:dyDescent="0.2">
      <c r="A444" t="s">
        <v>581</v>
      </c>
      <c r="B444" t="str">
        <f>IF(L444&lt;&gt;"",L444,_xlfn.XLOOKUP(A444,AI_NAMES!C:C,AI_NAMES!D:D,"",0))</f>
        <v/>
      </c>
      <c r="L444" t="s">
        <v>321</v>
      </c>
      <c r="M444">
        <f>IF(C444&lt;&gt;"",C444,_xlfn.XLOOKUP(B444,AI_NAMES!D:D,AI_NAMES!E:E,"",0))</f>
        <v>0</v>
      </c>
    </row>
    <row r="445" spans="1:13" x14ac:dyDescent="0.2">
      <c r="A445" t="s">
        <v>582</v>
      </c>
      <c r="B445" t="str">
        <f>IF(L445&lt;&gt;"",L445,_xlfn.XLOOKUP(A445,AI_NAMES!C:C,AI_NAMES!D:D,"",0))</f>
        <v/>
      </c>
      <c r="L445" t="s">
        <v>321</v>
      </c>
      <c r="M445">
        <f>IF(C445&lt;&gt;"",C445,_xlfn.XLOOKUP(B445,AI_NAMES!D:D,AI_NAMES!E:E,"",0))</f>
        <v>0</v>
      </c>
    </row>
    <row r="446" spans="1:13" x14ac:dyDescent="0.2">
      <c r="A446" t="s">
        <v>583</v>
      </c>
      <c r="B446" t="str">
        <f>IF(L446&lt;&gt;"",L446,_xlfn.XLOOKUP(A446,AI_NAMES!C:C,AI_NAMES!D:D,"",0))</f>
        <v/>
      </c>
      <c r="L446" t="s">
        <v>321</v>
      </c>
      <c r="M446">
        <f>IF(C446&lt;&gt;"",C446,_xlfn.XLOOKUP(B446,AI_NAMES!D:D,AI_NAMES!E:E,"",0))</f>
        <v>0</v>
      </c>
    </row>
    <row r="447" spans="1:13" x14ac:dyDescent="0.2">
      <c r="A447" t="s">
        <v>584</v>
      </c>
      <c r="B447" t="str">
        <f>IF(L447&lt;&gt;"",L447,_xlfn.XLOOKUP(A447,AI_NAMES!C:C,AI_NAMES!D:D,"",0))</f>
        <v/>
      </c>
      <c r="L447" t="s">
        <v>321</v>
      </c>
      <c r="M447">
        <f>IF(C447&lt;&gt;"",C447,_xlfn.XLOOKUP(B447,AI_NAMES!D:D,AI_NAMES!E:E,"",0))</f>
        <v>0</v>
      </c>
    </row>
    <row r="448" spans="1:13" x14ac:dyDescent="0.2">
      <c r="A448" t="s">
        <v>585</v>
      </c>
      <c r="B448" t="str">
        <f>IF(L448&lt;&gt;"",L448,_xlfn.XLOOKUP(A448,AI_NAMES!C:C,AI_NAMES!D:D,"",0))</f>
        <v/>
      </c>
      <c r="L448" t="s">
        <v>321</v>
      </c>
      <c r="M448">
        <f>IF(C448&lt;&gt;"",C448,_xlfn.XLOOKUP(B448,AI_NAMES!D:D,AI_NAMES!E:E,"",0))</f>
        <v>0</v>
      </c>
    </row>
    <row r="449" spans="1:13" x14ac:dyDescent="0.2">
      <c r="A449" t="s">
        <v>586</v>
      </c>
      <c r="B449" t="str">
        <f>IF(L449&lt;&gt;"",L449,_xlfn.XLOOKUP(A449,AI_NAMES!C:C,AI_NAMES!D:D,"",0))</f>
        <v/>
      </c>
      <c r="L449" t="s">
        <v>321</v>
      </c>
      <c r="M449">
        <f>IF(C449&lt;&gt;"",C449,_xlfn.XLOOKUP(B449,AI_NAMES!D:D,AI_NAMES!E:E,"",0))</f>
        <v>0</v>
      </c>
    </row>
    <row r="450" spans="1:13" x14ac:dyDescent="0.2">
      <c r="A450" t="s">
        <v>587</v>
      </c>
      <c r="B450" t="str">
        <f>IF(L450&lt;&gt;"",L450,_xlfn.XLOOKUP(A450,AI_NAMES!C:C,AI_NAMES!D:D,"",0))</f>
        <v/>
      </c>
      <c r="L450" t="s">
        <v>321</v>
      </c>
      <c r="M450">
        <f>IF(C450&lt;&gt;"",C450,_xlfn.XLOOKUP(B450,AI_NAMES!D:D,AI_NAMES!E:E,"",0))</f>
        <v>0</v>
      </c>
    </row>
    <row r="451" spans="1:13" x14ac:dyDescent="0.2">
      <c r="A451" t="s">
        <v>588</v>
      </c>
      <c r="B451" t="str">
        <f>IF(L451&lt;&gt;"",L451,_xlfn.XLOOKUP(A451,AI_NAMES!C:C,AI_NAMES!D:D,"",0))</f>
        <v/>
      </c>
      <c r="L451" t="s">
        <v>321</v>
      </c>
      <c r="M451">
        <f>IF(C451&lt;&gt;"",C451,_xlfn.XLOOKUP(B451,AI_NAMES!D:D,AI_NAMES!E:E,"",0))</f>
        <v>0</v>
      </c>
    </row>
    <row r="452" spans="1:13" x14ac:dyDescent="0.2">
      <c r="A452" t="s">
        <v>589</v>
      </c>
      <c r="B452" t="str">
        <f>IF(L452&lt;&gt;"",L452,_xlfn.XLOOKUP(A452,AI_NAMES!C:C,AI_NAMES!D:D,"",0))</f>
        <v/>
      </c>
      <c r="L452" t="s">
        <v>321</v>
      </c>
      <c r="M452">
        <f>IF(C452&lt;&gt;"",C452,_xlfn.XLOOKUP(B452,AI_NAMES!D:D,AI_NAMES!E:E,"",0))</f>
        <v>0</v>
      </c>
    </row>
    <row r="453" spans="1:13" x14ac:dyDescent="0.2">
      <c r="A453" t="s">
        <v>590</v>
      </c>
      <c r="B453" t="str">
        <f>IF(L453&lt;&gt;"",L453,_xlfn.XLOOKUP(A453,AI_NAMES!C:C,AI_NAMES!D:D,"",0))</f>
        <v/>
      </c>
      <c r="L453" t="s">
        <v>321</v>
      </c>
      <c r="M453">
        <f>IF(C453&lt;&gt;"",C453,_xlfn.XLOOKUP(B453,AI_NAMES!D:D,AI_NAMES!E:E,"",0))</f>
        <v>0</v>
      </c>
    </row>
    <row r="454" spans="1:13" x14ac:dyDescent="0.2">
      <c r="A454" t="s">
        <v>591</v>
      </c>
      <c r="B454" t="str">
        <f>IF(L454&lt;&gt;"",L454,_xlfn.XLOOKUP(A454,AI_NAMES!C:C,AI_NAMES!D:D,"",0))</f>
        <v/>
      </c>
      <c r="L454" t="s">
        <v>321</v>
      </c>
      <c r="M454">
        <f>IF(C454&lt;&gt;"",C454,_xlfn.XLOOKUP(B454,AI_NAMES!D:D,AI_NAMES!E:E,"",0))</f>
        <v>0</v>
      </c>
    </row>
    <row r="455" spans="1:13" x14ac:dyDescent="0.2">
      <c r="A455" t="s">
        <v>592</v>
      </c>
      <c r="B455" t="str">
        <f>IF(L455&lt;&gt;"",L455,_xlfn.XLOOKUP(A455,AI_NAMES!C:C,AI_NAMES!D:D,"",0))</f>
        <v/>
      </c>
      <c r="L455" t="s">
        <v>321</v>
      </c>
      <c r="M455">
        <f>IF(C455&lt;&gt;"",C455,_xlfn.XLOOKUP(B455,AI_NAMES!D:D,AI_NAMES!E:E,"",0))</f>
        <v>0</v>
      </c>
    </row>
    <row r="456" spans="1:13" x14ac:dyDescent="0.2">
      <c r="A456" t="s">
        <v>593</v>
      </c>
      <c r="B456" t="str">
        <f>IF(L456&lt;&gt;"",L456,_xlfn.XLOOKUP(A456,AI_NAMES!C:C,AI_NAMES!D:D,"",0))</f>
        <v/>
      </c>
      <c r="L456" t="s">
        <v>321</v>
      </c>
      <c r="M456">
        <f>IF(C456&lt;&gt;"",C456,_xlfn.XLOOKUP(B456,AI_NAMES!D:D,AI_NAMES!E:E,"",0))</f>
        <v>0</v>
      </c>
    </row>
    <row r="457" spans="1:13" x14ac:dyDescent="0.2">
      <c r="A457" t="s">
        <v>594</v>
      </c>
      <c r="B457" t="str">
        <f>IF(L457&lt;&gt;"",L457,_xlfn.XLOOKUP(A457,AI_NAMES!C:C,AI_NAMES!D:D,"",0))</f>
        <v/>
      </c>
      <c r="L457" t="s">
        <v>321</v>
      </c>
      <c r="M457">
        <f>IF(C457&lt;&gt;"",C457,_xlfn.XLOOKUP(B457,AI_NAMES!D:D,AI_NAMES!E:E,"",0))</f>
        <v>0</v>
      </c>
    </row>
    <row r="458" spans="1:13" x14ac:dyDescent="0.2">
      <c r="A458" t="s">
        <v>595</v>
      </c>
      <c r="B458" t="str">
        <f>IF(L458&lt;&gt;"",L458,_xlfn.XLOOKUP(A458,AI_NAMES!C:C,AI_NAMES!D:D,"",0))</f>
        <v/>
      </c>
      <c r="L458" t="s">
        <v>321</v>
      </c>
      <c r="M458">
        <f>IF(C458&lt;&gt;"",C458,_xlfn.XLOOKUP(B458,AI_NAMES!D:D,AI_NAMES!E:E,"",0))</f>
        <v>0</v>
      </c>
    </row>
    <row r="459" spans="1:13" x14ac:dyDescent="0.2">
      <c r="A459" t="s">
        <v>596</v>
      </c>
      <c r="B459" t="str">
        <f>IF(L459&lt;&gt;"",L459,_xlfn.XLOOKUP(A459,AI_NAMES!C:C,AI_NAMES!D:D,"",0))</f>
        <v/>
      </c>
      <c r="L459" t="s">
        <v>321</v>
      </c>
      <c r="M459">
        <f>IF(C459&lt;&gt;"",C459,_xlfn.XLOOKUP(B459,AI_NAMES!D:D,AI_NAMES!E:E,"",0))</f>
        <v>0</v>
      </c>
    </row>
    <row r="460" spans="1:13" x14ac:dyDescent="0.2">
      <c r="A460" t="s">
        <v>597</v>
      </c>
      <c r="B460" t="str">
        <f>IF(L460&lt;&gt;"",L460,_xlfn.XLOOKUP(A460,AI_NAMES!C:C,AI_NAMES!D:D,"",0))</f>
        <v/>
      </c>
      <c r="L460" t="s">
        <v>321</v>
      </c>
      <c r="M460">
        <f>IF(C460&lt;&gt;"",C460,_xlfn.XLOOKUP(B460,AI_NAMES!D:D,AI_NAMES!E:E,"",0))</f>
        <v>0</v>
      </c>
    </row>
    <row r="461" spans="1:13" x14ac:dyDescent="0.2">
      <c r="A461" t="s">
        <v>598</v>
      </c>
      <c r="B461" t="str">
        <f>IF(L461&lt;&gt;"",L461,_xlfn.XLOOKUP(A461,AI_NAMES!C:C,AI_NAMES!D:D,"",0))</f>
        <v/>
      </c>
      <c r="L461" t="s">
        <v>321</v>
      </c>
      <c r="M461">
        <f>IF(C461&lt;&gt;"",C461,_xlfn.XLOOKUP(B461,AI_NAMES!D:D,AI_NAMES!E:E,"",0))</f>
        <v>0</v>
      </c>
    </row>
    <row r="462" spans="1:13" x14ac:dyDescent="0.2">
      <c r="A462" t="s">
        <v>599</v>
      </c>
      <c r="B462" t="str">
        <f>IF(L462&lt;&gt;"",L462,_xlfn.XLOOKUP(A462,AI_NAMES!C:C,AI_NAMES!D:D,"",0))</f>
        <v/>
      </c>
      <c r="L462" t="s">
        <v>321</v>
      </c>
      <c r="M462">
        <f>IF(C462&lt;&gt;"",C462,_xlfn.XLOOKUP(B462,AI_NAMES!D:D,AI_NAMES!E:E,"",0))</f>
        <v>0</v>
      </c>
    </row>
    <row r="463" spans="1:13" x14ac:dyDescent="0.2">
      <c r="A463" t="s">
        <v>600</v>
      </c>
      <c r="B463" t="str">
        <f>IF(L463&lt;&gt;"",L463,_xlfn.XLOOKUP(A463,AI_NAMES!C:C,AI_NAMES!D:D,"",0))</f>
        <v/>
      </c>
      <c r="L463" t="s">
        <v>321</v>
      </c>
      <c r="M463">
        <f>IF(C463&lt;&gt;"",C463,_xlfn.XLOOKUP(B463,AI_NAMES!D:D,AI_NAMES!E:E,"",0))</f>
        <v>0</v>
      </c>
    </row>
    <row r="464" spans="1:13" x14ac:dyDescent="0.2">
      <c r="A464" t="s">
        <v>601</v>
      </c>
      <c r="B464" t="str">
        <f>IF(L464&lt;&gt;"",L464,_xlfn.XLOOKUP(A464,AI_NAMES!C:C,AI_NAMES!D:D,"",0))</f>
        <v>HandleArmorSubroutine_AI_TBC</v>
      </c>
      <c r="L464" t="s">
        <v>321</v>
      </c>
      <c r="M464">
        <f>IF(C464&lt;&gt;"",C464,_xlfn.XLOOKUP(B464,AI_NAMES!D:D,AI_NAMES!E:E,"",0))</f>
        <v>0</v>
      </c>
    </row>
    <row r="465" spans="1:13" x14ac:dyDescent="0.2">
      <c r="A465" t="s">
        <v>602</v>
      </c>
      <c r="B465" t="str">
        <f>IF(L465&lt;&gt;"",L465,_xlfn.XLOOKUP(A465,AI_NAMES!C:C,AI_NAMES!D:D,"",0))</f>
        <v>CheckAndToggleProcessedFlag_AI_TBC</v>
      </c>
      <c r="L465" t="s">
        <v>321</v>
      </c>
      <c r="M465">
        <f>IF(C465&lt;&gt;"",C465,_xlfn.XLOOKUP(B465,AI_NAMES!D:D,AI_NAMES!E:E,"",0))</f>
        <v>0</v>
      </c>
    </row>
    <row r="466" spans="1:13" x14ac:dyDescent="0.2">
      <c r="A466" t="s">
        <v>603</v>
      </c>
      <c r="B466" t="str">
        <f>IF(L466&lt;&gt;"",L466,_xlfn.XLOOKUP(A466,AI_NAMES!C:C,AI_NAMES!D:D,"",0))</f>
        <v>EquipStateOrArmorHandler_AI_TBC</v>
      </c>
      <c r="L466" t="s">
        <v>321</v>
      </c>
      <c r="M466">
        <f>IF(C466&lt;&gt;"",C466,_xlfn.XLOOKUP(B466,AI_NAMES!D:D,AI_NAMES!E:E,"",0))</f>
        <v>0</v>
      </c>
    </row>
    <row r="467" spans="1:13" x14ac:dyDescent="0.2">
      <c r="A467" t="s">
        <v>604</v>
      </c>
      <c r="B467" t="str">
        <f>IF(L467&lt;&gt;"",L467,_xlfn.XLOOKUP(A467,AI_NAMES!C:C,AI_NAMES!D:D,"",0))</f>
        <v>ClearOrTogglePlayerBit_AI_TBC</v>
      </c>
      <c r="L467" t="s">
        <v>321</v>
      </c>
      <c r="M467">
        <f>IF(C467&lt;&gt;"",C467,_xlfn.XLOOKUP(B467,AI_NAMES!D:D,AI_NAMES!E:E,"",0))</f>
        <v>0</v>
      </c>
    </row>
    <row r="468" spans="1:13" x14ac:dyDescent="0.2">
      <c r="A468" t="s">
        <v>605</v>
      </c>
      <c r="B468" t="str">
        <f>IF(L468&lt;&gt;"",L468,_xlfn.XLOOKUP(A468,AI_NAMES!C:C,AI_NAMES!D:D,"",0))</f>
        <v>CompareLastBlockedVSEquipCode_AI_TBC</v>
      </c>
      <c r="L468" t="s">
        <v>321</v>
      </c>
      <c r="M468">
        <f>IF(C468&lt;&gt;"",C468,_xlfn.XLOOKUP(B468,AI_NAMES!D:D,AI_NAMES!E:E,"",0))</f>
        <v>0</v>
      </c>
    </row>
    <row r="469" spans="1:13" x14ac:dyDescent="0.2">
      <c r="A469" t="s">
        <v>606</v>
      </c>
      <c r="B469" t="str">
        <f>IF(L469&lt;&gt;"",L469,_xlfn.XLOOKUP(A469,AI_NAMES!C:C,AI_NAMES!D:D,"",0))</f>
        <v>EquipOrArmorDecisionLoop_AI_TBC</v>
      </c>
      <c r="L469" t="s">
        <v>321</v>
      </c>
      <c r="M469">
        <f>IF(C469&lt;&gt;"",C469,_xlfn.XLOOKUP(B469,AI_NAMES!D:D,AI_NAMES!E:E,"",0))</f>
        <v>0</v>
      </c>
    </row>
    <row r="470" spans="1:13" x14ac:dyDescent="0.2">
      <c r="A470" t="s">
        <v>607</v>
      </c>
      <c r="B470" t="str">
        <f>IF(L470&lt;&gt;"",L470,_xlfn.XLOOKUP(A470,AI_NAMES!C:C,AI_NAMES!D:D,"",0))</f>
        <v>MarkMapCellProcessedFlag_AI_TBC</v>
      </c>
      <c r="L470" t="s">
        <v>321</v>
      </c>
      <c r="M470">
        <f>IF(C470&lt;&gt;"",C470,_xlfn.XLOOKUP(B470,AI_NAMES!D:D,AI_NAMES!E:E,"",0))</f>
        <v>0</v>
      </c>
    </row>
    <row r="471" spans="1:13" x14ac:dyDescent="0.2">
      <c r="A471" t="s">
        <v>608</v>
      </c>
      <c r="B471" t="str">
        <f>IF(L471&lt;&gt;"",L471,_xlfn.XLOOKUP(A471,AI_NAMES!C:C,AI_NAMES!D:D,"",0))</f>
        <v>CheckEquipCostsAndAttrs_AI_TBC</v>
      </c>
      <c r="L471" t="s">
        <v>321</v>
      </c>
      <c r="M471">
        <f>IF(C471&lt;&gt;"",C471,_xlfn.XLOOKUP(B471,AI_NAMES!D:D,AI_NAMES!E:E,"",0))</f>
        <v>0</v>
      </c>
    </row>
    <row r="472" spans="1:13" x14ac:dyDescent="0.2">
      <c r="A472" t="s">
        <v>609</v>
      </c>
      <c r="B472" t="str">
        <f>IF(L472&lt;&gt;"",L472,_xlfn.XLOOKUP(A472,AI_NAMES!C:C,AI_NAMES!D:D,"",0))</f>
        <v>ClampEquipOrTeleportCode_AI_TBC</v>
      </c>
      <c r="L472" t="s">
        <v>321</v>
      </c>
      <c r="M472">
        <f>IF(C472&lt;&gt;"",C472,_xlfn.XLOOKUP(B472,AI_NAMES!D:D,AI_NAMES!E:E,"",0))</f>
        <v>0</v>
      </c>
    </row>
    <row r="473" spans="1:13" x14ac:dyDescent="0.2">
      <c r="A473" t="s">
        <v>610</v>
      </c>
      <c r="B473" t="str">
        <f>IF(L473&lt;&gt;"",L473,_xlfn.XLOOKUP(A473,AI_NAMES!C:C,AI_NAMES!D:D,"",0))</f>
        <v>PrepareTeleportOrEquipValue_AI_TBC</v>
      </c>
      <c r="L473" t="s">
        <v>321</v>
      </c>
      <c r="M473">
        <f>IF(C473&lt;&gt;"",C473,_xlfn.XLOOKUP(B473,AI_NAMES!D:D,AI_NAMES!E:E,"",0))</f>
        <v>0</v>
      </c>
    </row>
    <row r="474" spans="1:13" x14ac:dyDescent="0.2">
      <c r="A474" t="s">
        <v>611</v>
      </c>
      <c r="B474" t="str">
        <f>IF(L474&lt;&gt;"",L474,_xlfn.XLOOKUP(A474,AI_NAMES!C:C,AI_NAMES!D:D,"",0))</f>
        <v/>
      </c>
      <c r="L474" t="s">
        <v>321</v>
      </c>
      <c r="M474">
        <f>IF(C474&lt;&gt;"",C474,_xlfn.XLOOKUP(B474,AI_NAMES!D:D,AI_NAMES!E:E,"",0))</f>
        <v>0</v>
      </c>
    </row>
    <row r="475" spans="1:13" x14ac:dyDescent="0.2">
      <c r="A475" t="s">
        <v>612</v>
      </c>
      <c r="B475" t="str">
        <f>IF(L475&lt;&gt;"",L475,_xlfn.XLOOKUP(A475,AI_NAMES!C:C,AI_NAMES!D:D,"",0))</f>
        <v/>
      </c>
      <c r="L475" t="s">
        <v>321</v>
      </c>
      <c r="M475">
        <f>IF(C475&lt;&gt;"",C475,_xlfn.XLOOKUP(B475,AI_NAMES!D:D,AI_NAMES!E:E,"",0))</f>
        <v>0</v>
      </c>
    </row>
    <row r="476" spans="1:13" x14ac:dyDescent="0.2">
      <c r="A476" t="s">
        <v>613</v>
      </c>
      <c r="B476" t="str">
        <f>IF(L476&lt;&gt;"",L476,_xlfn.XLOOKUP(A476,AI_NAMES!C:C,AI_NAMES!D:D,"",0))</f>
        <v/>
      </c>
      <c r="L476" t="s">
        <v>321</v>
      </c>
      <c r="M476">
        <f>IF(C476&lt;&gt;"",C476,_xlfn.XLOOKUP(B476,AI_NAMES!D:D,AI_NAMES!E:E,"",0))</f>
        <v>0</v>
      </c>
    </row>
    <row r="477" spans="1:13" x14ac:dyDescent="0.2">
      <c r="A477" t="s">
        <v>614</v>
      </c>
      <c r="B477" t="str">
        <f>IF(L477&lt;&gt;"",L477,_xlfn.XLOOKUP(A477,AI_NAMES!C:C,AI_NAMES!D:D,"",0))</f>
        <v/>
      </c>
      <c r="L477" t="s">
        <v>321</v>
      </c>
      <c r="M477">
        <f>IF(C477&lt;&gt;"",C477,_xlfn.XLOOKUP(B477,AI_NAMES!D:D,AI_NAMES!E:E,"",0))</f>
        <v>0</v>
      </c>
    </row>
    <row r="478" spans="1:13" x14ac:dyDescent="0.2">
      <c r="A478" t="s">
        <v>615</v>
      </c>
      <c r="B478" t="str">
        <f>IF(L478&lt;&gt;"",L478,_xlfn.XLOOKUP(A478,AI_NAMES!C:C,AI_NAMES!D:D,"",0))</f>
        <v/>
      </c>
      <c r="L478" t="s">
        <v>321</v>
      </c>
      <c r="M478">
        <f>IF(C478&lt;&gt;"",C478,_xlfn.XLOOKUP(B478,AI_NAMES!D:D,AI_NAMES!E:E,"",0))</f>
        <v>0</v>
      </c>
    </row>
    <row r="479" spans="1:13" x14ac:dyDescent="0.2">
      <c r="A479" t="s">
        <v>616</v>
      </c>
      <c r="B479" t="str">
        <f>IF(L479&lt;&gt;"",L479,_xlfn.XLOOKUP(A479,AI_NAMES!C:C,AI_NAMES!D:D,"",0))</f>
        <v/>
      </c>
      <c r="L479" t="s">
        <v>321</v>
      </c>
      <c r="M479">
        <f>IF(C479&lt;&gt;"",C479,_xlfn.XLOOKUP(B479,AI_NAMES!D:D,AI_NAMES!E:E,"",0))</f>
        <v>0</v>
      </c>
    </row>
    <row r="480" spans="1:13" x14ac:dyDescent="0.2">
      <c r="A480" t="s">
        <v>617</v>
      </c>
      <c r="B480" t="str">
        <f>IF(L480&lt;&gt;"",L480,_xlfn.XLOOKUP(A480,AI_NAMES!C:C,AI_NAMES!D:D,"",0))</f>
        <v/>
      </c>
      <c r="L480" t="s">
        <v>321</v>
      </c>
      <c r="M480">
        <f>IF(C480&lt;&gt;"",C480,_xlfn.XLOOKUP(B480,AI_NAMES!D:D,AI_NAMES!E:E,"",0))</f>
        <v>0</v>
      </c>
    </row>
    <row r="481" spans="1:13" x14ac:dyDescent="0.2">
      <c r="A481" t="s">
        <v>618</v>
      </c>
      <c r="B481" t="str">
        <f>IF(L481&lt;&gt;"",L481,_xlfn.XLOOKUP(A481,AI_NAMES!C:C,AI_NAMES!D:D,"",0))</f>
        <v/>
      </c>
      <c r="L481" t="s">
        <v>321</v>
      </c>
      <c r="M481">
        <f>IF(C481&lt;&gt;"",C481,_xlfn.XLOOKUP(B481,AI_NAMES!D:D,AI_NAMES!E:E,"",0))</f>
        <v>0</v>
      </c>
    </row>
    <row r="482" spans="1:13" x14ac:dyDescent="0.2">
      <c r="A482" t="s">
        <v>619</v>
      </c>
      <c r="B482" t="str">
        <f>IF(L482&lt;&gt;"",L482,_xlfn.XLOOKUP(A482,AI_NAMES!C:C,AI_NAMES!D:D,"",0))</f>
        <v/>
      </c>
      <c r="L482" t="s">
        <v>321</v>
      </c>
      <c r="M482">
        <f>IF(C482&lt;&gt;"",C482,_xlfn.XLOOKUP(B482,AI_NAMES!D:D,AI_NAMES!E:E,"",0))</f>
        <v>0</v>
      </c>
    </row>
    <row r="483" spans="1:13" x14ac:dyDescent="0.2">
      <c r="A483" t="s">
        <v>620</v>
      </c>
      <c r="B483" t="str">
        <f>IF(L483&lt;&gt;"",L483,_xlfn.XLOOKUP(A483,AI_NAMES!C:C,AI_NAMES!D:D,"",0))</f>
        <v/>
      </c>
      <c r="L483" t="s">
        <v>321</v>
      </c>
      <c r="M483">
        <f>IF(C483&lt;&gt;"",C483,_xlfn.XLOOKUP(B483,AI_NAMES!D:D,AI_NAMES!E:E,"",0))</f>
        <v>0</v>
      </c>
    </row>
    <row r="484" spans="1:13" x14ac:dyDescent="0.2">
      <c r="A484" t="s">
        <v>621</v>
      </c>
      <c r="B484" t="str">
        <f>IF(L484&lt;&gt;"",L484,_xlfn.XLOOKUP(A484,AI_NAMES!C:C,AI_NAMES!D:D,"",0))</f>
        <v/>
      </c>
      <c r="L484" t="s">
        <v>321</v>
      </c>
      <c r="M484">
        <f>IF(C484&lt;&gt;"",C484,_xlfn.XLOOKUP(B484,AI_NAMES!D:D,AI_NAMES!E:E,"",0))</f>
        <v>0</v>
      </c>
    </row>
    <row r="485" spans="1:13" x14ac:dyDescent="0.2">
      <c r="A485" t="s">
        <v>622</v>
      </c>
      <c r="B485" t="str">
        <f>IF(L485&lt;&gt;"",L485,_xlfn.XLOOKUP(A485,AI_NAMES!C:C,AI_NAMES!D:D,"",0))</f>
        <v/>
      </c>
      <c r="L485" t="s">
        <v>321</v>
      </c>
      <c r="M485">
        <f>IF(C485&lt;&gt;"",C485,_xlfn.XLOOKUP(B485,AI_NAMES!D:D,AI_NAMES!E:E,"",0))</f>
        <v>0</v>
      </c>
    </row>
    <row r="486" spans="1:13" x14ac:dyDescent="0.2">
      <c r="A486" t="s">
        <v>623</v>
      </c>
      <c r="B486" t="str">
        <f>IF(L486&lt;&gt;"",L486,_xlfn.XLOOKUP(A486,AI_NAMES!C:C,AI_NAMES!D:D,"",0))</f>
        <v/>
      </c>
      <c r="L486" t="s">
        <v>321</v>
      </c>
      <c r="M486">
        <f>IF(C486&lt;&gt;"",C486,_xlfn.XLOOKUP(B486,AI_NAMES!D:D,AI_NAMES!E:E,"",0))</f>
        <v>0</v>
      </c>
    </row>
    <row r="487" spans="1:13" x14ac:dyDescent="0.2">
      <c r="A487" t="s">
        <v>624</v>
      </c>
      <c r="B487" t="str">
        <f>IF(L487&lt;&gt;"",L487,_xlfn.XLOOKUP(A487,AI_NAMES!C:C,AI_NAMES!D:D,"",0))</f>
        <v/>
      </c>
      <c r="L487" t="s">
        <v>321</v>
      </c>
      <c r="M487">
        <f>IF(C487&lt;&gt;"",C487,_xlfn.XLOOKUP(B487,AI_NAMES!D:D,AI_NAMES!E:E,"",0))</f>
        <v>0</v>
      </c>
    </row>
    <row r="488" spans="1:13" x14ac:dyDescent="0.2">
      <c r="A488" t="s">
        <v>625</v>
      </c>
      <c r="B488" t="str">
        <f>IF(L488&lt;&gt;"",L488,_xlfn.XLOOKUP(A488,AI_NAMES!C:C,AI_NAMES!D:D,"",0))</f>
        <v/>
      </c>
      <c r="L488" t="s">
        <v>321</v>
      </c>
      <c r="M488">
        <f>IF(C488&lt;&gt;"",C488,_xlfn.XLOOKUP(B488,AI_NAMES!D:D,AI_NAMES!E:E,"",0))</f>
        <v>0</v>
      </c>
    </row>
    <row r="489" spans="1:13" x14ac:dyDescent="0.2">
      <c r="A489" t="s">
        <v>626</v>
      </c>
      <c r="B489" t="str">
        <f>IF(L489&lt;&gt;"",L489,_xlfn.XLOOKUP(A489,AI_NAMES!C:C,AI_NAMES!D:D,"",0))</f>
        <v/>
      </c>
      <c r="L489" t="s">
        <v>321</v>
      </c>
      <c r="M489">
        <f>IF(C489&lt;&gt;"",C489,_xlfn.XLOOKUP(B489,AI_NAMES!D:D,AI_NAMES!E:E,"",0))</f>
        <v>0</v>
      </c>
    </row>
    <row r="490" spans="1:13" x14ac:dyDescent="0.2">
      <c r="A490" t="s">
        <v>627</v>
      </c>
      <c r="B490" t="str">
        <f>IF(L490&lt;&gt;"",L490,_xlfn.XLOOKUP(A490,AI_NAMES!C:C,AI_NAMES!D:D,"",0))</f>
        <v/>
      </c>
      <c r="L490" t="s">
        <v>321</v>
      </c>
      <c r="M490">
        <f>IF(C490&lt;&gt;"",C490,_xlfn.XLOOKUP(B490,AI_NAMES!D:D,AI_NAMES!E:E,"",0))</f>
        <v>0</v>
      </c>
    </row>
    <row r="491" spans="1:13" x14ac:dyDescent="0.2">
      <c r="A491" t="s">
        <v>628</v>
      </c>
      <c r="B491" t="str">
        <f>IF(L491&lt;&gt;"",L491,_xlfn.XLOOKUP(A491,AI_NAMES!C:C,AI_NAMES!D:D,"",0))</f>
        <v/>
      </c>
      <c r="L491" t="s">
        <v>321</v>
      </c>
      <c r="M491">
        <f>IF(C491&lt;&gt;"",C491,_xlfn.XLOOKUP(B491,AI_NAMES!D:D,AI_NAMES!E:E,"",0))</f>
        <v>0</v>
      </c>
    </row>
    <row r="492" spans="1:13" x14ac:dyDescent="0.2">
      <c r="A492" t="s">
        <v>629</v>
      </c>
      <c r="B492" t="str">
        <f>IF(L492&lt;&gt;"",L492,_xlfn.XLOOKUP(A492,AI_NAMES!C:C,AI_NAMES!D:D,"",0))</f>
        <v/>
      </c>
      <c r="L492" t="s">
        <v>321</v>
      </c>
      <c r="M492">
        <f>IF(C492&lt;&gt;"",C492,_xlfn.XLOOKUP(B492,AI_NAMES!D:D,AI_NAMES!E:E,"",0))</f>
        <v>0</v>
      </c>
    </row>
    <row r="493" spans="1:13" x14ac:dyDescent="0.2">
      <c r="A493" t="s">
        <v>630</v>
      </c>
      <c r="B493" t="str">
        <f>IF(L493&lt;&gt;"",L493,_xlfn.XLOOKUP(A493,AI_NAMES!C:C,AI_NAMES!D:D,"",0))</f>
        <v/>
      </c>
      <c r="L493" t="s">
        <v>321</v>
      </c>
      <c r="M493">
        <f>IF(C493&lt;&gt;"",C493,_xlfn.XLOOKUP(B493,AI_NAMES!D:D,AI_NAMES!E:E,"",0))</f>
        <v>0</v>
      </c>
    </row>
    <row r="494" spans="1:13" x14ac:dyDescent="0.2">
      <c r="A494" t="s">
        <v>631</v>
      </c>
      <c r="B494" t="str">
        <f>IF(L494&lt;&gt;"",L494,_xlfn.XLOOKUP(A494,AI_NAMES!C:C,AI_NAMES!D:D,"",0))</f>
        <v/>
      </c>
      <c r="L494" t="s">
        <v>321</v>
      </c>
      <c r="M494">
        <f>IF(C494&lt;&gt;"",C494,_xlfn.XLOOKUP(B494,AI_NAMES!D:D,AI_NAMES!E:E,"",0))</f>
        <v>0</v>
      </c>
    </row>
    <row r="495" spans="1:13" x14ac:dyDescent="0.2">
      <c r="A495" t="s">
        <v>632</v>
      </c>
      <c r="B495" t="str">
        <f>IF(L495&lt;&gt;"",L495,_xlfn.XLOOKUP(A495,AI_NAMES!C:C,AI_NAMES!D:D,"",0))</f>
        <v/>
      </c>
      <c r="L495" t="s">
        <v>321</v>
      </c>
      <c r="M495">
        <f>IF(C495&lt;&gt;"",C495,_xlfn.XLOOKUP(B495,AI_NAMES!D:D,AI_NAMES!E:E,"",0))</f>
        <v>0</v>
      </c>
    </row>
    <row r="496" spans="1:13" x14ac:dyDescent="0.2">
      <c r="A496" t="s">
        <v>633</v>
      </c>
      <c r="B496" t="str">
        <f>IF(L496&lt;&gt;"",L496,_xlfn.XLOOKUP(A496,AI_NAMES!C:C,AI_NAMES!D:D,"",0))</f>
        <v/>
      </c>
      <c r="L496" t="s">
        <v>321</v>
      </c>
      <c r="M496">
        <f>IF(C496&lt;&gt;"",C496,_xlfn.XLOOKUP(B496,AI_NAMES!D:D,AI_NAMES!E:E,"",0))</f>
        <v>0</v>
      </c>
    </row>
    <row r="497" spans="1:13" x14ac:dyDescent="0.2">
      <c r="A497" t="s">
        <v>634</v>
      </c>
      <c r="B497" t="str">
        <f>IF(L497&lt;&gt;"",L497,_xlfn.XLOOKUP(A497,AI_NAMES!C:C,AI_NAMES!D:D,"",0))</f>
        <v/>
      </c>
      <c r="L497" t="s">
        <v>321</v>
      </c>
      <c r="M497">
        <f>IF(C497&lt;&gt;"",C497,_xlfn.XLOOKUP(B497,AI_NAMES!D:D,AI_NAMES!E:E,"",0))</f>
        <v>0</v>
      </c>
    </row>
    <row r="498" spans="1:13" x14ac:dyDescent="0.2">
      <c r="A498" t="s">
        <v>635</v>
      </c>
      <c r="B498" t="str">
        <f>IF(L498&lt;&gt;"",L498,_xlfn.XLOOKUP(A498,AI_NAMES!C:C,AI_NAMES!D:D,"",0))</f>
        <v/>
      </c>
      <c r="L498" t="s">
        <v>321</v>
      </c>
      <c r="M498">
        <f>IF(C498&lt;&gt;"",C498,_xlfn.XLOOKUP(B498,AI_NAMES!D:D,AI_NAMES!E:E,"",0))</f>
        <v>0</v>
      </c>
    </row>
    <row r="499" spans="1:13" x14ac:dyDescent="0.2">
      <c r="A499" t="s">
        <v>636</v>
      </c>
      <c r="B499" t="str">
        <f>IF(L499&lt;&gt;"",L499,_xlfn.XLOOKUP(A499,AI_NAMES!C:C,AI_NAMES!D:D,"",0))</f>
        <v/>
      </c>
      <c r="L499" t="s">
        <v>321</v>
      </c>
      <c r="M499">
        <f>IF(C499&lt;&gt;"",C499,_xlfn.XLOOKUP(B499,AI_NAMES!D:D,AI_NAMES!E:E,"",0))</f>
        <v>0</v>
      </c>
    </row>
    <row r="500" spans="1:13" x14ac:dyDescent="0.2">
      <c r="A500" t="s">
        <v>637</v>
      </c>
      <c r="B500" t="str">
        <f>IF(L500&lt;&gt;"",L500,_xlfn.XLOOKUP(A500,AI_NAMES!C:C,AI_NAMES!D:D,"",0))</f>
        <v/>
      </c>
      <c r="L500" t="s">
        <v>321</v>
      </c>
      <c r="M500">
        <f>IF(C500&lt;&gt;"",C500,_xlfn.XLOOKUP(B500,AI_NAMES!D:D,AI_NAMES!E:E,"",0))</f>
        <v>0</v>
      </c>
    </row>
    <row r="501" spans="1:13" x14ac:dyDescent="0.2">
      <c r="A501" t="s">
        <v>638</v>
      </c>
      <c r="B501" t="str">
        <f>IF(L501&lt;&gt;"",L501,_xlfn.XLOOKUP(A501,AI_NAMES!C:C,AI_NAMES!D:D,"",0))</f>
        <v/>
      </c>
      <c r="L501" t="s">
        <v>321</v>
      </c>
      <c r="M501">
        <f>IF(C501&lt;&gt;"",C501,_xlfn.XLOOKUP(B501,AI_NAMES!D:D,AI_NAMES!E:E,"",0))</f>
        <v>0</v>
      </c>
    </row>
    <row r="502" spans="1:13" x14ac:dyDescent="0.2">
      <c r="A502" t="s">
        <v>639</v>
      </c>
      <c r="B502" t="str">
        <f>IF(L502&lt;&gt;"",L502,_xlfn.XLOOKUP(A502,AI_NAMES!C:C,AI_NAMES!D:D,"",0))</f>
        <v/>
      </c>
      <c r="L502" t="s">
        <v>321</v>
      </c>
      <c r="M502">
        <f>IF(C502&lt;&gt;"",C502,_xlfn.XLOOKUP(B502,AI_NAMES!D:D,AI_NAMES!E:E,"",0))</f>
        <v>0</v>
      </c>
    </row>
    <row r="503" spans="1:13" x14ac:dyDescent="0.2">
      <c r="A503" t="s">
        <v>640</v>
      </c>
      <c r="B503" t="str">
        <f>IF(L503&lt;&gt;"",L503,_xlfn.XLOOKUP(A503,AI_NAMES!C:C,AI_NAMES!D:D,"",0))</f>
        <v/>
      </c>
      <c r="L503" t="s">
        <v>321</v>
      </c>
      <c r="M503">
        <f>IF(C503&lt;&gt;"",C503,_xlfn.XLOOKUP(B503,AI_NAMES!D:D,AI_NAMES!E:E,"",0))</f>
        <v>0</v>
      </c>
    </row>
    <row r="504" spans="1:13" x14ac:dyDescent="0.2">
      <c r="A504" t="s">
        <v>641</v>
      </c>
      <c r="B504" t="str">
        <f>IF(L504&lt;&gt;"",L504,_xlfn.XLOOKUP(A504,AI_NAMES!C:C,AI_NAMES!D:D,"",0))</f>
        <v/>
      </c>
      <c r="L504" t="s">
        <v>321</v>
      </c>
      <c r="M504">
        <f>IF(C504&lt;&gt;"",C504,_xlfn.XLOOKUP(B504,AI_NAMES!D:D,AI_NAMES!E:E,"",0))</f>
        <v>0</v>
      </c>
    </row>
    <row r="505" spans="1:13" x14ac:dyDescent="0.2">
      <c r="A505" t="s">
        <v>642</v>
      </c>
      <c r="B505" t="str">
        <f>IF(L505&lt;&gt;"",L505,_xlfn.XLOOKUP(A505,AI_NAMES!C:C,AI_NAMES!D:D,"",0))</f>
        <v/>
      </c>
      <c r="L505" t="s">
        <v>321</v>
      </c>
      <c r="M505">
        <f>IF(C505&lt;&gt;"",C505,_xlfn.XLOOKUP(B505,AI_NAMES!D:D,AI_NAMES!E:E,"",0))</f>
        <v>0</v>
      </c>
    </row>
    <row r="506" spans="1:13" x14ac:dyDescent="0.2">
      <c r="A506" t="s">
        <v>643</v>
      </c>
      <c r="B506" t="str">
        <f>IF(L506&lt;&gt;"",L506,_xlfn.XLOOKUP(A506,AI_NAMES!C:C,AI_NAMES!D:D,"",0))</f>
        <v/>
      </c>
      <c r="L506" t="s">
        <v>321</v>
      </c>
      <c r="M506">
        <f>IF(C506&lt;&gt;"",C506,_xlfn.XLOOKUP(B506,AI_NAMES!D:D,AI_NAMES!E:E,"",0))</f>
        <v>0</v>
      </c>
    </row>
    <row r="507" spans="1:13" x14ac:dyDescent="0.2">
      <c r="A507" t="s">
        <v>644</v>
      </c>
      <c r="B507" t="str">
        <f>IF(L507&lt;&gt;"",L507,_xlfn.XLOOKUP(A507,AI_NAMES!C:C,AI_NAMES!D:D,"",0))</f>
        <v/>
      </c>
      <c r="L507" t="s">
        <v>321</v>
      </c>
      <c r="M507">
        <f>IF(C507&lt;&gt;"",C507,_xlfn.XLOOKUP(B507,AI_NAMES!D:D,AI_NAMES!E:E,"",0))</f>
        <v>0</v>
      </c>
    </row>
    <row r="508" spans="1:13" x14ac:dyDescent="0.2">
      <c r="A508" t="s">
        <v>645</v>
      </c>
      <c r="B508" t="str">
        <f>IF(L508&lt;&gt;"",L508,_xlfn.XLOOKUP(A508,AI_NAMES!C:C,AI_NAMES!D:D,"",0))</f>
        <v/>
      </c>
      <c r="L508" t="s">
        <v>321</v>
      </c>
      <c r="M508">
        <f>IF(C508&lt;&gt;"",C508,_xlfn.XLOOKUP(B508,AI_NAMES!D:D,AI_NAMES!E:E,"",0))</f>
        <v>0</v>
      </c>
    </row>
    <row r="509" spans="1:13" x14ac:dyDescent="0.2">
      <c r="A509" t="s">
        <v>646</v>
      </c>
      <c r="B509" t="str">
        <f>IF(L509&lt;&gt;"",L509,_xlfn.XLOOKUP(A509,AI_NAMES!C:C,AI_NAMES!D:D,"",0))</f>
        <v/>
      </c>
      <c r="L509" t="s">
        <v>321</v>
      </c>
      <c r="M509">
        <f>IF(C509&lt;&gt;"",C509,_xlfn.XLOOKUP(B509,AI_NAMES!D:D,AI_NAMES!E:E,"",0))</f>
        <v>0</v>
      </c>
    </row>
    <row r="510" spans="1:13" x14ac:dyDescent="0.2">
      <c r="A510" t="s">
        <v>647</v>
      </c>
      <c r="B510" t="str">
        <f>IF(L510&lt;&gt;"",L510,_xlfn.XLOOKUP(A510,AI_NAMES!C:C,AI_NAMES!D:D,"",0))</f>
        <v/>
      </c>
      <c r="L510" t="s">
        <v>321</v>
      </c>
      <c r="M510">
        <f>IF(C510&lt;&gt;"",C510,_xlfn.XLOOKUP(B510,AI_NAMES!D:D,AI_NAMES!E:E,"",0))</f>
        <v>0</v>
      </c>
    </row>
    <row r="511" spans="1:13" x14ac:dyDescent="0.2">
      <c r="A511" t="s">
        <v>648</v>
      </c>
      <c r="B511" t="str">
        <f>IF(L511&lt;&gt;"",L511,_xlfn.XLOOKUP(A511,AI_NAMES!C:C,AI_NAMES!D:D,"",0))</f>
        <v/>
      </c>
      <c r="L511" t="s">
        <v>321</v>
      </c>
      <c r="M511">
        <f>IF(C511&lt;&gt;"",C511,_xlfn.XLOOKUP(B511,AI_NAMES!D:D,AI_NAMES!E:E,"",0))</f>
        <v>0</v>
      </c>
    </row>
    <row r="512" spans="1:13" x14ac:dyDescent="0.2">
      <c r="A512" t="s">
        <v>649</v>
      </c>
      <c r="B512" t="str">
        <f>IF(L512&lt;&gt;"",L512,_xlfn.XLOOKUP(A512,AI_NAMES!C:C,AI_NAMES!D:D,"",0))</f>
        <v/>
      </c>
      <c r="L512" t="s">
        <v>321</v>
      </c>
      <c r="M512">
        <f>IF(C512&lt;&gt;"",C512,_xlfn.XLOOKUP(B512,AI_NAMES!D:D,AI_NAMES!E:E,"",0))</f>
        <v>0</v>
      </c>
    </row>
    <row r="513" spans="1:13" x14ac:dyDescent="0.2">
      <c r="A513" t="s">
        <v>650</v>
      </c>
      <c r="B513" t="str">
        <f>IF(L513&lt;&gt;"",L513,_xlfn.XLOOKUP(A513,AI_NAMES!C:C,AI_NAMES!D:D,"",0))</f>
        <v/>
      </c>
      <c r="L513" t="s">
        <v>321</v>
      </c>
      <c r="M513">
        <f>IF(C513&lt;&gt;"",C513,_xlfn.XLOOKUP(B513,AI_NAMES!D:D,AI_NAMES!E:E,"",0))</f>
        <v>0</v>
      </c>
    </row>
    <row r="514" spans="1:13" x14ac:dyDescent="0.2">
      <c r="A514" t="s">
        <v>651</v>
      </c>
      <c r="B514" t="str">
        <f>IF(L514&lt;&gt;"",L514,_xlfn.XLOOKUP(A514,AI_NAMES!C:C,AI_NAMES!D:D,"",0))</f>
        <v/>
      </c>
      <c r="L514" t="s">
        <v>321</v>
      </c>
      <c r="M514">
        <f>IF(C514&lt;&gt;"",C514,_xlfn.XLOOKUP(B514,AI_NAMES!D:D,AI_NAMES!E:E,"",0))</f>
        <v>0</v>
      </c>
    </row>
    <row r="515" spans="1:13" x14ac:dyDescent="0.2">
      <c r="A515" t="s">
        <v>652</v>
      </c>
      <c r="B515" t="str">
        <f>IF(L515&lt;&gt;"",L515,_xlfn.XLOOKUP(A515,AI_NAMES!C:C,AI_NAMES!D:D,"",0))</f>
        <v/>
      </c>
      <c r="L515" t="s">
        <v>321</v>
      </c>
      <c r="M515">
        <f>IF(C515&lt;&gt;"",C515,_xlfn.XLOOKUP(B515,AI_NAMES!D:D,AI_NAMES!E:E,"",0))</f>
        <v>0</v>
      </c>
    </row>
    <row r="516" spans="1:13" x14ac:dyDescent="0.2">
      <c r="A516" t="s">
        <v>653</v>
      </c>
      <c r="B516" t="str">
        <f>IF(L516&lt;&gt;"",L516,_xlfn.XLOOKUP(A516,AI_NAMES!C:C,AI_NAMES!D:D,"",0))</f>
        <v/>
      </c>
      <c r="L516" t="s">
        <v>321</v>
      </c>
      <c r="M516">
        <f>IF(C516&lt;&gt;"",C516,_xlfn.XLOOKUP(B516,AI_NAMES!D:D,AI_NAMES!E:E,"",0))</f>
        <v>0</v>
      </c>
    </row>
    <row r="517" spans="1:13" x14ac:dyDescent="0.2">
      <c r="A517" t="s">
        <v>654</v>
      </c>
      <c r="B517" t="str">
        <f>IF(L517&lt;&gt;"",L517,_xlfn.XLOOKUP(A517,AI_NAMES!C:C,AI_NAMES!D:D,"",0))</f>
        <v/>
      </c>
      <c r="L517" t="s">
        <v>321</v>
      </c>
      <c r="M517">
        <f>IF(C517&lt;&gt;"",C517,_xlfn.XLOOKUP(B517,AI_NAMES!D:D,AI_NAMES!E:E,"",0))</f>
        <v>0</v>
      </c>
    </row>
    <row r="518" spans="1:13" x14ac:dyDescent="0.2">
      <c r="A518" t="s">
        <v>655</v>
      </c>
      <c r="B518" t="str">
        <f>IF(L518&lt;&gt;"",L518,_xlfn.XLOOKUP(A518,AI_NAMES!C:C,AI_NAMES!D:D,"",0))</f>
        <v/>
      </c>
      <c r="L518" t="s">
        <v>321</v>
      </c>
      <c r="M518">
        <f>IF(C518&lt;&gt;"",C518,_xlfn.XLOOKUP(B518,AI_NAMES!D:D,AI_NAMES!E:E,"",0))</f>
        <v>0</v>
      </c>
    </row>
    <row r="519" spans="1:13" x14ac:dyDescent="0.2">
      <c r="A519" t="s">
        <v>656</v>
      </c>
      <c r="B519" t="str">
        <f>IF(L519&lt;&gt;"",L519,_xlfn.XLOOKUP(A519,AI_NAMES!C:C,AI_NAMES!D:D,"",0))</f>
        <v/>
      </c>
      <c r="L519" t="s">
        <v>321</v>
      </c>
      <c r="M519">
        <f>IF(C519&lt;&gt;"",C519,_xlfn.XLOOKUP(B519,AI_NAMES!D:D,AI_NAMES!E:E,"",0))</f>
        <v>0</v>
      </c>
    </row>
    <row r="520" spans="1:13" x14ac:dyDescent="0.2">
      <c r="A520" t="s">
        <v>657</v>
      </c>
      <c r="B520" t="str">
        <f>IF(L520&lt;&gt;"",L520,_xlfn.XLOOKUP(A520,AI_NAMES!C:C,AI_NAMES!D:D,"",0))</f>
        <v/>
      </c>
      <c r="L520" t="s">
        <v>321</v>
      </c>
      <c r="M520">
        <f>IF(C520&lt;&gt;"",C520,_xlfn.XLOOKUP(B520,AI_NAMES!D:D,AI_NAMES!E:E,"",0))</f>
        <v>0</v>
      </c>
    </row>
    <row r="521" spans="1:13" x14ac:dyDescent="0.2">
      <c r="A521" t="s">
        <v>658</v>
      </c>
      <c r="B521" t="str">
        <f>IF(L521&lt;&gt;"",L521,_xlfn.XLOOKUP(A521,AI_NAMES!C:C,AI_NAMES!D:D,"",0))</f>
        <v/>
      </c>
      <c r="L521" t="s">
        <v>321</v>
      </c>
      <c r="M521">
        <f>IF(C521&lt;&gt;"",C521,_xlfn.XLOOKUP(B521,AI_NAMES!D:D,AI_NAMES!E:E,"",0))</f>
        <v>0</v>
      </c>
    </row>
    <row r="522" spans="1:13" x14ac:dyDescent="0.2">
      <c r="A522" t="s">
        <v>659</v>
      </c>
      <c r="B522" t="str">
        <f>IF(L522&lt;&gt;"",L522,_xlfn.XLOOKUP(A522,AI_NAMES!C:C,AI_NAMES!D:D,"",0))</f>
        <v/>
      </c>
      <c r="L522" t="s">
        <v>321</v>
      </c>
      <c r="M522">
        <f>IF(C522&lt;&gt;"",C522,_xlfn.XLOOKUP(B522,AI_NAMES!D:D,AI_NAMES!E:E,"",0))</f>
        <v>0</v>
      </c>
    </row>
    <row r="523" spans="1:13" x14ac:dyDescent="0.2">
      <c r="A523" t="s">
        <v>660</v>
      </c>
      <c r="B523" t="str">
        <f>IF(L523&lt;&gt;"",L523,_xlfn.XLOOKUP(A523,AI_NAMES!C:C,AI_NAMES!D:D,"",0))</f>
        <v/>
      </c>
      <c r="L523" t="s">
        <v>321</v>
      </c>
      <c r="M523">
        <f>IF(C523&lt;&gt;"",C523,_xlfn.XLOOKUP(B523,AI_NAMES!D:D,AI_NAMES!E:E,"",0))</f>
        <v>0</v>
      </c>
    </row>
    <row r="524" spans="1:13" x14ac:dyDescent="0.2">
      <c r="A524" t="s">
        <v>661</v>
      </c>
      <c r="B524" t="str">
        <f>IF(L524&lt;&gt;"",L524,_xlfn.XLOOKUP(A524,AI_NAMES!C:C,AI_NAMES!D:D,"",0))</f>
        <v/>
      </c>
      <c r="L524" t="s">
        <v>321</v>
      </c>
      <c r="M524">
        <f>IF(C524&lt;&gt;"",C524,_xlfn.XLOOKUP(B524,AI_NAMES!D:D,AI_NAMES!E:E,"",0))</f>
        <v>0</v>
      </c>
    </row>
    <row r="525" spans="1:13" x14ac:dyDescent="0.2">
      <c r="A525" t="s">
        <v>662</v>
      </c>
      <c r="B525" t="str">
        <f>IF(L525&lt;&gt;"",L525,_xlfn.XLOOKUP(A525,AI_NAMES!C:C,AI_NAMES!D:D,"",0))</f>
        <v/>
      </c>
      <c r="L525" t="s">
        <v>321</v>
      </c>
      <c r="M525">
        <f>IF(C525&lt;&gt;"",C525,_xlfn.XLOOKUP(B525,AI_NAMES!D:D,AI_NAMES!E:E,"",0))</f>
        <v>0</v>
      </c>
    </row>
    <row r="526" spans="1:13" x14ac:dyDescent="0.2">
      <c r="A526" t="s">
        <v>663</v>
      </c>
      <c r="B526" t="str">
        <f>IF(L526&lt;&gt;"",L526,_xlfn.XLOOKUP(A526,AI_NAMES!C:C,AI_NAMES!D:D,"",0))</f>
        <v/>
      </c>
      <c r="L526" t="s">
        <v>321</v>
      </c>
      <c r="M526">
        <f>IF(C526&lt;&gt;"",C526,_xlfn.XLOOKUP(B526,AI_NAMES!D:D,AI_NAMES!E:E,"",0))</f>
        <v>0</v>
      </c>
    </row>
    <row r="527" spans="1:13" x14ac:dyDescent="0.2">
      <c r="A527" t="s">
        <v>664</v>
      </c>
      <c r="B527" t="str">
        <f>IF(L527&lt;&gt;"",L527,_xlfn.XLOOKUP(A527,AI_NAMES!C:C,AI_NAMES!D:D,"",0))</f>
        <v/>
      </c>
      <c r="L527" t="s">
        <v>321</v>
      </c>
      <c r="M527">
        <f>IF(C527&lt;&gt;"",C527,_xlfn.XLOOKUP(B527,AI_NAMES!D:D,AI_NAMES!E:E,"",0))</f>
        <v>0</v>
      </c>
    </row>
    <row r="528" spans="1:13" x14ac:dyDescent="0.2">
      <c r="A528" t="s">
        <v>665</v>
      </c>
      <c r="B528" t="str">
        <f>IF(L528&lt;&gt;"",L528,_xlfn.XLOOKUP(A528,AI_NAMES!C:C,AI_NAMES!D:D,"",0))</f>
        <v/>
      </c>
      <c r="L528" t="s">
        <v>321</v>
      </c>
      <c r="M528">
        <f>IF(C528&lt;&gt;"",C528,_xlfn.XLOOKUP(B528,AI_NAMES!D:D,AI_NAMES!E:E,"",0))</f>
        <v>0</v>
      </c>
    </row>
    <row r="529" spans="1:13" x14ac:dyDescent="0.2">
      <c r="A529" t="s">
        <v>666</v>
      </c>
      <c r="B529" t="str">
        <f>IF(L529&lt;&gt;"",L529,_xlfn.XLOOKUP(A529,AI_NAMES!C:C,AI_NAMES!D:D,"",0))</f>
        <v/>
      </c>
      <c r="L529" t="s">
        <v>321</v>
      </c>
      <c r="M529">
        <f>IF(C529&lt;&gt;"",C529,_xlfn.XLOOKUP(B529,AI_NAMES!D:D,AI_NAMES!E:E,"",0))</f>
        <v>0</v>
      </c>
    </row>
    <row r="530" spans="1:13" x14ac:dyDescent="0.2">
      <c r="A530" t="s">
        <v>667</v>
      </c>
      <c r="B530" t="str">
        <f>IF(L530&lt;&gt;"",L530,_xlfn.XLOOKUP(A530,AI_NAMES!C:C,AI_NAMES!D:D,"",0))</f>
        <v/>
      </c>
      <c r="L530" t="s">
        <v>321</v>
      </c>
      <c r="M530">
        <f>IF(C530&lt;&gt;"",C530,_xlfn.XLOOKUP(B530,AI_NAMES!D:D,AI_NAMES!E:E,"",0))</f>
        <v>0</v>
      </c>
    </row>
    <row r="531" spans="1:13" x14ac:dyDescent="0.2">
      <c r="A531" t="s">
        <v>668</v>
      </c>
      <c r="B531" t="str">
        <f>IF(L531&lt;&gt;"",L531,_xlfn.XLOOKUP(A531,AI_NAMES!C:C,AI_NAMES!D:D,"",0))</f>
        <v/>
      </c>
      <c r="L531" t="s">
        <v>321</v>
      </c>
      <c r="M531">
        <f>IF(C531&lt;&gt;"",C531,_xlfn.XLOOKUP(B531,AI_NAMES!D:D,AI_NAMES!E:E,"",0))</f>
        <v>0</v>
      </c>
    </row>
    <row r="532" spans="1:13" x14ac:dyDescent="0.2">
      <c r="A532" t="s">
        <v>669</v>
      </c>
      <c r="B532" t="str">
        <f>IF(L532&lt;&gt;"",L532,_xlfn.XLOOKUP(A532,AI_NAMES!C:C,AI_NAMES!D:D,"",0))</f>
        <v/>
      </c>
      <c r="L532" t="s">
        <v>321</v>
      </c>
      <c r="M532">
        <f>IF(C532&lt;&gt;"",C532,_xlfn.XLOOKUP(B532,AI_NAMES!D:D,AI_NAMES!E:E,"",0))</f>
        <v>0</v>
      </c>
    </row>
    <row r="533" spans="1:13" x14ac:dyDescent="0.2">
      <c r="A533" t="s">
        <v>670</v>
      </c>
      <c r="B533" t="str">
        <f>IF(L533&lt;&gt;"",L533,_xlfn.XLOOKUP(A533,AI_NAMES!C:C,AI_NAMES!D:D,"",0))</f>
        <v/>
      </c>
      <c r="L533" t="s">
        <v>321</v>
      </c>
      <c r="M533">
        <f>IF(C533&lt;&gt;"",C533,_xlfn.XLOOKUP(B533,AI_NAMES!D:D,AI_NAMES!E:E,"",0))</f>
        <v>0</v>
      </c>
    </row>
    <row r="534" spans="1:13" x14ac:dyDescent="0.2">
      <c r="A534" t="s">
        <v>671</v>
      </c>
      <c r="B534" t="str">
        <f>IF(L534&lt;&gt;"",L534,_xlfn.XLOOKUP(A534,AI_NAMES!C:C,AI_NAMES!D:D,"",0))</f>
        <v/>
      </c>
      <c r="L534" t="s">
        <v>321</v>
      </c>
      <c r="M534">
        <f>IF(C534&lt;&gt;"",C534,_xlfn.XLOOKUP(B534,AI_NAMES!D:D,AI_NAMES!E:E,"",0))</f>
        <v>0</v>
      </c>
    </row>
    <row r="535" spans="1:13" x14ac:dyDescent="0.2">
      <c r="A535" t="s">
        <v>672</v>
      </c>
      <c r="B535" t="str">
        <f>IF(L535&lt;&gt;"",L535,_xlfn.XLOOKUP(A535,AI_NAMES!C:C,AI_NAMES!D:D,"",0))</f>
        <v/>
      </c>
      <c r="L535" t="s">
        <v>321</v>
      </c>
      <c r="M535">
        <f>IF(C535&lt;&gt;"",C535,_xlfn.XLOOKUP(B535,AI_NAMES!D:D,AI_NAMES!E:E,"",0))</f>
        <v>0</v>
      </c>
    </row>
    <row r="536" spans="1:13" x14ac:dyDescent="0.2">
      <c r="A536" t="s">
        <v>673</v>
      </c>
      <c r="B536" t="str">
        <f>IF(L536&lt;&gt;"",L536,_xlfn.XLOOKUP(A536,AI_NAMES!C:C,AI_NAMES!D:D,"",0))</f>
        <v/>
      </c>
      <c r="L536" t="s">
        <v>321</v>
      </c>
      <c r="M536">
        <f>IF(C536&lt;&gt;"",C536,_xlfn.XLOOKUP(B536,AI_NAMES!D:D,AI_NAMES!E:E,"",0))</f>
        <v>0</v>
      </c>
    </row>
    <row r="537" spans="1:13" x14ac:dyDescent="0.2">
      <c r="A537" t="s">
        <v>674</v>
      </c>
      <c r="B537" t="str">
        <f>IF(L537&lt;&gt;"",L537,_xlfn.XLOOKUP(A537,AI_NAMES!C:C,AI_NAMES!D:D,"",0))</f>
        <v/>
      </c>
      <c r="L537" t="s">
        <v>321</v>
      </c>
      <c r="M537">
        <f>IF(C537&lt;&gt;"",C537,_xlfn.XLOOKUP(B537,AI_NAMES!D:D,AI_NAMES!E:E,"",0))</f>
        <v>0</v>
      </c>
    </row>
    <row r="538" spans="1:13" x14ac:dyDescent="0.2">
      <c r="A538" t="s">
        <v>675</v>
      </c>
      <c r="B538" t="str">
        <f>IF(L538&lt;&gt;"",L538,_xlfn.XLOOKUP(A538,AI_NAMES!C:C,AI_NAMES!D:D,"",0))</f>
        <v/>
      </c>
      <c r="L538" t="s">
        <v>321</v>
      </c>
      <c r="M538">
        <f>IF(C538&lt;&gt;"",C538,_xlfn.XLOOKUP(B538,AI_NAMES!D:D,AI_NAMES!E:E,"",0))</f>
        <v>0</v>
      </c>
    </row>
    <row r="539" spans="1:13" x14ac:dyDescent="0.2">
      <c r="A539" t="s">
        <v>676</v>
      </c>
      <c r="B539" t="str">
        <f>IF(L539&lt;&gt;"",L539,_xlfn.XLOOKUP(A539,AI_NAMES!C:C,AI_NAMES!D:D,"",0))</f>
        <v/>
      </c>
      <c r="L539" t="s">
        <v>321</v>
      </c>
      <c r="M539">
        <f>IF(C539&lt;&gt;"",C539,_xlfn.XLOOKUP(B539,AI_NAMES!D:D,AI_NAMES!E:E,"",0))</f>
        <v>0</v>
      </c>
    </row>
    <row r="540" spans="1:13" x14ac:dyDescent="0.2">
      <c r="A540" t="s">
        <v>677</v>
      </c>
      <c r="B540" t="str">
        <f>IF(L540&lt;&gt;"",L540,_xlfn.XLOOKUP(A540,AI_NAMES!C:C,AI_NAMES!D:D,"",0))</f>
        <v/>
      </c>
      <c r="L540" t="s">
        <v>321</v>
      </c>
      <c r="M540">
        <f>IF(C540&lt;&gt;"",C540,_xlfn.XLOOKUP(B540,AI_NAMES!D:D,AI_NAMES!E:E,"",0))</f>
        <v>0</v>
      </c>
    </row>
    <row r="541" spans="1:13" x14ac:dyDescent="0.2">
      <c r="A541" t="s">
        <v>678</v>
      </c>
      <c r="B541" t="str">
        <f>IF(L541&lt;&gt;"",L541,_xlfn.XLOOKUP(A541,AI_NAMES!C:C,AI_NAMES!D:D,"",0))</f>
        <v/>
      </c>
      <c r="L541" t="s">
        <v>321</v>
      </c>
      <c r="M541">
        <f>IF(C541&lt;&gt;"",C541,_xlfn.XLOOKUP(B541,AI_NAMES!D:D,AI_NAMES!E:E,"",0))</f>
        <v>0</v>
      </c>
    </row>
    <row r="542" spans="1:13" x14ac:dyDescent="0.2">
      <c r="A542" t="s">
        <v>679</v>
      </c>
      <c r="B542" t="str">
        <f>IF(L542&lt;&gt;"",L542,_xlfn.XLOOKUP(A542,AI_NAMES!C:C,AI_NAMES!D:D,"",0))</f>
        <v/>
      </c>
      <c r="L542" t="s">
        <v>321</v>
      </c>
      <c r="M542">
        <f>IF(C542&lt;&gt;"",C542,_xlfn.XLOOKUP(B542,AI_NAMES!D:D,AI_NAMES!E:E,"",0))</f>
        <v>0</v>
      </c>
    </row>
    <row r="543" spans="1:13" x14ac:dyDescent="0.2">
      <c r="A543" t="s">
        <v>680</v>
      </c>
      <c r="B543" t="str">
        <f>IF(L543&lt;&gt;"",L543,_xlfn.XLOOKUP(A543,AI_NAMES!C:C,AI_NAMES!D:D,"",0))</f>
        <v/>
      </c>
      <c r="L543" t="s">
        <v>321</v>
      </c>
      <c r="M543">
        <f>IF(C543&lt;&gt;"",C543,_xlfn.XLOOKUP(B543,AI_NAMES!D:D,AI_NAMES!E:E,"",0))</f>
        <v>0</v>
      </c>
    </row>
    <row r="544" spans="1:13" x14ac:dyDescent="0.2">
      <c r="A544" t="s">
        <v>681</v>
      </c>
      <c r="B544" t="str">
        <f>IF(L544&lt;&gt;"",L544,_xlfn.XLOOKUP(A544,AI_NAMES!C:C,AI_NAMES!D:D,"",0))</f>
        <v/>
      </c>
      <c r="L544" t="s">
        <v>321</v>
      </c>
      <c r="M544">
        <f>IF(C544&lt;&gt;"",C544,_xlfn.XLOOKUP(B544,AI_NAMES!D:D,AI_NAMES!E:E,"",0))</f>
        <v>0</v>
      </c>
    </row>
    <row r="545" spans="1:13" x14ac:dyDescent="0.2">
      <c r="A545" t="s">
        <v>682</v>
      </c>
      <c r="B545" t="str">
        <f>IF(L545&lt;&gt;"",L545,_xlfn.XLOOKUP(A545,AI_NAMES!C:C,AI_NAMES!D:D,"",0))</f>
        <v/>
      </c>
      <c r="L545" t="s">
        <v>321</v>
      </c>
      <c r="M545">
        <f>IF(C545&lt;&gt;"",C545,_xlfn.XLOOKUP(B545,AI_NAMES!D:D,AI_NAMES!E:E,"",0))</f>
        <v>0</v>
      </c>
    </row>
    <row r="546" spans="1:13" x14ac:dyDescent="0.2">
      <c r="A546" t="s">
        <v>683</v>
      </c>
      <c r="B546" t="str">
        <f>IF(L546&lt;&gt;"",L546,_xlfn.XLOOKUP(A546,AI_NAMES!C:C,AI_NAMES!D:D,"",0))</f>
        <v/>
      </c>
      <c r="L546" t="s">
        <v>321</v>
      </c>
      <c r="M546">
        <f>IF(C546&lt;&gt;"",C546,_xlfn.XLOOKUP(B546,AI_NAMES!D:D,AI_NAMES!E:E,"",0))</f>
        <v>0</v>
      </c>
    </row>
    <row r="547" spans="1:13" x14ac:dyDescent="0.2">
      <c r="A547" t="s">
        <v>684</v>
      </c>
      <c r="B547" t="str">
        <f>IF(L547&lt;&gt;"",L547,_xlfn.XLOOKUP(A547,AI_NAMES!C:C,AI_NAMES!D:D,"",0))</f>
        <v/>
      </c>
      <c r="L547" t="s">
        <v>321</v>
      </c>
      <c r="M547">
        <f>IF(C547&lt;&gt;"",C547,_xlfn.XLOOKUP(B547,AI_NAMES!D:D,AI_NAMES!E:E,"",0))</f>
        <v>0</v>
      </c>
    </row>
    <row r="548" spans="1:13" x14ac:dyDescent="0.2">
      <c r="A548" t="s">
        <v>685</v>
      </c>
      <c r="B548" t="str">
        <f>IF(L548&lt;&gt;"",L548,_xlfn.XLOOKUP(A548,AI_NAMES!C:C,AI_NAMES!D:D,"",0))</f>
        <v/>
      </c>
      <c r="L548" t="s">
        <v>321</v>
      </c>
      <c r="M548">
        <f>IF(C548&lt;&gt;"",C548,_xlfn.XLOOKUP(B548,AI_NAMES!D:D,AI_NAMES!E:E,"",0))</f>
        <v>0</v>
      </c>
    </row>
    <row r="549" spans="1:13" x14ac:dyDescent="0.2">
      <c r="A549" t="s">
        <v>686</v>
      </c>
      <c r="B549" t="str">
        <f>IF(L549&lt;&gt;"",L549,_xlfn.XLOOKUP(A549,AI_NAMES!C:C,AI_NAMES!D:D,"",0))</f>
        <v/>
      </c>
      <c r="L549" t="s">
        <v>321</v>
      </c>
      <c r="M549">
        <f>IF(C549&lt;&gt;"",C549,_xlfn.XLOOKUP(B549,AI_NAMES!D:D,AI_NAMES!E:E,"",0))</f>
        <v>0</v>
      </c>
    </row>
    <row r="550" spans="1:13" x14ac:dyDescent="0.2">
      <c r="A550" t="s">
        <v>687</v>
      </c>
      <c r="B550" t="str">
        <f>IF(L550&lt;&gt;"",L550,_xlfn.XLOOKUP(A550,AI_NAMES!C:C,AI_NAMES!D:D,"",0))</f>
        <v/>
      </c>
      <c r="L550" t="s">
        <v>321</v>
      </c>
      <c r="M550">
        <f>IF(C550&lt;&gt;"",C550,_xlfn.XLOOKUP(B550,AI_NAMES!D:D,AI_NAMES!E:E,"",0))</f>
        <v>0</v>
      </c>
    </row>
    <row r="551" spans="1:13" x14ac:dyDescent="0.2">
      <c r="A551" t="s">
        <v>688</v>
      </c>
      <c r="B551" t="str">
        <f>IF(L551&lt;&gt;"",L551,_xlfn.XLOOKUP(A551,AI_NAMES!C:C,AI_NAMES!D:D,"",0))</f>
        <v/>
      </c>
      <c r="L551" t="s">
        <v>321</v>
      </c>
      <c r="M551">
        <f>IF(C551&lt;&gt;"",C551,_xlfn.XLOOKUP(B551,AI_NAMES!D:D,AI_NAMES!E:E,"",0))</f>
        <v>0</v>
      </c>
    </row>
    <row r="552" spans="1:13" x14ac:dyDescent="0.2">
      <c r="A552" t="s">
        <v>689</v>
      </c>
      <c r="B552" t="str">
        <f>IF(L552&lt;&gt;"",L552,_xlfn.XLOOKUP(A552,AI_NAMES!C:C,AI_NAMES!D:D,"",0))</f>
        <v/>
      </c>
      <c r="L552" t="s">
        <v>321</v>
      </c>
      <c r="M552">
        <f>IF(C552&lt;&gt;"",C552,_xlfn.XLOOKUP(B552,AI_NAMES!D:D,AI_NAMES!E:E,"",0))</f>
        <v>0</v>
      </c>
    </row>
    <row r="553" spans="1:13" x14ac:dyDescent="0.2">
      <c r="A553" t="s">
        <v>690</v>
      </c>
      <c r="B553" t="str">
        <f>IF(L553&lt;&gt;"",L553,_xlfn.XLOOKUP(A553,AI_NAMES!C:C,AI_NAMES!D:D,"",0))</f>
        <v/>
      </c>
      <c r="L553" t="s">
        <v>321</v>
      </c>
      <c r="M553">
        <f>IF(C553&lt;&gt;"",C553,_xlfn.XLOOKUP(B553,AI_NAMES!D:D,AI_NAMES!E:E,"",0))</f>
        <v>0</v>
      </c>
    </row>
    <row r="554" spans="1:13" x14ac:dyDescent="0.2">
      <c r="A554" t="s">
        <v>691</v>
      </c>
      <c r="B554" t="str">
        <f>IF(L554&lt;&gt;"",L554,_xlfn.XLOOKUP(A554,AI_NAMES!C:C,AI_NAMES!D:D,"",0))</f>
        <v/>
      </c>
      <c r="L554" t="s">
        <v>321</v>
      </c>
      <c r="M554">
        <f>IF(C554&lt;&gt;"",C554,_xlfn.XLOOKUP(B554,AI_NAMES!D:D,AI_NAMES!E:E,"",0))</f>
        <v>0</v>
      </c>
    </row>
    <row r="555" spans="1:13" x14ac:dyDescent="0.2">
      <c r="A555" t="s">
        <v>692</v>
      </c>
      <c r="B555" t="str">
        <f>IF(L555&lt;&gt;"",L555,_xlfn.XLOOKUP(A555,AI_NAMES!C:C,AI_NAMES!D:D,"",0))</f>
        <v/>
      </c>
      <c r="L555" t="s">
        <v>321</v>
      </c>
      <c r="M555">
        <f>IF(C555&lt;&gt;"",C555,_xlfn.XLOOKUP(B555,AI_NAMES!D:D,AI_NAMES!E:E,"",0))</f>
        <v>0</v>
      </c>
    </row>
    <row r="556" spans="1:13" x14ac:dyDescent="0.2">
      <c r="A556" t="s">
        <v>693</v>
      </c>
      <c r="B556" t="str">
        <f>IF(L556&lt;&gt;"",L556,_xlfn.XLOOKUP(A556,AI_NAMES!C:C,AI_NAMES!D:D,"",0))</f>
        <v/>
      </c>
      <c r="L556" t="s">
        <v>321</v>
      </c>
      <c r="M556">
        <f>IF(C556&lt;&gt;"",C556,_xlfn.XLOOKUP(B556,AI_NAMES!D:D,AI_NAMES!E:E,"",0))</f>
        <v>0</v>
      </c>
    </row>
    <row r="557" spans="1:13" x14ac:dyDescent="0.2">
      <c r="A557" t="s">
        <v>694</v>
      </c>
      <c r="B557" t="str">
        <f>IF(L557&lt;&gt;"",L557,_xlfn.XLOOKUP(A557,AI_NAMES!C:C,AI_NAMES!D:D,"",0))</f>
        <v/>
      </c>
      <c r="L557" t="s">
        <v>321</v>
      </c>
      <c r="M557">
        <f>IF(C557&lt;&gt;"",C557,_xlfn.XLOOKUP(B557,AI_NAMES!D:D,AI_NAMES!E:E,"",0))</f>
        <v>0</v>
      </c>
    </row>
    <row r="558" spans="1:13" x14ac:dyDescent="0.2">
      <c r="A558" t="s">
        <v>695</v>
      </c>
      <c r="B558" t="str">
        <f>IF(L558&lt;&gt;"",L558,_xlfn.XLOOKUP(A558,AI_NAMES!C:C,AI_NAMES!D:D,"",0))</f>
        <v/>
      </c>
      <c r="L558" t="s">
        <v>321</v>
      </c>
      <c r="M558">
        <f>IF(C558&lt;&gt;"",C558,_xlfn.XLOOKUP(B558,AI_NAMES!D:D,AI_NAMES!E:E,"",0))</f>
        <v>0</v>
      </c>
    </row>
    <row r="559" spans="1:13" x14ac:dyDescent="0.2">
      <c r="A559" t="s">
        <v>696</v>
      </c>
      <c r="B559" t="str">
        <f>IF(L559&lt;&gt;"",L559,_xlfn.XLOOKUP(A559,AI_NAMES!C:C,AI_NAMES!D:D,"",0))</f>
        <v/>
      </c>
      <c r="L559" t="s">
        <v>321</v>
      </c>
      <c r="M559">
        <f>IF(C559&lt;&gt;"",C559,_xlfn.XLOOKUP(B559,AI_NAMES!D:D,AI_NAMES!E:E,"",0))</f>
        <v>0</v>
      </c>
    </row>
    <row r="560" spans="1:13" x14ac:dyDescent="0.2">
      <c r="A560" t="s">
        <v>697</v>
      </c>
      <c r="B560" t="str">
        <f>IF(L560&lt;&gt;"",L560,_xlfn.XLOOKUP(A560,AI_NAMES!C:C,AI_NAMES!D:D,"",0))</f>
        <v/>
      </c>
      <c r="L560" t="s">
        <v>321</v>
      </c>
      <c r="M560">
        <f>IF(C560&lt;&gt;"",C560,_xlfn.XLOOKUP(B560,AI_NAMES!D:D,AI_NAMES!E:E,"",0))</f>
        <v>0</v>
      </c>
    </row>
    <row r="561" spans="1:13" x14ac:dyDescent="0.2">
      <c r="A561" t="s">
        <v>698</v>
      </c>
      <c r="B561" s="27" t="s">
        <v>3691</v>
      </c>
      <c r="C561" s="28"/>
      <c r="L561" t="s">
        <v>3376</v>
      </c>
      <c r="M561" t="str">
        <f>IF(C561&lt;&gt;"",C561,_xlfn.XLOOKUP(B561,AI_NAMES!D:D,AI_NAMES!E:E,"",0))</f>
        <v/>
      </c>
    </row>
    <row r="562" spans="1:13" x14ac:dyDescent="0.2">
      <c r="A562" t="s">
        <v>699</v>
      </c>
      <c r="B562" t="str">
        <f>IF(L562&lt;&gt;"",L562,_xlfn.XLOOKUP(A562,AI_NAMES!C:C,AI_NAMES!D:D,"",0))</f>
        <v>DroppedObjects_DataTable</v>
      </c>
      <c r="L562" t="s">
        <v>3375</v>
      </c>
      <c r="M562" t="str">
        <f>IF(C562&lt;&gt;"",C562,_xlfn.XLOOKUP(B562,AI_NAMES!D:D,AI_NAMES!E:E,"",0))</f>
        <v/>
      </c>
    </row>
    <row r="563" spans="1:13" x14ac:dyDescent="0.2">
      <c r="A563" t="s">
        <v>700</v>
      </c>
      <c r="B563" t="str">
        <f>IF(L563&lt;&gt;"",L563,_xlfn.XLOOKUP(A563,AI_NAMES!C:C,AI_NAMES!D:D,"",0))</f>
        <v/>
      </c>
      <c r="L563" t="s">
        <v>321</v>
      </c>
      <c r="M563">
        <f>IF(C563&lt;&gt;"",C563,_xlfn.XLOOKUP(B563,AI_NAMES!D:D,AI_NAMES!E:E,"",0))</f>
        <v>0</v>
      </c>
    </row>
    <row r="564" spans="1:13" x14ac:dyDescent="0.2">
      <c r="A564" t="s">
        <v>701</v>
      </c>
      <c r="B564" t="str">
        <f>IF(L564&lt;&gt;"",L564,_xlfn.XLOOKUP(A564,AI_NAMES!C:C,AI_NAMES!D:D,"",0))</f>
        <v/>
      </c>
      <c r="L564" t="s">
        <v>321</v>
      </c>
      <c r="M564">
        <f>IF(C564&lt;&gt;"",C564,_xlfn.XLOOKUP(B564,AI_NAMES!D:D,AI_NAMES!E:E,"",0))</f>
        <v>0</v>
      </c>
    </row>
    <row r="565" spans="1:13" x14ac:dyDescent="0.2">
      <c r="A565" t="s">
        <v>702</v>
      </c>
      <c r="B565" t="str">
        <f>IF(L565&lt;&gt;"",L565,_xlfn.XLOOKUP(A565,AI_NAMES!C:C,AI_NAMES!D:D,"",0))</f>
        <v/>
      </c>
      <c r="L565" t="s">
        <v>321</v>
      </c>
      <c r="M565">
        <f>IF(C565&lt;&gt;"",C565,_xlfn.XLOOKUP(B565,AI_NAMES!D:D,AI_NAMES!E:E,"",0))</f>
        <v>0</v>
      </c>
    </row>
    <row r="566" spans="1:13" x14ac:dyDescent="0.2">
      <c r="A566" t="s">
        <v>703</v>
      </c>
      <c r="B566" t="str">
        <f>IF(L566&lt;&gt;"",L566,_xlfn.XLOOKUP(A566,AI_NAMES!C:C,AI_NAMES!D:D,"",0))</f>
        <v/>
      </c>
      <c r="L566" t="s">
        <v>321</v>
      </c>
      <c r="M566">
        <f>IF(C566&lt;&gt;"",C566,_xlfn.XLOOKUP(B566,AI_NAMES!D:D,AI_NAMES!E:E,"",0))</f>
        <v>0</v>
      </c>
    </row>
    <row r="567" spans="1:13" x14ac:dyDescent="0.2">
      <c r="A567" t="s">
        <v>704</v>
      </c>
      <c r="B567" t="str">
        <f>IF(L567&lt;&gt;"",L567,_xlfn.XLOOKUP(A567,AI_NAMES!C:C,AI_NAMES!D:D,"",0))</f>
        <v/>
      </c>
      <c r="L567" t="s">
        <v>321</v>
      </c>
      <c r="M567">
        <f>IF(C567&lt;&gt;"",C567,_xlfn.XLOOKUP(B567,AI_NAMES!D:D,AI_NAMES!E:E,"",0))</f>
        <v>0</v>
      </c>
    </row>
    <row r="568" spans="1:13" x14ac:dyDescent="0.2">
      <c r="A568" t="s">
        <v>705</v>
      </c>
      <c r="B568" t="str">
        <f>IF(L568&lt;&gt;"",L568,_xlfn.XLOOKUP(A568,AI_NAMES!C:C,AI_NAMES!D:D,"",0))</f>
        <v/>
      </c>
      <c r="L568" t="s">
        <v>321</v>
      </c>
      <c r="M568">
        <f>IF(C568&lt;&gt;"",C568,_xlfn.XLOOKUP(B568,AI_NAMES!D:D,AI_NAMES!E:E,"",0))</f>
        <v>0</v>
      </c>
    </row>
    <row r="569" spans="1:13" x14ac:dyDescent="0.2">
      <c r="A569" t="s">
        <v>706</v>
      </c>
      <c r="B569" t="str">
        <f>IF(L569&lt;&gt;"",L569,_xlfn.XLOOKUP(A569,AI_NAMES!C:C,AI_NAMES!D:D,"",0))</f>
        <v/>
      </c>
      <c r="L569" t="s">
        <v>321</v>
      </c>
      <c r="M569">
        <f>IF(C569&lt;&gt;"",C569,_xlfn.XLOOKUP(B569,AI_NAMES!D:D,AI_NAMES!E:E,"",0))</f>
        <v>0</v>
      </c>
    </row>
    <row r="570" spans="1:13" x14ac:dyDescent="0.2">
      <c r="A570" t="s">
        <v>707</v>
      </c>
      <c r="B570" t="str">
        <f>IF(L570&lt;&gt;"",L570,_xlfn.XLOOKUP(A570,AI_NAMES!C:C,AI_NAMES!D:D,"",0))</f>
        <v/>
      </c>
      <c r="L570" t="s">
        <v>321</v>
      </c>
      <c r="M570">
        <f>IF(C570&lt;&gt;"",C570,_xlfn.XLOOKUP(B570,AI_NAMES!D:D,AI_NAMES!E:E,"",0))</f>
        <v>0</v>
      </c>
    </row>
    <row r="571" spans="1:13" x14ac:dyDescent="0.2">
      <c r="A571" t="s">
        <v>708</v>
      </c>
      <c r="B571" t="str">
        <f>IF(L571&lt;&gt;"",L571,_xlfn.XLOOKUP(A571,AI_NAMES!C:C,AI_NAMES!D:D,"",0))</f>
        <v/>
      </c>
      <c r="L571" t="s">
        <v>321</v>
      </c>
      <c r="M571">
        <f>IF(C571&lt;&gt;"",C571,_xlfn.XLOOKUP(B571,AI_NAMES!D:D,AI_NAMES!E:E,"",0))</f>
        <v>0</v>
      </c>
    </row>
    <row r="572" spans="1:13" x14ac:dyDescent="0.2">
      <c r="A572" t="s">
        <v>709</v>
      </c>
      <c r="B572" t="str">
        <f>IF(L572&lt;&gt;"",L572,_xlfn.XLOOKUP(A572,AI_NAMES!C:C,AI_NAMES!D:D,"",0))</f>
        <v/>
      </c>
      <c r="L572" t="s">
        <v>321</v>
      </c>
      <c r="M572">
        <f>IF(C572&lt;&gt;"",C572,_xlfn.XLOOKUP(B572,AI_NAMES!D:D,AI_NAMES!E:E,"",0))</f>
        <v>0</v>
      </c>
    </row>
    <row r="573" spans="1:13" x14ac:dyDescent="0.2">
      <c r="A573" t="s">
        <v>710</v>
      </c>
      <c r="B573" t="str">
        <f>IF(L573&lt;&gt;"",L573,_xlfn.XLOOKUP(A573,AI_NAMES!C:C,AI_NAMES!D:D,"",0))</f>
        <v/>
      </c>
      <c r="L573" t="s">
        <v>321</v>
      </c>
      <c r="M573">
        <f>IF(C573&lt;&gt;"",C573,_xlfn.XLOOKUP(B573,AI_NAMES!D:D,AI_NAMES!E:E,"",0))</f>
        <v>0</v>
      </c>
    </row>
    <row r="574" spans="1:13" x14ac:dyDescent="0.2">
      <c r="A574" t="s">
        <v>711</v>
      </c>
      <c r="B574" t="str">
        <f>IF(L574&lt;&gt;"",L574,_xlfn.XLOOKUP(A574,AI_NAMES!C:C,AI_NAMES!D:D,"",0))</f>
        <v/>
      </c>
      <c r="L574" t="s">
        <v>321</v>
      </c>
      <c r="M574">
        <f>IF(C574&lt;&gt;"",C574,_xlfn.XLOOKUP(B574,AI_NAMES!D:D,AI_NAMES!E:E,"",0))</f>
        <v>0</v>
      </c>
    </row>
    <row r="575" spans="1:13" x14ac:dyDescent="0.2">
      <c r="A575" t="s">
        <v>712</v>
      </c>
      <c r="B575" t="str">
        <f>IF(L575&lt;&gt;"",L575,_xlfn.XLOOKUP(A575,AI_NAMES!C:C,AI_NAMES!D:D,"",0))</f>
        <v>Loop_CheckSpecialFlag06_AI_TBC</v>
      </c>
      <c r="L575" t="s">
        <v>321</v>
      </c>
      <c r="M575">
        <f>IF(C575&lt;&gt;"",C575,_xlfn.XLOOKUP(B575,AI_NAMES!D:D,AI_NAMES!E:E,"",0))</f>
        <v>0</v>
      </c>
    </row>
    <row r="576" spans="1:13" x14ac:dyDescent="0.2">
      <c r="A576" t="s">
        <v>713</v>
      </c>
      <c r="B576" t="str">
        <f>IF(L576&lt;&gt;"",L576,_xlfn.XLOOKUP(A576,AI_NAMES!C:C,AI_NAMES!D:D,"",0))</f>
        <v>Handle_SpecialFlag06_AI_TBC</v>
      </c>
      <c r="L576" t="s">
        <v>321</v>
      </c>
      <c r="M576">
        <f>IF(C576&lt;&gt;"",C576,_xlfn.XLOOKUP(B576,AI_NAMES!D:D,AI_NAMES!E:E,"",0))</f>
        <v>0</v>
      </c>
    </row>
    <row r="577" spans="1:13" x14ac:dyDescent="0.2">
      <c r="A577" t="s">
        <v>714</v>
      </c>
      <c r="B577" t="str">
        <f>IF(L577&lt;&gt;"",L577,_xlfn.XLOOKUP(A577,AI_NAMES!C:C,AI_NAMES!D:D,"",0))</f>
        <v>Loop_InventoryAction_AI_TBC</v>
      </c>
      <c r="L577" t="s">
        <v>321</v>
      </c>
      <c r="M577">
        <f>IF(C577&lt;&gt;"",C577,_xlfn.XLOOKUP(B577,AI_NAMES!D:D,AI_NAMES!E:E,"",0))</f>
        <v>0</v>
      </c>
    </row>
    <row r="578" spans="1:13" x14ac:dyDescent="0.2">
      <c r="A578" t="s">
        <v>715</v>
      </c>
      <c r="B578" t="str">
        <f>IF(L578&lt;&gt;"",L578,_xlfn.XLOOKUP(A578,AI_NAMES!C:C,AI_NAMES!D:D,"",0))</f>
        <v>Init_InventorySwap_AI_TBC</v>
      </c>
      <c r="L578" t="s">
        <v>321</v>
      </c>
      <c r="M578">
        <f>IF(C578&lt;&gt;"",C578,_xlfn.XLOOKUP(B578,AI_NAMES!D:D,AI_NAMES!E:E,"",0))</f>
        <v>0</v>
      </c>
    </row>
    <row r="579" spans="1:13" x14ac:dyDescent="0.2">
      <c r="A579" t="s">
        <v>716</v>
      </c>
      <c r="B579" t="str">
        <f>IF(L579&lt;&gt;"",L579,_xlfn.XLOOKUP(A579,AI_NAMES!C:C,AI_NAMES!D:D,"",0))</f>
        <v>Adjust_InventoryIndex_AI_TBC</v>
      </c>
      <c r="L579" t="s">
        <v>321</v>
      </c>
      <c r="M579">
        <f>IF(C579&lt;&gt;"",C579,_xlfn.XLOOKUP(B579,AI_NAMES!D:D,AI_NAMES!E:E,"",0))</f>
        <v>0</v>
      </c>
    </row>
    <row r="580" spans="1:13" x14ac:dyDescent="0.2">
      <c r="A580" t="s">
        <v>717</v>
      </c>
      <c r="B580" t="str">
        <f>IF(L580&lt;&gt;"",L580,_xlfn.XLOOKUP(A580,AI_NAMES!C:C,AI_NAMES!D:D,"",0))</f>
        <v/>
      </c>
      <c r="L580" t="s">
        <v>321</v>
      </c>
      <c r="M580">
        <f>IF(C580&lt;&gt;"",C580,_xlfn.XLOOKUP(B580,AI_NAMES!D:D,AI_NAMES!E:E,"",0))</f>
        <v>0</v>
      </c>
    </row>
    <row r="581" spans="1:13" x14ac:dyDescent="0.2">
      <c r="A581" t="s">
        <v>718</v>
      </c>
      <c r="B581" t="str">
        <f>IF(L581&lt;&gt;"",L581,_xlfn.XLOOKUP(A581,AI_NAMES!C:C,AI_NAMES!D:D,"",0))</f>
        <v>Store_InventoryState_AI_TBC</v>
      </c>
      <c r="L581" t="s">
        <v>321</v>
      </c>
      <c r="M581">
        <f>IF(C581&lt;&gt;"",C581,_xlfn.XLOOKUP(B581,AI_NAMES!D:D,AI_NAMES!E:E,"",0))</f>
        <v>0</v>
      </c>
    </row>
    <row r="582" spans="1:13" x14ac:dyDescent="0.2">
      <c r="A582" t="s">
        <v>719</v>
      </c>
      <c r="B582" t="str">
        <f>IF(L582&lt;&gt;"",L582,_xlfn.XLOOKUP(A582,AI_NAMES!C:C,AI_NAMES!D:D,"",0))</f>
        <v>End_InventoryLoop_AI_TBC</v>
      </c>
      <c r="L582" t="s">
        <v>321</v>
      </c>
      <c r="M582">
        <f>IF(C582&lt;&gt;"",C582,_xlfn.XLOOKUP(B582,AI_NAMES!D:D,AI_NAMES!E:E,"",0))</f>
        <v>0</v>
      </c>
    </row>
    <row r="583" spans="1:13" x14ac:dyDescent="0.2">
      <c r="A583" t="s">
        <v>720</v>
      </c>
      <c r="B583" t="str">
        <f>IF(L583&lt;&gt;"",L583,_xlfn.XLOOKUP(A583,AI_NAMES!C:C,AI_NAMES!D:D,"",0))</f>
        <v>Dispatch_PartyAction_AI_TBC</v>
      </c>
      <c r="L583" t="s">
        <v>321</v>
      </c>
      <c r="M583">
        <f>IF(C583&lt;&gt;"",C583,_xlfn.XLOOKUP(B583,AI_NAMES!D:D,AI_NAMES!E:E,"",0))</f>
        <v>0</v>
      </c>
    </row>
    <row r="584" spans="1:13" x14ac:dyDescent="0.2">
      <c r="A584" t="s">
        <v>721</v>
      </c>
      <c r="B584" t="str">
        <f>IF(L584&lt;&gt;"",L584,_xlfn.XLOOKUP(A584,AI_NAMES!C:C,AI_NAMES!D:D,"",0))</f>
        <v>Clear_PartyActionState_AI_TBC</v>
      </c>
      <c r="L584" t="s">
        <v>321</v>
      </c>
      <c r="M584">
        <f>IF(C584&lt;&gt;"",C584,_xlfn.XLOOKUP(B584,AI_NAMES!D:D,AI_NAMES!E:E,"",0))</f>
        <v>0</v>
      </c>
    </row>
    <row r="585" spans="1:13" x14ac:dyDescent="0.2">
      <c r="A585" t="s">
        <v>722</v>
      </c>
      <c r="B585" t="str">
        <f>IF(L585&lt;&gt;"",L585,_xlfn.XLOOKUP(A585,AI_NAMES!C:C,AI_NAMES!D:D,"",0))</f>
        <v>Finalize_PartyAction_AI_TBC</v>
      </c>
      <c r="L585" t="s">
        <v>321</v>
      </c>
      <c r="M585">
        <f>IF(C585&lt;&gt;"",C585,_xlfn.XLOOKUP(B585,AI_NAMES!D:D,AI_NAMES!E:E,"",0))</f>
        <v>0</v>
      </c>
    </row>
    <row r="586" spans="1:13" x14ac:dyDescent="0.2">
      <c r="A586" t="s">
        <v>723</v>
      </c>
      <c r="B586" t="str">
        <f>IF(L586&lt;&gt;"",L586,_xlfn.XLOOKUP(A586,AI_NAMES!C:C,AI_NAMES!D:D,"",0))</f>
        <v>Clear_TriggerProcessed_AI_TBC</v>
      </c>
      <c r="L586" t="s">
        <v>321</v>
      </c>
      <c r="M586">
        <f>IF(C586&lt;&gt;"",C586,_xlfn.XLOOKUP(B586,AI_NAMES!D:D,AI_NAMES!E:E,"",0))</f>
        <v>0</v>
      </c>
    </row>
    <row r="587" spans="1:13" x14ac:dyDescent="0.2">
      <c r="A587" t="s">
        <v>724</v>
      </c>
      <c r="B587" t="str">
        <f>IF(L587&lt;&gt;"",L587,_xlfn.XLOOKUP(A587,AI_NAMES!C:C,AI_NAMES!D:D,"",0))</f>
        <v/>
      </c>
      <c r="L587" t="s">
        <v>321</v>
      </c>
      <c r="M587">
        <f>IF(C587&lt;&gt;"",C587,_xlfn.XLOOKUP(B587,AI_NAMES!D:D,AI_NAMES!E:E,"",0))</f>
        <v>0</v>
      </c>
    </row>
    <row r="588" spans="1:13" x14ac:dyDescent="0.2">
      <c r="A588" t="s">
        <v>725</v>
      </c>
      <c r="B588" t="str">
        <f>IF(L588&lt;&gt;"",L588,_xlfn.XLOOKUP(A588,AI_NAMES!C:C,AI_NAMES!D:D,"",0))</f>
        <v>Mark_TeamAvatarSlot_AI_TBC</v>
      </c>
      <c r="L588" t="s">
        <v>321</v>
      </c>
      <c r="M588">
        <f>IF(C588&lt;&gt;"",C588,_xlfn.XLOOKUP(B588,AI_NAMES!D:D,AI_NAMES!E:E,"",0))</f>
        <v>0</v>
      </c>
    </row>
    <row r="589" spans="1:13" x14ac:dyDescent="0.2">
      <c r="A589" t="s">
        <v>726</v>
      </c>
      <c r="B589" t="str">
        <f>IF(L589&lt;&gt;"",L589,_xlfn.XLOOKUP(A589,AI_NAMES!C:C,AI_NAMES!D:D,"",0))</f>
        <v>Loop_TeamAvatarSlots_AI_TBC</v>
      </c>
      <c r="L589" t="s">
        <v>321</v>
      </c>
      <c r="M589">
        <f>IF(C589&lt;&gt;"",C589,_xlfn.XLOOKUP(B589,AI_NAMES!D:D,AI_NAMES!E:E,"",0))</f>
        <v>0</v>
      </c>
    </row>
    <row r="590" spans="1:13" x14ac:dyDescent="0.2">
      <c r="A590" t="s">
        <v>727</v>
      </c>
      <c r="B590" t="str">
        <f>IF(L590&lt;&gt;"",L590,_xlfn.XLOOKUP(A590,AI_NAMES!C:C,AI_NAMES!D:D,"",0))</f>
        <v/>
      </c>
      <c r="L590" t="s">
        <v>321</v>
      </c>
      <c r="M590">
        <f>IF(C590&lt;&gt;"",C590,_xlfn.XLOOKUP(B590,AI_NAMES!D:D,AI_NAMES!E:E,"",0))</f>
        <v>0</v>
      </c>
    </row>
    <row r="591" spans="1:13" x14ac:dyDescent="0.2">
      <c r="A591" t="s">
        <v>728</v>
      </c>
      <c r="B591" t="str">
        <f>IF(L591&lt;&gt;"",L591,_xlfn.XLOOKUP(A591,AI_NAMES!C:C,AI_NAMES!D:D,"",0))</f>
        <v>Eval_TeamAvatarSlot_AI_TBC</v>
      </c>
      <c r="L591" t="s">
        <v>321</v>
      </c>
      <c r="M591">
        <f>IF(C591&lt;&gt;"",C591,_xlfn.XLOOKUP(B591,AI_NAMES!D:D,AI_NAMES!E:E,"",0))</f>
        <v>0</v>
      </c>
    </row>
    <row r="592" spans="1:13" x14ac:dyDescent="0.2">
      <c r="A592" t="s">
        <v>729</v>
      </c>
      <c r="B592" t="str">
        <f>IF(L592&lt;&gt;"",L592,_xlfn.XLOOKUP(A592,AI_NAMES!C:C,AI_NAMES!D:D,"",0))</f>
        <v/>
      </c>
      <c r="L592" t="s">
        <v>321</v>
      </c>
      <c r="M592">
        <f>IF(C592&lt;&gt;"",C592,_xlfn.XLOOKUP(B592,AI_NAMES!D:D,AI_NAMES!E:E,"",0))</f>
        <v>0</v>
      </c>
    </row>
    <row r="593" spans="1:13" x14ac:dyDescent="0.2">
      <c r="A593" t="s">
        <v>730</v>
      </c>
      <c r="B593" t="str">
        <f>IF(L593&lt;&gt;"",L593,_xlfn.XLOOKUP(A593,AI_NAMES!C:C,AI_NAMES!D:D,"",0))</f>
        <v>Quickstart_FallbackHandler_AI_TBC</v>
      </c>
      <c r="L593" t="s">
        <v>321</v>
      </c>
      <c r="M593">
        <f>IF(C593&lt;&gt;"",C593,_xlfn.XLOOKUP(B593,AI_NAMES!D:D,AI_NAMES!E:E,"",0))</f>
        <v>0</v>
      </c>
    </row>
    <row r="594" spans="1:13" x14ac:dyDescent="0.2">
      <c r="A594" t="s">
        <v>731</v>
      </c>
      <c r="B594" t="str">
        <f>IF(L594&lt;&gt;"",L594,_xlfn.XLOOKUP(A594,AI_NAMES!C:C,AI_NAMES!D:D,"",0))</f>
        <v/>
      </c>
      <c r="L594" t="s">
        <v>321</v>
      </c>
      <c r="M594">
        <f>IF(C594&lt;&gt;"",C594,_xlfn.XLOOKUP(B594,AI_NAMES!D:D,AI_NAMES!E:E,"",0))</f>
        <v>0</v>
      </c>
    </row>
    <row r="595" spans="1:13" x14ac:dyDescent="0.2">
      <c r="A595" t="s">
        <v>732</v>
      </c>
      <c r="B595" t="str">
        <f>IF(L595&lt;&gt;"",L595,_xlfn.XLOOKUP(A595,AI_NAMES!C:C,AI_NAMES!D:D,"",0))</f>
        <v/>
      </c>
      <c r="L595" t="s">
        <v>321</v>
      </c>
      <c r="M595">
        <f>IF(C595&lt;&gt;"",C595,_xlfn.XLOOKUP(B595,AI_NAMES!D:D,AI_NAMES!E:E,"",0))</f>
        <v>0</v>
      </c>
    </row>
    <row r="596" spans="1:13" x14ac:dyDescent="0.2">
      <c r="A596" t="s">
        <v>733</v>
      </c>
      <c r="B596" t="str">
        <f>IF(L596&lt;&gt;"",L596,_xlfn.XLOOKUP(A596,AI_NAMES!C:C,AI_NAMES!D:D,"",0))</f>
        <v/>
      </c>
      <c r="L596" t="s">
        <v>321</v>
      </c>
      <c r="M596">
        <f>IF(C596&lt;&gt;"",C596,_xlfn.XLOOKUP(B596,AI_NAMES!D:D,AI_NAMES!E:E,"",0))</f>
        <v>0</v>
      </c>
    </row>
    <row r="597" spans="1:13" x14ac:dyDescent="0.2">
      <c r="A597" t="s">
        <v>734</v>
      </c>
      <c r="B597" t="str">
        <f>IF(L597&lt;&gt;"",L597,_xlfn.XLOOKUP(A597,AI_NAMES!C:C,AI_NAMES!D:D,"",0))</f>
        <v/>
      </c>
      <c r="L597" t="s">
        <v>321</v>
      </c>
      <c r="M597">
        <f>IF(C597&lt;&gt;"",C597,_xlfn.XLOOKUP(B597,AI_NAMES!D:D,AI_NAMES!E:E,"",0))</f>
        <v>0</v>
      </c>
    </row>
    <row r="598" spans="1:13" x14ac:dyDescent="0.2">
      <c r="A598" t="s">
        <v>735</v>
      </c>
      <c r="B598" t="str">
        <f>IF(L598&lt;&gt;"",L598,_xlfn.XLOOKUP(A598,AI_NAMES!C:C,AI_NAMES!D:D,"",0))</f>
        <v/>
      </c>
      <c r="L598" t="s">
        <v>321</v>
      </c>
      <c r="M598">
        <f>IF(C598&lt;&gt;"",C598,_xlfn.XLOOKUP(B598,AI_NAMES!D:D,AI_NAMES!E:E,"",0))</f>
        <v>0</v>
      </c>
    </row>
    <row r="599" spans="1:13" x14ac:dyDescent="0.2">
      <c r="A599" t="s">
        <v>736</v>
      </c>
      <c r="B599" t="str">
        <f>IF(L599&lt;&gt;"",L599,_xlfn.XLOOKUP(A599,AI_NAMES!C:C,AI_NAMES!D:D,"",0))</f>
        <v>ThouArtDead</v>
      </c>
      <c r="L599" t="s">
        <v>737</v>
      </c>
      <c r="M599" t="str">
        <f>IF(C599&lt;&gt;"",C599,_xlfn.XLOOKUP(B599,AI_NAMES!D:D,AI_NAMES!E:E,"",0))</f>
        <v/>
      </c>
    </row>
    <row r="600" spans="1:13" x14ac:dyDescent="0.2">
      <c r="A600" t="s">
        <v>738</v>
      </c>
      <c r="B600" t="str">
        <f>IF(L600&lt;&gt;"",L600,_xlfn.XLOOKUP(A600,AI_NAMES!C:C,AI_NAMES!D:D,"",0))</f>
        <v/>
      </c>
      <c r="L600" t="s">
        <v>321</v>
      </c>
      <c r="M600">
        <f>IF(C600&lt;&gt;"",C600,_xlfn.XLOOKUP(B600,AI_NAMES!D:D,AI_NAMES!E:E,"",0))</f>
        <v>0</v>
      </c>
    </row>
    <row r="601" spans="1:13" x14ac:dyDescent="0.2">
      <c r="A601" t="s">
        <v>739</v>
      </c>
      <c r="B601" t="str">
        <f>IF(L601&lt;&gt;"",L601,_xlfn.XLOOKUP(A601,AI_NAMES!C:C,AI_NAMES!D:D,"",0))</f>
        <v/>
      </c>
      <c r="L601" t="s">
        <v>321</v>
      </c>
      <c r="M601">
        <f>IF(C601&lt;&gt;"",C601,_xlfn.XLOOKUP(B601,AI_NAMES!D:D,AI_NAMES!E:E,"",0))</f>
        <v>0</v>
      </c>
    </row>
    <row r="602" spans="1:13" x14ac:dyDescent="0.2">
      <c r="A602" t="s">
        <v>740</v>
      </c>
      <c r="B602" t="str">
        <f>IF(L602&lt;&gt;"",L602,_xlfn.XLOOKUP(A602,AI_NAMES!C:C,AI_NAMES!D:D,"",0))</f>
        <v/>
      </c>
      <c r="L602" t="s">
        <v>321</v>
      </c>
      <c r="M602">
        <f>IF(C602&lt;&gt;"",C602,_xlfn.XLOOKUP(B602,AI_NAMES!D:D,AI_NAMES!E:E,"",0))</f>
        <v>0</v>
      </c>
    </row>
    <row r="603" spans="1:13" x14ac:dyDescent="0.2">
      <c r="A603" t="s">
        <v>741</v>
      </c>
      <c r="B603" t="str">
        <f>IF(L603&lt;&gt;"",L603,_xlfn.XLOOKUP(A603,AI_NAMES!C:C,AI_NAMES!D:D,"",0))</f>
        <v/>
      </c>
      <c r="L603" t="s">
        <v>321</v>
      </c>
      <c r="M603">
        <f>IF(C603&lt;&gt;"",C603,_xlfn.XLOOKUP(B603,AI_NAMES!D:D,AI_NAMES!E:E,"",0))</f>
        <v>0</v>
      </c>
    </row>
    <row r="604" spans="1:13" x14ac:dyDescent="0.2">
      <c r="A604" t="s">
        <v>742</v>
      </c>
      <c r="B604" t="str">
        <f>IF(L604&lt;&gt;"",L604,_xlfn.XLOOKUP(A604,AI_NAMES!C:C,AI_NAMES!D:D,"",0))</f>
        <v/>
      </c>
      <c r="L604" t="s">
        <v>321</v>
      </c>
      <c r="M604">
        <f>IF(C604&lt;&gt;"",C604,_xlfn.XLOOKUP(B604,AI_NAMES!D:D,AI_NAMES!E:E,"",0))</f>
        <v>0</v>
      </c>
    </row>
    <row r="605" spans="1:13" x14ac:dyDescent="0.2">
      <c r="A605" t="s">
        <v>743</v>
      </c>
      <c r="B605" t="str">
        <f>IF(L605&lt;&gt;"",L605,_xlfn.XLOOKUP(A605,AI_NAMES!C:C,AI_NAMES!D:D,"",0))</f>
        <v/>
      </c>
      <c r="L605" t="s">
        <v>321</v>
      </c>
      <c r="M605">
        <f>IF(C605&lt;&gt;"",C605,_xlfn.XLOOKUP(B605,AI_NAMES!D:D,AI_NAMES!E:E,"",0))</f>
        <v>0</v>
      </c>
    </row>
    <row r="606" spans="1:13" x14ac:dyDescent="0.2">
      <c r="A606" t="s">
        <v>744</v>
      </c>
      <c r="B606" t="str">
        <f>IF(L606&lt;&gt;"",L606,_xlfn.XLOOKUP(A606,AI_NAMES!C:C,AI_NAMES!D:D,"",0))</f>
        <v/>
      </c>
      <c r="L606" t="s">
        <v>321</v>
      </c>
      <c r="M606">
        <f>IF(C606&lt;&gt;"",C606,_xlfn.XLOOKUP(B606,AI_NAMES!D:D,AI_NAMES!E:E,"",0))</f>
        <v>0</v>
      </c>
    </row>
    <row r="607" spans="1:13" x14ac:dyDescent="0.2">
      <c r="A607" t="s">
        <v>745</v>
      </c>
      <c r="B607" t="str">
        <f>IF(L607&lt;&gt;"",L607,_xlfn.XLOOKUP(A607,AI_NAMES!C:C,AI_NAMES!D:D,"",0))</f>
        <v/>
      </c>
      <c r="L607" t="s">
        <v>321</v>
      </c>
      <c r="M607">
        <f>IF(C607&lt;&gt;"",C607,_xlfn.XLOOKUP(B607,AI_NAMES!D:D,AI_NAMES!E:E,"",0))</f>
        <v>0</v>
      </c>
    </row>
    <row r="608" spans="1:13" x14ac:dyDescent="0.2">
      <c r="A608" t="s">
        <v>746</v>
      </c>
      <c r="B608" t="str">
        <f>IF(L608&lt;&gt;"",L608,_xlfn.XLOOKUP(A608,AI_NAMES!C:C,AI_NAMES!D:D,"",0))</f>
        <v/>
      </c>
      <c r="L608" t="s">
        <v>321</v>
      </c>
      <c r="M608">
        <f>IF(C608&lt;&gt;"",C608,_xlfn.XLOOKUP(B608,AI_NAMES!D:D,AI_NAMES!E:E,"",0))</f>
        <v>0</v>
      </c>
    </row>
    <row r="609" spans="1:13" x14ac:dyDescent="0.2">
      <c r="A609" t="s">
        <v>747</v>
      </c>
      <c r="B609" t="str">
        <f>IF(L609&lt;&gt;"",L609,_xlfn.XLOOKUP(A609,AI_NAMES!C:C,AI_NAMES!D:D,"",0))</f>
        <v/>
      </c>
      <c r="L609" t="s">
        <v>321</v>
      </c>
      <c r="M609">
        <f>IF(C609&lt;&gt;"",C609,_xlfn.XLOOKUP(B609,AI_NAMES!D:D,AI_NAMES!E:E,"",0))</f>
        <v>0</v>
      </c>
    </row>
    <row r="610" spans="1:13" x14ac:dyDescent="0.2">
      <c r="A610" t="s">
        <v>748</v>
      </c>
      <c r="B610" t="str">
        <f>IF(L610&lt;&gt;"",L610,_xlfn.XLOOKUP(A610,AI_NAMES!C:C,AI_NAMES!D:D,"",0))</f>
        <v/>
      </c>
      <c r="L610" t="s">
        <v>321</v>
      </c>
      <c r="M610">
        <f>IF(C610&lt;&gt;"",C610,_xlfn.XLOOKUP(B610,AI_NAMES!D:D,AI_NAMES!E:E,"",0))</f>
        <v>0</v>
      </c>
    </row>
    <row r="611" spans="1:13" x14ac:dyDescent="0.2">
      <c r="A611" t="s">
        <v>749</v>
      </c>
      <c r="B611" t="str">
        <f>IF(L611&lt;&gt;"",L611,_xlfn.XLOOKUP(A611,AI_NAMES!C:C,AI_NAMES!D:D,"",0))</f>
        <v/>
      </c>
      <c r="L611" t="s">
        <v>321</v>
      </c>
      <c r="M611">
        <f>IF(C611&lt;&gt;"",C611,_xlfn.XLOOKUP(B611,AI_NAMES!D:D,AI_NAMES!E:E,"",0))</f>
        <v>0</v>
      </c>
    </row>
    <row r="612" spans="1:13" x14ac:dyDescent="0.2">
      <c r="A612" t="s">
        <v>750</v>
      </c>
      <c r="B612" t="str">
        <f>IF(L612&lt;&gt;"",L612,_xlfn.XLOOKUP(A612,AI_NAMES!C:C,AI_NAMES!D:D,"",0))</f>
        <v/>
      </c>
      <c r="L612" t="s">
        <v>321</v>
      </c>
      <c r="M612">
        <f>IF(C612&lt;&gt;"",C612,_xlfn.XLOOKUP(B612,AI_NAMES!D:D,AI_NAMES!E:E,"",0))</f>
        <v>0</v>
      </c>
    </row>
    <row r="613" spans="1:13" x14ac:dyDescent="0.2">
      <c r="A613" t="s">
        <v>751</v>
      </c>
      <c r="B613" t="str">
        <f>IF(L613&lt;&gt;"",L613,_xlfn.XLOOKUP(A613,AI_NAMES!C:C,AI_NAMES!D:D,"",0))</f>
        <v/>
      </c>
      <c r="L613" t="s">
        <v>321</v>
      </c>
      <c r="M613">
        <f>IF(C613&lt;&gt;"",C613,_xlfn.XLOOKUP(B613,AI_NAMES!D:D,AI_NAMES!E:E,"",0))</f>
        <v>0</v>
      </c>
    </row>
    <row r="614" spans="1:13" x14ac:dyDescent="0.2">
      <c r="A614" t="s">
        <v>752</v>
      </c>
      <c r="B614" t="str">
        <f>IF(L614&lt;&gt;"",L614,_xlfn.XLOOKUP(A614,AI_NAMES!C:C,AI_NAMES!D:D,"",0))</f>
        <v/>
      </c>
      <c r="L614" t="s">
        <v>321</v>
      </c>
      <c r="M614">
        <f>IF(C614&lt;&gt;"",C614,_xlfn.XLOOKUP(B614,AI_NAMES!D:D,AI_NAMES!E:E,"",0))</f>
        <v>0</v>
      </c>
    </row>
    <row r="615" spans="1:13" x14ac:dyDescent="0.2">
      <c r="A615" t="s">
        <v>753</v>
      </c>
      <c r="B615" t="str">
        <f>IF(L615&lt;&gt;"",L615,_xlfn.XLOOKUP(A615,AI_NAMES!C:C,AI_NAMES!D:D,"",0))</f>
        <v/>
      </c>
      <c r="L615" t="s">
        <v>321</v>
      </c>
      <c r="M615">
        <f>IF(C615&lt;&gt;"",C615,_xlfn.XLOOKUP(B615,AI_NAMES!D:D,AI_NAMES!E:E,"",0))</f>
        <v>0</v>
      </c>
    </row>
    <row r="616" spans="1:13" x14ac:dyDescent="0.2">
      <c r="A616" t="s">
        <v>754</v>
      </c>
      <c r="B616" t="str">
        <f>IF(L616&lt;&gt;"",L616,_xlfn.XLOOKUP(A616,AI_NAMES!C:C,AI_NAMES!D:D,"",0))</f>
        <v/>
      </c>
      <c r="L616" t="s">
        <v>321</v>
      </c>
      <c r="M616">
        <f>IF(C616&lt;&gt;"",C616,_xlfn.XLOOKUP(B616,AI_NAMES!D:D,AI_NAMES!E:E,"",0))</f>
        <v>0</v>
      </c>
    </row>
    <row r="617" spans="1:13" x14ac:dyDescent="0.2">
      <c r="A617" t="s">
        <v>755</v>
      </c>
      <c r="B617" t="str">
        <f>IF(L617&lt;&gt;"",L617,_xlfn.XLOOKUP(A617,AI_NAMES!C:C,AI_NAMES!D:D,"",0))</f>
        <v/>
      </c>
      <c r="L617" t="s">
        <v>321</v>
      </c>
      <c r="M617">
        <f>IF(C617&lt;&gt;"",C617,_xlfn.XLOOKUP(B617,AI_NAMES!D:D,AI_NAMES!E:E,"",0))</f>
        <v>0</v>
      </c>
    </row>
    <row r="618" spans="1:13" x14ac:dyDescent="0.2">
      <c r="A618" t="s">
        <v>756</v>
      </c>
      <c r="B618" t="str">
        <f>IF(L618&lt;&gt;"",L618,_xlfn.XLOOKUP(A618,AI_NAMES!C:C,AI_NAMES!D:D,"",0))</f>
        <v/>
      </c>
      <c r="L618" t="s">
        <v>321</v>
      </c>
      <c r="M618">
        <f>IF(C618&lt;&gt;"",C618,_xlfn.XLOOKUP(B618,AI_NAMES!D:D,AI_NAMES!E:E,"",0))</f>
        <v>0</v>
      </c>
    </row>
    <row r="619" spans="1:13" x14ac:dyDescent="0.2">
      <c r="A619" t="s">
        <v>757</v>
      </c>
      <c r="B619" t="str">
        <f>IF(L619&lt;&gt;"",L619,_xlfn.XLOOKUP(A619,AI_NAMES!C:C,AI_NAMES!D:D,"",0))</f>
        <v/>
      </c>
      <c r="L619" t="s">
        <v>321</v>
      </c>
      <c r="M619">
        <f>IF(C619&lt;&gt;"",C619,_xlfn.XLOOKUP(B619,AI_NAMES!D:D,AI_NAMES!E:E,"",0))</f>
        <v>0</v>
      </c>
    </row>
    <row r="620" spans="1:13" x14ac:dyDescent="0.2">
      <c r="A620" t="s">
        <v>758</v>
      </c>
      <c r="B620" t="str">
        <f>IF(L620&lt;&gt;"",L620,_xlfn.XLOOKUP(A620,AI_NAMES!C:C,AI_NAMES!D:D,"",0))</f>
        <v/>
      </c>
      <c r="L620" t="s">
        <v>321</v>
      </c>
      <c r="M620">
        <f>IF(C620&lt;&gt;"",C620,_xlfn.XLOOKUP(B620,AI_NAMES!D:D,AI_NAMES!E:E,"",0))</f>
        <v>0</v>
      </c>
    </row>
    <row r="621" spans="1:13" x14ac:dyDescent="0.2">
      <c r="A621" t="s">
        <v>759</v>
      </c>
      <c r="B621" t="str">
        <f>IF(L621&lt;&gt;"",L621,_xlfn.XLOOKUP(A621,AI_NAMES!C:C,AI_NAMES!D:D,"",0))</f>
        <v/>
      </c>
      <c r="L621" t="s">
        <v>321</v>
      </c>
      <c r="M621">
        <f>IF(C621&lt;&gt;"",C621,_xlfn.XLOOKUP(B621,AI_NAMES!D:D,AI_NAMES!E:E,"",0))</f>
        <v>0</v>
      </c>
    </row>
    <row r="622" spans="1:13" x14ac:dyDescent="0.2">
      <c r="A622" t="s">
        <v>760</v>
      </c>
      <c r="B622" t="str">
        <f>IF(L622&lt;&gt;"",L622,_xlfn.XLOOKUP(A622,AI_NAMES!C:C,AI_NAMES!D:D,"",0))</f>
        <v/>
      </c>
      <c r="L622" t="s">
        <v>321</v>
      </c>
      <c r="M622">
        <f>IF(C622&lt;&gt;"",C622,_xlfn.XLOOKUP(B622,AI_NAMES!D:D,AI_NAMES!E:E,"",0))</f>
        <v>0</v>
      </c>
    </row>
    <row r="623" spans="1:13" x14ac:dyDescent="0.2">
      <c r="A623" t="s">
        <v>761</v>
      </c>
      <c r="B623" t="str">
        <f>IF(L623&lt;&gt;"",L623,_xlfn.XLOOKUP(A623,AI_NAMES!C:C,AI_NAMES!D:D,"",0))</f>
        <v/>
      </c>
      <c r="L623" t="s">
        <v>321</v>
      </c>
      <c r="M623">
        <f>IF(C623&lt;&gt;"",C623,_xlfn.XLOOKUP(B623,AI_NAMES!D:D,AI_NAMES!E:E,"",0))</f>
        <v>0</v>
      </c>
    </row>
    <row r="624" spans="1:13" x14ac:dyDescent="0.2">
      <c r="A624" t="s">
        <v>762</v>
      </c>
      <c r="B624" t="str">
        <f>IF(L624&lt;&gt;"",L624,_xlfn.XLOOKUP(A624,AI_NAMES!C:C,AI_NAMES!D:D,"",0))</f>
        <v/>
      </c>
      <c r="L624" t="s">
        <v>321</v>
      </c>
      <c r="M624">
        <f>IF(C624&lt;&gt;"",C624,_xlfn.XLOOKUP(B624,AI_NAMES!D:D,AI_NAMES!E:E,"",0))</f>
        <v>0</v>
      </c>
    </row>
    <row r="625" spans="1:13" x14ac:dyDescent="0.2">
      <c r="A625" t="s">
        <v>763</v>
      </c>
      <c r="B625" t="str">
        <f>IF(L625&lt;&gt;"",L625,_xlfn.XLOOKUP(A625,AI_NAMES!C:C,AI_NAMES!D:D,"",0))</f>
        <v/>
      </c>
      <c r="L625" t="s">
        <v>321</v>
      </c>
      <c r="M625">
        <f>IF(C625&lt;&gt;"",C625,_xlfn.XLOOKUP(B625,AI_NAMES!D:D,AI_NAMES!E:E,"",0))</f>
        <v>0</v>
      </c>
    </row>
    <row r="626" spans="1:13" x14ac:dyDescent="0.2">
      <c r="A626" t="s">
        <v>764</v>
      </c>
      <c r="B626" t="str">
        <f>IF(L626&lt;&gt;"",L626,_xlfn.XLOOKUP(A626,AI_NAMES!C:C,AI_NAMES!D:D,"",0))</f>
        <v/>
      </c>
      <c r="L626" t="s">
        <v>321</v>
      </c>
      <c r="M626">
        <f>IF(C626&lt;&gt;"",C626,_xlfn.XLOOKUP(B626,AI_NAMES!D:D,AI_NAMES!E:E,"",0))</f>
        <v>0</v>
      </c>
    </row>
    <row r="627" spans="1:13" x14ac:dyDescent="0.2">
      <c r="A627" t="s">
        <v>765</v>
      </c>
      <c r="B627" t="str">
        <f>IF(L627&lt;&gt;"",L627,_xlfn.XLOOKUP(A627,AI_NAMES!C:C,AI_NAMES!D:D,"",0))</f>
        <v/>
      </c>
      <c r="L627" t="s">
        <v>321</v>
      </c>
      <c r="M627">
        <f>IF(C627&lt;&gt;"",C627,_xlfn.XLOOKUP(B627,AI_NAMES!D:D,AI_NAMES!E:E,"",0))</f>
        <v>0</v>
      </c>
    </row>
    <row r="628" spans="1:13" x14ac:dyDescent="0.2">
      <c r="A628" t="s">
        <v>766</v>
      </c>
      <c r="B628" t="str">
        <f>IF(L628&lt;&gt;"",L628,_xlfn.XLOOKUP(A628,AI_NAMES!C:C,AI_NAMES!D:D,"",0))</f>
        <v/>
      </c>
      <c r="L628" t="s">
        <v>321</v>
      </c>
      <c r="M628">
        <f>IF(C628&lt;&gt;"",C628,_xlfn.XLOOKUP(B628,AI_NAMES!D:D,AI_NAMES!E:E,"",0))</f>
        <v>0</v>
      </c>
    </row>
    <row r="629" spans="1:13" x14ac:dyDescent="0.2">
      <c r="A629" t="s">
        <v>767</v>
      </c>
      <c r="B629" t="str">
        <f>IF(L629&lt;&gt;"",L629,_xlfn.XLOOKUP(A629,AI_NAMES!C:C,AI_NAMES!D:D,"",0))</f>
        <v/>
      </c>
      <c r="L629" t="s">
        <v>321</v>
      </c>
      <c r="M629">
        <f>IF(C629&lt;&gt;"",C629,_xlfn.XLOOKUP(B629,AI_NAMES!D:D,AI_NAMES!E:E,"",0))</f>
        <v>0</v>
      </c>
    </row>
    <row r="630" spans="1:13" x14ac:dyDescent="0.2">
      <c r="A630" t="s">
        <v>768</v>
      </c>
      <c r="B630" t="str">
        <f>IF(L630&lt;&gt;"",L630,_xlfn.XLOOKUP(A630,AI_NAMES!C:C,AI_NAMES!D:D,"",0))</f>
        <v/>
      </c>
      <c r="L630" t="s">
        <v>321</v>
      </c>
      <c r="M630">
        <f>IF(C630&lt;&gt;"",C630,_xlfn.XLOOKUP(B630,AI_NAMES!D:D,AI_NAMES!E:E,"",0))</f>
        <v>0</v>
      </c>
    </row>
    <row r="631" spans="1:13" x14ac:dyDescent="0.2">
      <c r="A631" t="s">
        <v>769</v>
      </c>
      <c r="B631" t="str">
        <f>IF(L631&lt;&gt;"",L631,_xlfn.XLOOKUP(A631,AI_NAMES!C:C,AI_NAMES!D:D,"",0))</f>
        <v/>
      </c>
      <c r="L631" t="s">
        <v>321</v>
      </c>
      <c r="M631">
        <f>IF(C631&lt;&gt;"",C631,_xlfn.XLOOKUP(B631,AI_NAMES!D:D,AI_NAMES!E:E,"",0))</f>
        <v>0</v>
      </c>
    </row>
    <row r="632" spans="1:13" x14ac:dyDescent="0.2">
      <c r="A632" t="s">
        <v>770</v>
      </c>
      <c r="B632" t="str">
        <f>IF(L632&lt;&gt;"",L632,_xlfn.XLOOKUP(A632,AI_NAMES!C:C,AI_NAMES!D:D,"",0))</f>
        <v/>
      </c>
      <c r="L632" t="s">
        <v>321</v>
      </c>
      <c r="M632">
        <f>IF(C632&lt;&gt;"",C632,_xlfn.XLOOKUP(B632,AI_NAMES!D:D,AI_NAMES!E:E,"",0))</f>
        <v>0</v>
      </c>
    </row>
    <row r="633" spans="1:13" x14ac:dyDescent="0.2">
      <c r="A633" t="s">
        <v>771</v>
      </c>
      <c r="B633" t="str">
        <f>IF(L633&lt;&gt;"",L633,_xlfn.XLOOKUP(A633,AI_NAMES!C:C,AI_NAMES!D:D,"",0))</f>
        <v/>
      </c>
      <c r="L633" t="s">
        <v>321</v>
      </c>
      <c r="M633">
        <f>IF(C633&lt;&gt;"",C633,_xlfn.XLOOKUP(B633,AI_NAMES!D:D,AI_NAMES!E:E,"",0))</f>
        <v>0</v>
      </c>
    </row>
    <row r="634" spans="1:13" x14ac:dyDescent="0.2">
      <c r="A634" t="s">
        <v>772</v>
      </c>
      <c r="B634" t="str">
        <f>IF(L634&lt;&gt;"",L634,_xlfn.XLOOKUP(A634,AI_NAMES!C:C,AI_NAMES!D:D,"",0))</f>
        <v/>
      </c>
      <c r="L634" t="s">
        <v>321</v>
      </c>
      <c r="M634">
        <f>IF(C634&lt;&gt;"",C634,_xlfn.XLOOKUP(B634,AI_NAMES!D:D,AI_NAMES!E:E,"",0))</f>
        <v>0</v>
      </c>
    </row>
    <row r="635" spans="1:13" x14ac:dyDescent="0.2">
      <c r="A635" t="s">
        <v>773</v>
      </c>
      <c r="B635" t="str">
        <f>IF(L635&lt;&gt;"",L635,_xlfn.XLOOKUP(A635,AI_NAMES!C:C,AI_NAMES!D:D,"",0))</f>
        <v>Check_DoorToggle_AI_TBC</v>
      </c>
      <c r="L635" t="s">
        <v>321</v>
      </c>
      <c r="M635">
        <f>IF(C635&lt;&gt;"",C635,_xlfn.XLOOKUP(B635,AI_NAMES!D:D,AI_NAMES!E:E,"",0))</f>
        <v>0</v>
      </c>
    </row>
    <row r="636" spans="1:13" x14ac:dyDescent="0.2">
      <c r="A636" t="s">
        <v>774</v>
      </c>
      <c r="B636" t="str">
        <f>IF(L636&lt;&gt;"",L636,_xlfn.XLOOKUP(A636,AI_NAMES!C:C,AI_NAMES!D:D,"",0))</f>
        <v/>
      </c>
      <c r="L636" t="s">
        <v>321</v>
      </c>
      <c r="M636">
        <f>IF(C636&lt;&gt;"",C636,_xlfn.XLOOKUP(B636,AI_NAMES!D:D,AI_NAMES!E:E,"",0))</f>
        <v>0</v>
      </c>
    </row>
    <row r="637" spans="1:13" x14ac:dyDescent="0.2">
      <c r="A637" t="s">
        <v>775</v>
      </c>
      <c r="B637" t="str">
        <f>IF(L637&lt;&gt;"",L637,_xlfn.XLOOKUP(A637,AI_NAMES!C:C,AI_NAMES!D:D,"",0))</f>
        <v>DoorToggle_Lower_AI_TBC</v>
      </c>
      <c r="L637" t="s">
        <v>321</v>
      </c>
      <c r="M637">
        <f>IF(C637&lt;&gt;"",C637,_xlfn.XLOOKUP(B637,AI_NAMES!D:D,AI_NAMES!E:E,"",0))</f>
        <v>0</v>
      </c>
    </row>
    <row r="638" spans="1:13" x14ac:dyDescent="0.2">
      <c r="A638" t="s">
        <v>776</v>
      </c>
      <c r="B638" t="str">
        <f>IF(L638&lt;&gt;"",L638,_xlfn.XLOOKUP(A638,AI_NAMES!C:C,AI_NAMES!D:D,"",0))</f>
        <v>DoorToggle_Raise_AI_TBC</v>
      </c>
      <c r="L638" t="s">
        <v>321</v>
      </c>
      <c r="M638">
        <f>IF(C638&lt;&gt;"",C638,_xlfn.XLOOKUP(B638,AI_NAMES!D:D,AI_NAMES!E:E,"",0))</f>
        <v>0</v>
      </c>
    </row>
    <row r="639" spans="1:13" x14ac:dyDescent="0.2">
      <c r="A639" t="s">
        <v>777</v>
      </c>
      <c r="B639" t="str">
        <f>IF(L639&lt;&gt;"",L639,_xlfn.XLOOKUP(A639,AI_NAMES!C:C,AI_NAMES!D:D,"",0))</f>
        <v/>
      </c>
      <c r="L639" t="s">
        <v>321</v>
      </c>
      <c r="M639">
        <f>IF(C639&lt;&gt;"",C639,_xlfn.XLOOKUP(B639,AI_NAMES!D:D,AI_NAMES!E:E,"",0))</f>
        <v>0</v>
      </c>
    </row>
    <row r="640" spans="1:13" x14ac:dyDescent="0.2">
      <c r="A640" t="s">
        <v>778</v>
      </c>
      <c r="B640" t="str">
        <f>IF(L640&lt;&gt;"",L640,_xlfn.XLOOKUP(A640,AI_NAMES!C:C,AI_NAMES!D:D,"",0))</f>
        <v/>
      </c>
      <c r="L640" t="s">
        <v>321</v>
      </c>
      <c r="M640">
        <f>IF(C640&lt;&gt;"",C640,_xlfn.XLOOKUP(B640,AI_NAMES!D:D,AI_NAMES!E:E,"",0))</f>
        <v>0</v>
      </c>
    </row>
    <row r="641" spans="1:13" x14ac:dyDescent="0.2">
      <c r="A641" t="s">
        <v>779</v>
      </c>
      <c r="B641" t="str">
        <f>IF(L641&lt;&gt;"",L641,_xlfn.XLOOKUP(A641,AI_NAMES!C:C,AI_NAMES!D:D,"",0))</f>
        <v>Call_DoorToggleRoutine_AI_TBC</v>
      </c>
      <c r="L641" t="s">
        <v>321</v>
      </c>
      <c r="M641">
        <f>IF(C641&lt;&gt;"",C641,_xlfn.XLOOKUP(B641,AI_NAMES!D:D,AI_NAMES!E:E,"",0))</f>
        <v>0</v>
      </c>
    </row>
    <row r="642" spans="1:13" x14ac:dyDescent="0.2">
      <c r="A642" t="s">
        <v>780</v>
      </c>
      <c r="B642" t="str">
        <f>IF(L642&lt;&gt;"",L642,_xlfn.XLOOKUP(A642,AI_NAMES!C:C,AI_NAMES!D:D,"",0))</f>
        <v/>
      </c>
      <c r="L642" t="s">
        <v>321</v>
      </c>
      <c r="M642">
        <f>IF(C642&lt;&gt;"",C642,_xlfn.XLOOKUP(B642,AI_NAMES!D:D,AI_NAMES!E:E,"",0))</f>
        <v>0</v>
      </c>
    </row>
    <row r="643" spans="1:13" x14ac:dyDescent="0.2">
      <c r="A643" t="s">
        <v>781</v>
      </c>
      <c r="B643" t="str">
        <f>IF(L643&lt;&gt;"",L643,_xlfn.XLOOKUP(A643,AI_NAMES!C:C,AI_NAMES!D:D,"",0))</f>
        <v>PostDoorToggle_Enter_AI_TBC</v>
      </c>
      <c r="L643" t="s">
        <v>321</v>
      </c>
      <c r="M643">
        <f>IF(C643&lt;&gt;"",C643,_xlfn.XLOOKUP(B643,AI_NAMES!D:D,AI_NAMES!E:E,"",0))</f>
        <v>0</v>
      </c>
    </row>
    <row r="644" spans="1:13" x14ac:dyDescent="0.2">
      <c r="A644" t="s">
        <v>782</v>
      </c>
      <c r="B644" t="str">
        <f>IF(L644&lt;&gt;"",L644,_xlfn.XLOOKUP(A644,AI_NAMES!C:C,AI_NAMES!D:D,"",0))</f>
        <v>PostDoorToggle_CheckExit_AI_TBC</v>
      </c>
      <c r="L644" t="s">
        <v>321</v>
      </c>
      <c r="M644">
        <f>IF(C644&lt;&gt;"",C644,_xlfn.XLOOKUP(B644,AI_NAMES!D:D,AI_NAMES!E:E,"",0))</f>
        <v>0</v>
      </c>
    </row>
    <row r="645" spans="1:13" x14ac:dyDescent="0.2">
      <c r="A645" t="s">
        <v>783</v>
      </c>
      <c r="B645" t="str">
        <f>IF(L645&lt;&gt;"",L645,_xlfn.XLOOKUP(A645,AI_NAMES!C:C,AI_NAMES!D:D,"",0))</f>
        <v>PostDoorToggle_EndCase_AI_TBC</v>
      </c>
      <c r="L645" t="s">
        <v>321</v>
      </c>
      <c r="M645">
        <f>IF(C645&lt;&gt;"",C645,_xlfn.XLOOKUP(B645,AI_NAMES!D:D,AI_NAMES!E:E,"",0))</f>
        <v>0</v>
      </c>
    </row>
    <row r="646" spans="1:13" x14ac:dyDescent="0.2">
      <c r="A646" t="s">
        <v>784</v>
      </c>
      <c r="B646" t="str">
        <f>IF(L646&lt;&gt;"",L646,_xlfn.XLOOKUP(A646,AI_NAMES!C:C,AI_NAMES!D:D,"",0))</f>
        <v>PostDoorToggle_Default_AI_TBC</v>
      </c>
      <c r="L646" t="s">
        <v>321</v>
      </c>
      <c r="M646">
        <f>IF(C646&lt;&gt;"",C646,_xlfn.XLOOKUP(B646,AI_NAMES!D:D,AI_NAMES!E:E,"",0))</f>
        <v>0</v>
      </c>
    </row>
    <row r="647" spans="1:13" x14ac:dyDescent="0.2">
      <c r="A647" t="s">
        <v>785</v>
      </c>
      <c r="B647" t="str">
        <f>IF(L647&lt;&gt;"",L647,_xlfn.XLOOKUP(A647,AI_NAMES!C:C,AI_NAMES!D:D,"",0))</f>
        <v>Clear_LaunchPadFlag_AI_TBC</v>
      </c>
      <c r="L647" t="s">
        <v>321</v>
      </c>
      <c r="M647">
        <f>IF(C647&lt;&gt;"",C647,_xlfn.XLOOKUP(B647,AI_NAMES!D:D,AI_NAMES!E:E,"",0))</f>
        <v>0</v>
      </c>
    </row>
    <row r="648" spans="1:13" x14ac:dyDescent="0.2">
      <c r="A648" t="s">
        <v>786</v>
      </c>
      <c r="B648" t="str">
        <f>IF(L648&lt;&gt;"",L648,_xlfn.XLOOKUP(A648,AI_NAMES!C:C,AI_NAMES!D:D,"",0))</f>
        <v>Reset_LaunchPadPost_AI_TBC</v>
      </c>
      <c r="L648" t="s">
        <v>321</v>
      </c>
      <c r="M648">
        <f>IF(C648&lt;&gt;"",C648,_xlfn.XLOOKUP(B648,AI_NAMES!D:D,AI_NAMES!E:E,"",0))</f>
        <v>0</v>
      </c>
    </row>
    <row r="649" spans="1:13" x14ac:dyDescent="0.2">
      <c r="A649" t="s">
        <v>787</v>
      </c>
      <c r="B649" t="str">
        <f>IF(L649&lt;&gt;"",L649,_xlfn.XLOOKUP(A649,AI_NAMES!C:C,AI_NAMES!D:D,"",0))</f>
        <v/>
      </c>
      <c r="L649" t="s">
        <v>321</v>
      </c>
      <c r="M649">
        <f>IF(C649&lt;&gt;"",C649,_xlfn.XLOOKUP(B649,AI_NAMES!D:D,AI_NAMES!E:E,"",0))</f>
        <v>0</v>
      </c>
    </row>
    <row r="650" spans="1:13" x14ac:dyDescent="0.2">
      <c r="A650" t="s">
        <v>788</v>
      </c>
      <c r="B650" t="str">
        <f>IF(L650&lt;&gt;"",L650,_xlfn.XLOOKUP(A650,AI_NAMES!C:C,AI_NAMES!D:D,"",0))</f>
        <v>Restore_LaunchPadState_AI_TBC</v>
      </c>
      <c r="L650" t="s">
        <v>321</v>
      </c>
      <c r="M650">
        <f>IF(C650&lt;&gt;"",C650,_xlfn.XLOOKUP(B650,AI_NAMES!D:D,AI_NAMES!E:E,"",0))</f>
        <v>0</v>
      </c>
    </row>
    <row r="651" spans="1:13" x14ac:dyDescent="0.2">
      <c r="A651" t="s">
        <v>789</v>
      </c>
      <c r="B651" t="str">
        <f>IF(L651&lt;&gt;"",L651,_xlfn.XLOOKUP(A651,AI_NAMES!C:C,AI_NAMES!D:D,"",0))</f>
        <v/>
      </c>
      <c r="L651" t="s">
        <v>321</v>
      </c>
      <c r="M651">
        <f>IF(C651&lt;&gt;"",C651,_xlfn.XLOOKUP(B651,AI_NAMES!D:D,AI_NAMES!E:E,"",0))</f>
        <v>0</v>
      </c>
    </row>
    <row r="652" spans="1:13" x14ac:dyDescent="0.2">
      <c r="A652" t="s">
        <v>790</v>
      </c>
      <c r="B652" t="str">
        <f>IF(L652&lt;&gt;"",L652,_xlfn.XLOOKUP(A652,AI_NAMES!C:C,AI_NAMES!D:D,"",0))</f>
        <v/>
      </c>
      <c r="L652" t="s">
        <v>321</v>
      </c>
      <c r="M652">
        <f>IF(C652&lt;&gt;"",C652,_xlfn.XLOOKUP(B652,AI_NAMES!D:D,AI_NAMES!E:E,"",0))</f>
        <v>0</v>
      </c>
    </row>
    <row r="653" spans="1:13" x14ac:dyDescent="0.2">
      <c r="A653" t="s">
        <v>791</v>
      </c>
      <c r="B653" t="str">
        <f>IF(L653&lt;&gt;"",L653,_xlfn.XLOOKUP(A653,AI_NAMES!C:C,AI_NAMES!D:D,"",0))</f>
        <v/>
      </c>
      <c r="L653" t="s">
        <v>321</v>
      </c>
      <c r="M653">
        <f>IF(C653&lt;&gt;"",C653,_xlfn.XLOOKUP(B653,AI_NAMES!D:D,AI_NAMES!E:E,"",0))</f>
        <v>0</v>
      </c>
    </row>
    <row r="654" spans="1:13" x14ac:dyDescent="0.2">
      <c r="A654" t="s">
        <v>792</v>
      </c>
      <c r="B654" t="str">
        <f>IF(L654&lt;&gt;"",L654,_xlfn.XLOOKUP(A654,AI_NAMES!C:C,AI_NAMES!D:D,"",0))</f>
        <v/>
      </c>
      <c r="L654" t="s">
        <v>321</v>
      </c>
      <c r="M654">
        <f>IF(C654&lt;&gt;"",C654,_xlfn.XLOOKUP(B654,AI_NAMES!D:D,AI_NAMES!E:E,"",0))</f>
        <v>0</v>
      </c>
    </row>
    <row r="655" spans="1:13" x14ac:dyDescent="0.2">
      <c r="A655" t="s">
        <v>793</v>
      </c>
      <c r="B655" t="str">
        <f>IF(L655&lt;&gt;"",L655,_xlfn.XLOOKUP(A655,AI_NAMES!C:C,AI_NAMES!D:D,"",0))</f>
        <v/>
      </c>
      <c r="L655" t="s">
        <v>321</v>
      </c>
      <c r="M655">
        <f>IF(C655&lt;&gt;"",C655,_xlfn.XLOOKUP(B655,AI_NAMES!D:D,AI_NAMES!E:E,"",0))</f>
        <v>0</v>
      </c>
    </row>
    <row r="656" spans="1:13" x14ac:dyDescent="0.2">
      <c r="A656" t="s">
        <v>794</v>
      </c>
      <c r="B656" t="str">
        <f>IF(L656&lt;&gt;"",L656,_xlfn.XLOOKUP(A656,AI_NAMES!C:C,AI_NAMES!D:D,"",0))</f>
        <v/>
      </c>
      <c r="L656" t="s">
        <v>321</v>
      </c>
      <c r="M656">
        <f>IF(C656&lt;&gt;"",C656,_xlfn.XLOOKUP(B656,AI_NAMES!D:D,AI_NAMES!E:E,"",0))</f>
        <v>0</v>
      </c>
    </row>
    <row r="657" spans="1:13" x14ac:dyDescent="0.2">
      <c r="A657" t="s">
        <v>795</v>
      </c>
      <c r="B657" t="str">
        <f>IF(L657&lt;&gt;"",L657,_xlfn.XLOOKUP(A657,AI_NAMES!C:C,AI_NAMES!D:D,"",0))</f>
        <v/>
      </c>
      <c r="L657" t="s">
        <v>321</v>
      </c>
      <c r="M657">
        <f>IF(C657&lt;&gt;"",C657,_xlfn.XLOOKUP(B657,AI_NAMES!D:D,AI_NAMES!E:E,"",0))</f>
        <v>0</v>
      </c>
    </row>
    <row r="658" spans="1:13" x14ac:dyDescent="0.2">
      <c r="A658" t="s">
        <v>796</v>
      </c>
      <c r="B658" t="str">
        <f>IF(L658&lt;&gt;"",L658,_xlfn.XLOOKUP(A658,AI_NAMES!C:C,AI_NAMES!D:D,"",0))</f>
        <v/>
      </c>
      <c r="L658" t="s">
        <v>321</v>
      </c>
      <c r="M658">
        <f>IF(C658&lt;&gt;"",C658,_xlfn.XLOOKUP(B658,AI_NAMES!D:D,AI_NAMES!E:E,"",0))</f>
        <v>0</v>
      </c>
    </row>
    <row r="659" spans="1:13" x14ac:dyDescent="0.2">
      <c r="A659" t="s">
        <v>797</v>
      </c>
      <c r="B659" t="str">
        <f>IF(L659&lt;&gt;"",L659,_xlfn.XLOOKUP(A659,AI_NAMES!C:C,AI_NAMES!D:D,"",0))</f>
        <v/>
      </c>
      <c r="L659" t="s">
        <v>321</v>
      </c>
      <c r="M659">
        <f>IF(C659&lt;&gt;"",C659,_xlfn.XLOOKUP(B659,AI_NAMES!D:D,AI_NAMES!E:E,"",0))</f>
        <v>0</v>
      </c>
    </row>
    <row r="660" spans="1:13" x14ac:dyDescent="0.2">
      <c r="A660" t="s">
        <v>798</v>
      </c>
      <c r="B660" t="str">
        <f>IF(L660&lt;&gt;"",L660,_xlfn.XLOOKUP(A660,AI_NAMES!C:C,AI_NAMES!D:D,"",0))</f>
        <v/>
      </c>
      <c r="L660" t="s">
        <v>321</v>
      </c>
      <c r="M660">
        <f>IF(C660&lt;&gt;"",C660,_xlfn.XLOOKUP(B660,AI_NAMES!D:D,AI_NAMES!E:E,"",0))</f>
        <v>0</v>
      </c>
    </row>
    <row r="661" spans="1:13" x14ac:dyDescent="0.2">
      <c r="A661" t="s">
        <v>799</v>
      </c>
      <c r="B661" t="str">
        <f>IF(L661&lt;&gt;"",L661,_xlfn.XLOOKUP(A661,AI_NAMES!C:C,AI_NAMES!D:D,"",0))</f>
        <v/>
      </c>
      <c r="L661" t="s">
        <v>321</v>
      </c>
      <c r="M661">
        <f>IF(C661&lt;&gt;"",C661,_xlfn.XLOOKUP(B661,AI_NAMES!D:D,AI_NAMES!E:E,"",0))</f>
        <v>0</v>
      </c>
    </row>
    <row r="662" spans="1:13" x14ac:dyDescent="0.2">
      <c r="A662" t="s">
        <v>800</v>
      </c>
      <c r="B662" t="str">
        <f>IF(L662&lt;&gt;"",L662,_xlfn.XLOOKUP(A662,AI_NAMES!C:C,AI_NAMES!D:D,"",0))</f>
        <v/>
      </c>
      <c r="L662" t="s">
        <v>321</v>
      </c>
      <c r="M662">
        <f>IF(C662&lt;&gt;"",C662,_xlfn.XLOOKUP(B662,AI_NAMES!D:D,AI_NAMES!E:E,"",0))</f>
        <v>0</v>
      </c>
    </row>
    <row r="663" spans="1:13" x14ac:dyDescent="0.2">
      <c r="A663" t="s">
        <v>801</v>
      </c>
      <c r="B663" t="str">
        <f>IF(L663&lt;&gt;"",L663,_xlfn.XLOOKUP(A663,AI_NAMES!C:C,AI_NAMES!D:D,"",0))</f>
        <v/>
      </c>
      <c r="L663" t="s">
        <v>321</v>
      </c>
      <c r="M663">
        <f>IF(C663&lt;&gt;"",C663,_xlfn.XLOOKUP(B663,AI_NAMES!D:D,AI_NAMES!E:E,"",0))</f>
        <v>0</v>
      </c>
    </row>
    <row r="664" spans="1:13" x14ac:dyDescent="0.2">
      <c r="A664" t="s">
        <v>802</v>
      </c>
      <c r="B664" t="str">
        <f>IF(L664&lt;&gt;"",L664,_xlfn.XLOOKUP(A664,AI_NAMES!C:C,AI_NAMES!D:D,"",0))</f>
        <v/>
      </c>
      <c r="L664" t="s">
        <v>321</v>
      </c>
      <c r="M664">
        <f>IF(C664&lt;&gt;"",C664,_xlfn.XLOOKUP(B664,AI_NAMES!D:D,AI_NAMES!E:E,"",0))</f>
        <v>0</v>
      </c>
    </row>
    <row r="665" spans="1:13" x14ac:dyDescent="0.2">
      <c r="A665" t="s">
        <v>803</v>
      </c>
      <c r="B665" t="str">
        <f>IF(L665&lt;&gt;"",L665,_xlfn.XLOOKUP(A665,AI_NAMES!C:C,AI_NAMES!D:D,"",0))</f>
        <v/>
      </c>
      <c r="L665" t="s">
        <v>321</v>
      </c>
      <c r="M665">
        <f>IF(C665&lt;&gt;"",C665,_xlfn.XLOOKUP(B665,AI_NAMES!D:D,AI_NAMES!E:E,"",0))</f>
        <v>0</v>
      </c>
    </row>
    <row r="666" spans="1:13" x14ac:dyDescent="0.2">
      <c r="A666" t="s">
        <v>804</v>
      </c>
      <c r="B666" t="str">
        <f>IF(L666&lt;&gt;"",L666,_xlfn.XLOOKUP(A666,AI_NAMES!C:C,AI_NAMES!D:D,"",0))</f>
        <v/>
      </c>
      <c r="L666" t="s">
        <v>321</v>
      </c>
      <c r="M666">
        <f>IF(C666&lt;&gt;"",C666,_xlfn.XLOOKUP(B666,AI_NAMES!D:D,AI_NAMES!E:E,"",0))</f>
        <v>0</v>
      </c>
    </row>
    <row r="667" spans="1:13" x14ac:dyDescent="0.2">
      <c r="A667" t="s">
        <v>805</v>
      </c>
      <c r="B667" t="str">
        <f>IF(L667&lt;&gt;"",L667,_xlfn.XLOOKUP(A667,AI_NAMES!C:C,AI_NAMES!D:D,"",0))</f>
        <v/>
      </c>
      <c r="L667" t="s">
        <v>321</v>
      </c>
      <c r="M667">
        <f>IF(C667&lt;&gt;"",C667,_xlfn.XLOOKUP(B667,AI_NAMES!D:D,AI_NAMES!E:E,"",0))</f>
        <v>0</v>
      </c>
    </row>
    <row r="668" spans="1:13" x14ac:dyDescent="0.2">
      <c r="A668" t="s">
        <v>806</v>
      </c>
      <c r="B668" t="str">
        <f>IF(L668&lt;&gt;"",L668,_xlfn.XLOOKUP(A668,AI_NAMES!C:C,AI_NAMES!D:D,"",0))</f>
        <v/>
      </c>
      <c r="L668" t="s">
        <v>321</v>
      </c>
      <c r="M668">
        <f>IF(C668&lt;&gt;"",C668,_xlfn.XLOOKUP(B668,AI_NAMES!D:D,AI_NAMES!E:E,"",0))</f>
        <v>0</v>
      </c>
    </row>
    <row r="669" spans="1:13" x14ac:dyDescent="0.2">
      <c r="A669" t="s">
        <v>807</v>
      </c>
      <c r="B669" t="str">
        <f>IF(L669&lt;&gt;"",L669,_xlfn.XLOOKUP(A669,AI_NAMES!C:C,AI_NAMES!D:D,"",0))</f>
        <v/>
      </c>
      <c r="L669" t="s">
        <v>321</v>
      </c>
      <c r="M669">
        <f>IF(C669&lt;&gt;"",C669,_xlfn.XLOOKUP(B669,AI_NAMES!D:D,AI_NAMES!E:E,"",0))</f>
        <v>0</v>
      </c>
    </row>
    <row r="670" spans="1:13" x14ac:dyDescent="0.2">
      <c r="A670" t="s">
        <v>808</v>
      </c>
      <c r="B670" t="str">
        <f>IF(L670&lt;&gt;"",L670,_xlfn.XLOOKUP(A670,AI_NAMES!C:C,AI_NAMES!D:D,"",0))</f>
        <v/>
      </c>
      <c r="L670" t="s">
        <v>321</v>
      </c>
      <c r="M670">
        <f>IF(C670&lt;&gt;"",C670,_xlfn.XLOOKUP(B670,AI_NAMES!D:D,AI_NAMES!E:E,"",0))</f>
        <v>0</v>
      </c>
    </row>
    <row r="671" spans="1:13" x14ac:dyDescent="0.2">
      <c r="A671" t="s">
        <v>809</v>
      </c>
      <c r="B671" t="str">
        <f>IF(L671&lt;&gt;"",L671,_xlfn.XLOOKUP(A671,AI_NAMES!C:C,AI_NAMES!D:D,"",0))</f>
        <v/>
      </c>
      <c r="L671" t="s">
        <v>321</v>
      </c>
      <c r="M671">
        <f>IF(C671&lt;&gt;"",C671,_xlfn.XLOOKUP(B671,AI_NAMES!D:D,AI_NAMES!E:E,"",0))</f>
        <v>0</v>
      </c>
    </row>
    <row r="672" spans="1:13" x14ac:dyDescent="0.2">
      <c r="A672" t="s">
        <v>810</v>
      </c>
      <c r="B672" t="str">
        <f>IF(L672&lt;&gt;"",L672,_xlfn.XLOOKUP(A672,AI_NAMES!C:C,AI_NAMES!D:D,"",0))</f>
        <v/>
      </c>
      <c r="L672" t="s">
        <v>321</v>
      </c>
      <c r="M672">
        <f>IF(C672&lt;&gt;"",C672,_xlfn.XLOOKUP(B672,AI_NAMES!D:D,AI_NAMES!E:E,"",0))</f>
        <v>0</v>
      </c>
    </row>
    <row r="673" spans="1:13" x14ac:dyDescent="0.2">
      <c r="A673" t="s">
        <v>811</v>
      </c>
      <c r="B673" t="str">
        <f>IF(L673&lt;&gt;"",L673,_xlfn.XLOOKUP(A673,AI_NAMES!C:C,AI_NAMES!D:D,"",0))</f>
        <v/>
      </c>
      <c r="L673" t="s">
        <v>321</v>
      </c>
      <c r="M673">
        <f>IF(C673&lt;&gt;"",C673,_xlfn.XLOOKUP(B673,AI_NAMES!D:D,AI_NAMES!E:E,"",0))</f>
        <v>0</v>
      </c>
    </row>
    <row r="674" spans="1:13" x14ac:dyDescent="0.2">
      <c r="A674" t="s">
        <v>812</v>
      </c>
      <c r="B674" t="str">
        <f>IF(L674&lt;&gt;"",L674,_xlfn.XLOOKUP(A674,AI_NAMES!C:C,AI_NAMES!D:D,"",0))</f>
        <v/>
      </c>
      <c r="L674" t="s">
        <v>321</v>
      </c>
      <c r="M674">
        <f>IF(C674&lt;&gt;"",C674,_xlfn.XLOOKUP(B674,AI_NAMES!D:D,AI_NAMES!E:E,"",0))</f>
        <v>0</v>
      </c>
    </row>
    <row r="675" spans="1:13" x14ac:dyDescent="0.2">
      <c r="A675" t="s">
        <v>813</v>
      </c>
      <c r="B675" t="str">
        <f>IF(L675&lt;&gt;"",L675,_xlfn.XLOOKUP(A675,AI_NAMES!C:C,AI_NAMES!D:D,"",0))</f>
        <v/>
      </c>
      <c r="L675" t="s">
        <v>321</v>
      </c>
      <c r="M675">
        <f>IF(C675&lt;&gt;"",C675,_xlfn.XLOOKUP(B675,AI_NAMES!D:D,AI_NAMES!E:E,"",0))</f>
        <v>0</v>
      </c>
    </row>
    <row r="676" spans="1:13" x14ac:dyDescent="0.2">
      <c r="A676" t="s">
        <v>814</v>
      </c>
      <c r="B676" t="str">
        <f>IF(L676&lt;&gt;"",L676,_xlfn.XLOOKUP(A676,AI_NAMES!C:C,AI_NAMES!D:D,"",0))</f>
        <v/>
      </c>
      <c r="L676" t="s">
        <v>321</v>
      </c>
      <c r="M676">
        <f>IF(C676&lt;&gt;"",C676,_xlfn.XLOOKUP(B676,AI_NAMES!D:D,AI_NAMES!E:E,"",0))</f>
        <v>0</v>
      </c>
    </row>
    <row r="677" spans="1:13" x14ac:dyDescent="0.2">
      <c r="A677" t="s">
        <v>815</v>
      </c>
      <c r="B677" t="str">
        <f>IF(L677&lt;&gt;"",L677,_xlfn.XLOOKUP(A677,AI_NAMES!C:C,AI_NAMES!D:D,"",0))</f>
        <v/>
      </c>
      <c r="L677" t="s">
        <v>321</v>
      </c>
      <c r="M677">
        <f>IF(C677&lt;&gt;"",C677,_xlfn.XLOOKUP(B677,AI_NAMES!D:D,AI_NAMES!E:E,"",0))</f>
        <v>0</v>
      </c>
    </row>
    <row r="678" spans="1:13" x14ac:dyDescent="0.2">
      <c r="A678" t="s">
        <v>816</v>
      </c>
      <c r="B678" t="str">
        <f>IF(L678&lt;&gt;"",L678,_xlfn.XLOOKUP(A678,AI_NAMES!C:C,AI_NAMES!D:D,"",0))</f>
        <v/>
      </c>
      <c r="L678" t="s">
        <v>321</v>
      </c>
      <c r="M678">
        <f>IF(C678&lt;&gt;"",C678,_xlfn.XLOOKUP(B678,AI_NAMES!D:D,AI_NAMES!E:E,"",0))</f>
        <v>0</v>
      </c>
    </row>
    <row r="679" spans="1:13" x14ac:dyDescent="0.2">
      <c r="A679" t="s">
        <v>817</v>
      </c>
      <c r="B679" t="str">
        <f>IF(L679&lt;&gt;"",L679,_xlfn.XLOOKUP(A679,AI_NAMES!C:C,AI_NAMES!D:D,"",0))</f>
        <v/>
      </c>
      <c r="L679" t="s">
        <v>321</v>
      </c>
      <c r="M679">
        <f>IF(C679&lt;&gt;"",C679,_xlfn.XLOOKUP(B679,AI_NAMES!D:D,AI_NAMES!E:E,"",0))</f>
        <v>0</v>
      </c>
    </row>
    <row r="680" spans="1:13" x14ac:dyDescent="0.2">
      <c r="A680" t="s">
        <v>818</v>
      </c>
      <c r="B680" t="str">
        <f>IF(L680&lt;&gt;"",L680,_xlfn.XLOOKUP(A680,AI_NAMES!C:C,AI_NAMES!D:D,"",0))</f>
        <v/>
      </c>
      <c r="L680" t="s">
        <v>321</v>
      </c>
      <c r="M680">
        <f>IF(C680&lt;&gt;"",C680,_xlfn.XLOOKUP(B680,AI_NAMES!D:D,AI_NAMES!E:E,"",0))</f>
        <v>0</v>
      </c>
    </row>
    <row r="681" spans="1:13" x14ac:dyDescent="0.2">
      <c r="A681" t="s">
        <v>819</v>
      </c>
      <c r="B681" t="str">
        <f>IF(L681&lt;&gt;"",L681,_xlfn.XLOOKUP(A681,AI_NAMES!C:C,AI_NAMES!D:D,"",0))</f>
        <v>Zendik_Named</v>
      </c>
      <c r="L681" t="s">
        <v>819</v>
      </c>
      <c r="M681" t="str">
        <f>IF(C681&lt;&gt;"",C681,_xlfn.XLOOKUP(B681,AI_NAMES!D:D,AI_NAMES!E:E,"",0))</f>
        <v/>
      </c>
    </row>
    <row r="682" spans="1:13" x14ac:dyDescent="0.2">
      <c r="A682" t="s">
        <v>820</v>
      </c>
      <c r="B682" t="str">
        <f>IF(L682&lt;&gt;"",L682,_xlfn.XLOOKUP(A682,AI_NAMES!C:C,AI_NAMES!D:D,"",0))</f>
        <v>NotNamed</v>
      </c>
      <c r="L682" t="s">
        <v>820</v>
      </c>
      <c r="M682" t="str">
        <f>IF(C682&lt;&gt;"",C682,_xlfn.XLOOKUP(B682,AI_NAMES!D:D,AI_NAMES!E:E,"",0))</f>
        <v/>
      </c>
    </row>
    <row r="683" spans="1:13" x14ac:dyDescent="0.2">
      <c r="A683" t="s">
        <v>821</v>
      </c>
      <c r="B683" t="str">
        <f>IF(L683&lt;&gt;"",L683,_xlfn.XLOOKUP(A683,AI_NAMES!C:C,AI_NAMES!D:D,"",0))</f>
        <v/>
      </c>
      <c r="L683" t="s">
        <v>321</v>
      </c>
      <c r="M683">
        <f>IF(C683&lt;&gt;"",C683,_xlfn.XLOOKUP(B683,AI_NAMES!D:D,AI_NAMES!E:E,"",0))</f>
        <v>0</v>
      </c>
    </row>
    <row r="684" spans="1:13" x14ac:dyDescent="0.2">
      <c r="A684" t="s">
        <v>822</v>
      </c>
      <c r="B684" t="str">
        <f>IF(L684&lt;&gt;"",L684,_xlfn.XLOOKUP(A684,AI_NAMES!C:C,AI_NAMES!D:D,"",0))</f>
        <v/>
      </c>
      <c r="L684" t="s">
        <v>321</v>
      </c>
      <c r="M684">
        <f>IF(C684&lt;&gt;"",C684,_xlfn.XLOOKUP(B684,AI_NAMES!D:D,AI_NAMES!E:E,"",0))</f>
        <v>0</v>
      </c>
    </row>
    <row r="685" spans="1:13" x14ac:dyDescent="0.2">
      <c r="A685" t="s">
        <v>823</v>
      </c>
      <c r="B685" t="str">
        <f>IF(L685&lt;&gt;"",L685,_xlfn.XLOOKUP(A685,AI_NAMES!C:C,AI_NAMES!D:D,"",0))</f>
        <v/>
      </c>
      <c r="L685" t="s">
        <v>321</v>
      </c>
      <c r="M685">
        <f>IF(C685&lt;&gt;"",C685,_xlfn.XLOOKUP(B685,AI_NAMES!D:D,AI_NAMES!E:E,"",0))</f>
        <v>0</v>
      </c>
    </row>
    <row r="686" spans="1:13" x14ac:dyDescent="0.2">
      <c r="A686" t="s">
        <v>824</v>
      </c>
      <c r="B686" t="str">
        <f>IF(L686&lt;&gt;"",L686,_xlfn.XLOOKUP(A686,AI_NAMES!C:C,AI_NAMES!D:D,"",0))</f>
        <v/>
      </c>
      <c r="L686" t="s">
        <v>321</v>
      </c>
      <c r="M686">
        <f>IF(C686&lt;&gt;"",C686,_xlfn.XLOOKUP(B686,AI_NAMES!D:D,AI_NAMES!E:E,"",0))</f>
        <v>0</v>
      </c>
    </row>
    <row r="687" spans="1:13" x14ac:dyDescent="0.2">
      <c r="A687" t="s">
        <v>825</v>
      </c>
      <c r="B687" t="str">
        <f>IF(L687&lt;&gt;"",L687,_xlfn.XLOOKUP(A687,AI_NAMES!C:C,AI_NAMES!D:D,"",0))</f>
        <v/>
      </c>
      <c r="L687" t="s">
        <v>321</v>
      </c>
      <c r="M687">
        <f>IF(C687&lt;&gt;"",C687,_xlfn.XLOOKUP(B687,AI_NAMES!D:D,AI_NAMES!E:E,"",0))</f>
        <v>0</v>
      </c>
    </row>
    <row r="688" spans="1:13" x14ac:dyDescent="0.2">
      <c r="A688" t="s">
        <v>826</v>
      </c>
      <c r="B688" t="str">
        <f>IF(L688&lt;&gt;"",L688,_xlfn.XLOOKUP(A688,AI_NAMES!C:C,AI_NAMES!D:D,"",0))</f>
        <v/>
      </c>
      <c r="L688" t="s">
        <v>321</v>
      </c>
      <c r="M688">
        <f>IF(C688&lt;&gt;"",C688,_xlfn.XLOOKUP(B688,AI_NAMES!D:D,AI_NAMES!E:E,"",0))</f>
        <v>0</v>
      </c>
    </row>
    <row r="689" spans="1:13" x14ac:dyDescent="0.2">
      <c r="A689" t="s">
        <v>827</v>
      </c>
      <c r="B689" t="str">
        <f>IF(L689&lt;&gt;"",L689,_xlfn.XLOOKUP(A689,AI_NAMES!C:C,AI_NAMES!D:D,"",0))</f>
        <v/>
      </c>
      <c r="L689" t="s">
        <v>321</v>
      </c>
      <c r="M689">
        <f>IF(C689&lt;&gt;"",C689,_xlfn.XLOOKUP(B689,AI_NAMES!D:D,AI_NAMES!E:E,"",0))</f>
        <v>0</v>
      </c>
    </row>
    <row r="690" spans="1:13" x14ac:dyDescent="0.2">
      <c r="A690" t="s">
        <v>828</v>
      </c>
      <c r="B690" t="str">
        <f>IF(L690&lt;&gt;"",L690,_xlfn.XLOOKUP(A690,AI_NAMES!C:C,AI_NAMES!D:D,"",0))</f>
        <v/>
      </c>
      <c r="L690" t="s">
        <v>321</v>
      </c>
      <c r="M690">
        <f>IF(C690&lt;&gt;"",C690,_xlfn.XLOOKUP(B690,AI_NAMES!D:D,AI_NAMES!E:E,"",0))</f>
        <v>0</v>
      </c>
    </row>
    <row r="691" spans="1:13" x14ac:dyDescent="0.2">
      <c r="A691" t="s">
        <v>829</v>
      </c>
      <c r="B691" t="str">
        <f>IF(L691&lt;&gt;"",L691,_xlfn.XLOOKUP(A691,AI_NAMES!C:C,AI_NAMES!D:D,"",0))</f>
        <v/>
      </c>
      <c r="L691" t="s">
        <v>321</v>
      </c>
      <c r="M691">
        <f>IF(C691&lt;&gt;"",C691,_xlfn.XLOOKUP(B691,AI_NAMES!D:D,AI_NAMES!E:E,"",0))</f>
        <v>0</v>
      </c>
    </row>
    <row r="692" spans="1:13" x14ac:dyDescent="0.2">
      <c r="A692" t="s">
        <v>830</v>
      </c>
      <c r="B692" t="str">
        <f>IF(L692&lt;&gt;"",L692,_xlfn.XLOOKUP(A692,AI_NAMES!C:C,AI_NAMES!D:D,"",0))</f>
        <v/>
      </c>
      <c r="L692" t="s">
        <v>321</v>
      </c>
      <c r="M692">
        <f>IF(C692&lt;&gt;"",C692,_xlfn.XLOOKUP(B692,AI_NAMES!D:D,AI_NAMES!E:E,"",0))</f>
        <v>0</v>
      </c>
    </row>
    <row r="693" spans="1:13" x14ac:dyDescent="0.2">
      <c r="A693" t="s">
        <v>831</v>
      </c>
      <c r="B693" t="str">
        <f>IF(L693&lt;&gt;"",L693,_xlfn.XLOOKUP(A693,AI_NAMES!C:C,AI_NAMES!D:D,"",0))</f>
        <v/>
      </c>
      <c r="L693" t="s">
        <v>321</v>
      </c>
      <c r="M693">
        <f>IF(C693&lt;&gt;"",C693,_xlfn.XLOOKUP(B693,AI_NAMES!D:D,AI_NAMES!E:E,"",0))</f>
        <v>0</v>
      </c>
    </row>
    <row r="694" spans="1:13" x14ac:dyDescent="0.2">
      <c r="A694" t="s">
        <v>832</v>
      </c>
      <c r="B694" t="str">
        <f>IF(L694&lt;&gt;"",L694,_xlfn.XLOOKUP(A694,AI_NAMES!C:C,AI_NAMES!D:D,"",0))</f>
        <v/>
      </c>
      <c r="L694" t="s">
        <v>321</v>
      </c>
      <c r="M694">
        <f>IF(C694&lt;&gt;"",C694,_xlfn.XLOOKUP(B694,AI_NAMES!D:D,AI_NAMES!E:E,"",0))</f>
        <v>0</v>
      </c>
    </row>
    <row r="695" spans="1:13" x14ac:dyDescent="0.2">
      <c r="A695" t="s">
        <v>833</v>
      </c>
      <c r="B695" t="str">
        <f>IF(L695&lt;&gt;"",L695,_xlfn.XLOOKUP(A695,AI_NAMES!C:C,AI_NAMES!D:D,"",0))</f>
        <v/>
      </c>
      <c r="L695" t="s">
        <v>321</v>
      </c>
      <c r="M695">
        <f>IF(C695&lt;&gt;"",C695,_xlfn.XLOOKUP(B695,AI_NAMES!D:D,AI_NAMES!E:E,"",0))</f>
        <v>0</v>
      </c>
    </row>
    <row r="696" spans="1:13" x14ac:dyDescent="0.2">
      <c r="A696" t="s">
        <v>834</v>
      </c>
      <c r="B696" t="str">
        <f>IF(L696&lt;&gt;"",L696,_xlfn.XLOOKUP(A696,AI_NAMES!C:C,AI_NAMES!D:D,"",0))</f>
        <v/>
      </c>
      <c r="L696" t="s">
        <v>321</v>
      </c>
      <c r="M696">
        <f>IF(C696&lt;&gt;"",C696,_xlfn.XLOOKUP(B696,AI_NAMES!D:D,AI_NAMES!E:E,"",0))</f>
        <v>0</v>
      </c>
    </row>
    <row r="697" spans="1:13" x14ac:dyDescent="0.2">
      <c r="A697" t="s">
        <v>835</v>
      </c>
      <c r="B697" t="str">
        <f>IF(L697&lt;&gt;"",L697,_xlfn.XLOOKUP(A697,AI_NAMES!C:C,AI_NAMES!D:D,"",0))</f>
        <v/>
      </c>
      <c r="L697" t="s">
        <v>321</v>
      </c>
      <c r="M697">
        <f>IF(C697&lt;&gt;"",C697,_xlfn.XLOOKUP(B697,AI_NAMES!D:D,AI_NAMES!E:E,"",0))</f>
        <v>0</v>
      </c>
    </row>
    <row r="698" spans="1:13" x14ac:dyDescent="0.2">
      <c r="A698" t="s">
        <v>836</v>
      </c>
      <c r="B698" t="str">
        <f>IF(L698&lt;&gt;"",L698,_xlfn.XLOOKUP(A698,AI_NAMES!C:C,AI_NAMES!D:D,"",0))</f>
        <v/>
      </c>
      <c r="L698" t="s">
        <v>321</v>
      </c>
      <c r="M698">
        <f>IF(C698&lt;&gt;"",C698,_xlfn.XLOOKUP(B698,AI_NAMES!D:D,AI_NAMES!E:E,"",0))</f>
        <v>0</v>
      </c>
    </row>
    <row r="699" spans="1:13" x14ac:dyDescent="0.2">
      <c r="A699" t="s">
        <v>837</v>
      </c>
      <c r="B699" t="str">
        <f>IF(L699&lt;&gt;"",L699,_xlfn.XLOOKUP(A699,AI_NAMES!C:C,AI_NAMES!D:D,"",0))</f>
        <v/>
      </c>
      <c r="L699" t="s">
        <v>321</v>
      </c>
      <c r="M699">
        <f>IF(C699&lt;&gt;"",C699,_xlfn.XLOOKUP(B699,AI_NAMES!D:D,AI_NAMES!E:E,"",0))</f>
        <v>0</v>
      </c>
    </row>
    <row r="700" spans="1:13" x14ac:dyDescent="0.2">
      <c r="A700" t="s">
        <v>838</v>
      </c>
      <c r="B700" t="str">
        <f>IF(L700&lt;&gt;"",L700,_xlfn.XLOOKUP(A700,AI_NAMES!C:C,AI_NAMES!D:D,"",0))</f>
        <v/>
      </c>
      <c r="L700" t="s">
        <v>321</v>
      </c>
      <c r="M700">
        <f>IF(C700&lt;&gt;"",C700,_xlfn.XLOOKUP(B700,AI_NAMES!D:D,AI_NAMES!E:E,"",0))</f>
        <v>0</v>
      </c>
    </row>
    <row r="701" spans="1:13" x14ac:dyDescent="0.2">
      <c r="A701" t="s">
        <v>839</v>
      </c>
      <c r="B701" t="str">
        <f>IF(L701&lt;&gt;"",L701,_xlfn.XLOOKUP(A701,AI_NAMES!C:C,AI_NAMES!D:D,"",0))</f>
        <v/>
      </c>
      <c r="L701" t="s">
        <v>321</v>
      </c>
      <c r="M701">
        <f>IF(C701&lt;&gt;"",C701,_xlfn.XLOOKUP(B701,AI_NAMES!D:D,AI_NAMES!E:E,"",0))</f>
        <v>0</v>
      </c>
    </row>
    <row r="702" spans="1:13" x14ac:dyDescent="0.2">
      <c r="A702" t="s">
        <v>840</v>
      </c>
      <c r="B702" t="str">
        <f>IF(L702&lt;&gt;"",L702,_xlfn.XLOOKUP(A702,AI_NAMES!C:C,AI_NAMES!D:D,"",0))</f>
        <v/>
      </c>
      <c r="L702" t="s">
        <v>321</v>
      </c>
      <c r="M702">
        <f>IF(C702&lt;&gt;"",C702,_xlfn.XLOOKUP(B702,AI_NAMES!D:D,AI_NAMES!E:E,"",0))</f>
        <v>0</v>
      </c>
    </row>
    <row r="703" spans="1:13" x14ac:dyDescent="0.2">
      <c r="A703" t="s">
        <v>841</v>
      </c>
      <c r="B703" t="str">
        <f>IF(L703&lt;&gt;"",L703,_xlfn.XLOOKUP(A703,AI_NAMES!C:C,AI_NAMES!D:D,"",0))</f>
        <v/>
      </c>
      <c r="L703" t="s">
        <v>321</v>
      </c>
      <c r="M703">
        <f>IF(C703&lt;&gt;"",C703,_xlfn.XLOOKUP(B703,AI_NAMES!D:D,AI_NAMES!E:E,"",0))</f>
        <v>0</v>
      </c>
    </row>
    <row r="704" spans="1:13" x14ac:dyDescent="0.2">
      <c r="A704" t="s">
        <v>842</v>
      </c>
      <c r="B704" t="str">
        <f>IF(L704&lt;&gt;"",L704,_xlfn.XLOOKUP(A704,AI_NAMES!C:C,AI_NAMES!D:D,"",0))</f>
        <v>Trade_Exchange_TBC</v>
      </c>
      <c r="L704" t="s">
        <v>3379</v>
      </c>
      <c r="M704" t="str">
        <f>IF(C704&lt;&gt;"",C704,_xlfn.XLOOKUP(B704,AI_NAMES!D:D,AI_NAMES!E:E,"",0))</f>
        <v/>
      </c>
    </row>
    <row r="705" spans="1:13" x14ac:dyDescent="0.2">
      <c r="A705" t="s">
        <v>843</v>
      </c>
      <c r="B705" t="str">
        <f>IF(L705&lt;&gt;"",L705,_xlfn.XLOOKUP(A705,AI_NAMES!C:C,AI_NAMES!D:D,"",0))</f>
        <v/>
      </c>
      <c r="L705" t="s">
        <v>321</v>
      </c>
      <c r="M705">
        <f>IF(C705&lt;&gt;"",C705,_xlfn.XLOOKUP(B705,AI_NAMES!D:D,AI_NAMES!E:E,"",0))</f>
        <v>0</v>
      </c>
    </row>
    <row r="706" spans="1:13" x14ac:dyDescent="0.2">
      <c r="A706" t="s">
        <v>844</v>
      </c>
      <c r="B706" t="str">
        <f>IF(L706&lt;&gt;"",L706,_xlfn.XLOOKUP(A706,AI_NAMES!C:C,AI_NAMES!D:D,"",0))</f>
        <v/>
      </c>
      <c r="L706" t="s">
        <v>321</v>
      </c>
      <c r="M706">
        <f>IF(C706&lt;&gt;"",C706,_xlfn.XLOOKUP(B706,AI_NAMES!D:D,AI_NAMES!E:E,"",0))</f>
        <v>0</v>
      </c>
    </row>
    <row r="707" spans="1:13" x14ac:dyDescent="0.2">
      <c r="A707" t="s">
        <v>845</v>
      </c>
      <c r="B707" t="str">
        <f>IF(L707&lt;&gt;"",L707,_xlfn.XLOOKUP(A707,AI_NAMES!C:C,AI_NAMES!D:D,"",0))</f>
        <v/>
      </c>
      <c r="L707" t="s">
        <v>321</v>
      </c>
      <c r="M707">
        <f>IF(C707&lt;&gt;"",C707,_xlfn.XLOOKUP(B707,AI_NAMES!D:D,AI_NAMES!E:E,"",0))</f>
        <v>0</v>
      </c>
    </row>
    <row r="708" spans="1:13" x14ac:dyDescent="0.2">
      <c r="A708" t="s">
        <v>846</v>
      </c>
      <c r="B708" t="str">
        <f>IF(L708&lt;&gt;"",L708,_xlfn.XLOOKUP(A708,AI_NAMES!C:C,AI_NAMES!D:D,"",0))</f>
        <v/>
      </c>
      <c r="L708" t="s">
        <v>321</v>
      </c>
      <c r="M708">
        <f>IF(C708&lt;&gt;"",C708,_xlfn.XLOOKUP(B708,AI_NAMES!D:D,AI_NAMES!E:E,"",0))</f>
        <v>0</v>
      </c>
    </row>
    <row r="709" spans="1:13" x14ac:dyDescent="0.2">
      <c r="A709" t="s">
        <v>847</v>
      </c>
      <c r="B709" t="str">
        <f>IF(L709&lt;&gt;"",L709,_xlfn.XLOOKUP(A709,AI_NAMES!C:C,AI_NAMES!D:D,"",0))</f>
        <v/>
      </c>
      <c r="L709" t="s">
        <v>321</v>
      </c>
      <c r="M709">
        <f>IF(C709&lt;&gt;"",C709,_xlfn.XLOOKUP(B709,AI_NAMES!D:D,AI_NAMES!E:E,"",0))</f>
        <v>0</v>
      </c>
    </row>
    <row r="710" spans="1:13" x14ac:dyDescent="0.2">
      <c r="A710" t="s">
        <v>848</v>
      </c>
      <c r="B710" t="str">
        <f>IF(L710&lt;&gt;"",L710,_xlfn.XLOOKUP(A710,AI_NAMES!C:C,AI_NAMES!D:D,"",0))</f>
        <v/>
      </c>
      <c r="L710" t="s">
        <v>321</v>
      </c>
      <c r="M710">
        <f>IF(C710&lt;&gt;"",C710,_xlfn.XLOOKUP(B710,AI_NAMES!D:D,AI_NAMES!E:E,"",0))</f>
        <v>0</v>
      </c>
    </row>
    <row r="711" spans="1:13" x14ac:dyDescent="0.2">
      <c r="A711" t="s">
        <v>849</v>
      </c>
      <c r="B711" t="str">
        <f>IF(L711&lt;&gt;"",L711,_xlfn.XLOOKUP(A711,AI_NAMES!C:C,AI_NAMES!D:D,"",0))</f>
        <v/>
      </c>
      <c r="L711" t="s">
        <v>321</v>
      </c>
      <c r="M711">
        <f>IF(C711&lt;&gt;"",C711,_xlfn.XLOOKUP(B711,AI_NAMES!D:D,AI_NAMES!E:E,"",0))</f>
        <v>0</v>
      </c>
    </row>
    <row r="712" spans="1:13" x14ac:dyDescent="0.2">
      <c r="A712" t="s">
        <v>850</v>
      </c>
      <c r="B712" t="str">
        <f>IF(L712&lt;&gt;"",L712,_xlfn.XLOOKUP(A712,AI_NAMES!C:C,AI_NAMES!D:D,"",0))</f>
        <v/>
      </c>
      <c r="L712" t="s">
        <v>321</v>
      </c>
      <c r="M712">
        <f>IF(C712&lt;&gt;"",C712,_xlfn.XLOOKUP(B712,AI_NAMES!D:D,AI_NAMES!E:E,"",0))</f>
        <v>0</v>
      </c>
    </row>
    <row r="713" spans="1:13" x14ac:dyDescent="0.2">
      <c r="A713" t="s">
        <v>851</v>
      </c>
      <c r="B713" t="str">
        <f>IF(L713&lt;&gt;"",L713,_xlfn.XLOOKUP(A713,AI_NAMES!C:C,AI_NAMES!D:D,"",0))</f>
        <v/>
      </c>
      <c r="L713" t="s">
        <v>321</v>
      </c>
      <c r="M713">
        <f>IF(C713&lt;&gt;"",C713,_xlfn.XLOOKUP(B713,AI_NAMES!D:D,AI_NAMES!E:E,"",0))</f>
        <v>0</v>
      </c>
    </row>
    <row r="714" spans="1:13" x14ac:dyDescent="0.2">
      <c r="A714" t="s">
        <v>852</v>
      </c>
      <c r="B714" t="str">
        <f>IF(L714&lt;&gt;"",L714,_xlfn.XLOOKUP(A714,AI_NAMES!C:C,AI_NAMES!D:D,"",0))</f>
        <v/>
      </c>
      <c r="L714" t="s">
        <v>321</v>
      </c>
      <c r="M714">
        <f>IF(C714&lt;&gt;"",C714,_xlfn.XLOOKUP(B714,AI_NAMES!D:D,AI_NAMES!E:E,"",0))</f>
        <v>0</v>
      </c>
    </row>
    <row r="715" spans="1:13" x14ac:dyDescent="0.2">
      <c r="A715" t="s">
        <v>853</v>
      </c>
      <c r="B715" t="str">
        <f>IF(L715&lt;&gt;"",L715,_xlfn.XLOOKUP(A715,AI_NAMES!C:C,AI_NAMES!D:D,"",0))</f>
        <v/>
      </c>
      <c r="L715" t="s">
        <v>321</v>
      </c>
      <c r="M715">
        <f>IF(C715&lt;&gt;"",C715,_xlfn.XLOOKUP(B715,AI_NAMES!D:D,AI_NAMES!E:E,"",0))</f>
        <v>0</v>
      </c>
    </row>
    <row r="716" spans="1:13" x14ac:dyDescent="0.2">
      <c r="A716" t="s">
        <v>854</v>
      </c>
      <c r="B716" t="str">
        <f>IF(L716&lt;&gt;"",L716,_xlfn.XLOOKUP(A716,AI_NAMES!C:C,AI_NAMES!D:D,"",0))</f>
        <v/>
      </c>
      <c r="L716" t="s">
        <v>321</v>
      </c>
      <c r="M716">
        <f>IF(C716&lt;&gt;"",C716,_xlfn.XLOOKUP(B716,AI_NAMES!D:D,AI_NAMES!E:E,"",0))</f>
        <v>0</v>
      </c>
    </row>
    <row r="717" spans="1:13" x14ac:dyDescent="0.2">
      <c r="A717" t="s">
        <v>855</v>
      </c>
      <c r="B717" t="str">
        <f>IF(L717&lt;&gt;"",L717,_xlfn.XLOOKUP(A717,AI_NAMES!C:C,AI_NAMES!D:D,"",0))</f>
        <v/>
      </c>
      <c r="L717" t="s">
        <v>321</v>
      </c>
      <c r="M717">
        <f>IF(C717&lt;&gt;"",C717,_xlfn.XLOOKUP(B717,AI_NAMES!D:D,AI_NAMES!E:E,"",0))</f>
        <v>0</v>
      </c>
    </row>
    <row r="718" spans="1:13" x14ac:dyDescent="0.2">
      <c r="A718" t="s">
        <v>856</v>
      </c>
      <c r="B718" t="str">
        <f>IF(L718&lt;&gt;"",L718,_xlfn.XLOOKUP(A718,AI_NAMES!C:C,AI_NAMES!D:D,"",0))</f>
        <v>ItemNotToTrade</v>
      </c>
      <c r="L718" t="s">
        <v>856</v>
      </c>
      <c r="M718" t="str">
        <f>IF(C718&lt;&gt;"",C718,_xlfn.XLOOKUP(B718,AI_NAMES!D:D,AI_NAMES!E:E,"",0))</f>
        <v/>
      </c>
    </row>
    <row r="719" spans="1:13" x14ac:dyDescent="0.2">
      <c r="A719" t="s">
        <v>857</v>
      </c>
      <c r="B719" t="str">
        <f>IF(L719&lt;&gt;"",L719,_xlfn.XLOOKUP(A719,AI_NAMES!C:C,AI_NAMES!D:D,"",0))</f>
        <v/>
      </c>
      <c r="L719" t="s">
        <v>321</v>
      </c>
      <c r="M719">
        <f>IF(C719&lt;&gt;"",C719,_xlfn.XLOOKUP(B719,AI_NAMES!D:D,AI_NAMES!E:E,"",0))</f>
        <v>0</v>
      </c>
    </row>
    <row r="720" spans="1:13" x14ac:dyDescent="0.2">
      <c r="A720" t="s">
        <v>858</v>
      </c>
      <c r="B720" t="str">
        <f>IF(L720&lt;&gt;"",L720,_xlfn.XLOOKUP(A720,AI_NAMES!C:C,AI_NAMES!D:D,"",0))</f>
        <v/>
      </c>
      <c r="L720" t="s">
        <v>321</v>
      </c>
      <c r="M720">
        <f>IF(C720&lt;&gt;"",C720,_xlfn.XLOOKUP(B720,AI_NAMES!D:D,AI_NAMES!E:E,"",0))</f>
        <v>0</v>
      </c>
    </row>
    <row r="721" spans="1:13" x14ac:dyDescent="0.2">
      <c r="A721" t="s">
        <v>859</v>
      </c>
      <c r="B721" t="str">
        <f>IF(L721&lt;&gt;"",L721,_xlfn.XLOOKUP(A721,AI_NAMES!C:C,AI_NAMES!D:D,"",0))</f>
        <v/>
      </c>
      <c r="L721" t="s">
        <v>321</v>
      </c>
      <c r="M721">
        <f>IF(C721&lt;&gt;"",C721,_xlfn.XLOOKUP(B721,AI_NAMES!D:D,AI_NAMES!E:E,"",0))</f>
        <v>0</v>
      </c>
    </row>
    <row r="722" spans="1:13" x14ac:dyDescent="0.2">
      <c r="A722" t="s">
        <v>860</v>
      </c>
      <c r="B722" t="str">
        <f>IF(L722&lt;&gt;"",L722,_xlfn.XLOOKUP(A722,AI_NAMES!C:C,AI_NAMES!D:D,"",0))</f>
        <v/>
      </c>
      <c r="L722" t="s">
        <v>321</v>
      </c>
      <c r="M722">
        <f>IF(C722&lt;&gt;"",C722,_xlfn.XLOOKUP(B722,AI_NAMES!D:D,AI_NAMES!E:E,"",0))</f>
        <v>0</v>
      </c>
    </row>
    <row r="723" spans="1:13" x14ac:dyDescent="0.2">
      <c r="A723" t="s">
        <v>861</v>
      </c>
      <c r="B723" t="str">
        <f>IF(L723&lt;&gt;"",L723,_xlfn.XLOOKUP(A723,AI_NAMES!C:C,AI_NAMES!D:D,"",0))</f>
        <v/>
      </c>
      <c r="L723" t="s">
        <v>321</v>
      </c>
      <c r="M723">
        <f>IF(C723&lt;&gt;"",C723,_xlfn.XLOOKUP(B723,AI_NAMES!D:D,AI_NAMES!E:E,"",0))</f>
        <v>0</v>
      </c>
    </row>
    <row r="724" spans="1:13" x14ac:dyDescent="0.2">
      <c r="A724" t="s">
        <v>862</v>
      </c>
      <c r="B724" t="str">
        <f>IF(L724&lt;&gt;"",L724,_xlfn.XLOOKUP(A724,AI_NAMES!C:C,AI_NAMES!D:D,"",0))</f>
        <v>PartyFullMsg</v>
      </c>
      <c r="L724" t="s">
        <v>862</v>
      </c>
      <c r="M724" t="str">
        <f>IF(C724&lt;&gt;"",C724,_xlfn.XLOOKUP(B724,AI_NAMES!D:D,AI_NAMES!E:E,"",0))</f>
        <v/>
      </c>
    </row>
    <row r="725" spans="1:13" x14ac:dyDescent="0.2">
      <c r="A725" t="s">
        <v>863</v>
      </c>
      <c r="B725" t="str">
        <f>IF(L725&lt;&gt;"",L725,_xlfn.XLOOKUP(A725,AI_NAMES!C:C,AI_NAMES!D:D,"",0))</f>
        <v>RipMeOffMsg</v>
      </c>
      <c r="L725" t="s">
        <v>863</v>
      </c>
      <c r="M725" t="str">
        <f>IF(C725&lt;&gt;"",C725,_xlfn.XLOOKUP(B725,AI_NAMES!D:D,AI_NAMES!E:E,"",0))</f>
        <v/>
      </c>
    </row>
    <row r="726" spans="1:13" x14ac:dyDescent="0.2">
      <c r="A726" t="s">
        <v>864</v>
      </c>
      <c r="B726" t="str">
        <f>IF(L726&lt;&gt;"",L726,_xlfn.XLOOKUP(A726,AI_NAMES!C:C,AI_NAMES!D:D,"",0))</f>
        <v>KeepTalkingMsg</v>
      </c>
      <c r="L726" t="s">
        <v>864</v>
      </c>
      <c r="M726" t="str">
        <f>IF(C726&lt;&gt;"",C726,_xlfn.XLOOKUP(B726,AI_NAMES!D:D,AI_NAMES!E:E,"",0))</f>
        <v/>
      </c>
    </row>
    <row r="727" spans="1:13" x14ac:dyDescent="0.2">
      <c r="A727" t="s">
        <v>865</v>
      </c>
      <c r="B727" t="str">
        <f>IF(L727&lt;&gt;"",L727,_xlfn.XLOOKUP(A727,AI_NAMES!C:C,AI_NAMES!D:D,"",0))</f>
        <v>NotMyFriendMsg</v>
      </c>
      <c r="L727" t="s">
        <v>865</v>
      </c>
      <c r="M727" t="str">
        <f>IF(C727&lt;&gt;"",C727,_xlfn.XLOOKUP(B727,AI_NAMES!D:D,AI_NAMES!E:E,"",0))</f>
        <v/>
      </c>
    </row>
    <row r="728" spans="1:13" x14ac:dyDescent="0.2">
      <c r="A728" t="s">
        <v>866</v>
      </c>
      <c r="B728" t="str">
        <f>IF(L728&lt;&gt;"",L728,_xlfn.XLOOKUP(A728,AI_NAMES!C:C,AI_NAMES!D:D,"",0))</f>
        <v>NameNotImportantMsg</v>
      </c>
      <c r="L728" t="s">
        <v>866</v>
      </c>
      <c r="M728" t="str">
        <f>IF(C728&lt;&gt;"",C728,_xlfn.XLOOKUP(B728,AI_NAMES!D:D,AI_NAMES!E:E,"",0))</f>
        <v/>
      </c>
    </row>
    <row r="729" spans="1:13" x14ac:dyDescent="0.2">
      <c r="A729" t="s">
        <v>867</v>
      </c>
      <c r="B729" t="str">
        <f>IF(L729&lt;&gt;"",L729,_xlfn.XLOOKUP(A729,AI_NAMES!C:C,AI_NAMES!D:D,"",0))</f>
        <v>ZendikMsg</v>
      </c>
      <c r="L729" t="s">
        <v>867</v>
      </c>
      <c r="M729" t="str">
        <f>IF(C729&lt;&gt;"",C729,_xlfn.XLOOKUP(B729,AI_NAMES!D:D,AI_NAMES!E:E,"",0))</f>
        <v/>
      </c>
    </row>
    <row r="730" spans="1:13" x14ac:dyDescent="0.2">
      <c r="A730" t="s">
        <v>868</v>
      </c>
      <c r="B730" t="str">
        <f>IF(L730&lt;&gt;"",L730,_xlfn.XLOOKUP(A730,AI_NAMES!C:C,AI_NAMES!D:D,"",0))</f>
        <v>TooGreedyMsg</v>
      </c>
      <c r="L730" t="s">
        <v>868</v>
      </c>
      <c r="M730" t="str">
        <f>IF(C730&lt;&gt;"",C730,_xlfn.XLOOKUP(B730,AI_NAMES!D:D,AI_NAMES!E:E,"",0))</f>
        <v/>
      </c>
    </row>
    <row r="731" spans="1:13" x14ac:dyDescent="0.2">
      <c r="A731" t="s">
        <v>869</v>
      </c>
      <c r="B731" t="str">
        <f>IF(L731&lt;&gt;"",L731,_xlfn.XLOOKUP(A731,AI_NAMES!C:C,AI_NAMES!D:D,"",0))</f>
        <v/>
      </c>
      <c r="L731" t="s">
        <v>321</v>
      </c>
      <c r="M731">
        <f>IF(C731&lt;&gt;"",C731,_xlfn.XLOOKUP(B731,AI_NAMES!D:D,AI_NAMES!E:E,"",0))</f>
        <v>0</v>
      </c>
    </row>
    <row r="732" spans="1:13" x14ac:dyDescent="0.2">
      <c r="A732" t="s">
        <v>870</v>
      </c>
      <c r="B732" t="str">
        <f>IF(L732&lt;&gt;"",L732,_xlfn.XLOOKUP(A732,AI_NAMES!C:C,AI_NAMES!D:D,"",0))</f>
        <v/>
      </c>
      <c r="L732" t="s">
        <v>321</v>
      </c>
      <c r="M732">
        <f>IF(C732&lt;&gt;"",C732,_xlfn.XLOOKUP(B732,AI_NAMES!D:D,AI_NAMES!E:E,"",0))</f>
        <v>0</v>
      </c>
    </row>
    <row r="733" spans="1:13" x14ac:dyDescent="0.2">
      <c r="A733" t="s">
        <v>871</v>
      </c>
      <c r="B733" t="str">
        <f>IF(L733&lt;&gt;"",L733,_xlfn.XLOOKUP(A733,AI_NAMES!C:C,AI_NAMES!D:D,"",0))</f>
        <v/>
      </c>
      <c r="L733" t="s">
        <v>321</v>
      </c>
      <c r="M733">
        <f>IF(C733&lt;&gt;"",C733,_xlfn.XLOOKUP(B733,AI_NAMES!D:D,AI_NAMES!E:E,"",0))</f>
        <v>0</v>
      </c>
    </row>
    <row r="734" spans="1:13" x14ac:dyDescent="0.2">
      <c r="A734" t="s">
        <v>872</v>
      </c>
      <c r="B734" t="str">
        <f>IF(L734&lt;&gt;"",L734,_xlfn.XLOOKUP(A734,AI_NAMES!C:C,AI_NAMES!D:D,"",0))</f>
        <v>ArmouryList</v>
      </c>
      <c r="L734" t="s">
        <v>3378</v>
      </c>
      <c r="M734" t="str">
        <f>IF(C734&lt;&gt;"",C734,_xlfn.XLOOKUP(B734,AI_NAMES!D:D,AI_NAMES!E:E,"",0))</f>
        <v/>
      </c>
    </row>
    <row r="735" spans="1:13" x14ac:dyDescent="0.2">
      <c r="A735" t="s">
        <v>873</v>
      </c>
      <c r="B735" t="str">
        <f>IF(L735&lt;&gt;"",L735,_xlfn.XLOOKUP(A735,AI_NAMES!C:C,AI_NAMES!D:D,"",0))</f>
        <v/>
      </c>
      <c r="L735" t="s">
        <v>321</v>
      </c>
      <c r="M735">
        <f>IF(C735&lt;&gt;"",C735,_xlfn.XLOOKUP(B735,AI_NAMES!D:D,AI_NAMES!E:E,"",0))</f>
        <v>0</v>
      </c>
    </row>
    <row r="736" spans="1:13" x14ac:dyDescent="0.2">
      <c r="A736" t="s">
        <v>874</v>
      </c>
      <c r="B736" t="str">
        <f>IF(L736&lt;&gt;"",L736,_xlfn.XLOOKUP(A736,AI_NAMES!C:C,AI_NAMES!D:D,"",0))</f>
        <v>Trade_Offer_TBC</v>
      </c>
      <c r="L736" t="s">
        <v>3380</v>
      </c>
      <c r="M736" t="str">
        <f>IF(C736&lt;&gt;"",C736,_xlfn.XLOOKUP(B736,AI_NAMES!D:D,AI_NAMES!E:E,"",0))</f>
        <v/>
      </c>
    </row>
    <row r="737" spans="1:13" x14ac:dyDescent="0.2">
      <c r="A737" t="s">
        <v>875</v>
      </c>
      <c r="B737" t="str">
        <f>IF(L737&lt;&gt;"",L737,_xlfn.XLOOKUP(A737,AI_NAMES!C:C,AI_NAMES!D:D,"",0))</f>
        <v/>
      </c>
      <c r="L737" t="s">
        <v>321</v>
      </c>
      <c r="M737">
        <f>IF(C737&lt;&gt;"",C737,_xlfn.XLOOKUP(B737,AI_NAMES!D:D,AI_NAMES!E:E,"",0))</f>
        <v>0</v>
      </c>
    </row>
    <row r="738" spans="1:13" x14ac:dyDescent="0.2">
      <c r="A738" t="s">
        <v>876</v>
      </c>
      <c r="B738" t="str">
        <f>IF(L738&lt;&gt;"",L738,_xlfn.XLOOKUP(A738,AI_NAMES!C:C,AI_NAMES!D:D,"",0))</f>
        <v>.Trader_NotPotionsButArms</v>
      </c>
      <c r="L738" t="s">
        <v>3377</v>
      </c>
      <c r="M738" t="str">
        <f>IF(C738&lt;&gt;"",C738,_xlfn.XLOOKUP(B738,AI_NAMES!D:D,AI_NAMES!E:E,"",0))</f>
        <v/>
      </c>
    </row>
    <row r="739" spans="1:13" x14ac:dyDescent="0.2">
      <c r="A739" t="s">
        <v>877</v>
      </c>
      <c r="B739" t="str">
        <f>IF(L739&lt;&gt;"",L739,_xlfn.XLOOKUP(A739,AI_NAMES!C:C,AI_NAMES!D:D,"",0))</f>
        <v>.DontDivideList</v>
      </c>
      <c r="L739" t="s">
        <v>3381</v>
      </c>
      <c r="M739" t="str">
        <f>IF(C739&lt;&gt;"",C739,_xlfn.XLOOKUP(B739,AI_NAMES!D:D,AI_NAMES!E:E,"",0))</f>
        <v/>
      </c>
    </row>
    <row r="740" spans="1:13" x14ac:dyDescent="0.2">
      <c r="A740" t="s">
        <v>878</v>
      </c>
      <c r="B740" t="str">
        <f>IF(L740&lt;&gt;"",L740,_xlfn.XLOOKUP(A740,AI_NAMES!C:C,AI_NAMES!D:D,"",0))</f>
        <v/>
      </c>
      <c r="L740" t="s">
        <v>321</v>
      </c>
      <c r="M740">
        <f>IF(C740&lt;&gt;"",C740,_xlfn.XLOOKUP(B740,AI_NAMES!D:D,AI_NAMES!E:E,"",0))</f>
        <v>0</v>
      </c>
    </row>
    <row r="741" spans="1:13" x14ac:dyDescent="0.2">
      <c r="A741" t="s">
        <v>879</v>
      </c>
      <c r="B741" t="str">
        <f>IF(L741&lt;&gt;"",L741,_xlfn.XLOOKUP(A741,AI_NAMES!C:C,AI_NAMES!D:D,"",0))</f>
        <v>Click_ShowTeamAvatars</v>
      </c>
      <c r="L741" t="s">
        <v>880</v>
      </c>
      <c r="M741" t="str">
        <f>IF(C741&lt;&gt;"",C741,_xlfn.XLOOKUP(B741,AI_NAMES!D:D,AI_NAMES!E:E,"",0))</f>
        <v/>
      </c>
    </row>
    <row r="742" spans="1:13" x14ac:dyDescent="0.2">
      <c r="A742" t="s">
        <v>881</v>
      </c>
      <c r="B742" t="str">
        <f>IF(L742&lt;&gt;"",L742,_xlfn.XLOOKUP(A742,AI_NAMES!C:C,AI_NAMES!D:D,"",0))</f>
        <v/>
      </c>
      <c r="L742" t="s">
        <v>321</v>
      </c>
      <c r="M742">
        <f>IF(C742&lt;&gt;"",C742,_xlfn.XLOOKUP(B742,AI_NAMES!D:D,AI_NAMES!E:E,"",0))</f>
        <v>0</v>
      </c>
    </row>
    <row r="743" spans="1:13" x14ac:dyDescent="0.2">
      <c r="A743" t="s">
        <v>882</v>
      </c>
      <c r="B743" t="str">
        <f>IF(L743&lt;&gt;"",L743,_xlfn.XLOOKUP(A743,AI_NAMES!C:C,AI_NAMES!D:D,"",0))</f>
        <v/>
      </c>
      <c r="L743" t="s">
        <v>321</v>
      </c>
      <c r="M743">
        <f>IF(C743&lt;&gt;"",C743,_xlfn.XLOOKUP(B743,AI_NAMES!D:D,AI_NAMES!E:E,"",0))</f>
        <v>0</v>
      </c>
    </row>
    <row r="744" spans="1:13" x14ac:dyDescent="0.2">
      <c r="A744" t="s">
        <v>883</v>
      </c>
      <c r="B744" t="str">
        <f>IF(L744&lt;&gt;"",L744,_xlfn.XLOOKUP(A744,AI_NAMES!C:C,AI_NAMES!D:D,"",0))</f>
        <v/>
      </c>
      <c r="L744" t="s">
        <v>321</v>
      </c>
      <c r="M744">
        <f>IF(C744&lt;&gt;"",C744,_xlfn.XLOOKUP(B744,AI_NAMES!D:D,AI_NAMES!E:E,"",0))</f>
        <v>0</v>
      </c>
    </row>
    <row r="745" spans="1:13" x14ac:dyDescent="0.2">
      <c r="A745" t="s">
        <v>884</v>
      </c>
      <c r="B745" t="str">
        <f>IF(L745&lt;&gt;"",L745,_xlfn.XLOOKUP(A745,AI_NAMES!C:C,AI_NAMES!D:D,"",0))</f>
        <v/>
      </c>
      <c r="L745" t="s">
        <v>321</v>
      </c>
      <c r="M745">
        <f>IF(C745&lt;&gt;"",C745,_xlfn.XLOOKUP(B745,AI_NAMES!D:D,AI_NAMES!E:E,"",0))</f>
        <v>0</v>
      </c>
    </row>
    <row r="746" spans="1:13" x14ac:dyDescent="0.2">
      <c r="A746" t="s">
        <v>885</v>
      </c>
      <c r="B746" t="str">
        <f>IF(L746&lt;&gt;"",L746,_xlfn.XLOOKUP(A746,AI_NAMES!C:C,AI_NAMES!D:D,"",0))</f>
        <v/>
      </c>
      <c r="L746" t="s">
        <v>321</v>
      </c>
      <c r="M746">
        <f>IF(C746&lt;&gt;"",C746,_xlfn.XLOOKUP(B746,AI_NAMES!D:D,AI_NAMES!E:E,"",0))</f>
        <v>0</v>
      </c>
    </row>
    <row r="747" spans="1:13" x14ac:dyDescent="0.2">
      <c r="A747" t="s">
        <v>886</v>
      </c>
      <c r="B747" t="str">
        <f>IF(L747&lt;&gt;"",L747,_xlfn.XLOOKUP(A747,AI_NAMES!C:C,AI_NAMES!D:D,"",0))</f>
        <v/>
      </c>
      <c r="L747" t="s">
        <v>321</v>
      </c>
      <c r="M747">
        <f>IF(C747&lt;&gt;"",C747,_xlfn.XLOOKUP(B747,AI_NAMES!D:D,AI_NAMES!E:E,"",0))</f>
        <v>0</v>
      </c>
    </row>
    <row r="748" spans="1:13" x14ac:dyDescent="0.2">
      <c r="A748" t="s">
        <v>887</v>
      </c>
      <c r="B748" t="str">
        <f>IF(L748&lt;&gt;"",L748,_xlfn.XLOOKUP(A748,AI_NAMES!C:C,AI_NAMES!D:D,"",0))</f>
        <v/>
      </c>
      <c r="L748" t="s">
        <v>321</v>
      </c>
      <c r="M748">
        <f>IF(C748&lt;&gt;"",C748,_xlfn.XLOOKUP(B748,AI_NAMES!D:D,AI_NAMES!E:E,"",0))</f>
        <v>0</v>
      </c>
    </row>
    <row r="749" spans="1:13" x14ac:dyDescent="0.2">
      <c r="A749" t="s">
        <v>888</v>
      </c>
      <c r="B749" t="str">
        <f>IF(L749&lt;&gt;"",L749,_xlfn.XLOOKUP(A749,AI_NAMES!C:C,AI_NAMES!D:D,"",0))</f>
        <v/>
      </c>
      <c r="L749" t="s">
        <v>321</v>
      </c>
      <c r="M749">
        <f>IF(C749&lt;&gt;"",C749,_xlfn.XLOOKUP(B749,AI_NAMES!D:D,AI_NAMES!E:E,"",0))</f>
        <v>0</v>
      </c>
    </row>
    <row r="750" spans="1:13" x14ac:dyDescent="0.2">
      <c r="A750" t="s">
        <v>889</v>
      </c>
      <c r="B750" t="str">
        <f>IF(L750&lt;&gt;"",L750,_xlfn.XLOOKUP(A750,AI_NAMES!C:C,AI_NAMES!D:D,"",0))</f>
        <v/>
      </c>
      <c r="L750" t="s">
        <v>321</v>
      </c>
      <c r="M750">
        <f>IF(C750&lt;&gt;"",C750,_xlfn.XLOOKUP(B750,AI_NAMES!D:D,AI_NAMES!E:E,"",0))</f>
        <v>0</v>
      </c>
    </row>
    <row r="751" spans="1:13" x14ac:dyDescent="0.2">
      <c r="A751" t="s">
        <v>890</v>
      </c>
      <c r="B751" t="str">
        <f>IF(L751&lt;&gt;"",L751,_xlfn.XLOOKUP(A751,AI_NAMES!C:C,AI_NAMES!D:D,"",0))</f>
        <v/>
      </c>
      <c r="L751" t="s">
        <v>321</v>
      </c>
      <c r="M751">
        <f>IF(C751&lt;&gt;"",C751,_xlfn.XLOOKUP(B751,AI_NAMES!D:D,AI_NAMES!E:E,"",0))</f>
        <v>0</v>
      </c>
    </row>
    <row r="752" spans="1:13" x14ac:dyDescent="0.2">
      <c r="A752" t="s">
        <v>891</v>
      </c>
      <c r="B752" t="str">
        <f>IF(L752&lt;&gt;"",L752,_xlfn.XLOOKUP(A752,AI_NAMES!C:C,AI_NAMES!D:D,"",0))</f>
        <v/>
      </c>
      <c r="L752" t="s">
        <v>321</v>
      </c>
      <c r="M752">
        <f>IF(C752&lt;&gt;"",C752,_xlfn.XLOOKUP(B752,AI_NAMES!D:D,AI_NAMES!E:E,"",0))</f>
        <v>0</v>
      </c>
    </row>
    <row r="753" spans="1:13" x14ac:dyDescent="0.2">
      <c r="A753" t="s">
        <v>892</v>
      </c>
      <c r="B753" t="str">
        <f>IF(L753&lt;&gt;"",L753,_xlfn.XLOOKUP(A753,AI_NAMES!C:C,AI_NAMES!D:D,"",0))</f>
        <v/>
      </c>
      <c r="L753" t="s">
        <v>321</v>
      </c>
      <c r="M753">
        <f>IF(C753&lt;&gt;"",C753,_xlfn.XLOOKUP(B753,AI_NAMES!D:D,AI_NAMES!E:E,"",0))</f>
        <v>0</v>
      </c>
    </row>
    <row r="754" spans="1:13" x14ac:dyDescent="0.2">
      <c r="A754" t="s">
        <v>893</v>
      </c>
      <c r="B754" t="str">
        <f>IF(L754&lt;&gt;"",L754,_xlfn.XLOOKUP(A754,AI_NAMES!C:C,AI_NAMES!D:D,"",0))</f>
        <v/>
      </c>
      <c r="L754" t="s">
        <v>321</v>
      </c>
      <c r="M754">
        <f>IF(C754&lt;&gt;"",C754,_xlfn.XLOOKUP(B754,AI_NAMES!D:D,AI_NAMES!E:E,"",0))</f>
        <v>0</v>
      </c>
    </row>
    <row r="755" spans="1:13" x14ac:dyDescent="0.2">
      <c r="A755" t="s">
        <v>894</v>
      </c>
      <c r="B755" t="str">
        <f>IF(L755&lt;&gt;"",L755,_xlfn.XLOOKUP(A755,AI_NAMES!C:C,AI_NAMES!D:D,"",0))</f>
        <v/>
      </c>
      <c r="L755" t="s">
        <v>321</v>
      </c>
      <c r="M755">
        <f>IF(C755&lt;&gt;"",C755,_xlfn.XLOOKUP(B755,AI_NAMES!D:D,AI_NAMES!E:E,"",0))</f>
        <v>0</v>
      </c>
    </row>
    <row r="756" spans="1:13" x14ac:dyDescent="0.2">
      <c r="A756" t="s">
        <v>895</v>
      </c>
      <c r="B756" t="str">
        <f>IF(L756&lt;&gt;"",L756,_xlfn.XLOOKUP(A756,AI_NAMES!C:C,AI_NAMES!D:D,"",0))</f>
        <v/>
      </c>
      <c r="L756" t="s">
        <v>321</v>
      </c>
      <c r="M756">
        <f>IF(C756&lt;&gt;"",C756,_xlfn.XLOOKUP(B756,AI_NAMES!D:D,AI_NAMES!E:E,"",0))</f>
        <v>0</v>
      </c>
    </row>
    <row r="757" spans="1:13" x14ac:dyDescent="0.2">
      <c r="A757" t="s">
        <v>896</v>
      </c>
      <c r="B757" t="str">
        <f>IF(L757&lt;&gt;"",L757,_xlfn.XLOOKUP(A757,AI_NAMES!C:C,AI_NAMES!D:D,"",0))</f>
        <v/>
      </c>
      <c r="L757" t="s">
        <v>321</v>
      </c>
      <c r="M757">
        <f>IF(C757&lt;&gt;"",C757,_xlfn.XLOOKUP(B757,AI_NAMES!D:D,AI_NAMES!E:E,"",0))</f>
        <v>0</v>
      </c>
    </row>
    <row r="758" spans="1:13" x14ac:dyDescent="0.2">
      <c r="A758" t="s">
        <v>897</v>
      </c>
      <c r="B758" t="str">
        <f>IF(L758&lt;&gt;"",L758,_xlfn.XLOOKUP(A758,AI_NAMES!C:C,AI_NAMES!D:D,"",0))</f>
        <v/>
      </c>
      <c r="L758" t="s">
        <v>321</v>
      </c>
      <c r="M758">
        <f>IF(C758&lt;&gt;"",C758,_xlfn.XLOOKUP(B758,AI_NAMES!D:D,AI_NAMES!E:E,"",0))</f>
        <v>0</v>
      </c>
    </row>
    <row r="759" spans="1:13" x14ac:dyDescent="0.2">
      <c r="A759" t="s">
        <v>898</v>
      </c>
      <c r="B759" t="str">
        <f>IF(L759&lt;&gt;"",L759,_xlfn.XLOOKUP(A759,AI_NAMES!C:C,AI_NAMES!D:D,"",0))</f>
        <v/>
      </c>
      <c r="L759" t="s">
        <v>321</v>
      </c>
      <c r="M759">
        <f>IF(C759&lt;&gt;"",C759,_xlfn.XLOOKUP(B759,AI_NAMES!D:D,AI_NAMES!E:E,"",0))</f>
        <v>0</v>
      </c>
    </row>
    <row r="760" spans="1:13" x14ac:dyDescent="0.2">
      <c r="A760" t="s">
        <v>899</v>
      </c>
      <c r="B760" t="str">
        <f>IF(L760&lt;&gt;"",L760,_xlfn.XLOOKUP(A760,AI_NAMES!C:C,AI_NAMES!D:D,"",0))</f>
        <v/>
      </c>
      <c r="L760" t="s">
        <v>321</v>
      </c>
      <c r="M760">
        <f>IF(C760&lt;&gt;"",C760,_xlfn.XLOOKUP(B760,AI_NAMES!D:D,AI_NAMES!E:E,"",0))</f>
        <v>0</v>
      </c>
    </row>
    <row r="761" spans="1:13" x14ac:dyDescent="0.2">
      <c r="A761" t="s">
        <v>900</v>
      </c>
      <c r="B761" t="str">
        <f>IF(L761&lt;&gt;"",L761,_xlfn.XLOOKUP(A761,AI_NAMES!C:C,AI_NAMES!D:D,"",0))</f>
        <v/>
      </c>
      <c r="L761" t="s">
        <v>321</v>
      </c>
      <c r="M761">
        <f>IF(C761&lt;&gt;"",C761,_xlfn.XLOOKUP(B761,AI_NAMES!D:D,AI_NAMES!E:E,"",0))</f>
        <v>0</v>
      </c>
    </row>
    <row r="762" spans="1:13" x14ac:dyDescent="0.2">
      <c r="A762" t="s">
        <v>901</v>
      </c>
      <c r="B762" t="str">
        <f>IF(L762&lt;&gt;"",L762,_xlfn.XLOOKUP(A762,AI_NAMES!C:C,AI_NAMES!D:D,"",0))</f>
        <v/>
      </c>
      <c r="L762" t="s">
        <v>321</v>
      </c>
      <c r="M762">
        <f>IF(C762&lt;&gt;"",C762,_xlfn.XLOOKUP(B762,AI_NAMES!D:D,AI_NAMES!E:E,"",0))</f>
        <v>0</v>
      </c>
    </row>
    <row r="763" spans="1:13" x14ac:dyDescent="0.2">
      <c r="A763" t="s">
        <v>902</v>
      </c>
      <c r="B763" t="str">
        <f>IF(L763&lt;&gt;"",L763,_xlfn.XLOOKUP(A763,AI_NAMES!C:C,AI_NAMES!D:D,"",0))</f>
        <v/>
      </c>
      <c r="L763" t="s">
        <v>321</v>
      </c>
      <c r="M763">
        <f>IF(C763&lt;&gt;"",C763,_xlfn.XLOOKUP(B763,AI_NAMES!D:D,AI_NAMES!E:E,"",0))</f>
        <v>0</v>
      </c>
    </row>
    <row r="764" spans="1:13" x14ac:dyDescent="0.2">
      <c r="A764" t="s">
        <v>903</v>
      </c>
      <c r="B764" t="str">
        <f>IF(L764&lt;&gt;"",L764,_xlfn.XLOOKUP(A764,AI_NAMES!C:C,AI_NAMES!D:D,"",0))</f>
        <v/>
      </c>
      <c r="L764" t="s">
        <v>321</v>
      </c>
      <c r="M764">
        <f>IF(C764&lt;&gt;"",C764,_xlfn.XLOOKUP(B764,AI_NAMES!D:D,AI_NAMES!E:E,"",0))</f>
        <v>0</v>
      </c>
    </row>
    <row r="765" spans="1:13" x14ac:dyDescent="0.2">
      <c r="A765" t="s">
        <v>904</v>
      </c>
      <c r="B765" t="str">
        <f>IF(L765&lt;&gt;"",L765,_xlfn.XLOOKUP(A765,AI_NAMES!C:C,AI_NAMES!D:D,"",0))</f>
        <v/>
      </c>
      <c r="L765" t="s">
        <v>321</v>
      </c>
      <c r="M765">
        <f>IF(C765&lt;&gt;"",C765,_xlfn.XLOOKUP(B765,AI_NAMES!D:D,AI_NAMES!E:E,"",0))</f>
        <v>0</v>
      </c>
    </row>
    <row r="766" spans="1:13" x14ac:dyDescent="0.2">
      <c r="A766" t="s">
        <v>905</v>
      </c>
      <c r="B766" t="str">
        <f>IF(L766&lt;&gt;"",L766,_xlfn.XLOOKUP(A766,AI_NAMES!C:C,AI_NAMES!D:D,"",0))</f>
        <v/>
      </c>
      <c r="L766" t="s">
        <v>321</v>
      </c>
      <c r="M766">
        <f>IF(C766&lt;&gt;"",C766,_xlfn.XLOOKUP(B766,AI_NAMES!D:D,AI_NAMES!E:E,"",0))</f>
        <v>0</v>
      </c>
    </row>
    <row r="767" spans="1:13" x14ac:dyDescent="0.2">
      <c r="A767" t="s">
        <v>906</v>
      </c>
      <c r="B767" t="str">
        <f>IF(L767&lt;&gt;"",L767,_xlfn.XLOOKUP(A767,AI_NAMES!C:C,AI_NAMES!D:D,"",0))</f>
        <v/>
      </c>
      <c r="L767" t="s">
        <v>321</v>
      </c>
      <c r="M767">
        <f>IF(C767&lt;&gt;"",C767,_xlfn.XLOOKUP(B767,AI_NAMES!D:D,AI_NAMES!E:E,"",0))</f>
        <v>0</v>
      </c>
    </row>
    <row r="768" spans="1:13" x14ac:dyDescent="0.2">
      <c r="A768" t="s">
        <v>907</v>
      </c>
      <c r="B768" t="str">
        <f>IF(L768&lt;&gt;"",L768,_xlfn.XLOOKUP(A768,AI_NAMES!C:C,AI_NAMES!D:D,"",0))</f>
        <v/>
      </c>
      <c r="L768" t="s">
        <v>321</v>
      </c>
      <c r="M768">
        <f>IF(C768&lt;&gt;"",C768,_xlfn.XLOOKUP(B768,AI_NAMES!D:D,AI_NAMES!E:E,"",0))</f>
        <v>0</v>
      </c>
    </row>
    <row r="769" spans="1:13" x14ac:dyDescent="0.2">
      <c r="A769" t="s">
        <v>908</v>
      </c>
      <c r="B769" t="str">
        <f>IF(L769&lt;&gt;"",L769,_xlfn.XLOOKUP(A769,AI_NAMES!C:C,AI_NAMES!D:D,"",0))</f>
        <v/>
      </c>
      <c r="L769" t="s">
        <v>321</v>
      </c>
      <c r="M769">
        <f>IF(C769&lt;&gt;"",C769,_xlfn.XLOOKUP(B769,AI_NAMES!D:D,AI_NAMES!E:E,"",0))</f>
        <v>0</v>
      </c>
    </row>
    <row r="770" spans="1:13" x14ac:dyDescent="0.2">
      <c r="A770" t="s">
        <v>909</v>
      </c>
      <c r="B770" t="str">
        <f>IF(L770&lt;&gt;"",L770,_xlfn.XLOOKUP(A770,AI_NAMES!C:C,AI_NAMES!D:D,"",0))</f>
        <v/>
      </c>
      <c r="L770" t="s">
        <v>321</v>
      </c>
      <c r="M770">
        <f>IF(C770&lt;&gt;"",C770,_xlfn.XLOOKUP(B770,AI_NAMES!D:D,AI_NAMES!E:E,"",0))</f>
        <v>0</v>
      </c>
    </row>
    <row r="771" spans="1:13" x14ac:dyDescent="0.2">
      <c r="A771" t="s">
        <v>910</v>
      </c>
      <c r="B771" t="str">
        <f>IF(L771&lt;&gt;"",L771,_xlfn.XLOOKUP(A771,AI_NAMES!C:C,AI_NAMES!D:D,"",0))</f>
        <v/>
      </c>
      <c r="L771" t="s">
        <v>321</v>
      </c>
      <c r="M771">
        <f>IF(C771&lt;&gt;"",C771,_xlfn.XLOOKUP(B771,AI_NAMES!D:D,AI_NAMES!E:E,"",0))</f>
        <v>0</v>
      </c>
    </row>
    <row r="772" spans="1:13" x14ac:dyDescent="0.2">
      <c r="A772" t="s">
        <v>911</v>
      </c>
      <c r="B772" t="str">
        <f>IF(L772&lt;&gt;"",L772,_xlfn.XLOOKUP(A772,AI_NAMES!C:C,AI_NAMES!D:D,"",0))</f>
        <v/>
      </c>
      <c r="L772" t="s">
        <v>321</v>
      </c>
      <c r="M772">
        <f>IF(C772&lt;&gt;"",C772,_xlfn.XLOOKUP(B772,AI_NAMES!D:D,AI_NAMES!E:E,"",0))</f>
        <v>0</v>
      </c>
    </row>
    <row r="773" spans="1:13" x14ac:dyDescent="0.2">
      <c r="A773" t="s">
        <v>912</v>
      </c>
      <c r="B773" t="str">
        <f>IF(L773&lt;&gt;"",L773,_xlfn.XLOOKUP(A773,AI_NAMES!C:C,AI_NAMES!D:D,"",0))</f>
        <v/>
      </c>
      <c r="L773" t="s">
        <v>321</v>
      </c>
      <c r="M773">
        <f>IF(C773&lt;&gt;"",C773,_xlfn.XLOOKUP(B773,AI_NAMES!D:D,AI_NAMES!E:E,"",0))</f>
        <v>0</v>
      </c>
    </row>
    <row r="774" spans="1:13" x14ac:dyDescent="0.2">
      <c r="A774" t="s">
        <v>913</v>
      </c>
      <c r="B774" t="str">
        <f>IF(L774&lt;&gt;"",L774,_xlfn.XLOOKUP(A774,AI_NAMES!C:C,AI_NAMES!D:D,"",0))</f>
        <v/>
      </c>
      <c r="L774" t="s">
        <v>321</v>
      </c>
      <c r="M774">
        <f>IF(C774&lt;&gt;"",C774,_xlfn.XLOOKUP(B774,AI_NAMES!D:D,AI_NAMES!E:E,"",0))</f>
        <v>0</v>
      </c>
    </row>
    <row r="775" spans="1:13" x14ac:dyDescent="0.2">
      <c r="A775" t="s">
        <v>914</v>
      </c>
      <c r="B775" t="str">
        <f>IF(L775&lt;&gt;"",L775,_xlfn.XLOOKUP(A775,AI_NAMES!C:C,AI_NAMES!D:D,"",0))</f>
        <v/>
      </c>
      <c r="L775" t="s">
        <v>321</v>
      </c>
      <c r="M775">
        <f>IF(C775&lt;&gt;"",C775,_xlfn.XLOOKUP(B775,AI_NAMES!D:D,AI_NAMES!E:E,"",0))</f>
        <v>0</v>
      </c>
    </row>
    <row r="776" spans="1:13" x14ac:dyDescent="0.2">
      <c r="A776" t="s">
        <v>915</v>
      </c>
      <c r="B776" t="str">
        <f>IF(L776&lt;&gt;"",L776,_xlfn.XLOOKUP(A776,AI_NAMES!C:C,AI_NAMES!D:D,"",0))</f>
        <v/>
      </c>
      <c r="L776" t="s">
        <v>321</v>
      </c>
      <c r="M776">
        <f>IF(C776&lt;&gt;"",C776,_xlfn.XLOOKUP(B776,AI_NAMES!D:D,AI_NAMES!E:E,"",0))</f>
        <v>0</v>
      </c>
    </row>
    <row r="777" spans="1:13" x14ac:dyDescent="0.2">
      <c r="A777" t="s">
        <v>916</v>
      </c>
      <c r="B777" t="str">
        <f>IF(L777&lt;&gt;"",L777,_xlfn.XLOOKUP(A777,AI_NAMES!C:C,AI_NAMES!D:D,"",0))</f>
        <v/>
      </c>
      <c r="L777" t="s">
        <v>321</v>
      </c>
      <c r="M777">
        <f>IF(C777&lt;&gt;"",C777,_xlfn.XLOOKUP(B777,AI_NAMES!D:D,AI_NAMES!E:E,"",0))</f>
        <v>0</v>
      </c>
    </row>
    <row r="778" spans="1:13" x14ac:dyDescent="0.2">
      <c r="A778" t="s">
        <v>917</v>
      </c>
      <c r="B778" t="str">
        <f>IF(L778&lt;&gt;"",L778,_xlfn.XLOOKUP(A778,AI_NAMES!C:C,AI_NAMES!D:D,"",0))</f>
        <v/>
      </c>
      <c r="L778" t="s">
        <v>321</v>
      </c>
      <c r="M778">
        <f>IF(C778&lt;&gt;"",C778,_xlfn.XLOOKUP(B778,AI_NAMES!D:D,AI_NAMES!E:E,"",0))</f>
        <v>0</v>
      </c>
    </row>
    <row r="779" spans="1:13" x14ac:dyDescent="0.2">
      <c r="A779" t="s">
        <v>918</v>
      </c>
      <c r="B779" t="str">
        <f>IF(L779&lt;&gt;"",L779,_xlfn.XLOOKUP(A779,AI_NAMES!C:C,AI_NAMES!D:D,"",0))</f>
        <v/>
      </c>
      <c r="L779" t="s">
        <v>321</v>
      </c>
      <c r="M779">
        <f>IF(C779&lt;&gt;"",C779,_xlfn.XLOOKUP(B779,AI_NAMES!D:D,AI_NAMES!E:E,"",0))</f>
        <v>0</v>
      </c>
    </row>
    <row r="780" spans="1:13" x14ac:dyDescent="0.2">
      <c r="A780" t="s">
        <v>919</v>
      </c>
      <c r="B780" t="str">
        <f>IF(L780&lt;&gt;"",L780,_xlfn.XLOOKUP(A780,AI_NAMES!C:C,AI_NAMES!D:D,"",0))</f>
        <v/>
      </c>
      <c r="L780" t="s">
        <v>321</v>
      </c>
      <c r="M780">
        <f>IF(C780&lt;&gt;"",C780,_xlfn.XLOOKUP(B780,AI_NAMES!D:D,AI_NAMES!E:E,"",0))</f>
        <v>0</v>
      </c>
    </row>
    <row r="781" spans="1:13" x14ac:dyDescent="0.2">
      <c r="A781" t="s">
        <v>920</v>
      </c>
      <c r="B781" t="str">
        <f>IF(L781&lt;&gt;"",L781,_xlfn.XLOOKUP(A781,AI_NAMES!C:C,AI_NAMES!D:D,"",0))</f>
        <v/>
      </c>
      <c r="L781" t="s">
        <v>321</v>
      </c>
      <c r="M781">
        <f>IF(C781&lt;&gt;"",C781,_xlfn.XLOOKUP(B781,AI_NAMES!D:D,AI_NAMES!E:E,"",0))</f>
        <v>0</v>
      </c>
    </row>
    <row r="782" spans="1:13" x14ac:dyDescent="0.2">
      <c r="A782" t="s">
        <v>921</v>
      </c>
      <c r="B782" t="str">
        <f>IF(L782&lt;&gt;"",L782,_xlfn.XLOOKUP(A782,AI_NAMES!C:C,AI_NAMES!D:D,"",0))</f>
        <v/>
      </c>
      <c r="L782" t="s">
        <v>321</v>
      </c>
      <c r="M782">
        <f>IF(C782&lt;&gt;"",C782,_xlfn.XLOOKUP(B782,AI_NAMES!D:D,AI_NAMES!E:E,"",0))</f>
        <v>0</v>
      </c>
    </row>
    <row r="783" spans="1:13" x14ac:dyDescent="0.2">
      <c r="A783" t="s">
        <v>922</v>
      </c>
      <c r="B783" t="str">
        <f>IF(L783&lt;&gt;"",L783,_xlfn.XLOOKUP(A783,AI_NAMES!C:C,AI_NAMES!D:D,"",0))</f>
        <v/>
      </c>
      <c r="L783" t="s">
        <v>321</v>
      </c>
      <c r="M783">
        <f>IF(C783&lt;&gt;"",C783,_xlfn.XLOOKUP(B783,AI_NAMES!D:D,AI_NAMES!E:E,"",0))</f>
        <v>0</v>
      </c>
    </row>
    <row r="784" spans="1:13" x14ac:dyDescent="0.2">
      <c r="A784" t="s">
        <v>923</v>
      </c>
      <c r="B784" t="str">
        <f>IF(L784&lt;&gt;"",L784,_xlfn.XLOOKUP(A784,AI_NAMES!C:C,AI_NAMES!D:D,"",0))</f>
        <v/>
      </c>
      <c r="L784" t="s">
        <v>321</v>
      </c>
      <c r="M784">
        <f>IF(C784&lt;&gt;"",C784,_xlfn.XLOOKUP(B784,AI_NAMES!D:D,AI_NAMES!E:E,"",0))</f>
        <v>0</v>
      </c>
    </row>
    <row r="785" spans="1:13" x14ac:dyDescent="0.2">
      <c r="A785" t="s">
        <v>924</v>
      </c>
      <c r="B785" t="str">
        <f>IF(L785&lt;&gt;"",L785,_xlfn.XLOOKUP(A785,AI_NAMES!C:C,AI_NAMES!D:D,"",0))</f>
        <v/>
      </c>
      <c r="L785" t="s">
        <v>321</v>
      </c>
      <c r="M785">
        <f>IF(C785&lt;&gt;"",C785,_xlfn.XLOOKUP(B785,AI_NAMES!D:D,AI_NAMES!E:E,"",0))</f>
        <v>0</v>
      </c>
    </row>
    <row r="786" spans="1:13" x14ac:dyDescent="0.2">
      <c r="A786" t="s">
        <v>925</v>
      </c>
      <c r="B786" t="str">
        <f>IF(L786&lt;&gt;"",L786,_xlfn.XLOOKUP(A786,AI_NAMES!C:C,AI_NAMES!D:D,"",0))</f>
        <v/>
      </c>
      <c r="L786" t="s">
        <v>321</v>
      </c>
      <c r="M786">
        <f>IF(C786&lt;&gt;"",C786,_xlfn.XLOOKUP(B786,AI_NAMES!D:D,AI_NAMES!E:E,"",0))</f>
        <v>0</v>
      </c>
    </row>
    <row r="787" spans="1:13" x14ac:dyDescent="0.2">
      <c r="A787" t="s">
        <v>926</v>
      </c>
      <c r="B787" t="str">
        <f>IF(L787&lt;&gt;"",L787,_xlfn.XLOOKUP(A787,AI_NAMES!C:C,AI_NAMES!D:D,"",0))</f>
        <v/>
      </c>
      <c r="L787" t="s">
        <v>321</v>
      </c>
      <c r="M787">
        <f>IF(C787&lt;&gt;"",C787,_xlfn.XLOOKUP(B787,AI_NAMES!D:D,AI_NAMES!E:E,"",0))</f>
        <v>0</v>
      </c>
    </row>
    <row r="788" spans="1:13" x14ac:dyDescent="0.2">
      <c r="A788" t="s">
        <v>927</v>
      </c>
      <c r="B788" t="str">
        <f>IF(L788&lt;&gt;"",L788,_xlfn.XLOOKUP(A788,AI_NAMES!C:C,AI_NAMES!D:D,"",0))</f>
        <v/>
      </c>
      <c r="L788" t="s">
        <v>321</v>
      </c>
      <c r="M788">
        <f>IF(C788&lt;&gt;"",C788,_xlfn.XLOOKUP(B788,AI_NAMES!D:D,AI_NAMES!E:E,"",0))</f>
        <v>0</v>
      </c>
    </row>
    <row r="789" spans="1:13" x14ac:dyDescent="0.2">
      <c r="A789" t="s">
        <v>928</v>
      </c>
      <c r="B789" t="str">
        <f>IF(L789&lt;&gt;"",L789,_xlfn.XLOOKUP(A789,AI_NAMES!C:C,AI_NAMES!D:D,"",0))</f>
        <v/>
      </c>
      <c r="L789" t="s">
        <v>321</v>
      </c>
      <c r="M789">
        <f>IF(C789&lt;&gt;"",C789,_xlfn.XLOOKUP(B789,AI_NAMES!D:D,AI_NAMES!E:E,"",0))</f>
        <v>0</v>
      </c>
    </row>
    <row r="790" spans="1:13" x14ac:dyDescent="0.2">
      <c r="A790" t="s">
        <v>929</v>
      </c>
      <c r="B790" t="str">
        <f>IF(L790&lt;&gt;"",L790,_xlfn.XLOOKUP(A790,AI_NAMES!C:C,AI_NAMES!D:D,"",0))</f>
        <v/>
      </c>
      <c r="L790" t="s">
        <v>321</v>
      </c>
      <c r="M790">
        <f>IF(C790&lt;&gt;"",C790,_xlfn.XLOOKUP(B790,AI_NAMES!D:D,AI_NAMES!E:E,"",0))</f>
        <v>0</v>
      </c>
    </row>
    <row r="791" spans="1:13" x14ac:dyDescent="0.2">
      <c r="A791" t="s">
        <v>930</v>
      </c>
      <c r="B791" t="str">
        <f>IF(L791&lt;&gt;"",L791,_xlfn.XLOOKUP(A791,AI_NAMES!C:C,AI_NAMES!D:D,"",0))</f>
        <v/>
      </c>
      <c r="L791" t="s">
        <v>321</v>
      </c>
      <c r="M791">
        <f>IF(C791&lt;&gt;"",C791,_xlfn.XLOOKUP(B791,AI_NAMES!D:D,AI_NAMES!E:E,"",0))</f>
        <v>0</v>
      </c>
    </row>
    <row r="792" spans="1:13" x14ac:dyDescent="0.2">
      <c r="A792" t="s">
        <v>931</v>
      </c>
      <c r="B792" t="str">
        <f>IF(L792&lt;&gt;"",L792,_xlfn.XLOOKUP(A792,AI_NAMES!C:C,AI_NAMES!D:D,"",0))</f>
        <v/>
      </c>
      <c r="L792" t="s">
        <v>321</v>
      </c>
      <c r="M792">
        <f>IF(C792&lt;&gt;"",C792,_xlfn.XLOOKUP(B792,AI_NAMES!D:D,AI_NAMES!E:E,"",0))</f>
        <v>0</v>
      </c>
    </row>
    <row r="793" spans="1:13" x14ac:dyDescent="0.2">
      <c r="A793" t="s">
        <v>932</v>
      </c>
      <c r="B793" t="str">
        <f>IF(L793&lt;&gt;"",L793,_xlfn.XLOOKUP(A793,AI_NAMES!C:C,AI_NAMES!D:D,"",0))</f>
        <v/>
      </c>
      <c r="L793" t="s">
        <v>321</v>
      </c>
      <c r="M793">
        <f>IF(C793&lt;&gt;"",C793,_xlfn.XLOOKUP(B793,AI_NAMES!D:D,AI_NAMES!E:E,"",0))</f>
        <v>0</v>
      </c>
    </row>
    <row r="794" spans="1:13" x14ac:dyDescent="0.2">
      <c r="A794" t="s">
        <v>933</v>
      </c>
      <c r="B794" t="str">
        <f>IF(L794&lt;&gt;"",L794,_xlfn.XLOOKUP(A794,AI_NAMES!C:C,AI_NAMES!D:D,"",0))</f>
        <v/>
      </c>
      <c r="L794" t="s">
        <v>321</v>
      </c>
      <c r="M794">
        <f>IF(C794&lt;&gt;"",C794,_xlfn.XLOOKUP(B794,AI_NAMES!D:D,AI_NAMES!E:E,"",0))</f>
        <v>0</v>
      </c>
    </row>
    <row r="795" spans="1:13" x14ac:dyDescent="0.2">
      <c r="A795" t="s">
        <v>934</v>
      </c>
      <c r="B795" t="str">
        <f>IF(L795&lt;&gt;"",L795,_xlfn.XLOOKUP(A795,AI_NAMES!C:C,AI_NAMES!D:D,"",0))</f>
        <v/>
      </c>
      <c r="L795" t="s">
        <v>321</v>
      </c>
      <c r="M795">
        <f>IF(C795&lt;&gt;"",C795,_xlfn.XLOOKUP(B795,AI_NAMES!D:D,AI_NAMES!E:E,"",0))</f>
        <v>0</v>
      </c>
    </row>
    <row r="796" spans="1:13" x14ac:dyDescent="0.2">
      <c r="A796" t="s">
        <v>935</v>
      </c>
      <c r="B796" t="str">
        <f>IF(L796&lt;&gt;"",L796,_xlfn.XLOOKUP(A796,AI_NAMES!C:C,AI_NAMES!D:D,"",0))</f>
        <v/>
      </c>
      <c r="L796" t="s">
        <v>321</v>
      </c>
      <c r="M796">
        <f>IF(C796&lt;&gt;"",C796,_xlfn.XLOOKUP(B796,AI_NAMES!D:D,AI_NAMES!E:E,"",0))</f>
        <v>0</v>
      </c>
    </row>
    <row r="797" spans="1:13" x14ac:dyDescent="0.2">
      <c r="A797" t="s">
        <v>936</v>
      </c>
      <c r="B797" t="str">
        <f>IF(L797&lt;&gt;"",L797,_xlfn.XLOOKUP(A797,AI_NAMES!C:C,AI_NAMES!D:D,"",0))</f>
        <v/>
      </c>
      <c r="L797" t="s">
        <v>321</v>
      </c>
      <c r="M797">
        <f>IF(C797&lt;&gt;"",C797,_xlfn.XLOOKUP(B797,AI_NAMES!D:D,AI_NAMES!E:E,"",0))</f>
        <v>0</v>
      </c>
    </row>
    <row r="798" spans="1:13" x14ac:dyDescent="0.2">
      <c r="A798" t="s">
        <v>937</v>
      </c>
      <c r="B798" t="str">
        <f>IF(L798&lt;&gt;"",L798,_xlfn.XLOOKUP(A798,AI_NAMES!C:C,AI_NAMES!D:D,"",0))</f>
        <v/>
      </c>
      <c r="L798" t="s">
        <v>321</v>
      </c>
      <c r="M798">
        <f>IF(C798&lt;&gt;"",C798,_xlfn.XLOOKUP(B798,AI_NAMES!D:D,AI_NAMES!E:E,"",0))</f>
        <v>0</v>
      </c>
    </row>
    <row r="799" spans="1:13" x14ac:dyDescent="0.2">
      <c r="A799" t="s">
        <v>938</v>
      </c>
      <c r="B799" t="str">
        <f>IF(L799&lt;&gt;"",L799,_xlfn.XLOOKUP(A799,AI_NAMES!C:C,AI_NAMES!D:D,"",0))</f>
        <v>WhatThyBusinessMsg</v>
      </c>
      <c r="L799" t="s">
        <v>938</v>
      </c>
      <c r="M799" t="str">
        <f>IF(C799&lt;&gt;"",C799,_xlfn.XLOOKUP(B799,AI_NAMES!D:D,AI_NAMES!E:E,"",0))</f>
        <v/>
      </c>
    </row>
    <row r="800" spans="1:13" x14ac:dyDescent="0.2">
      <c r="A800" t="s">
        <v>939</v>
      </c>
      <c r="B800" t="str">
        <f>IF(L800&lt;&gt;"",L800,_xlfn.XLOOKUP(A800,AI_NAMES!C:C,AI_NAMES!D:D,"",0))</f>
        <v/>
      </c>
      <c r="L800" t="s">
        <v>321</v>
      </c>
      <c r="M800">
        <f>IF(C800&lt;&gt;"",C800,_xlfn.XLOOKUP(B800,AI_NAMES!D:D,AI_NAMES!E:E,"",0))</f>
        <v>0</v>
      </c>
    </row>
    <row r="801" spans="1:13" x14ac:dyDescent="0.2">
      <c r="A801" t="s">
        <v>940</v>
      </c>
      <c r="B801" t="str">
        <f>IF(L801&lt;&gt;"",L801,_xlfn.XLOOKUP(A801,AI_NAMES!C:C,AI_NAMES!D:D,"",0))</f>
        <v/>
      </c>
      <c r="L801" t="s">
        <v>321</v>
      </c>
      <c r="M801">
        <f>IF(C801&lt;&gt;"",C801,_xlfn.XLOOKUP(B801,AI_NAMES!D:D,AI_NAMES!E:E,"",0))</f>
        <v>0</v>
      </c>
    </row>
    <row r="802" spans="1:13" x14ac:dyDescent="0.2">
      <c r="A802" t="s">
        <v>941</v>
      </c>
      <c r="B802" t="str">
        <f>IF(L802&lt;&gt;"",L802,_xlfn.XLOOKUP(A802,AI_NAMES!C:C,AI_NAMES!D:D,"",0))</f>
        <v/>
      </c>
      <c r="L802" t="s">
        <v>321</v>
      </c>
      <c r="M802">
        <f>IF(C802&lt;&gt;"",C802,_xlfn.XLOOKUP(B802,AI_NAMES!D:D,AI_NAMES!E:E,"",0))</f>
        <v>0</v>
      </c>
    </row>
    <row r="803" spans="1:13" x14ac:dyDescent="0.2">
      <c r="A803" t="s">
        <v>942</v>
      </c>
      <c r="B803" t="str">
        <f>IF(L803&lt;&gt;"",L803,_xlfn.XLOOKUP(A803,AI_NAMES!C:C,AI_NAMES!D:D,"",0))</f>
        <v/>
      </c>
      <c r="L803" t="s">
        <v>321</v>
      </c>
      <c r="M803">
        <f>IF(C803&lt;&gt;"",C803,_xlfn.XLOOKUP(B803,AI_NAMES!D:D,AI_NAMES!E:E,"",0))</f>
        <v>0</v>
      </c>
    </row>
    <row r="804" spans="1:13" x14ac:dyDescent="0.2">
      <c r="A804" t="s">
        <v>943</v>
      </c>
      <c r="B804" t="str">
        <f>IF(L804&lt;&gt;"",L804,_xlfn.XLOOKUP(A804,AI_NAMES!C:C,AI_NAMES!D:D,"",0))</f>
        <v/>
      </c>
      <c r="L804" t="s">
        <v>321</v>
      </c>
      <c r="M804">
        <f>IF(C804&lt;&gt;"",C804,_xlfn.XLOOKUP(B804,AI_NAMES!D:D,AI_NAMES!E:E,"",0))</f>
        <v>0</v>
      </c>
    </row>
    <row r="805" spans="1:13" x14ac:dyDescent="0.2">
      <c r="A805" t="s">
        <v>944</v>
      </c>
      <c r="B805" t="str">
        <f>IF(L805&lt;&gt;"",L805,_xlfn.XLOOKUP(A805,AI_NAMES!C:C,AI_NAMES!D:D,"",0))</f>
        <v/>
      </c>
      <c r="L805" t="s">
        <v>321</v>
      </c>
      <c r="M805">
        <f>IF(C805&lt;&gt;"",C805,_xlfn.XLOOKUP(B805,AI_NAMES!D:D,AI_NAMES!E:E,"",0))</f>
        <v>0</v>
      </c>
    </row>
    <row r="806" spans="1:13" x14ac:dyDescent="0.2">
      <c r="A806" t="s">
        <v>945</v>
      </c>
      <c r="B806" t="str">
        <f>IF(L806&lt;&gt;"",L806,_xlfn.XLOOKUP(A806,AI_NAMES!C:C,AI_NAMES!D:D,"",0))</f>
        <v/>
      </c>
      <c r="L806" t="s">
        <v>321</v>
      </c>
      <c r="M806">
        <f>IF(C806&lt;&gt;"",C806,_xlfn.XLOOKUP(B806,AI_NAMES!D:D,AI_NAMES!E:E,"",0))</f>
        <v>0</v>
      </c>
    </row>
    <row r="807" spans="1:13" x14ac:dyDescent="0.2">
      <c r="A807" t="s">
        <v>946</v>
      </c>
      <c r="B807" t="str">
        <f>IF(L807&lt;&gt;"",L807,_xlfn.XLOOKUP(A807,AI_NAMES!C:C,AI_NAMES!D:D,"",0))</f>
        <v>AnyLegendsMsg</v>
      </c>
      <c r="L807" t="s">
        <v>946</v>
      </c>
      <c r="M807" t="str">
        <f>IF(C807&lt;&gt;"",C807,_xlfn.XLOOKUP(B807,AI_NAMES!D:D,AI_NAMES!E:E,"",0))</f>
        <v/>
      </c>
    </row>
    <row r="808" spans="1:13" x14ac:dyDescent="0.2">
      <c r="A808" t="s">
        <v>947</v>
      </c>
      <c r="B808" t="str">
        <f>IF(L808&lt;&gt;"",L808,_xlfn.XLOOKUP(A808,AI_NAMES!C:C,AI_NAMES!D:D,"",0))</f>
        <v>AnyEnchantedMsg</v>
      </c>
      <c r="L808" t="s">
        <v>947</v>
      </c>
      <c r="M808" t="str">
        <f>IF(C808&lt;&gt;"",C808,_xlfn.XLOOKUP(B808,AI_NAMES!D:D,AI_NAMES!E:E,"",0))</f>
        <v/>
      </c>
    </row>
    <row r="809" spans="1:13" x14ac:dyDescent="0.2">
      <c r="A809" t="s">
        <v>948</v>
      </c>
      <c r="B809" t="str">
        <f>IF(L809&lt;&gt;"",L809,_xlfn.XLOOKUP(A809,AI_NAMES!C:C,AI_NAMES!D:D,"",0))</f>
        <v>AnyWeaponsMsg</v>
      </c>
      <c r="L809" t="s">
        <v>948</v>
      </c>
      <c r="M809" t="str">
        <f>IF(C809&lt;&gt;"",C809,_xlfn.XLOOKUP(B809,AI_NAMES!D:D,AI_NAMES!E:E,"",0))</f>
        <v/>
      </c>
    </row>
    <row r="810" spans="1:13" x14ac:dyDescent="0.2">
      <c r="A810" t="s">
        <v>949</v>
      </c>
      <c r="B810" t="str">
        <f>IF(L810&lt;&gt;"",L810,_xlfn.XLOOKUP(A810,AI_NAMES!C:C,AI_NAMES!D:D,"",0))</f>
        <v>AnyPowerfulMsg</v>
      </c>
      <c r="L810" t="s">
        <v>949</v>
      </c>
      <c r="M810" t="str">
        <f>IF(C810&lt;&gt;"",C810,_xlfn.XLOOKUP(B810,AI_NAMES!D:D,AI_NAMES!E:E,"",0))</f>
        <v/>
      </c>
    </row>
    <row r="811" spans="1:13" x14ac:dyDescent="0.2">
      <c r="A811" t="s">
        <v>950</v>
      </c>
      <c r="B811" t="str">
        <f>IF(L811&lt;&gt;"",L811,_xlfn.XLOOKUP(A811,AI_NAMES!C:C,AI_NAMES!D:D,"",0))</f>
        <v/>
      </c>
      <c r="L811" t="s">
        <v>321</v>
      </c>
      <c r="M811">
        <f>IF(C811&lt;&gt;"",C811,_xlfn.XLOOKUP(B811,AI_NAMES!D:D,AI_NAMES!E:E,"",0))</f>
        <v>0</v>
      </c>
    </row>
    <row r="812" spans="1:13" x14ac:dyDescent="0.2">
      <c r="A812" t="s">
        <v>951</v>
      </c>
      <c r="B812" t="str">
        <f>IF(L812&lt;&gt;"",L812,_xlfn.XLOOKUP(A812,AI_NAMES!C:C,AI_NAMES!D:D,"",0))</f>
        <v/>
      </c>
      <c r="L812" t="s">
        <v>321</v>
      </c>
      <c r="M812">
        <f>IF(C812&lt;&gt;"",C812,_xlfn.XLOOKUP(B812,AI_NAMES!D:D,AI_NAMES!E:E,"",0))</f>
        <v>0</v>
      </c>
    </row>
    <row r="813" spans="1:13" x14ac:dyDescent="0.2">
      <c r="A813" t="s">
        <v>952</v>
      </c>
      <c r="B813" t="str">
        <f>IF(L813&lt;&gt;"",L813,_xlfn.XLOOKUP(A813,AI_NAMES!C:C,AI_NAMES!D:D,"",0))</f>
        <v/>
      </c>
      <c r="L813" t="s">
        <v>321</v>
      </c>
      <c r="M813">
        <f>IF(C813&lt;&gt;"",C813,_xlfn.XLOOKUP(B813,AI_NAMES!D:D,AI_NAMES!E:E,"",0))</f>
        <v>0</v>
      </c>
    </row>
    <row r="814" spans="1:13" x14ac:dyDescent="0.2">
      <c r="A814" t="s">
        <v>953</v>
      </c>
      <c r="B814" t="str">
        <f>IF(L814&lt;&gt;"",L814,_xlfn.XLOOKUP(A814,AI_NAMES!C:C,AI_NAMES!D:D,"",0))</f>
        <v/>
      </c>
      <c r="L814" t="s">
        <v>321</v>
      </c>
      <c r="M814">
        <f>IF(C814&lt;&gt;"",C814,_xlfn.XLOOKUP(B814,AI_NAMES!D:D,AI_NAMES!E:E,"",0))</f>
        <v>0</v>
      </c>
    </row>
    <row r="815" spans="1:13" x14ac:dyDescent="0.2">
      <c r="A815" t="s">
        <v>954</v>
      </c>
      <c r="B815" t="str">
        <f>IF(L815&lt;&gt;"",L815,_xlfn.XLOOKUP(A815,AI_NAMES!C:C,AI_NAMES!D:D,"",0))</f>
        <v/>
      </c>
      <c r="L815" t="s">
        <v>321</v>
      </c>
      <c r="M815">
        <f>IF(C815&lt;&gt;"",C815,_xlfn.XLOOKUP(B815,AI_NAMES!D:D,AI_NAMES!E:E,"",0))</f>
        <v>0</v>
      </c>
    </row>
    <row r="816" spans="1:13" x14ac:dyDescent="0.2">
      <c r="A816" t="s">
        <v>955</v>
      </c>
      <c r="B816" t="str">
        <f>IF(L816&lt;&gt;"",L816,_xlfn.XLOOKUP(A816,AI_NAMES!C:C,AI_NAMES!D:D,"",0))</f>
        <v/>
      </c>
      <c r="L816" t="s">
        <v>321</v>
      </c>
      <c r="M816">
        <f>IF(C816&lt;&gt;"",C816,_xlfn.XLOOKUP(B816,AI_NAMES!D:D,AI_NAMES!E:E,"",0))</f>
        <v>0</v>
      </c>
    </row>
    <row r="817" spans="1:13" x14ac:dyDescent="0.2">
      <c r="A817" t="s">
        <v>956</v>
      </c>
      <c r="B817" t="str">
        <f>IF(L817&lt;&gt;"",L817,_xlfn.XLOOKUP(A817,AI_NAMES!C:C,AI_NAMES!D:D,"",0))</f>
        <v/>
      </c>
      <c r="L817" t="s">
        <v>321</v>
      </c>
      <c r="M817">
        <f>IF(C817&lt;&gt;"",C817,_xlfn.XLOOKUP(B817,AI_NAMES!D:D,AI_NAMES!E:E,"",0))</f>
        <v>0</v>
      </c>
    </row>
    <row r="818" spans="1:13" x14ac:dyDescent="0.2">
      <c r="A818" t="s">
        <v>957</v>
      </c>
      <c r="B818" t="str">
        <f>IF(L818&lt;&gt;"",L818,_xlfn.XLOOKUP(A818,AI_NAMES!C:C,AI_NAMES!D:D,"",0))</f>
        <v/>
      </c>
      <c r="L818" t="s">
        <v>321</v>
      </c>
      <c r="M818">
        <f>IF(C818&lt;&gt;"",C818,_xlfn.XLOOKUP(B818,AI_NAMES!D:D,AI_NAMES!E:E,"",0))</f>
        <v>0</v>
      </c>
    </row>
    <row r="819" spans="1:13" x14ac:dyDescent="0.2">
      <c r="A819" t="s">
        <v>958</v>
      </c>
      <c r="B819" t="str">
        <f>IF(L819&lt;&gt;"",L819,_xlfn.XLOOKUP(A819,AI_NAMES!C:C,AI_NAMES!D:D,"",0))</f>
        <v/>
      </c>
      <c r="L819" t="s">
        <v>321</v>
      </c>
      <c r="M819">
        <f>IF(C819&lt;&gt;"",C819,_xlfn.XLOOKUP(B819,AI_NAMES!D:D,AI_NAMES!E:E,"",0))</f>
        <v>0</v>
      </c>
    </row>
    <row r="820" spans="1:13" x14ac:dyDescent="0.2">
      <c r="A820" t="s">
        <v>959</v>
      </c>
      <c r="B820" t="str">
        <f>IF(L820&lt;&gt;"",L820,_xlfn.XLOOKUP(A820,AI_NAMES!C:C,AI_NAMES!D:D,"",0))</f>
        <v/>
      </c>
      <c r="L820" t="s">
        <v>321</v>
      </c>
      <c r="M820">
        <f>IF(C820&lt;&gt;"",C820,_xlfn.XLOOKUP(B820,AI_NAMES!D:D,AI_NAMES!E:E,"",0))</f>
        <v>0</v>
      </c>
    </row>
    <row r="821" spans="1:13" x14ac:dyDescent="0.2">
      <c r="A821" t="s">
        <v>960</v>
      </c>
      <c r="B821" t="str">
        <f>IF(L821&lt;&gt;"",L821,_xlfn.XLOOKUP(A821,AI_NAMES!C:C,AI_NAMES!D:D,"",0))</f>
        <v/>
      </c>
      <c r="L821" t="s">
        <v>321</v>
      </c>
      <c r="M821">
        <f>IF(C821&lt;&gt;"",C821,_xlfn.XLOOKUP(B821,AI_NAMES!D:D,AI_NAMES!E:E,"",0))</f>
        <v>0</v>
      </c>
    </row>
    <row r="822" spans="1:13" x14ac:dyDescent="0.2">
      <c r="A822" t="s">
        <v>961</v>
      </c>
      <c r="B822" t="str">
        <f>IF(L822&lt;&gt;"",L822,_xlfn.XLOOKUP(A822,AI_NAMES!C:C,AI_NAMES!D:D,"",0))</f>
        <v/>
      </c>
      <c r="L822" t="s">
        <v>321</v>
      </c>
      <c r="M822">
        <f>IF(C822&lt;&gt;"",C822,_xlfn.XLOOKUP(B822,AI_NAMES!D:D,AI_NAMES!E:E,"",0))</f>
        <v>0</v>
      </c>
    </row>
    <row r="823" spans="1:13" x14ac:dyDescent="0.2">
      <c r="A823" t="s">
        <v>962</v>
      </c>
      <c r="B823" t="str">
        <f>IF(L823&lt;&gt;"",L823,_xlfn.XLOOKUP(A823,AI_NAMES!C:C,AI_NAMES!D:D,"",0))</f>
        <v/>
      </c>
      <c r="L823" t="s">
        <v>321</v>
      </c>
      <c r="M823">
        <f>IF(C823&lt;&gt;"",C823,_xlfn.XLOOKUP(B823,AI_NAMES!D:D,AI_NAMES!E:E,"",0))</f>
        <v>0</v>
      </c>
    </row>
    <row r="824" spans="1:13" x14ac:dyDescent="0.2">
      <c r="A824" t="s">
        <v>963</v>
      </c>
      <c r="B824" t="str">
        <f>IF(L824&lt;&gt;"",L824,_xlfn.XLOOKUP(A824,AI_NAMES!C:C,AI_NAMES!D:D,"",0))</f>
        <v/>
      </c>
      <c r="L824" t="s">
        <v>321</v>
      </c>
      <c r="M824">
        <f>IF(C824&lt;&gt;"",C824,_xlfn.XLOOKUP(B824,AI_NAMES!D:D,AI_NAMES!E:E,"",0))</f>
        <v>0</v>
      </c>
    </row>
    <row r="825" spans="1:13" x14ac:dyDescent="0.2">
      <c r="A825" t="s">
        <v>964</v>
      </c>
      <c r="B825" t="str">
        <f>IF(L825&lt;&gt;"",L825,_xlfn.XLOOKUP(A825,AI_NAMES!C:C,AI_NAMES!D:D,"",0))</f>
        <v/>
      </c>
      <c r="L825" t="s">
        <v>321</v>
      </c>
      <c r="M825">
        <f>IF(C825&lt;&gt;"",C825,_xlfn.XLOOKUP(B825,AI_NAMES!D:D,AI_NAMES!E:E,"",0))</f>
        <v>0</v>
      </c>
    </row>
    <row r="826" spans="1:13" x14ac:dyDescent="0.2">
      <c r="A826" t="s">
        <v>965</v>
      </c>
      <c r="B826" t="str">
        <f>IF(L826&lt;&gt;"",L826,_xlfn.XLOOKUP(A826,AI_NAMES!C:C,AI_NAMES!D:D,"",0))</f>
        <v/>
      </c>
      <c r="L826" t="s">
        <v>321</v>
      </c>
      <c r="M826">
        <f>IF(C826&lt;&gt;"",C826,_xlfn.XLOOKUP(B826,AI_NAMES!D:D,AI_NAMES!E:E,"",0))</f>
        <v>0</v>
      </c>
    </row>
    <row r="827" spans="1:13" x14ac:dyDescent="0.2">
      <c r="A827" t="s">
        <v>966</v>
      </c>
      <c r="B827" t="str">
        <f>IF(L827&lt;&gt;"",L827,_xlfn.XLOOKUP(A827,AI_NAMES!C:C,AI_NAMES!D:D,"",0))</f>
        <v/>
      </c>
      <c r="L827" t="s">
        <v>321</v>
      </c>
      <c r="M827">
        <f>IF(C827&lt;&gt;"",C827,_xlfn.XLOOKUP(B827,AI_NAMES!D:D,AI_NAMES!E:E,"",0))</f>
        <v>0</v>
      </c>
    </row>
    <row r="828" spans="1:13" x14ac:dyDescent="0.2">
      <c r="A828" t="s">
        <v>967</v>
      </c>
      <c r="B828" t="str">
        <f>IF(L828&lt;&gt;"",L828,_xlfn.XLOOKUP(A828,AI_NAMES!C:C,AI_NAMES!D:D,"",0))</f>
        <v/>
      </c>
      <c r="L828" t="s">
        <v>321</v>
      </c>
      <c r="M828">
        <f>IF(C828&lt;&gt;"",C828,_xlfn.XLOOKUP(B828,AI_NAMES!D:D,AI_NAMES!E:E,"",0))</f>
        <v>0</v>
      </c>
    </row>
    <row r="829" spans="1:13" x14ac:dyDescent="0.2">
      <c r="A829" t="s">
        <v>968</v>
      </c>
      <c r="B829" t="str">
        <f>IF(L829&lt;&gt;"",L829,_xlfn.XLOOKUP(A829,AI_NAMES!C:C,AI_NAMES!D:D,"",0))</f>
        <v/>
      </c>
      <c r="L829" t="s">
        <v>321</v>
      </c>
      <c r="M829">
        <f>IF(C829&lt;&gt;"",C829,_xlfn.XLOOKUP(B829,AI_NAMES!D:D,AI_NAMES!E:E,"",0))</f>
        <v>0</v>
      </c>
    </row>
    <row r="830" spans="1:13" x14ac:dyDescent="0.2">
      <c r="A830" t="s">
        <v>969</v>
      </c>
      <c r="B830" t="str">
        <f>IF(L830&lt;&gt;"",L830,_xlfn.XLOOKUP(A830,AI_NAMES!C:C,AI_NAMES!D:D,"",0))</f>
        <v/>
      </c>
      <c r="L830" t="s">
        <v>321</v>
      </c>
      <c r="M830">
        <f>IF(C830&lt;&gt;"",C830,_xlfn.XLOOKUP(B830,AI_NAMES!D:D,AI_NAMES!E:E,"",0))</f>
        <v>0</v>
      </c>
    </row>
    <row r="831" spans="1:13" x14ac:dyDescent="0.2">
      <c r="A831" t="s">
        <v>970</v>
      </c>
      <c r="B831" t="str">
        <f>IF(L831&lt;&gt;"",L831,_xlfn.XLOOKUP(A831,AI_NAMES!C:C,AI_NAMES!D:D,"",0))</f>
        <v/>
      </c>
      <c r="L831" t="s">
        <v>321</v>
      </c>
      <c r="M831">
        <f>IF(C831&lt;&gt;"",C831,_xlfn.XLOOKUP(B831,AI_NAMES!D:D,AI_NAMES!E:E,"",0))</f>
        <v>0</v>
      </c>
    </row>
    <row r="832" spans="1:13" x14ac:dyDescent="0.2">
      <c r="A832" t="s">
        <v>971</v>
      </c>
      <c r="B832" t="str">
        <f>IF(L832&lt;&gt;"",L832,_xlfn.XLOOKUP(A832,AI_NAMES!C:C,AI_NAMES!D:D,"",0))</f>
        <v/>
      </c>
      <c r="L832" t="s">
        <v>321</v>
      </c>
      <c r="M832">
        <f>IF(C832&lt;&gt;"",C832,_xlfn.XLOOKUP(B832,AI_NAMES!D:D,AI_NAMES!E:E,"",0))</f>
        <v>0</v>
      </c>
    </row>
    <row r="833" spans="1:13" x14ac:dyDescent="0.2">
      <c r="A833" t="s">
        <v>972</v>
      </c>
      <c r="B833" t="str">
        <f>IF(L833&lt;&gt;"",L833,_xlfn.XLOOKUP(A833,AI_NAMES!C:C,AI_NAMES!D:D,"",0))</f>
        <v/>
      </c>
      <c r="L833" t="s">
        <v>321</v>
      </c>
      <c r="M833">
        <f>IF(C833&lt;&gt;"",C833,_xlfn.XLOOKUP(B833,AI_NAMES!D:D,AI_NAMES!E:E,"",0))</f>
        <v>0</v>
      </c>
    </row>
    <row r="834" spans="1:13" x14ac:dyDescent="0.2">
      <c r="A834" t="s">
        <v>973</v>
      </c>
      <c r="B834" t="str">
        <f>IF(L834&lt;&gt;"",L834,_xlfn.XLOOKUP(A834,AI_NAMES!C:C,AI_NAMES!D:D,"",0))</f>
        <v/>
      </c>
      <c r="L834" t="s">
        <v>321</v>
      </c>
      <c r="M834">
        <f>IF(C834&lt;&gt;"",C834,_xlfn.XLOOKUP(B834,AI_NAMES!D:D,AI_NAMES!E:E,"",0))</f>
        <v>0</v>
      </c>
    </row>
    <row r="835" spans="1:13" x14ac:dyDescent="0.2">
      <c r="A835" t="s">
        <v>974</v>
      </c>
      <c r="B835" t="str">
        <f>IF(L835&lt;&gt;"",L835,_xlfn.XLOOKUP(A835,AI_NAMES!C:C,AI_NAMES!D:D,"",0))</f>
        <v/>
      </c>
      <c r="L835" t="s">
        <v>321</v>
      </c>
      <c r="M835">
        <f>IF(C835&lt;&gt;"",C835,_xlfn.XLOOKUP(B835,AI_NAMES!D:D,AI_NAMES!E:E,"",0))</f>
        <v>0</v>
      </c>
    </row>
    <row r="836" spans="1:13" x14ac:dyDescent="0.2">
      <c r="A836" t="s">
        <v>975</v>
      </c>
      <c r="B836" t="str">
        <f>IF(L836&lt;&gt;"",L836,_xlfn.XLOOKUP(A836,AI_NAMES!C:C,AI_NAMES!D:D,"",0))</f>
        <v/>
      </c>
      <c r="L836" t="s">
        <v>321</v>
      </c>
      <c r="M836">
        <f>IF(C836&lt;&gt;"",C836,_xlfn.XLOOKUP(B836,AI_NAMES!D:D,AI_NAMES!E:E,"",0))</f>
        <v>0</v>
      </c>
    </row>
    <row r="837" spans="1:13" x14ac:dyDescent="0.2">
      <c r="A837" t="s">
        <v>976</v>
      </c>
      <c r="B837" t="str">
        <f>IF(L837&lt;&gt;"",L837,_xlfn.XLOOKUP(A837,AI_NAMES!C:C,AI_NAMES!D:D,"",0))</f>
        <v/>
      </c>
      <c r="L837" t="s">
        <v>321</v>
      </c>
      <c r="M837">
        <f>IF(C837&lt;&gt;"",C837,_xlfn.XLOOKUP(B837,AI_NAMES!D:D,AI_NAMES!E:E,"",0))</f>
        <v>0</v>
      </c>
    </row>
    <row r="838" spans="1:13" x14ac:dyDescent="0.2">
      <c r="A838" t="s">
        <v>977</v>
      </c>
      <c r="B838" t="str">
        <f>IF(L838&lt;&gt;"",L838,_xlfn.XLOOKUP(A838,AI_NAMES!C:C,AI_NAMES!D:D,"",0))</f>
        <v/>
      </c>
      <c r="L838" t="s">
        <v>321</v>
      </c>
      <c r="M838">
        <f>IF(C838&lt;&gt;"",C838,_xlfn.XLOOKUP(B838,AI_NAMES!D:D,AI_NAMES!E:E,"",0))</f>
        <v>0</v>
      </c>
    </row>
    <row r="839" spans="1:13" x14ac:dyDescent="0.2">
      <c r="A839" t="s">
        <v>978</v>
      </c>
      <c r="B839" t="str">
        <f>IF(L839&lt;&gt;"",L839,_xlfn.XLOOKUP(A839,AI_NAMES!C:C,AI_NAMES!D:D,"",0))</f>
        <v/>
      </c>
      <c r="L839" t="s">
        <v>321</v>
      </c>
      <c r="M839">
        <f>IF(C839&lt;&gt;"",C839,_xlfn.XLOOKUP(B839,AI_NAMES!D:D,AI_NAMES!E:E,"",0))</f>
        <v>0</v>
      </c>
    </row>
    <row r="840" spans="1:13" x14ac:dyDescent="0.2">
      <c r="A840" t="s">
        <v>979</v>
      </c>
      <c r="B840" t="str">
        <f>IF(L840&lt;&gt;"",L840,_xlfn.XLOOKUP(A840,AI_NAMES!C:C,AI_NAMES!D:D,"",0))</f>
        <v/>
      </c>
      <c r="L840" t="s">
        <v>321</v>
      </c>
      <c r="M840">
        <f>IF(C840&lt;&gt;"",C840,_xlfn.XLOOKUP(B840,AI_NAMES!D:D,AI_NAMES!E:E,"",0))</f>
        <v>0</v>
      </c>
    </row>
    <row r="841" spans="1:13" x14ac:dyDescent="0.2">
      <c r="A841" t="s">
        <v>980</v>
      </c>
      <c r="B841" t="str">
        <f>IF(L841&lt;&gt;"",L841,_xlfn.XLOOKUP(A841,AI_NAMES!C:C,AI_NAMES!D:D,"",0))</f>
        <v/>
      </c>
      <c r="L841" t="s">
        <v>321</v>
      </c>
      <c r="M841">
        <f>IF(C841&lt;&gt;"",C841,_xlfn.XLOOKUP(B841,AI_NAMES!D:D,AI_NAMES!E:E,"",0))</f>
        <v>0</v>
      </c>
    </row>
    <row r="842" spans="1:13" x14ac:dyDescent="0.2">
      <c r="A842" t="s">
        <v>981</v>
      </c>
      <c r="B842" t="str">
        <f>IF(L842&lt;&gt;"",L842,_xlfn.XLOOKUP(A842,AI_NAMES!C:C,AI_NAMES!D:D,"",0))</f>
        <v/>
      </c>
      <c r="L842" t="s">
        <v>321</v>
      </c>
      <c r="M842">
        <f>IF(C842&lt;&gt;"",C842,_xlfn.XLOOKUP(B842,AI_NAMES!D:D,AI_NAMES!E:E,"",0))</f>
        <v>0</v>
      </c>
    </row>
    <row r="843" spans="1:13" x14ac:dyDescent="0.2">
      <c r="A843" t="s">
        <v>982</v>
      </c>
      <c r="B843" t="str">
        <f>IF(L843&lt;&gt;"",L843,_xlfn.XLOOKUP(A843,AI_NAMES!C:C,AI_NAMES!D:D,"",0))</f>
        <v/>
      </c>
      <c r="L843" t="s">
        <v>321</v>
      </c>
      <c r="M843">
        <f>IF(C843&lt;&gt;"",C843,_xlfn.XLOOKUP(B843,AI_NAMES!D:D,AI_NAMES!E:E,"",0))</f>
        <v>0</v>
      </c>
    </row>
    <row r="844" spans="1:13" x14ac:dyDescent="0.2">
      <c r="A844" t="s">
        <v>983</v>
      </c>
      <c r="B844" t="str">
        <f>IF(L844&lt;&gt;"",L844,_xlfn.XLOOKUP(A844,AI_NAMES!C:C,AI_NAMES!D:D,"",0))</f>
        <v/>
      </c>
      <c r="L844" t="s">
        <v>321</v>
      </c>
      <c r="M844">
        <f>IF(C844&lt;&gt;"",C844,_xlfn.XLOOKUP(B844,AI_NAMES!D:D,AI_NAMES!E:E,"",0))</f>
        <v>0</v>
      </c>
    </row>
    <row r="845" spans="1:13" x14ac:dyDescent="0.2">
      <c r="A845" t="s">
        <v>984</v>
      </c>
      <c r="B845" t="str">
        <f>IF(L845&lt;&gt;"",L845,_xlfn.XLOOKUP(A845,AI_NAMES!C:C,AI_NAMES!D:D,"",0))</f>
        <v/>
      </c>
      <c r="L845" t="s">
        <v>321</v>
      </c>
      <c r="M845">
        <f>IF(C845&lt;&gt;"",C845,_xlfn.XLOOKUP(B845,AI_NAMES!D:D,AI_NAMES!E:E,"",0))</f>
        <v>0</v>
      </c>
    </row>
    <row r="846" spans="1:13" x14ac:dyDescent="0.2">
      <c r="A846" t="s">
        <v>985</v>
      </c>
      <c r="B846" t="str">
        <f>IF(L846&lt;&gt;"",L846,_xlfn.XLOOKUP(A846,AI_NAMES!C:C,AI_NAMES!D:D,"",0))</f>
        <v/>
      </c>
      <c r="L846" t="s">
        <v>321</v>
      </c>
      <c r="M846">
        <f>IF(C846&lt;&gt;"",C846,_xlfn.XLOOKUP(B846,AI_NAMES!D:D,AI_NAMES!E:E,"",0))</f>
        <v>0</v>
      </c>
    </row>
    <row r="847" spans="1:13" x14ac:dyDescent="0.2">
      <c r="A847" t="s">
        <v>986</v>
      </c>
      <c r="B847" t="str">
        <f>IF(L847&lt;&gt;"",L847,_xlfn.XLOOKUP(A847,AI_NAMES!C:C,AI_NAMES!D:D,"",0))</f>
        <v/>
      </c>
      <c r="L847" t="s">
        <v>321</v>
      </c>
      <c r="M847">
        <f>IF(C847&lt;&gt;"",C847,_xlfn.XLOOKUP(B847,AI_NAMES!D:D,AI_NAMES!E:E,"",0))</f>
        <v>0</v>
      </c>
    </row>
    <row r="848" spans="1:13" x14ac:dyDescent="0.2">
      <c r="A848" t="s">
        <v>987</v>
      </c>
      <c r="B848" t="str">
        <f>IF(L848&lt;&gt;"",L848,_xlfn.XLOOKUP(A848,AI_NAMES!C:C,AI_NAMES!D:D,"",0))</f>
        <v/>
      </c>
      <c r="L848" t="s">
        <v>321</v>
      </c>
      <c r="M848">
        <f>IF(C848&lt;&gt;"",C848,_xlfn.XLOOKUP(B848,AI_NAMES!D:D,AI_NAMES!E:E,"",0))</f>
        <v>0</v>
      </c>
    </row>
    <row r="849" spans="1:13" x14ac:dyDescent="0.2">
      <c r="A849" t="s">
        <v>988</v>
      </c>
      <c r="B849" t="str">
        <f>IF(L849&lt;&gt;"",L849,_xlfn.XLOOKUP(A849,AI_NAMES!C:C,AI_NAMES!D:D,"",0))</f>
        <v>ReplyToQuestion</v>
      </c>
      <c r="L849" t="s">
        <v>988</v>
      </c>
      <c r="M849" t="str">
        <f>IF(C849&lt;&gt;"",C849,_xlfn.XLOOKUP(B849,AI_NAMES!D:D,AI_NAMES!E:E,"",0))</f>
        <v/>
      </c>
    </row>
    <row r="850" spans="1:13" x14ac:dyDescent="0.2">
      <c r="A850" t="s">
        <v>989</v>
      </c>
      <c r="B850" t="str">
        <f>IF(L850&lt;&gt;"",L850,_xlfn.XLOOKUP(A850,AI_NAMES!C:C,AI_NAMES!D:D,"",0))</f>
        <v>AnswerList_Offsets</v>
      </c>
      <c r="L850" t="s">
        <v>989</v>
      </c>
      <c r="M850" t="str">
        <f>IF(C850&lt;&gt;"",C850,_xlfn.XLOOKUP(B850,AI_NAMES!D:D,AI_NAMES!E:E,"",0))</f>
        <v/>
      </c>
    </row>
    <row r="851" spans="1:13" x14ac:dyDescent="0.2">
      <c r="A851" t="s">
        <v>990</v>
      </c>
      <c r="B851" t="str">
        <f>IF(L851&lt;&gt;"",L851,_xlfn.XLOOKUP(A851,AI_NAMES!C:C,AI_NAMES!D:D,"",0))</f>
        <v>VeryPossibleMsg_0</v>
      </c>
      <c r="L851" t="s">
        <v>990</v>
      </c>
      <c r="M851" t="str">
        <f>IF(C851&lt;&gt;"",C851,_xlfn.XLOOKUP(B851,AI_NAMES!D:D,AI_NAMES!E:E,"",0))</f>
        <v/>
      </c>
    </row>
    <row r="852" spans="1:13" x14ac:dyDescent="0.2">
      <c r="A852" t="s">
        <v>991</v>
      </c>
      <c r="B852" t="str">
        <f>IF(L852&lt;&gt;"",L852,_xlfn.XLOOKUP(A852,AI_NAMES!C:C,AI_NAMES!D:D,"",0))</f>
        <v>VeryPossibleMsg_1</v>
      </c>
      <c r="L852" t="s">
        <v>991</v>
      </c>
      <c r="M852" t="str">
        <f>IF(C852&lt;&gt;"",C852,_xlfn.XLOOKUP(B852,AI_NAMES!D:D,AI_NAMES!E:E,"",0))</f>
        <v/>
      </c>
    </row>
    <row r="853" spans="1:13" x14ac:dyDescent="0.2">
      <c r="A853" t="s">
        <v>992</v>
      </c>
      <c r="B853" t="str">
        <f>IF(L853&lt;&gt;"",L853,_xlfn.XLOOKUP(A853,AI_NAMES!C:C,AI_NAMES!D:D,"",0))</f>
        <v>VeryPossibleMsg_2</v>
      </c>
      <c r="L853" t="s">
        <v>992</v>
      </c>
      <c r="M853" t="str">
        <f>IF(C853&lt;&gt;"",C853,_xlfn.XLOOKUP(B853,AI_NAMES!D:D,AI_NAMES!E:E,"",0))</f>
        <v/>
      </c>
    </row>
    <row r="854" spans="1:13" x14ac:dyDescent="0.2">
      <c r="A854" t="s">
        <v>993</v>
      </c>
      <c r="B854" t="str">
        <f>IF(L854&lt;&gt;"",L854,_xlfn.XLOOKUP(A854,AI_NAMES!C:C,AI_NAMES!D:D,"",0))</f>
        <v>VeryPossibleMsg_3</v>
      </c>
      <c r="L854" t="s">
        <v>993</v>
      </c>
      <c r="M854" t="str">
        <f>IF(C854&lt;&gt;"",C854,_xlfn.XLOOKUP(B854,AI_NAMES!D:D,AI_NAMES!E:E,"",0))</f>
        <v/>
      </c>
    </row>
    <row r="855" spans="1:13" x14ac:dyDescent="0.2">
      <c r="A855" t="s">
        <v>994</v>
      </c>
      <c r="B855" t="str">
        <f>IF(L855&lt;&gt;"",L855,_xlfn.XLOOKUP(A855,AI_NAMES!C:C,AI_NAMES!D:D,"",0))</f>
        <v>AnswerList_00</v>
      </c>
      <c r="L855" t="s">
        <v>994</v>
      </c>
      <c r="M855" t="str">
        <f>IF(C855&lt;&gt;"",C855,_xlfn.XLOOKUP(B855,AI_NAMES!D:D,AI_NAMES!E:E,"",0))</f>
        <v/>
      </c>
    </row>
    <row r="856" spans="1:13" x14ac:dyDescent="0.2">
      <c r="A856" t="s">
        <v>995</v>
      </c>
      <c r="B856" t="str">
        <f>IF(L856&lt;&gt;"",L856,_xlfn.XLOOKUP(A856,AI_NAMES!C:C,AI_NAMES!D:D,"",0))</f>
        <v>AnswerList_01</v>
      </c>
      <c r="L856" t="s">
        <v>995</v>
      </c>
      <c r="M856" t="str">
        <f>IF(C856&lt;&gt;"",C856,_xlfn.XLOOKUP(B856,AI_NAMES!D:D,AI_NAMES!E:E,"",0))</f>
        <v/>
      </c>
    </row>
    <row r="857" spans="1:13" x14ac:dyDescent="0.2">
      <c r="A857" t="s">
        <v>996</v>
      </c>
      <c r="B857" t="str">
        <f>IF(L857&lt;&gt;"",L857,_xlfn.XLOOKUP(A857,AI_NAMES!C:C,AI_NAMES!D:D,"",0))</f>
        <v>AnswerList_02</v>
      </c>
      <c r="L857" t="s">
        <v>996</v>
      </c>
      <c r="M857" t="str">
        <f>IF(C857&lt;&gt;"",C857,_xlfn.XLOOKUP(B857,AI_NAMES!D:D,AI_NAMES!E:E,"",0))</f>
        <v/>
      </c>
    </row>
    <row r="858" spans="1:13" x14ac:dyDescent="0.2">
      <c r="A858" t="s">
        <v>997</v>
      </c>
      <c r="B858" t="str">
        <f>IF(L858&lt;&gt;"",L858,_xlfn.XLOOKUP(A858,AI_NAMES!C:C,AI_NAMES!D:D,"",0))</f>
        <v>AnswerList_03</v>
      </c>
      <c r="L858" t="s">
        <v>997</v>
      </c>
      <c r="M858" t="str">
        <f>IF(C858&lt;&gt;"",C858,_xlfn.XLOOKUP(B858,AI_NAMES!D:D,AI_NAMES!E:E,"",0))</f>
        <v/>
      </c>
    </row>
    <row r="859" spans="1:13" x14ac:dyDescent="0.2">
      <c r="A859" t="s">
        <v>998</v>
      </c>
      <c r="B859" t="str">
        <f>IF(L859&lt;&gt;"",L859,_xlfn.XLOOKUP(A859,AI_NAMES!C:C,AI_NAMES!D:D,"",0))</f>
        <v>AnswerList_04</v>
      </c>
      <c r="L859" t="s">
        <v>998</v>
      </c>
      <c r="M859" t="str">
        <f>IF(C859&lt;&gt;"",C859,_xlfn.XLOOKUP(B859,AI_NAMES!D:D,AI_NAMES!E:E,"",0))</f>
        <v/>
      </c>
    </row>
    <row r="860" spans="1:13" x14ac:dyDescent="0.2">
      <c r="A860" t="s">
        <v>999</v>
      </c>
      <c r="B860" t="str">
        <f>IF(L860&lt;&gt;"",L860,_xlfn.XLOOKUP(A860,AI_NAMES!C:C,AI_NAMES!D:D,"",0))</f>
        <v>AnswerList_05</v>
      </c>
      <c r="L860" t="s">
        <v>999</v>
      </c>
      <c r="M860" t="str">
        <f>IF(C860&lt;&gt;"",C860,_xlfn.XLOOKUP(B860,AI_NAMES!D:D,AI_NAMES!E:E,"",0))</f>
        <v/>
      </c>
    </row>
    <row r="861" spans="1:13" x14ac:dyDescent="0.2">
      <c r="A861" t="s">
        <v>1000</v>
      </c>
      <c r="B861" t="str">
        <f>IF(L861&lt;&gt;"",L861,_xlfn.XLOOKUP(A861,AI_NAMES!C:C,AI_NAMES!D:D,"",0))</f>
        <v>AnswerList_06</v>
      </c>
      <c r="L861" t="s">
        <v>1000</v>
      </c>
      <c r="M861" t="str">
        <f>IF(C861&lt;&gt;"",C861,_xlfn.XLOOKUP(B861,AI_NAMES!D:D,AI_NAMES!E:E,"",0))</f>
        <v/>
      </c>
    </row>
    <row r="862" spans="1:13" x14ac:dyDescent="0.2">
      <c r="A862" t="s">
        <v>1001</v>
      </c>
      <c r="B862" t="str">
        <f>IF(L862&lt;&gt;"",L862,_xlfn.XLOOKUP(A862,AI_NAMES!C:C,AI_NAMES!D:D,"",0))</f>
        <v>AnswerList_07</v>
      </c>
      <c r="L862" t="s">
        <v>1001</v>
      </c>
      <c r="M862" t="str">
        <f>IF(C862&lt;&gt;"",C862,_xlfn.XLOOKUP(B862,AI_NAMES!D:D,AI_NAMES!E:E,"",0))</f>
        <v/>
      </c>
    </row>
    <row r="863" spans="1:13" x14ac:dyDescent="0.2">
      <c r="A863" t="s">
        <v>1002</v>
      </c>
      <c r="B863" t="str">
        <f>IF(L863&lt;&gt;"",L863,_xlfn.XLOOKUP(A863,AI_NAMES!C:C,AI_NAMES!D:D,"",0))</f>
        <v>AnswerList_08</v>
      </c>
      <c r="L863" t="s">
        <v>1002</v>
      </c>
      <c r="M863" t="str">
        <f>IF(C863&lt;&gt;"",C863,_xlfn.XLOOKUP(B863,AI_NAMES!D:D,AI_NAMES!E:E,"",0))</f>
        <v/>
      </c>
    </row>
    <row r="864" spans="1:13" x14ac:dyDescent="0.2">
      <c r="A864" t="s">
        <v>1003</v>
      </c>
      <c r="B864" t="str">
        <f>IF(L864&lt;&gt;"",L864,_xlfn.XLOOKUP(A864,AI_NAMES!C:C,AI_NAMES!D:D,"",0))</f>
        <v>AnswerList_09</v>
      </c>
      <c r="L864" t="s">
        <v>1003</v>
      </c>
      <c r="M864" t="str">
        <f>IF(C864&lt;&gt;"",C864,_xlfn.XLOOKUP(B864,AI_NAMES!D:D,AI_NAMES!E:E,"",0))</f>
        <v/>
      </c>
    </row>
    <row r="865" spans="1:13" x14ac:dyDescent="0.2">
      <c r="A865" t="s">
        <v>1004</v>
      </c>
      <c r="B865" t="str">
        <f>IF(L865&lt;&gt;"",L865,_xlfn.XLOOKUP(A865,AI_NAMES!C:C,AI_NAMES!D:D,"",0))</f>
        <v>AnswerList_10</v>
      </c>
      <c r="L865" t="s">
        <v>1004</v>
      </c>
      <c r="M865" t="str">
        <f>IF(C865&lt;&gt;"",C865,_xlfn.XLOOKUP(B865,AI_NAMES!D:D,AI_NAMES!E:E,"",0))</f>
        <v/>
      </c>
    </row>
    <row r="866" spans="1:13" x14ac:dyDescent="0.2">
      <c r="A866" t="s">
        <v>1005</v>
      </c>
      <c r="B866" t="str">
        <f>IF(L866&lt;&gt;"",L866,_xlfn.XLOOKUP(A866,AI_NAMES!C:C,AI_NAMES!D:D,"",0))</f>
        <v>AnswerList_11</v>
      </c>
      <c r="L866" t="s">
        <v>1005</v>
      </c>
      <c r="M866" t="str">
        <f>IF(C866&lt;&gt;"",C866,_xlfn.XLOOKUP(B866,AI_NAMES!D:D,AI_NAMES!E:E,"",0))</f>
        <v/>
      </c>
    </row>
    <row r="867" spans="1:13" x14ac:dyDescent="0.2">
      <c r="A867" t="s">
        <v>1006</v>
      </c>
      <c r="B867" t="str">
        <f>IF(L867&lt;&gt;"",L867,_xlfn.XLOOKUP(A867,AI_NAMES!C:C,AI_NAMES!D:D,"",0))</f>
        <v>AnswerList_12</v>
      </c>
      <c r="L867" t="s">
        <v>1006</v>
      </c>
      <c r="M867" t="str">
        <f>IF(C867&lt;&gt;"",C867,_xlfn.XLOOKUP(B867,AI_NAMES!D:D,AI_NAMES!E:E,"",0))</f>
        <v/>
      </c>
    </row>
    <row r="868" spans="1:13" x14ac:dyDescent="0.2">
      <c r="A868" t="s">
        <v>1007</v>
      </c>
      <c r="B868" t="str">
        <f>IF(L868&lt;&gt;"",L868,_xlfn.XLOOKUP(A868,AI_NAMES!C:C,AI_NAMES!D:D,"",0))</f>
        <v>AnswerList_13</v>
      </c>
      <c r="L868" t="s">
        <v>1007</v>
      </c>
      <c r="M868" t="str">
        <f>IF(C868&lt;&gt;"",C868,_xlfn.XLOOKUP(B868,AI_NAMES!D:D,AI_NAMES!E:E,"",0))</f>
        <v/>
      </c>
    </row>
    <row r="869" spans="1:13" x14ac:dyDescent="0.2">
      <c r="A869" t="s">
        <v>1008</v>
      </c>
      <c r="B869" t="str">
        <f>IF(L869&lt;&gt;"",L869,_xlfn.XLOOKUP(A869,AI_NAMES!C:C,AI_NAMES!D:D,"",0))</f>
        <v>AnswerList_14</v>
      </c>
      <c r="L869" t="s">
        <v>1008</v>
      </c>
      <c r="M869" t="str">
        <f>IF(C869&lt;&gt;"",C869,_xlfn.XLOOKUP(B869,AI_NAMES!D:D,AI_NAMES!E:E,"",0))</f>
        <v/>
      </c>
    </row>
    <row r="870" spans="1:13" x14ac:dyDescent="0.2">
      <c r="A870" t="s">
        <v>1009</v>
      </c>
      <c r="B870" t="str">
        <f>IF(L870&lt;&gt;"",L870,_xlfn.XLOOKUP(A870,AI_NAMES!C:C,AI_NAMES!D:D,"",0))</f>
        <v>AnswerList_15</v>
      </c>
      <c r="L870" t="s">
        <v>1009</v>
      </c>
      <c r="M870" t="str">
        <f>IF(C870&lt;&gt;"",C870,_xlfn.XLOOKUP(B870,AI_NAMES!D:D,AI_NAMES!E:E,"",0))</f>
        <v/>
      </c>
    </row>
    <row r="871" spans="1:13" x14ac:dyDescent="0.2">
      <c r="A871" t="s">
        <v>1010</v>
      </c>
      <c r="B871" t="str">
        <f>IF(L871&lt;&gt;"",L871,_xlfn.XLOOKUP(A871,AI_NAMES!C:C,AI_NAMES!D:D,"",0))</f>
        <v>AnswerList_16</v>
      </c>
      <c r="L871" t="s">
        <v>1010</v>
      </c>
      <c r="M871" t="str">
        <f>IF(C871&lt;&gt;"",C871,_xlfn.XLOOKUP(B871,AI_NAMES!D:D,AI_NAMES!E:E,"",0))</f>
        <v/>
      </c>
    </row>
    <row r="872" spans="1:13" x14ac:dyDescent="0.2">
      <c r="A872" t="s">
        <v>1011</v>
      </c>
      <c r="B872" t="str">
        <f>IF(L872&lt;&gt;"",L872,_xlfn.XLOOKUP(A872,AI_NAMES!C:C,AI_NAMES!D:D,"",0))</f>
        <v>AnswerList_17</v>
      </c>
      <c r="L872" t="s">
        <v>1011</v>
      </c>
      <c r="M872" t="str">
        <f>IF(C872&lt;&gt;"",C872,_xlfn.XLOOKUP(B872,AI_NAMES!D:D,AI_NAMES!E:E,"",0))</f>
        <v/>
      </c>
    </row>
    <row r="873" spans="1:13" x14ac:dyDescent="0.2">
      <c r="A873" t="s">
        <v>1012</v>
      </c>
      <c r="B873" t="str">
        <f>IF(L873&lt;&gt;"",L873,_xlfn.XLOOKUP(A873,AI_NAMES!C:C,AI_NAMES!D:D,"",0))</f>
        <v>AnswerList_18</v>
      </c>
      <c r="L873" t="s">
        <v>1012</v>
      </c>
      <c r="M873" t="str">
        <f>IF(C873&lt;&gt;"",C873,_xlfn.XLOOKUP(B873,AI_NAMES!D:D,AI_NAMES!E:E,"",0))</f>
        <v/>
      </c>
    </row>
    <row r="874" spans="1:13" x14ac:dyDescent="0.2">
      <c r="A874" t="s">
        <v>1013</v>
      </c>
      <c r="B874" t="str">
        <f>IF(L874&lt;&gt;"",L874,_xlfn.XLOOKUP(A874,AI_NAMES!C:C,AI_NAMES!D:D,"",0))</f>
        <v>AnswerList_19</v>
      </c>
      <c r="L874" t="s">
        <v>1013</v>
      </c>
      <c r="M874" t="str">
        <f>IF(C874&lt;&gt;"",C874,_xlfn.XLOOKUP(B874,AI_NAMES!D:D,AI_NAMES!E:E,"",0))</f>
        <v/>
      </c>
    </row>
    <row r="875" spans="1:13" x14ac:dyDescent="0.2">
      <c r="A875" t="s">
        <v>1014</v>
      </c>
      <c r="B875" t="str">
        <f>IF(L875&lt;&gt;"",L875,_xlfn.XLOOKUP(A875,AI_NAMES!C:C,AI_NAMES!D:D,"",0))</f>
        <v>AnswerList_20</v>
      </c>
      <c r="L875" t="s">
        <v>1014</v>
      </c>
      <c r="M875" t="str">
        <f>IF(C875&lt;&gt;"",C875,_xlfn.XLOOKUP(B875,AI_NAMES!D:D,AI_NAMES!E:E,"",0))</f>
        <v/>
      </c>
    </row>
    <row r="876" spans="1:13" x14ac:dyDescent="0.2">
      <c r="A876" t="s">
        <v>1015</v>
      </c>
      <c r="B876" t="str">
        <f>IF(L876&lt;&gt;"",L876,_xlfn.XLOOKUP(A876,AI_NAMES!C:C,AI_NAMES!D:D,"",0))</f>
        <v>AnswerList_21</v>
      </c>
      <c r="L876" t="s">
        <v>1015</v>
      </c>
      <c r="M876" t="str">
        <f>IF(C876&lt;&gt;"",C876,_xlfn.XLOOKUP(B876,AI_NAMES!D:D,AI_NAMES!E:E,"",0))</f>
        <v/>
      </c>
    </row>
    <row r="877" spans="1:13" x14ac:dyDescent="0.2">
      <c r="A877" t="s">
        <v>1016</v>
      </c>
      <c r="B877" t="str">
        <f>IF(L877&lt;&gt;"",L877,_xlfn.XLOOKUP(A877,AI_NAMES!C:C,AI_NAMES!D:D,"",0))</f>
        <v>AnswerList_22</v>
      </c>
      <c r="L877" t="s">
        <v>1016</v>
      </c>
      <c r="M877" t="str">
        <f>IF(C877&lt;&gt;"",C877,_xlfn.XLOOKUP(B877,AI_NAMES!D:D,AI_NAMES!E:E,"",0))</f>
        <v/>
      </c>
    </row>
    <row r="878" spans="1:13" x14ac:dyDescent="0.2">
      <c r="A878" t="s">
        <v>1017</v>
      </c>
      <c r="B878" t="str">
        <f>IF(L878&lt;&gt;"",L878,_xlfn.XLOOKUP(A878,AI_NAMES!C:C,AI_NAMES!D:D,"",0))</f>
        <v/>
      </c>
      <c r="L878" t="s">
        <v>321</v>
      </c>
      <c r="M878">
        <f>IF(C878&lt;&gt;"",C878,_xlfn.XLOOKUP(B878,AI_NAMES!D:D,AI_NAMES!E:E,"",0))</f>
        <v>0</v>
      </c>
    </row>
    <row r="879" spans="1:13" x14ac:dyDescent="0.2">
      <c r="A879" t="s">
        <v>1018</v>
      </c>
      <c r="B879" t="str">
        <f>IF(L879&lt;&gt;"",L879,_xlfn.XLOOKUP(A879,AI_NAMES!C:C,AI_NAMES!D:D,"",0))</f>
        <v/>
      </c>
      <c r="L879" t="s">
        <v>321</v>
      </c>
      <c r="M879">
        <f>IF(C879&lt;&gt;"",C879,_xlfn.XLOOKUP(B879,AI_NAMES!D:D,AI_NAMES!E:E,"",0))</f>
        <v>0</v>
      </c>
    </row>
    <row r="880" spans="1:13" x14ac:dyDescent="0.2">
      <c r="A880" t="s">
        <v>1019</v>
      </c>
      <c r="B880" t="str">
        <f>IF(L880&lt;&gt;"",L880,_xlfn.XLOOKUP(A880,AI_NAMES!C:C,AI_NAMES!D:D,"",0))</f>
        <v/>
      </c>
      <c r="L880" t="s">
        <v>321</v>
      </c>
      <c r="M880">
        <f>IF(C880&lt;&gt;"",C880,_xlfn.XLOOKUP(B880,AI_NAMES!D:D,AI_NAMES!E:E,"",0))</f>
        <v>0</v>
      </c>
    </row>
    <row r="881" spans="1:13" x14ac:dyDescent="0.2">
      <c r="A881" t="s">
        <v>1020</v>
      </c>
      <c r="B881" t="str">
        <f>IF(L881&lt;&gt;"",L881,_xlfn.XLOOKUP(A881,AI_NAMES!C:C,AI_NAMES!D:D,"",0))</f>
        <v/>
      </c>
      <c r="L881" t="s">
        <v>321</v>
      </c>
      <c r="M881">
        <f>IF(C881&lt;&gt;"",C881,_xlfn.XLOOKUP(B881,AI_NAMES!D:D,AI_NAMES!E:E,"",0))</f>
        <v>0</v>
      </c>
    </row>
    <row r="882" spans="1:13" x14ac:dyDescent="0.2">
      <c r="A882" t="s">
        <v>1021</v>
      </c>
      <c r="B882" t="str">
        <f>IF(L882&lt;&gt;"",L882,_xlfn.XLOOKUP(A882,AI_NAMES!C:C,AI_NAMES!D:D,"",0))</f>
        <v/>
      </c>
      <c r="L882" t="s">
        <v>321</v>
      </c>
      <c r="M882">
        <f>IF(C882&lt;&gt;"",C882,_xlfn.XLOOKUP(B882,AI_NAMES!D:D,AI_NAMES!E:E,"",0))</f>
        <v>0</v>
      </c>
    </row>
    <row r="883" spans="1:13" x14ac:dyDescent="0.2">
      <c r="A883" t="s">
        <v>1022</v>
      </c>
      <c r="B883" t="str">
        <f>IF(L883&lt;&gt;"",L883,_xlfn.XLOOKUP(A883,AI_NAMES!C:C,AI_NAMES!D:D,"",0))</f>
        <v/>
      </c>
      <c r="L883" t="s">
        <v>321</v>
      </c>
      <c r="M883">
        <f>IF(C883&lt;&gt;"",C883,_xlfn.XLOOKUP(B883,AI_NAMES!D:D,AI_NAMES!E:E,"",0))</f>
        <v>0</v>
      </c>
    </row>
    <row r="884" spans="1:13" x14ac:dyDescent="0.2">
      <c r="A884" t="s">
        <v>1023</v>
      </c>
      <c r="B884" t="str">
        <f>IF(L884&lt;&gt;"",L884,_xlfn.XLOOKUP(A884,AI_NAMES!C:C,AI_NAMES!D:D,"",0))</f>
        <v/>
      </c>
      <c r="L884" t="s">
        <v>321</v>
      </c>
      <c r="M884">
        <f>IF(C884&lt;&gt;"",C884,_xlfn.XLOOKUP(B884,AI_NAMES!D:D,AI_NAMES!E:E,"",0))</f>
        <v>0</v>
      </c>
    </row>
    <row r="885" spans="1:13" x14ac:dyDescent="0.2">
      <c r="A885" t="s">
        <v>1024</v>
      </c>
      <c r="B885" t="str">
        <f>IF(L885&lt;&gt;"",L885,_xlfn.XLOOKUP(A885,AI_NAMES!C:C,AI_NAMES!D:D,"",0))</f>
        <v/>
      </c>
      <c r="L885" t="s">
        <v>321</v>
      </c>
      <c r="M885">
        <f>IF(C885&lt;&gt;"",C885,_xlfn.XLOOKUP(B885,AI_NAMES!D:D,AI_NAMES!E:E,"",0))</f>
        <v>0</v>
      </c>
    </row>
    <row r="886" spans="1:13" x14ac:dyDescent="0.2">
      <c r="A886" t="s">
        <v>1025</v>
      </c>
      <c r="B886" t="str">
        <f>IF(L886&lt;&gt;"",L886,_xlfn.XLOOKUP(A886,AI_NAMES!C:C,AI_NAMES!D:D,"",0))</f>
        <v/>
      </c>
      <c r="L886" t="s">
        <v>321</v>
      </c>
      <c r="M886">
        <f>IF(C886&lt;&gt;"",C886,_xlfn.XLOOKUP(B886,AI_NAMES!D:D,AI_NAMES!E:E,"",0))</f>
        <v>0</v>
      </c>
    </row>
    <row r="887" spans="1:13" x14ac:dyDescent="0.2">
      <c r="A887" t="s">
        <v>1026</v>
      </c>
      <c r="B887" t="str">
        <f>IF(L887&lt;&gt;"",L887,_xlfn.XLOOKUP(A887,AI_NAMES!C:C,AI_NAMES!D:D,"",0))</f>
        <v/>
      </c>
      <c r="L887" t="s">
        <v>321</v>
      </c>
      <c r="M887">
        <f>IF(C887&lt;&gt;"",C887,_xlfn.XLOOKUP(B887,AI_NAMES!D:D,AI_NAMES!E:E,"",0))</f>
        <v>0</v>
      </c>
    </row>
    <row r="888" spans="1:13" x14ac:dyDescent="0.2">
      <c r="A888" t="s">
        <v>1027</v>
      </c>
      <c r="B888" t="str">
        <f>IF(L888&lt;&gt;"",L888,_xlfn.XLOOKUP(A888,AI_NAMES!C:C,AI_NAMES!D:D,"",0))</f>
        <v/>
      </c>
      <c r="L888" t="s">
        <v>321</v>
      </c>
      <c r="M888">
        <f>IF(C888&lt;&gt;"",C888,_xlfn.XLOOKUP(B888,AI_NAMES!D:D,AI_NAMES!E:E,"",0))</f>
        <v>0</v>
      </c>
    </row>
    <row r="889" spans="1:13" x14ac:dyDescent="0.2">
      <c r="A889" t="s">
        <v>1028</v>
      </c>
      <c r="B889" t="str">
        <f>IF(L889&lt;&gt;"",L889,_xlfn.XLOOKUP(A889,AI_NAMES!C:C,AI_NAMES!D:D,"",0))</f>
        <v/>
      </c>
      <c r="L889" t="s">
        <v>321</v>
      </c>
      <c r="M889">
        <f>IF(C889&lt;&gt;"",C889,_xlfn.XLOOKUP(B889,AI_NAMES!D:D,AI_NAMES!E:E,"",0))</f>
        <v>0</v>
      </c>
    </row>
    <row r="890" spans="1:13" x14ac:dyDescent="0.2">
      <c r="A890" t="s">
        <v>1029</v>
      </c>
      <c r="B890" t="str">
        <f>IF(L890&lt;&gt;"",L890,_xlfn.XLOOKUP(A890,AI_NAMES!C:C,AI_NAMES!D:D,"",0))</f>
        <v/>
      </c>
      <c r="L890" t="s">
        <v>321</v>
      </c>
      <c r="M890">
        <f>IF(C890&lt;&gt;"",C890,_xlfn.XLOOKUP(B890,AI_NAMES!D:D,AI_NAMES!E:E,"",0))</f>
        <v>0</v>
      </c>
    </row>
    <row r="891" spans="1:13" x14ac:dyDescent="0.2">
      <c r="A891" t="s">
        <v>1030</v>
      </c>
      <c r="B891" t="str">
        <f>IF(L891&lt;&gt;"",L891,_xlfn.XLOOKUP(A891,AI_NAMES!C:C,AI_NAMES!D:D,"",0))</f>
        <v/>
      </c>
      <c r="L891" t="s">
        <v>321</v>
      </c>
      <c r="M891">
        <f>IF(C891&lt;&gt;"",C891,_xlfn.XLOOKUP(B891,AI_NAMES!D:D,AI_NAMES!E:E,"",0))</f>
        <v>0</v>
      </c>
    </row>
    <row r="892" spans="1:13" x14ac:dyDescent="0.2">
      <c r="A892" t="s">
        <v>1031</v>
      </c>
      <c r="B892" t="str">
        <f>IF(L892&lt;&gt;"",L892,_xlfn.XLOOKUP(A892,AI_NAMES!C:C,AI_NAMES!D:D,"",0))</f>
        <v>Msg_WhereIsThis</v>
      </c>
      <c r="L892" t="s">
        <v>3199</v>
      </c>
      <c r="M892" t="str">
        <f>IF(C892&lt;&gt;"",C892,_xlfn.XLOOKUP(B892,AI_NAMES!D:D,AI_NAMES!E:E,"",0))</f>
        <v/>
      </c>
    </row>
    <row r="893" spans="1:13" x14ac:dyDescent="0.2">
      <c r="A893" t="s">
        <v>1032</v>
      </c>
      <c r="B893" t="str">
        <f>IF(L893&lt;&gt;"",L893,_xlfn.XLOOKUP(A893,AI_NAMES!C:C,AI_NAMES!D:D,"",0))</f>
        <v/>
      </c>
      <c r="L893" t="s">
        <v>321</v>
      </c>
      <c r="M893">
        <f>IF(C893&lt;&gt;"",C893,_xlfn.XLOOKUP(B893,AI_NAMES!D:D,AI_NAMES!E:E,"",0))</f>
        <v>0</v>
      </c>
    </row>
    <row r="894" spans="1:13" x14ac:dyDescent="0.2">
      <c r="A894" t="s">
        <v>1033</v>
      </c>
      <c r="B894" t="str">
        <f>IF(L894&lt;&gt;"",L894,_xlfn.XLOOKUP(A894,AI_NAMES!C:C,AI_NAMES!D:D,"",0))</f>
        <v/>
      </c>
      <c r="L894" t="s">
        <v>321</v>
      </c>
      <c r="M894">
        <f>IF(C894&lt;&gt;"",C894,_xlfn.XLOOKUP(B894,AI_NAMES!D:D,AI_NAMES!E:E,"",0))</f>
        <v>0</v>
      </c>
    </row>
    <row r="895" spans="1:13" x14ac:dyDescent="0.2">
      <c r="A895" t="s">
        <v>1034</v>
      </c>
      <c r="B895" t="str">
        <f>IF(L895&lt;&gt;"",L895,_xlfn.XLOOKUP(A895,AI_NAMES!C:C,AI_NAMES!D:D,"",0))</f>
        <v/>
      </c>
      <c r="L895" t="s">
        <v>321</v>
      </c>
      <c r="M895">
        <f>IF(C895&lt;&gt;"",C895,_xlfn.XLOOKUP(B895,AI_NAMES!D:D,AI_NAMES!E:E,"",0))</f>
        <v>0</v>
      </c>
    </row>
    <row r="896" spans="1:13" x14ac:dyDescent="0.2">
      <c r="A896" t="s">
        <v>1035</v>
      </c>
      <c r="B896" t="str">
        <f>IF(L896&lt;&gt;"",L896,_xlfn.XLOOKUP(A896,AI_NAMES!C:C,AI_NAMES!D:D,"",0))</f>
        <v/>
      </c>
      <c r="L896" t="s">
        <v>321</v>
      </c>
      <c r="M896">
        <f>IF(C896&lt;&gt;"",C896,_xlfn.XLOOKUP(B896,AI_NAMES!D:D,AI_NAMES!E:E,"",0))</f>
        <v>0</v>
      </c>
    </row>
    <row r="897" spans="1:13" x14ac:dyDescent="0.2">
      <c r="A897" t="s">
        <v>1036</v>
      </c>
      <c r="B897" t="str">
        <f>IF(L897&lt;&gt;"",L897,_xlfn.XLOOKUP(A897,AI_NAMES!C:C,AI_NAMES!D:D,"",0))</f>
        <v>Msg_ComeJoin</v>
      </c>
      <c r="L897" t="s">
        <v>3200</v>
      </c>
      <c r="M897" t="str">
        <f>IF(C897&lt;&gt;"",C897,_xlfn.XLOOKUP(B897,AI_NAMES!D:D,AI_NAMES!E:E,"",0))</f>
        <v/>
      </c>
    </row>
    <row r="898" spans="1:13" x14ac:dyDescent="0.2">
      <c r="A898" t="s">
        <v>1037</v>
      </c>
      <c r="B898" t="str">
        <f>IF(L898&lt;&gt;"",L898,_xlfn.XLOOKUP(A898,AI_NAMES!C:C,AI_NAMES!D:D,"",0))</f>
        <v/>
      </c>
      <c r="L898" t="s">
        <v>321</v>
      </c>
      <c r="M898">
        <f>IF(C898&lt;&gt;"",C898,_xlfn.XLOOKUP(B898,AI_NAMES!D:D,AI_NAMES!E:E,"",0))</f>
        <v>0</v>
      </c>
    </row>
    <row r="899" spans="1:13" x14ac:dyDescent="0.2">
      <c r="A899" t="s">
        <v>1038</v>
      </c>
      <c r="B899" t="str">
        <f>IF(L899&lt;&gt;"",L899,_xlfn.XLOOKUP(A899,AI_NAMES!C:C,AI_NAMES!D:D,"",0))</f>
        <v/>
      </c>
      <c r="L899" t="s">
        <v>321</v>
      </c>
      <c r="M899">
        <f>IF(C899&lt;&gt;"",C899,_xlfn.XLOOKUP(B899,AI_NAMES!D:D,AI_NAMES!E:E,"",0))</f>
        <v>0</v>
      </c>
    </row>
    <row r="900" spans="1:13" x14ac:dyDescent="0.2">
      <c r="A900" t="s">
        <v>1039</v>
      </c>
      <c r="B900" t="str">
        <f>IF(L900&lt;&gt;"",L900,_xlfn.XLOOKUP(A900,AI_NAMES!C:C,AI_NAMES!D:D,"",0))</f>
        <v/>
      </c>
      <c r="L900" t="s">
        <v>321</v>
      </c>
      <c r="M900">
        <f>IF(C900&lt;&gt;"",C900,_xlfn.XLOOKUP(B900,AI_NAMES!D:D,AI_NAMES!E:E,"",0))</f>
        <v>0</v>
      </c>
    </row>
    <row r="901" spans="1:13" x14ac:dyDescent="0.2">
      <c r="A901" t="s">
        <v>1040</v>
      </c>
      <c r="B901" t="str">
        <f>IF(L901&lt;&gt;"",L901,_xlfn.XLOOKUP(A901,AI_NAMES!C:C,AI_NAMES!D:D,"",0))</f>
        <v/>
      </c>
      <c r="L901" t="s">
        <v>321</v>
      </c>
      <c r="M901">
        <f>IF(C901&lt;&gt;"",C901,_xlfn.XLOOKUP(B901,AI_NAMES!D:D,AI_NAMES!E:E,"",0))</f>
        <v>0</v>
      </c>
    </row>
    <row r="902" spans="1:13" x14ac:dyDescent="0.2">
      <c r="A902" t="s">
        <v>1041</v>
      </c>
      <c r="B902" t="str">
        <f>IF(L902&lt;&gt;"",L902,_xlfn.XLOOKUP(A902,AI_NAMES!C:C,AI_NAMES!D:D,"",0))</f>
        <v/>
      </c>
      <c r="L902" t="s">
        <v>321</v>
      </c>
      <c r="M902">
        <f>IF(C902&lt;&gt;"",C902,_xlfn.XLOOKUP(B902,AI_NAMES!D:D,AI_NAMES!E:E,"",0))</f>
        <v>0</v>
      </c>
    </row>
    <row r="903" spans="1:13" x14ac:dyDescent="0.2">
      <c r="A903" t="s">
        <v>1042</v>
      </c>
      <c r="B903" t="str">
        <f>IF(L903&lt;&gt;"",L903,_xlfn.XLOOKUP(A903,AI_NAMES!C:C,AI_NAMES!D:D,"",0))</f>
        <v/>
      </c>
      <c r="L903" t="s">
        <v>321</v>
      </c>
      <c r="M903">
        <f>IF(C903&lt;&gt;"",C903,_xlfn.XLOOKUP(B903,AI_NAMES!D:D,AI_NAMES!E:E,"",0))</f>
        <v>0</v>
      </c>
    </row>
    <row r="904" spans="1:13" x14ac:dyDescent="0.2">
      <c r="A904" t="s">
        <v>1043</v>
      </c>
      <c r="B904" t="str">
        <f>IF(L904&lt;&gt;"",L904,_xlfn.XLOOKUP(A904,AI_NAMES!C:C,AI_NAMES!D:D,"",0))</f>
        <v/>
      </c>
      <c r="L904" t="s">
        <v>321</v>
      </c>
      <c r="M904">
        <f>IF(C904&lt;&gt;"",C904,_xlfn.XLOOKUP(B904,AI_NAMES!D:D,AI_NAMES!E:E,"",0))</f>
        <v>0</v>
      </c>
    </row>
    <row r="905" spans="1:13" x14ac:dyDescent="0.2">
      <c r="A905" t="s">
        <v>1044</v>
      </c>
      <c r="B905" t="str">
        <f>IF(L905&lt;&gt;"",L905,_xlfn.XLOOKUP(A905,AI_NAMES!C:C,AI_NAMES!D:D,"",0))</f>
        <v/>
      </c>
      <c r="L905" t="s">
        <v>321</v>
      </c>
      <c r="M905">
        <f>IF(C905&lt;&gt;"",C905,_xlfn.XLOOKUP(B905,AI_NAMES!D:D,AI_NAMES!E:E,"",0))</f>
        <v>0</v>
      </c>
    </row>
    <row r="906" spans="1:13" x14ac:dyDescent="0.2">
      <c r="A906" t="s">
        <v>1045</v>
      </c>
      <c r="B906" t="str">
        <f>IF(L906&lt;&gt;"",L906,_xlfn.XLOOKUP(A906,AI_NAMES!C:C,AI_NAMES!D:D,"",0))</f>
        <v/>
      </c>
      <c r="L906" t="s">
        <v>321</v>
      </c>
      <c r="M906">
        <f>IF(C906&lt;&gt;"",C906,_xlfn.XLOOKUP(B906,AI_NAMES!D:D,AI_NAMES!E:E,"",0))</f>
        <v>0</v>
      </c>
    </row>
    <row r="907" spans="1:13" x14ac:dyDescent="0.2">
      <c r="A907" t="s">
        <v>1046</v>
      </c>
      <c r="B907" t="str">
        <f>IF(L907&lt;&gt;"",L907,_xlfn.XLOOKUP(A907,AI_NAMES!C:C,AI_NAMES!D:D,"",0))</f>
        <v/>
      </c>
      <c r="L907" t="s">
        <v>321</v>
      </c>
      <c r="M907">
        <f>IF(C907&lt;&gt;"",C907,_xlfn.XLOOKUP(B907,AI_NAMES!D:D,AI_NAMES!E:E,"",0))</f>
        <v>0</v>
      </c>
    </row>
    <row r="908" spans="1:13" x14ac:dyDescent="0.2">
      <c r="A908" t="s">
        <v>1047</v>
      </c>
      <c r="B908" t="str">
        <f>IF(L908&lt;&gt;"",L908,_xlfn.XLOOKUP(A908,AI_NAMES!C:C,AI_NAMES!D:D,"",0))</f>
        <v/>
      </c>
      <c r="L908" t="s">
        <v>321</v>
      </c>
      <c r="M908">
        <f>IF(C908&lt;&gt;"",C908,_xlfn.XLOOKUP(B908,AI_NAMES!D:D,AI_NAMES!E:E,"",0))</f>
        <v>0</v>
      </c>
    </row>
    <row r="909" spans="1:13" x14ac:dyDescent="0.2">
      <c r="A909" t="s">
        <v>1048</v>
      </c>
      <c r="B909" t="str">
        <f>IF(L909&lt;&gt;"",L909,_xlfn.XLOOKUP(A909,AI_NAMES!C:C,AI_NAMES!D:D,"",0))</f>
        <v/>
      </c>
      <c r="L909" t="s">
        <v>321</v>
      </c>
      <c r="M909">
        <f>IF(C909&lt;&gt;"",C909,_xlfn.XLOOKUP(B909,AI_NAMES!D:D,AI_NAMES!E:E,"",0))</f>
        <v>0</v>
      </c>
    </row>
    <row r="910" spans="1:13" x14ac:dyDescent="0.2">
      <c r="A910" t="s">
        <v>1049</v>
      </c>
      <c r="B910" t="str">
        <f>IF(L910&lt;&gt;"",L910,_xlfn.XLOOKUP(A910,AI_NAMES!C:C,AI_NAMES!D:D,"",0))</f>
        <v/>
      </c>
      <c r="L910" t="s">
        <v>321</v>
      </c>
      <c r="M910">
        <f>IF(C910&lt;&gt;"",C910,_xlfn.XLOOKUP(B910,AI_NAMES!D:D,AI_NAMES!E:E,"",0))</f>
        <v>0</v>
      </c>
    </row>
    <row r="911" spans="1:13" x14ac:dyDescent="0.2">
      <c r="A911" t="s">
        <v>1050</v>
      </c>
      <c r="B911" t="str">
        <f>IF(L911&lt;&gt;"",L911,_xlfn.XLOOKUP(A911,AI_NAMES!C:C,AI_NAMES!D:D,"",0))</f>
        <v/>
      </c>
      <c r="L911" t="s">
        <v>321</v>
      </c>
      <c r="M911">
        <f>IF(C911&lt;&gt;"",C911,_xlfn.XLOOKUP(B911,AI_NAMES!D:D,AI_NAMES!E:E,"",0))</f>
        <v>0</v>
      </c>
    </row>
    <row r="912" spans="1:13" x14ac:dyDescent="0.2">
      <c r="A912" t="s">
        <v>1051</v>
      </c>
      <c r="B912" t="str">
        <f>IF(L912&lt;&gt;"",L912,_xlfn.XLOOKUP(A912,AI_NAMES!C:C,AI_NAMES!D:D,"",0))</f>
        <v/>
      </c>
      <c r="L912" t="s">
        <v>321</v>
      </c>
      <c r="M912">
        <f>IF(C912&lt;&gt;"",C912,_xlfn.XLOOKUP(B912,AI_NAMES!D:D,AI_NAMES!E:E,"",0))</f>
        <v>0</v>
      </c>
    </row>
    <row r="913" spans="1:13" x14ac:dyDescent="0.2">
      <c r="A913" t="s">
        <v>1052</v>
      </c>
      <c r="B913" t="str">
        <f>IF(L913&lt;&gt;"",L913,_xlfn.XLOOKUP(A913,AI_NAMES!C:C,AI_NAMES!D:D,"",0))</f>
        <v/>
      </c>
      <c r="L913" t="s">
        <v>321</v>
      </c>
      <c r="M913">
        <f>IF(C913&lt;&gt;"",C913,_xlfn.XLOOKUP(B913,AI_NAMES!D:D,AI_NAMES!E:E,"",0))</f>
        <v>0</v>
      </c>
    </row>
    <row r="914" spans="1:13" x14ac:dyDescent="0.2">
      <c r="A914" t="s">
        <v>1053</v>
      </c>
      <c r="B914" t="str">
        <f>IF(L914&lt;&gt;"",L914,_xlfn.XLOOKUP(A914,AI_NAMES!C:C,AI_NAMES!D:D,"",0))</f>
        <v/>
      </c>
      <c r="L914" t="s">
        <v>321</v>
      </c>
      <c r="M914">
        <f>IF(C914&lt;&gt;"",C914,_xlfn.XLOOKUP(B914,AI_NAMES!D:D,AI_NAMES!E:E,"",0))</f>
        <v>0</v>
      </c>
    </row>
    <row r="915" spans="1:13" x14ac:dyDescent="0.2">
      <c r="A915" t="s">
        <v>1054</v>
      </c>
      <c r="B915" t="str">
        <f>IF(L915&lt;&gt;"",L915,_xlfn.XLOOKUP(A915,AI_NAMES!C:C,AI_NAMES!D:D,"",0))</f>
        <v/>
      </c>
      <c r="L915" t="s">
        <v>321</v>
      </c>
      <c r="M915">
        <f>IF(C915&lt;&gt;"",C915,_xlfn.XLOOKUP(B915,AI_NAMES!D:D,AI_NAMES!E:E,"",0))</f>
        <v>0</v>
      </c>
    </row>
    <row r="916" spans="1:13" x14ac:dyDescent="0.2">
      <c r="A916" t="s">
        <v>1055</v>
      </c>
      <c r="B916" t="str">
        <f>IF(L916&lt;&gt;"",L916,_xlfn.XLOOKUP(A916,AI_NAMES!C:C,AI_NAMES!D:D,"",0))</f>
        <v/>
      </c>
      <c r="L916" t="s">
        <v>321</v>
      </c>
      <c r="M916">
        <f>IF(C916&lt;&gt;"",C916,_xlfn.XLOOKUP(B916,AI_NAMES!D:D,AI_NAMES!E:E,"",0))</f>
        <v>0</v>
      </c>
    </row>
    <row r="917" spans="1:13" x14ac:dyDescent="0.2">
      <c r="A917" t="s">
        <v>1056</v>
      </c>
      <c r="B917" t="str">
        <f>IF(L917&lt;&gt;"",L917,_xlfn.XLOOKUP(A917,AI_NAMES!C:C,AI_NAMES!D:D,"",0))</f>
        <v/>
      </c>
      <c r="L917" t="s">
        <v>321</v>
      </c>
      <c r="M917">
        <f>IF(C917&lt;&gt;"",C917,_xlfn.XLOOKUP(B917,AI_NAMES!D:D,AI_NAMES!E:E,"",0))</f>
        <v>0</v>
      </c>
    </row>
    <row r="918" spans="1:13" x14ac:dyDescent="0.2">
      <c r="A918" t="s">
        <v>1057</v>
      </c>
      <c r="B918" t="str">
        <f>IF(L918&lt;&gt;"",L918,_xlfn.XLOOKUP(A918,AI_NAMES!C:C,AI_NAMES!D:D,"",0))</f>
        <v/>
      </c>
      <c r="L918" t="s">
        <v>321</v>
      </c>
      <c r="M918">
        <f>IF(C918&lt;&gt;"",C918,_xlfn.XLOOKUP(B918,AI_NAMES!D:D,AI_NAMES!E:E,"",0))</f>
        <v>0</v>
      </c>
    </row>
    <row r="919" spans="1:13" x14ac:dyDescent="0.2">
      <c r="A919" t="s">
        <v>1058</v>
      </c>
      <c r="B919" t="str">
        <f>IF(L919&lt;&gt;"",L919,_xlfn.XLOOKUP(A919,AI_NAMES!C:C,AI_NAMES!D:D,"",0))</f>
        <v/>
      </c>
      <c r="L919" t="s">
        <v>321</v>
      </c>
      <c r="M919">
        <f>IF(C919&lt;&gt;"",C919,_xlfn.XLOOKUP(B919,AI_NAMES!D:D,AI_NAMES!E:E,"",0))</f>
        <v>0</v>
      </c>
    </row>
    <row r="920" spans="1:13" x14ac:dyDescent="0.2">
      <c r="A920" t="s">
        <v>1059</v>
      </c>
      <c r="B920" t="str">
        <f>IF(L920&lt;&gt;"",L920,_xlfn.XLOOKUP(A920,AI_NAMES!C:C,AI_NAMES!D:D,"",0))</f>
        <v/>
      </c>
      <c r="L920" t="s">
        <v>321</v>
      </c>
      <c r="M920">
        <f>IF(C920&lt;&gt;"",C920,_xlfn.XLOOKUP(B920,AI_NAMES!D:D,AI_NAMES!E:E,"",0))</f>
        <v>0</v>
      </c>
    </row>
    <row r="921" spans="1:13" x14ac:dyDescent="0.2">
      <c r="A921" t="s">
        <v>1060</v>
      </c>
      <c r="B921" t="str">
        <f>IF(L921&lt;&gt;"",L921,_xlfn.XLOOKUP(A921,AI_NAMES!C:C,AI_NAMES!D:D,"",0))</f>
        <v/>
      </c>
      <c r="L921" t="s">
        <v>321</v>
      </c>
      <c r="M921">
        <f>IF(C921&lt;&gt;"",C921,_xlfn.XLOOKUP(B921,AI_NAMES!D:D,AI_NAMES!E:E,"",0))</f>
        <v>0</v>
      </c>
    </row>
    <row r="922" spans="1:13" x14ac:dyDescent="0.2">
      <c r="A922" t="s">
        <v>1061</v>
      </c>
      <c r="B922" t="str">
        <f>IF(L922&lt;&gt;"",L922,_xlfn.XLOOKUP(A922,AI_NAMES!C:C,AI_NAMES!D:D,"",0))</f>
        <v/>
      </c>
      <c r="L922" t="s">
        <v>321</v>
      </c>
      <c r="M922">
        <f>IF(C922&lt;&gt;"",C922,_xlfn.XLOOKUP(B922,AI_NAMES!D:D,AI_NAMES!E:E,"",0))</f>
        <v>0</v>
      </c>
    </row>
    <row r="923" spans="1:13" x14ac:dyDescent="0.2">
      <c r="A923" t="s">
        <v>1062</v>
      </c>
      <c r="B923" t="str">
        <f>IF(L923&lt;&gt;"",L923,_xlfn.XLOOKUP(A923,AI_NAMES!C:C,AI_NAMES!D:D,"",0))</f>
        <v/>
      </c>
      <c r="L923" t="s">
        <v>321</v>
      </c>
      <c r="M923">
        <f>IF(C923&lt;&gt;"",C923,_xlfn.XLOOKUP(B923,AI_NAMES!D:D,AI_NAMES!E:E,"",0))</f>
        <v>0</v>
      </c>
    </row>
    <row r="924" spans="1:13" x14ac:dyDescent="0.2">
      <c r="A924" t="s">
        <v>1063</v>
      </c>
      <c r="B924" t="str">
        <f>IF(L924&lt;&gt;"",L924,_xlfn.XLOOKUP(A924,AI_NAMES!C:C,AI_NAMES!D:D,"",0))</f>
        <v/>
      </c>
      <c r="L924" t="s">
        <v>321</v>
      </c>
      <c r="M924">
        <f>IF(C924&lt;&gt;"",C924,_xlfn.XLOOKUP(B924,AI_NAMES!D:D,AI_NAMES!E:E,"",0))</f>
        <v>0</v>
      </c>
    </row>
    <row r="925" spans="1:13" x14ac:dyDescent="0.2">
      <c r="A925" t="s">
        <v>1064</v>
      </c>
      <c r="B925" t="str">
        <f>IF(L925&lt;&gt;"",L925,_xlfn.XLOOKUP(A925,AI_NAMES!C:C,AI_NAMES!D:D,"",0))</f>
        <v/>
      </c>
      <c r="L925" t="s">
        <v>321</v>
      </c>
      <c r="M925">
        <f>IF(C925&lt;&gt;"",C925,_xlfn.XLOOKUP(B925,AI_NAMES!D:D,AI_NAMES!E:E,"",0))</f>
        <v>0</v>
      </c>
    </row>
    <row r="926" spans="1:13" x14ac:dyDescent="0.2">
      <c r="A926" t="s">
        <v>1065</v>
      </c>
      <c r="B926" t="str">
        <f>IF(L926&lt;&gt;"",L926,_xlfn.XLOOKUP(A926,AI_NAMES!C:C,AI_NAMES!D:D,"",0))</f>
        <v/>
      </c>
      <c r="L926" t="s">
        <v>321</v>
      </c>
      <c r="M926">
        <f>IF(C926&lt;&gt;"",C926,_xlfn.XLOOKUP(B926,AI_NAMES!D:D,AI_NAMES!E:E,"",0))</f>
        <v>0</v>
      </c>
    </row>
    <row r="927" spans="1:13" x14ac:dyDescent="0.2">
      <c r="A927" t="s">
        <v>1066</v>
      </c>
      <c r="B927" t="str">
        <f>IF(L927&lt;&gt;"",L927,_xlfn.XLOOKUP(A927,AI_NAMES!C:C,AI_NAMES!D:D,"",0))</f>
        <v/>
      </c>
      <c r="L927" t="s">
        <v>321</v>
      </c>
      <c r="M927">
        <f>IF(C927&lt;&gt;"",C927,_xlfn.XLOOKUP(B927,AI_NAMES!D:D,AI_NAMES!E:E,"",0))</f>
        <v>0</v>
      </c>
    </row>
    <row r="928" spans="1:13" x14ac:dyDescent="0.2">
      <c r="A928" t="s">
        <v>1067</v>
      </c>
      <c r="B928" t="str">
        <f>IF(L928&lt;&gt;"",L928,_xlfn.XLOOKUP(A928,AI_NAMES!C:C,AI_NAMES!D:D,"",0))</f>
        <v/>
      </c>
      <c r="L928" t="s">
        <v>321</v>
      </c>
      <c r="M928">
        <f>IF(C928&lt;&gt;"",C928,_xlfn.XLOOKUP(B928,AI_NAMES!D:D,AI_NAMES!E:E,"",0))</f>
        <v>0</v>
      </c>
    </row>
    <row r="929" spans="1:13" x14ac:dyDescent="0.2">
      <c r="A929" t="s">
        <v>1068</v>
      </c>
      <c r="B929" t="str">
        <f>IF(L929&lt;&gt;"",L929,_xlfn.XLOOKUP(A929,AI_NAMES!C:C,AI_NAMES!D:D,"",0))</f>
        <v/>
      </c>
      <c r="L929" t="s">
        <v>321</v>
      </c>
      <c r="M929">
        <f>IF(C929&lt;&gt;"",C929,_xlfn.XLOOKUP(B929,AI_NAMES!D:D,AI_NAMES!E:E,"",0))</f>
        <v>0</v>
      </c>
    </row>
    <row r="930" spans="1:13" x14ac:dyDescent="0.2">
      <c r="A930" t="s">
        <v>1069</v>
      </c>
      <c r="B930" t="str">
        <f>IF(L930&lt;&gt;"",L930,_xlfn.XLOOKUP(A930,AI_NAMES!C:C,AI_NAMES!D:D,"",0))</f>
        <v/>
      </c>
      <c r="L930" t="s">
        <v>321</v>
      </c>
      <c r="M930">
        <f>IF(C930&lt;&gt;"",C930,_xlfn.XLOOKUP(B930,AI_NAMES!D:D,AI_NAMES!E:E,"",0))</f>
        <v>0</v>
      </c>
    </row>
    <row r="931" spans="1:13" x14ac:dyDescent="0.2">
      <c r="A931" t="s">
        <v>1070</v>
      </c>
      <c r="B931" t="str">
        <f>IF(L931&lt;&gt;"",L931,_xlfn.XLOOKUP(A931,AI_NAMES!C:C,AI_NAMES!D:D,"",0))</f>
        <v/>
      </c>
      <c r="L931" t="s">
        <v>321</v>
      </c>
      <c r="M931">
        <f>IF(C931&lt;&gt;"",C931,_xlfn.XLOOKUP(B931,AI_NAMES!D:D,AI_NAMES!E:E,"",0))</f>
        <v>0</v>
      </c>
    </row>
    <row r="932" spans="1:13" x14ac:dyDescent="0.2">
      <c r="A932" t="s">
        <v>1071</v>
      </c>
      <c r="B932" t="str">
        <f>IF(L932&lt;&gt;"",L932,_xlfn.XLOOKUP(A932,AI_NAMES!C:C,AI_NAMES!D:D,"",0))</f>
        <v/>
      </c>
      <c r="L932" t="s">
        <v>321</v>
      </c>
      <c r="M932">
        <f>IF(C932&lt;&gt;"",C932,_xlfn.XLOOKUP(B932,AI_NAMES!D:D,AI_NAMES!E:E,"",0))</f>
        <v>0</v>
      </c>
    </row>
    <row r="933" spans="1:13" x14ac:dyDescent="0.2">
      <c r="A933" t="s">
        <v>1072</v>
      </c>
      <c r="B933" t="str">
        <f>IF(L933&lt;&gt;"",L933,_xlfn.XLOOKUP(A933,AI_NAMES!C:C,AI_NAMES!D:D,"",0))</f>
        <v/>
      </c>
      <c r="L933" t="s">
        <v>321</v>
      </c>
      <c r="M933">
        <f>IF(C933&lt;&gt;"",C933,_xlfn.XLOOKUP(B933,AI_NAMES!D:D,AI_NAMES!E:E,"",0))</f>
        <v>0</v>
      </c>
    </row>
    <row r="934" spans="1:13" x14ac:dyDescent="0.2">
      <c r="A934" t="s">
        <v>1073</v>
      </c>
      <c r="B934" t="str">
        <f>IF(L934&lt;&gt;"",L934,_xlfn.XLOOKUP(A934,AI_NAMES!C:C,AI_NAMES!D:D,"",0))</f>
        <v/>
      </c>
      <c r="L934" t="s">
        <v>321</v>
      </c>
      <c r="M934">
        <f>IF(C934&lt;&gt;"",C934,_xlfn.XLOOKUP(B934,AI_NAMES!D:D,AI_NAMES!E:E,"",0))</f>
        <v>0</v>
      </c>
    </row>
    <row r="935" spans="1:13" x14ac:dyDescent="0.2">
      <c r="A935" t="s">
        <v>1074</v>
      </c>
      <c r="B935" t="str">
        <f>IF(L935&lt;&gt;"",L935,_xlfn.XLOOKUP(A935,AI_NAMES!C:C,AI_NAMES!D:D,"",0))</f>
        <v/>
      </c>
      <c r="L935" t="s">
        <v>321</v>
      </c>
      <c r="M935">
        <f>IF(C935&lt;&gt;"",C935,_xlfn.XLOOKUP(B935,AI_NAMES!D:D,AI_NAMES!E:E,"",0))</f>
        <v>0</v>
      </c>
    </row>
    <row r="936" spans="1:13" x14ac:dyDescent="0.2">
      <c r="A936" t="s">
        <v>1075</v>
      </c>
      <c r="B936" t="str">
        <f>IF(L936&lt;&gt;"",L936,_xlfn.XLOOKUP(A936,AI_NAMES!C:C,AI_NAMES!D:D,"",0))</f>
        <v/>
      </c>
      <c r="L936" t="s">
        <v>321</v>
      </c>
      <c r="M936">
        <f>IF(C936&lt;&gt;"",C936,_xlfn.XLOOKUP(B936,AI_NAMES!D:D,AI_NAMES!E:E,"",0))</f>
        <v>0</v>
      </c>
    </row>
    <row r="937" spans="1:13" x14ac:dyDescent="0.2">
      <c r="A937" t="s">
        <v>1076</v>
      </c>
      <c r="B937" t="str">
        <f>IF(L937&lt;&gt;"",L937,_xlfn.XLOOKUP(A937,AI_NAMES!C:C,AI_NAMES!D:D,"",0))</f>
        <v/>
      </c>
      <c r="L937" t="s">
        <v>321</v>
      </c>
      <c r="M937">
        <f>IF(C937&lt;&gt;"",C937,_xlfn.XLOOKUP(B937,AI_NAMES!D:D,AI_NAMES!E:E,"",0))</f>
        <v>0</v>
      </c>
    </row>
    <row r="938" spans="1:13" x14ac:dyDescent="0.2">
      <c r="A938" t="s">
        <v>1077</v>
      </c>
      <c r="B938" t="str">
        <f>IF(L938&lt;&gt;"",L938,_xlfn.XLOOKUP(A938,AI_NAMES!C:C,AI_NAMES!D:D,"",0))</f>
        <v/>
      </c>
      <c r="L938" t="s">
        <v>321</v>
      </c>
      <c r="M938">
        <f>IF(C938&lt;&gt;"",C938,_xlfn.XLOOKUP(B938,AI_NAMES!D:D,AI_NAMES!E:E,"",0))</f>
        <v>0</v>
      </c>
    </row>
    <row r="939" spans="1:13" x14ac:dyDescent="0.2">
      <c r="A939" t="s">
        <v>1078</v>
      </c>
      <c r="B939" t="str">
        <f>IF(L939&lt;&gt;"",L939,_xlfn.XLOOKUP(A939,AI_NAMES!C:C,AI_NAMES!D:D,"",0))</f>
        <v/>
      </c>
      <c r="L939" t="s">
        <v>321</v>
      </c>
      <c r="M939">
        <f>IF(C939&lt;&gt;"",C939,_xlfn.XLOOKUP(B939,AI_NAMES!D:D,AI_NAMES!E:E,"",0))</f>
        <v>0</v>
      </c>
    </row>
    <row r="940" spans="1:13" x14ac:dyDescent="0.2">
      <c r="A940" t="s">
        <v>1079</v>
      </c>
      <c r="B940" t="str">
        <f>IF(L940&lt;&gt;"",L940,_xlfn.XLOOKUP(A940,AI_NAMES!C:C,AI_NAMES!D:D,"",0))</f>
        <v/>
      </c>
      <c r="L940" t="s">
        <v>321</v>
      </c>
      <c r="M940">
        <f>IF(C940&lt;&gt;"",C940,_xlfn.XLOOKUP(B940,AI_NAMES!D:D,AI_NAMES!E:E,"",0))</f>
        <v>0</v>
      </c>
    </row>
    <row r="941" spans="1:13" x14ac:dyDescent="0.2">
      <c r="A941" t="s">
        <v>1080</v>
      </c>
      <c r="B941" t="str">
        <f>IF(L941&lt;&gt;"",L941,_xlfn.XLOOKUP(A941,AI_NAMES!C:C,AI_NAMES!D:D,"",0))</f>
        <v/>
      </c>
      <c r="L941" t="s">
        <v>321</v>
      </c>
      <c r="M941">
        <f>IF(C941&lt;&gt;"",C941,_xlfn.XLOOKUP(B941,AI_NAMES!D:D,AI_NAMES!E:E,"",0))</f>
        <v>0</v>
      </c>
    </row>
    <row r="942" spans="1:13" x14ac:dyDescent="0.2">
      <c r="A942" t="s">
        <v>1081</v>
      </c>
      <c r="B942" t="str">
        <f>IF(L942&lt;&gt;"",L942,_xlfn.XLOOKUP(A942,AI_NAMES!C:C,AI_NAMES!D:D,"",0))</f>
        <v/>
      </c>
      <c r="L942" t="s">
        <v>321</v>
      </c>
      <c r="M942">
        <f>IF(C942&lt;&gt;"",C942,_xlfn.XLOOKUP(B942,AI_NAMES!D:D,AI_NAMES!E:E,"",0))</f>
        <v>0</v>
      </c>
    </row>
    <row r="943" spans="1:13" x14ac:dyDescent="0.2">
      <c r="A943" t="s">
        <v>1082</v>
      </c>
      <c r="B943" t="str">
        <f>IF(L943&lt;&gt;"",L943,_xlfn.XLOOKUP(A943,AI_NAMES!C:C,AI_NAMES!D:D,"",0))</f>
        <v/>
      </c>
      <c r="L943" t="s">
        <v>321</v>
      </c>
      <c r="M943">
        <f>IF(C943&lt;&gt;"",C943,_xlfn.XLOOKUP(B943,AI_NAMES!D:D,AI_NAMES!E:E,"",0))</f>
        <v>0</v>
      </c>
    </row>
    <row r="944" spans="1:13" x14ac:dyDescent="0.2">
      <c r="A944" t="s">
        <v>1083</v>
      </c>
      <c r="B944" t="str">
        <f>IF(L944&lt;&gt;"",L944,_xlfn.XLOOKUP(A944,AI_NAMES!C:C,AI_NAMES!D:D,"",0))</f>
        <v/>
      </c>
      <c r="L944" t="s">
        <v>321</v>
      </c>
      <c r="M944">
        <f>IF(C944&lt;&gt;"",C944,_xlfn.XLOOKUP(B944,AI_NAMES!D:D,AI_NAMES!E:E,"",0))</f>
        <v>0</v>
      </c>
    </row>
    <row r="945" spans="1:13" x14ac:dyDescent="0.2">
      <c r="A945" t="s">
        <v>1084</v>
      </c>
      <c r="B945" t="str">
        <f>IF(L945&lt;&gt;"",L945,_xlfn.XLOOKUP(A945,AI_NAMES!C:C,AI_NAMES!D:D,"",0))</f>
        <v/>
      </c>
      <c r="L945" t="s">
        <v>321</v>
      </c>
      <c r="M945">
        <f>IF(C945&lt;&gt;"",C945,_xlfn.XLOOKUP(B945,AI_NAMES!D:D,AI_NAMES!E:E,"",0))</f>
        <v>0</v>
      </c>
    </row>
    <row r="946" spans="1:13" x14ac:dyDescent="0.2">
      <c r="A946" t="s">
        <v>1085</v>
      </c>
      <c r="B946" t="str">
        <f>IF(L946&lt;&gt;"",L946,_xlfn.XLOOKUP(A946,AI_NAMES!C:C,AI_NAMES!D:D,"",0))</f>
        <v/>
      </c>
      <c r="L946" t="s">
        <v>321</v>
      </c>
      <c r="M946">
        <f>IF(C946&lt;&gt;"",C946,_xlfn.XLOOKUP(B946,AI_NAMES!D:D,AI_NAMES!E:E,"",0))</f>
        <v>0</v>
      </c>
    </row>
    <row r="947" spans="1:13" x14ac:dyDescent="0.2">
      <c r="A947" t="s">
        <v>1086</v>
      </c>
      <c r="B947" t="str">
        <f>IF(L947&lt;&gt;"",L947,_xlfn.XLOOKUP(A947,AI_NAMES!C:C,AI_NAMES!D:D,"",0))</f>
        <v/>
      </c>
      <c r="L947" t="s">
        <v>321</v>
      </c>
      <c r="M947">
        <f>IF(C947&lt;&gt;"",C947,_xlfn.XLOOKUP(B947,AI_NAMES!D:D,AI_NAMES!E:E,"",0))</f>
        <v>0</v>
      </c>
    </row>
    <row r="948" spans="1:13" x14ac:dyDescent="0.2">
      <c r="A948" t="s">
        <v>1087</v>
      </c>
      <c r="B948" t="str">
        <f>IF(L948&lt;&gt;"",L948,_xlfn.XLOOKUP(A948,AI_NAMES!C:C,AI_NAMES!D:D,"",0))</f>
        <v/>
      </c>
      <c r="L948" t="s">
        <v>321</v>
      </c>
      <c r="M948">
        <f>IF(C948&lt;&gt;"",C948,_xlfn.XLOOKUP(B948,AI_NAMES!D:D,AI_NAMES!E:E,"",0))</f>
        <v>0</v>
      </c>
    </row>
    <row r="949" spans="1:13" x14ac:dyDescent="0.2">
      <c r="A949" t="s">
        <v>1088</v>
      </c>
      <c r="B949" t="str">
        <f>IF(L949&lt;&gt;"",L949,_xlfn.XLOOKUP(A949,AI_NAMES!C:C,AI_NAMES!D:D,"",0))</f>
        <v/>
      </c>
      <c r="L949" t="s">
        <v>321</v>
      </c>
      <c r="M949">
        <f>IF(C949&lt;&gt;"",C949,_xlfn.XLOOKUP(B949,AI_NAMES!D:D,AI_NAMES!E:E,"",0))</f>
        <v>0</v>
      </c>
    </row>
    <row r="950" spans="1:13" x14ac:dyDescent="0.2">
      <c r="A950" t="s">
        <v>1089</v>
      </c>
      <c r="B950" t="str">
        <f>IF(L950&lt;&gt;"",L950,_xlfn.XLOOKUP(A950,AI_NAMES!C:C,AI_NAMES!D:D,"",0))</f>
        <v/>
      </c>
      <c r="L950" t="s">
        <v>321</v>
      </c>
      <c r="M950">
        <f>IF(C950&lt;&gt;"",C950,_xlfn.XLOOKUP(B950,AI_NAMES!D:D,AI_NAMES!E:E,"",0))</f>
        <v>0</v>
      </c>
    </row>
    <row r="951" spans="1:13" x14ac:dyDescent="0.2">
      <c r="A951" t="s">
        <v>1090</v>
      </c>
      <c r="B951" t="str">
        <f>IF(L951&lt;&gt;"",L951,_xlfn.XLOOKUP(A951,AI_NAMES!C:C,AI_NAMES!D:D,"",0))</f>
        <v/>
      </c>
      <c r="L951" t="s">
        <v>321</v>
      </c>
      <c r="M951">
        <f>IF(C951&lt;&gt;"",C951,_xlfn.XLOOKUP(B951,AI_NAMES!D:D,AI_NAMES!E:E,"",0))</f>
        <v>0</v>
      </c>
    </row>
    <row r="952" spans="1:13" x14ac:dyDescent="0.2">
      <c r="A952" t="s">
        <v>1091</v>
      </c>
      <c r="B952" t="str">
        <f>IF(L952&lt;&gt;"",L952,_xlfn.XLOOKUP(A952,AI_NAMES!C:C,AI_NAMES!D:D,"",0))</f>
        <v/>
      </c>
      <c r="L952" t="s">
        <v>321</v>
      </c>
      <c r="M952">
        <f>IF(C952&lt;&gt;"",C952,_xlfn.XLOOKUP(B952,AI_NAMES!D:D,AI_NAMES!E:E,"",0))</f>
        <v>0</v>
      </c>
    </row>
    <row r="953" spans="1:13" x14ac:dyDescent="0.2">
      <c r="A953" t="s">
        <v>1092</v>
      </c>
      <c r="B953" t="str">
        <f>IF(L953&lt;&gt;"",L953,_xlfn.XLOOKUP(A953,AI_NAMES!C:C,AI_NAMES!D:D,"",0))</f>
        <v/>
      </c>
      <c r="L953" t="s">
        <v>321</v>
      </c>
      <c r="M953">
        <f>IF(C953&lt;&gt;"",C953,_xlfn.XLOOKUP(B953,AI_NAMES!D:D,AI_NAMES!E:E,"",0))</f>
        <v>0</v>
      </c>
    </row>
    <row r="954" spans="1:13" x14ac:dyDescent="0.2">
      <c r="A954" t="s">
        <v>1093</v>
      </c>
      <c r="B954" t="str">
        <f>IF(L954&lt;&gt;"",L954,_xlfn.XLOOKUP(A954,AI_NAMES!C:C,AI_NAMES!D:D,"",0))</f>
        <v/>
      </c>
      <c r="L954" t="s">
        <v>321</v>
      </c>
      <c r="M954">
        <f>IF(C954&lt;&gt;"",C954,_xlfn.XLOOKUP(B954,AI_NAMES!D:D,AI_NAMES!E:E,"",0))</f>
        <v>0</v>
      </c>
    </row>
    <row r="955" spans="1:13" x14ac:dyDescent="0.2">
      <c r="A955" t="s">
        <v>1094</v>
      </c>
      <c r="B955" t="str">
        <f>IF(L955&lt;&gt;"",L955,_xlfn.XLOOKUP(A955,AI_NAMES!C:C,AI_NAMES!D:D,"",0))</f>
        <v>Click_CommsAndOptions</v>
      </c>
      <c r="L955" t="s">
        <v>1095</v>
      </c>
      <c r="M955" t="str">
        <f>IF(C955&lt;&gt;"",C955,_xlfn.XLOOKUP(B955,AI_NAMES!D:D,AI_NAMES!E:E,"",0))</f>
        <v/>
      </c>
    </row>
    <row r="956" spans="1:13" x14ac:dyDescent="0.2">
      <c r="A956" t="s">
        <v>1096</v>
      </c>
      <c r="B956" t="str">
        <f>IF(L956&lt;&gt;"",L956,_xlfn.XLOOKUP(A956,AI_NAMES!C:C,AI_NAMES!D:D,"",0))</f>
        <v/>
      </c>
      <c r="L956" t="s">
        <v>321</v>
      </c>
      <c r="M956">
        <f>IF(C956&lt;&gt;"",C956,_xlfn.XLOOKUP(B956,AI_NAMES!D:D,AI_NAMES!E:E,"",0))</f>
        <v>0</v>
      </c>
    </row>
    <row r="957" spans="1:13" x14ac:dyDescent="0.2">
      <c r="A957" t="s">
        <v>1097</v>
      </c>
      <c r="B957" t="str">
        <f>IF(L957&lt;&gt;"",L957,_xlfn.XLOOKUP(A957,AI_NAMES!C:C,AI_NAMES!D:D,"",0))</f>
        <v/>
      </c>
      <c r="L957" t="s">
        <v>321</v>
      </c>
      <c r="M957">
        <f>IF(C957&lt;&gt;"",C957,_xlfn.XLOOKUP(B957,AI_NAMES!D:D,AI_NAMES!E:E,"",0))</f>
        <v>0</v>
      </c>
    </row>
    <row r="958" spans="1:13" x14ac:dyDescent="0.2">
      <c r="A958" t="s">
        <v>1098</v>
      </c>
      <c r="B958" t="str">
        <f>IF(L958&lt;&gt;"",L958,_xlfn.XLOOKUP(A958,AI_NAMES!C:C,AI_NAMES!D:D,"",0))</f>
        <v>Click_PauseGame</v>
      </c>
      <c r="L958" t="s">
        <v>1099</v>
      </c>
      <c r="M958" t="str">
        <f>IF(C958&lt;&gt;"",C958,_xlfn.XLOOKUP(B958,AI_NAMES!D:D,AI_NAMES!E:E,"",0))</f>
        <v/>
      </c>
    </row>
    <row r="959" spans="1:13" x14ac:dyDescent="0.2">
      <c r="A959" t="s">
        <v>1100</v>
      </c>
      <c r="B959" t="str">
        <f>IF(L959&lt;&gt;"",L959,_xlfn.XLOOKUP(A959,AI_NAMES!C:C,AI_NAMES!D:D,"",0))</f>
        <v>.PauseLoop</v>
      </c>
      <c r="L959" t="s">
        <v>1101</v>
      </c>
      <c r="M959" t="str">
        <f>IF(C959&lt;&gt;"",C959,_xlfn.XLOOKUP(B959,AI_NAMES!D:D,AI_NAMES!E:E,"",0))</f>
        <v/>
      </c>
    </row>
    <row r="960" spans="1:13" x14ac:dyDescent="0.2">
      <c r="A960" t="s">
        <v>1102</v>
      </c>
      <c r="B960" t="str">
        <f>IF(L960&lt;&gt;"",L960,_xlfn.XLOOKUP(A960,AI_NAMES!C:C,AI_NAMES!D:D,"",0))</f>
        <v>ExitPause</v>
      </c>
      <c r="L960" t="s">
        <v>1103</v>
      </c>
      <c r="M960" t="str">
        <f>IF(C960&lt;&gt;"",C960,_xlfn.XLOOKUP(B960,AI_NAMES!D:D,AI_NAMES!E:E,"",0))</f>
        <v/>
      </c>
    </row>
    <row r="961" spans="1:13" x14ac:dyDescent="0.2">
      <c r="A961" t="s">
        <v>1104</v>
      </c>
      <c r="B961" t="str">
        <f>IF(L961&lt;&gt;"",L961,_xlfn.XLOOKUP(A961,AI_NAMES!C:C,AI_NAMES!D:D,"",0))</f>
        <v/>
      </c>
      <c r="L961" t="s">
        <v>321</v>
      </c>
      <c r="M961">
        <f>IF(C961&lt;&gt;"",C961,_xlfn.XLOOKUP(B961,AI_NAMES!D:D,AI_NAMES!E:E,"",0))</f>
        <v>0</v>
      </c>
    </row>
    <row r="962" spans="1:13" x14ac:dyDescent="0.2">
      <c r="A962" t="s">
        <v>1105</v>
      </c>
      <c r="B962" t="str">
        <f>IF(L962&lt;&gt;"",L962,_xlfn.XLOOKUP(A962,AI_NAMES!C:C,AI_NAMES!D:D,"",0))</f>
        <v/>
      </c>
      <c r="L962" t="s">
        <v>321</v>
      </c>
      <c r="M962">
        <f>IF(C962&lt;&gt;"",C962,_xlfn.XLOOKUP(B962,AI_NAMES!D:D,AI_NAMES!E:E,"",0))</f>
        <v>0</v>
      </c>
    </row>
    <row r="963" spans="1:13" x14ac:dyDescent="0.2">
      <c r="A963" t="s">
        <v>1106</v>
      </c>
      <c r="B963" t="str">
        <f>IF(L963&lt;&gt;"",L963,_xlfn.XLOOKUP(A963,AI_NAMES!C:C,AI_NAMES!D:D,"",0))</f>
        <v/>
      </c>
      <c r="L963" t="s">
        <v>321</v>
      </c>
      <c r="M963">
        <f>IF(C963&lt;&gt;"",C963,_xlfn.XLOOKUP(B963,AI_NAMES!D:D,AI_NAMES!E:E,"",0))</f>
        <v>0</v>
      </c>
    </row>
    <row r="964" spans="1:13" x14ac:dyDescent="0.2">
      <c r="A964" t="s">
        <v>1107</v>
      </c>
      <c r="B964" t="str">
        <f>IF(L964&lt;&gt;"",L964,_xlfn.XLOOKUP(A964,AI_NAMES!C:C,AI_NAMES!D:D,"",0))</f>
        <v/>
      </c>
      <c r="L964" t="s">
        <v>321</v>
      </c>
      <c r="M964">
        <f>IF(C964&lt;&gt;"",C964,_xlfn.XLOOKUP(B964,AI_NAMES!D:D,AI_NAMES!E:E,"",0))</f>
        <v>0</v>
      </c>
    </row>
    <row r="965" spans="1:13" x14ac:dyDescent="0.2">
      <c r="A965" t="s">
        <v>1108</v>
      </c>
      <c r="B965" t="str">
        <f>IF(L965&lt;&gt;"",L965,_xlfn.XLOOKUP(A965,AI_NAMES!C:C,AI_NAMES!D:D,"",0))</f>
        <v>Click_LoadSaveGame</v>
      </c>
      <c r="L965" t="s">
        <v>1109</v>
      </c>
      <c r="M965" t="str">
        <f>IF(C965&lt;&gt;"",C965,_xlfn.XLOOKUP(B965,AI_NAMES!D:D,AI_NAMES!E:E,"",0))</f>
        <v/>
      </c>
    </row>
    <row r="966" spans="1:13" x14ac:dyDescent="0.2">
      <c r="A966" t="s">
        <v>1110</v>
      </c>
      <c r="B966" t="str">
        <f>IF(L966&lt;&gt;"",L966,_xlfn.XLOOKUP(A966,AI_NAMES!C:C,AI_NAMES!D:D,"",0))</f>
        <v>.skipPlayer2</v>
      </c>
      <c r="L966" t="s">
        <v>344</v>
      </c>
      <c r="M966" t="str">
        <f>IF(C966&lt;&gt;"",C966,_xlfn.XLOOKUP(B966,AI_NAMES!D:D,AI_NAMES!E:E,"",0))</f>
        <v/>
      </c>
    </row>
    <row r="967" spans="1:13" x14ac:dyDescent="0.2">
      <c r="A967" t="s">
        <v>1111</v>
      </c>
      <c r="B967" t="str">
        <f>IF(L967&lt;&gt;"",L967,_xlfn.XLOOKUP(A967,AI_NAMES!C:C,AI_NAMES!D:D,"",0))</f>
        <v>.PickLoadSaveGame_Loop</v>
      </c>
      <c r="L967" t="s">
        <v>1112</v>
      </c>
      <c r="M967" t="str">
        <f>IF(C967&lt;&gt;"",C967,_xlfn.XLOOKUP(B967,AI_NAMES!D:D,AI_NAMES!E:E,"",0))</f>
        <v/>
      </c>
    </row>
    <row r="968" spans="1:13" x14ac:dyDescent="0.2">
      <c r="A968" t="s">
        <v>1113</v>
      </c>
      <c r="B968" t="str">
        <f>IF(L968&lt;&gt;"",L968,_xlfn.XLOOKUP(A968,AI_NAMES!C:C,AI_NAMES!D:D,"",0))</f>
        <v/>
      </c>
      <c r="L968" t="s">
        <v>321</v>
      </c>
      <c r="M968">
        <f>IF(C968&lt;&gt;"",C968,_xlfn.XLOOKUP(B968,AI_NAMES!D:D,AI_NAMES!E:E,"",0))</f>
        <v>0</v>
      </c>
    </row>
    <row r="969" spans="1:13" x14ac:dyDescent="0.2">
      <c r="A969" t="s">
        <v>1114</v>
      </c>
      <c r="B969" t="str">
        <f>IF(L969&lt;&gt;"",L969,_xlfn.XLOOKUP(A969,AI_NAMES!C:C,AI_NAMES!D:D,"",0))</f>
        <v>LoadGame</v>
      </c>
      <c r="L969" t="s">
        <v>1115</v>
      </c>
      <c r="M969" t="str">
        <f>IF(C969&lt;&gt;"",C969,_xlfn.XLOOKUP(B969,AI_NAMES!D:D,AI_NAMES!E:E,"",0))</f>
        <v/>
      </c>
    </row>
    <row r="970" spans="1:13" x14ac:dyDescent="0.2">
      <c r="A970" t="s">
        <v>1116</v>
      </c>
      <c r="B970" t="str">
        <f>IF(L970&lt;&gt;"",L970,_xlfn.XLOOKUP(A970,AI_NAMES!C:C,AI_NAMES!D:D,"",0))</f>
        <v>SaveGame</v>
      </c>
      <c r="L970" t="s">
        <v>1117</v>
      </c>
      <c r="M970" t="str">
        <f>IF(C970&lt;&gt;"",C970,_xlfn.XLOOKUP(B970,AI_NAMES!D:D,AI_NAMES!E:E,"",0))</f>
        <v/>
      </c>
    </row>
    <row r="971" spans="1:13" x14ac:dyDescent="0.2">
      <c r="A971" t="s">
        <v>1118</v>
      </c>
      <c r="B971" t="str">
        <f>IF(L971&lt;&gt;"",L971,_xlfn.XLOOKUP(A971,AI_NAMES!C:C,AI_NAMES!D:D,"",0))</f>
        <v>AwaitDisk</v>
      </c>
      <c r="L971" t="s">
        <v>1119</v>
      </c>
      <c r="M971" t="str">
        <f>IF(C971&lt;&gt;"",C971,_xlfn.XLOOKUP(B971,AI_NAMES!D:D,AI_NAMES!E:E,"",0))</f>
        <v/>
      </c>
    </row>
    <row r="972" spans="1:13" x14ac:dyDescent="0.2">
      <c r="A972" t="s">
        <v>1120</v>
      </c>
      <c r="B972" t="str">
        <f>IF(L972&lt;&gt;"",L972,_xlfn.XLOOKUP(A972,AI_NAMES!C:C,AI_NAMES!D:D,"",0))</f>
        <v>.PickLoadSaveMessage</v>
      </c>
      <c r="L972" t="s">
        <v>1121</v>
      </c>
      <c r="M972" t="str">
        <f>IF(C972&lt;&gt;"",C972,_xlfn.XLOOKUP(B972,AI_NAMES!D:D,AI_NAMES!E:E,"",0))</f>
        <v/>
      </c>
    </row>
    <row r="973" spans="1:13" x14ac:dyDescent="0.2">
      <c r="A973" t="s">
        <v>1122</v>
      </c>
      <c r="B973" t="str">
        <f>IF(L973&lt;&gt;"",L973,_xlfn.XLOOKUP(A973,AI_NAMES!C:C,AI_NAMES!D:D,"",0))</f>
        <v/>
      </c>
      <c r="M973">
        <f>IF(C973&lt;&gt;"",C973,_xlfn.XLOOKUP(B973,AI_NAMES!D:D,AI_NAMES!E:E,"",0))</f>
        <v>0</v>
      </c>
    </row>
    <row r="974" spans="1:13" x14ac:dyDescent="0.2">
      <c r="A974" t="s">
        <v>1123</v>
      </c>
      <c r="B974" t="str">
        <f>IF(L974&lt;&gt;"",L974,_xlfn.XLOOKUP(A974,AI_NAMES!C:C,AI_NAMES!D:D,"",0))</f>
        <v>.skipPlayer2</v>
      </c>
      <c r="L974" t="s">
        <v>344</v>
      </c>
      <c r="M974" t="str">
        <f>IF(C974&lt;&gt;"",C974,_xlfn.XLOOKUP(B974,AI_NAMES!D:D,AI_NAMES!E:E,"",0))</f>
        <v/>
      </c>
    </row>
    <row r="975" spans="1:13" x14ac:dyDescent="0.2">
      <c r="A975" t="s">
        <v>1124</v>
      </c>
      <c r="B975" t="str">
        <f>IF(L975&lt;&gt;"",L975,_xlfn.XLOOKUP(A975,AI_NAMES!C:C,AI_NAMES!D:D,"",0))</f>
        <v>LoadSaveGame_Loop</v>
      </c>
      <c r="L975" t="s">
        <v>1125</v>
      </c>
      <c r="M975" t="str">
        <f>IF(C975&lt;&gt;"",C975,_xlfn.XLOOKUP(B975,AI_NAMES!D:D,AI_NAMES!E:E,"",0))</f>
        <v/>
      </c>
    </row>
    <row r="976" spans="1:13" x14ac:dyDescent="0.2">
      <c r="A976" t="s">
        <v>1126</v>
      </c>
      <c r="B976" t="str">
        <f>IF(L976&lt;&gt;"",L976,_xlfn.XLOOKUP(A976,AI_NAMES!C:C,AI_NAMES!D:D,"",0))</f>
        <v>LoadSaveGame_Action</v>
      </c>
      <c r="L976" t="s">
        <v>1127</v>
      </c>
      <c r="M976" t="str">
        <f>IF(C976&lt;&gt;"",C976,_xlfn.XLOOKUP(B976,AI_NAMES!D:D,AI_NAMES!E:E,"",0))</f>
        <v/>
      </c>
    </row>
    <row r="977" spans="1:13" x14ac:dyDescent="0.2">
      <c r="A977" t="s">
        <v>1128</v>
      </c>
      <c r="B977" t="str">
        <f>IF(L977&lt;&gt;"",L977,_xlfn.XLOOKUP(A977,AI_NAMES!C:C,AI_NAMES!D:D,"",0))</f>
        <v/>
      </c>
      <c r="L977" t="s">
        <v>321</v>
      </c>
      <c r="M977">
        <f>IF(C977&lt;&gt;"",C977,_xlfn.XLOOKUP(B977,AI_NAMES!D:D,AI_NAMES!E:E,"",0))</f>
        <v>0</v>
      </c>
    </row>
    <row r="978" spans="1:13" x14ac:dyDescent="0.2">
      <c r="A978" t="s">
        <v>1129</v>
      </c>
      <c r="B978" t="str">
        <f>IF(L978&lt;&gt;"",L978,_xlfn.XLOOKUP(A978,AI_NAMES!C:C,AI_NAMES!D:D,"",0))</f>
        <v/>
      </c>
      <c r="L978" t="s">
        <v>321</v>
      </c>
      <c r="M978">
        <f>IF(C978&lt;&gt;"",C978,_xlfn.XLOOKUP(B978,AI_NAMES!D:D,AI_NAMES!E:E,"",0))</f>
        <v>0</v>
      </c>
    </row>
    <row r="979" spans="1:13" x14ac:dyDescent="0.2">
      <c r="A979" t="s">
        <v>1130</v>
      </c>
      <c r="B979" t="str">
        <f>IF(L979&lt;&gt;"",L979,_xlfn.XLOOKUP(A979,AI_NAMES!C:C,AI_NAMES!D:D,"",0))</f>
        <v/>
      </c>
      <c r="L979" t="s">
        <v>321</v>
      </c>
      <c r="M979">
        <f>IF(C979&lt;&gt;"",C979,_xlfn.XLOOKUP(B979,AI_NAMES!D:D,AI_NAMES!E:E,"",0))</f>
        <v>0</v>
      </c>
    </row>
    <row r="980" spans="1:13" x14ac:dyDescent="0.2">
      <c r="A980" t="s">
        <v>1131</v>
      </c>
      <c r="B980" t="str">
        <f>IF(L980&lt;&gt;"",L980,_xlfn.XLOOKUP(A980,AI_NAMES!C:C,AI_NAMES!D:D,"",0))</f>
        <v/>
      </c>
      <c r="L980" t="s">
        <v>321</v>
      </c>
      <c r="M980">
        <f>IF(C980&lt;&gt;"",C980,_xlfn.XLOOKUP(B980,AI_NAMES!D:D,AI_NAMES!E:E,"",0))</f>
        <v>0</v>
      </c>
    </row>
    <row r="981" spans="1:13" x14ac:dyDescent="0.2">
      <c r="A981" t="s">
        <v>1132</v>
      </c>
      <c r="B981" t="str">
        <f>IF(L981&lt;&gt;"",L981,_xlfn.XLOOKUP(A981,AI_NAMES!C:C,AI_NAMES!D:D,"",0))</f>
        <v/>
      </c>
      <c r="L981" t="s">
        <v>321</v>
      </c>
      <c r="M981">
        <f>IF(C981&lt;&gt;"",C981,_xlfn.XLOOKUP(B981,AI_NAMES!D:D,AI_NAMES!E:E,"",0))</f>
        <v>0</v>
      </c>
    </row>
    <row r="982" spans="1:13" x14ac:dyDescent="0.2">
      <c r="A982" t="s">
        <v>1133</v>
      </c>
      <c r="B982" t="str">
        <f>IF(L982&lt;&gt;"",L982,_xlfn.XLOOKUP(A982,AI_NAMES!C:C,AI_NAMES!D:D,"",0))</f>
        <v>F1_F2_F10_Msg</v>
      </c>
      <c r="L982" t="s">
        <v>1133</v>
      </c>
      <c r="M982" t="str">
        <f>IF(C982&lt;&gt;"",C982,_xlfn.XLOOKUP(B982,AI_NAMES!D:D,AI_NAMES!E:E,"",0))</f>
        <v/>
      </c>
    </row>
    <row r="983" spans="1:13" x14ac:dyDescent="0.2">
      <c r="A983" t="s">
        <v>1134</v>
      </c>
      <c r="B983" t="str">
        <f>IF(L983&lt;&gt;"",L983,_xlfn.XLOOKUP(A983,AI_NAMES!C:C,AI_NAMES!D:D,"",0))</f>
        <v>InsertLoadDiskMsg</v>
      </c>
      <c r="L983" t="s">
        <v>1134</v>
      </c>
      <c r="M983" t="str">
        <f>IF(C983&lt;&gt;"",C983,_xlfn.XLOOKUP(B983,AI_NAMES!D:D,AI_NAMES!E:E,"",0))</f>
        <v/>
      </c>
    </row>
    <row r="984" spans="1:13" x14ac:dyDescent="0.2">
      <c r="A984" t="s">
        <v>1135</v>
      </c>
      <c r="B984" t="str">
        <f>IF(L984&lt;&gt;"",L984,_xlfn.XLOOKUP(A984,AI_NAMES!C:C,AI_NAMES!D:D,"",0))</f>
        <v>InsertSaveDiskMsg</v>
      </c>
      <c r="L984" t="s">
        <v>1135</v>
      </c>
      <c r="M984" t="str">
        <f>IF(C984&lt;&gt;"",C984,_xlfn.XLOOKUP(B984,AI_NAMES!D:D,AI_NAMES!E:E,"",0))</f>
        <v/>
      </c>
    </row>
    <row r="985" spans="1:13" x14ac:dyDescent="0.2">
      <c r="A985" t="s">
        <v>1136</v>
      </c>
      <c r="B985" t="str">
        <f>IF(L985&lt;&gt;"",L985,_xlfn.XLOOKUP(A985,AI_NAMES!C:C,AI_NAMES!D:D,"",0))</f>
        <v>Click_SleepParty</v>
      </c>
      <c r="L985" t="s">
        <v>1137</v>
      </c>
      <c r="M985" t="str">
        <f>IF(C985&lt;&gt;"",C985,_xlfn.XLOOKUP(B985,AI_NAMES!D:D,AI_NAMES!E:E,"",0))</f>
        <v/>
      </c>
    </row>
    <row r="986" spans="1:13" x14ac:dyDescent="0.2">
      <c r="A986" t="s">
        <v>1138</v>
      </c>
      <c r="B986" t="str">
        <f>IF(L986&lt;&gt;"",L986,_xlfn.XLOOKUP(A986,AI_NAMES!C:C,AI_NAMES!D:D,"",0))</f>
        <v/>
      </c>
      <c r="M986">
        <f>IF(C986&lt;&gt;"",C986,_xlfn.XLOOKUP(B986,AI_NAMES!D:D,AI_NAMES!E:E,"",0))</f>
        <v>0</v>
      </c>
    </row>
    <row r="987" spans="1:13" x14ac:dyDescent="0.2">
      <c r="A987" t="s">
        <v>1139</v>
      </c>
      <c r="B987" t="str">
        <f>IF(L987&lt;&gt;"",L987,_xlfn.XLOOKUP(A987,AI_NAMES!C:C,AI_NAMES!D:D,"",0))</f>
        <v/>
      </c>
      <c r="L987" t="s">
        <v>321</v>
      </c>
      <c r="M987">
        <f>IF(C987&lt;&gt;"",C987,_xlfn.XLOOKUP(B987,AI_NAMES!D:D,AI_NAMES!E:E,"",0))</f>
        <v>0</v>
      </c>
    </row>
    <row r="988" spans="1:13" x14ac:dyDescent="0.2">
      <c r="A988" t="s">
        <v>1140</v>
      </c>
      <c r="B988" t="str">
        <f>IF(L988&lt;&gt;"",L988,_xlfn.XLOOKUP(A988,AI_NAMES!C:C,AI_NAMES!D:D,"",0))</f>
        <v/>
      </c>
      <c r="L988" t="s">
        <v>321</v>
      </c>
      <c r="M988">
        <f>IF(C988&lt;&gt;"",C988,_xlfn.XLOOKUP(B988,AI_NAMES!D:D,AI_NAMES!E:E,"",0))</f>
        <v>0</v>
      </c>
    </row>
    <row r="989" spans="1:13" x14ac:dyDescent="0.2">
      <c r="A989" t="s">
        <v>1141</v>
      </c>
      <c r="B989" t="str">
        <f>IF(L989&lt;&gt;"",L989,_xlfn.XLOOKUP(A989,AI_NAMES!C:C,AI_NAMES!D:D,"",0))</f>
        <v/>
      </c>
      <c r="L989" t="s">
        <v>321</v>
      </c>
      <c r="M989">
        <f>IF(C989&lt;&gt;"",C989,_xlfn.XLOOKUP(B989,AI_NAMES!D:D,AI_NAMES!E:E,"",0))</f>
        <v>0</v>
      </c>
    </row>
    <row r="990" spans="1:13" x14ac:dyDescent="0.2">
      <c r="A990" t="s">
        <v>1142</v>
      </c>
      <c r="B990" t="str">
        <f>IF(L990&lt;&gt;"",L990,_xlfn.XLOOKUP(A990,AI_NAMES!C:C,AI_NAMES!D:D,"",0))</f>
        <v>ThouArtAsleep</v>
      </c>
      <c r="L990" t="s">
        <v>1143</v>
      </c>
      <c r="M990" t="str">
        <f>IF(C990&lt;&gt;"",C990,_xlfn.XLOOKUP(B990,AI_NAMES!D:D,AI_NAMES!E:E,"",0))</f>
        <v/>
      </c>
    </row>
    <row r="991" spans="1:13" x14ac:dyDescent="0.2">
      <c r="A991" t="s">
        <v>1144</v>
      </c>
      <c r="B991" t="str">
        <f>IF(L991&lt;&gt;"",L991,_xlfn.XLOOKUP(A991,AI_NAMES!C:C,AI_NAMES!D:D,"",0))</f>
        <v/>
      </c>
      <c r="L991" t="s">
        <v>321</v>
      </c>
      <c r="M991">
        <f>IF(C991&lt;&gt;"",C991,_xlfn.XLOOKUP(B991,AI_NAMES!D:D,AI_NAMES!E:E,"",0))</f>
        <v>0</v>
      </c>
    </row>
    <row r="992" spans="1:13" x14ac:dyDescent="0.2">
      <c r="A992" t="s">
        <v>1145</v>
      </c>
      <c r="B992" t="str">
        <f>IF(L992&lt;&gt;"",L992,_xlfn.XLOOKUP(A992,AI_NAMES!C:C,AI_NAMES!D:D,"",0))</f>
        <v/>
      </c>
      <c r="L992" t="s">
        <v>321</v>
      </c>
      <c r="M992">
        <f>IF(C992&lt;&gt;"",C992,_xlfn.XLOOKUP(B992,AI_NAMES!D:D,AI_NAMES!E:E,"",0))</f>
        <v>0</v>
      </c>
    </row>
    <row r="993" spans="1:13" x14ac:dyDescent="0.2">
      <c r="A993" t="s">
        <v>1146</v>
      </c>
      <c r="B993" t="str">
        <f>IF(L993&lt;&gt;"",L993,_xlfn.XLOOKUP(A993,AI_NAMES!C:C,AI_NAMES!D:D,"",0))</f>
        <v/>
      </c>
      <c r="L993" t="s">
        <v>321</v>
      </c>
      <c r="M993">
        <f>IF(C993&lt;&gt;"",C993,_xlfn.XLOOKUP(B993,AI_NAMES!D:D,AI_NAMES!E:E,"",0))</f>
        <v>0</v>
      </c>
    </row>
    <row r="994" spans="1:13" x14ac:dyDescent="0.2">
      <c r="A994" t="s">
        <v>1147</v>
      </c>
      <c r="B994" t="str">
        <f>IF(L994&lt;&gt;"",L994,_xlfn.XLOOKUP(A994,AI_NAMES!C:C,AI_NAMES!D:D,"",0))</f>
        <v/>
      </c>
      <c r="L994" t="s">
        <v>321</v>
      </c>
      <c r="M994">
        <f>IF(C994&lt;&gt;"",C994,_xlfn.XLOOKUP(B994,AI_NAMES!D:D,AI_NAMES!E:E,"",0))</f>
        <v>0</v>
      </c>
    </row>
    <row r="995" spans="1:13" x14ac:dyDescent="0.2">
      <c r="A995" t="s">
        <v>1148</v>
      </c>
      <c r="B995" t="str">
        <f>IF(L995&lt;&gt;"",L995,_xlfn.XLOOKUP(A995,AI_NAMES!C:C,AI_NAMES!D:D,"",0))</f>
        <v/>
      </c>
      <c r="L995" t="s">
        <v>321</v>
      </c>
      <c r="M995">
        <f>IF(C995&lt;&gt;"",C995,_xlfn.XLOOKUP(B995,AI_NAMES!D:D,AI_NAMES!E:E,"",0))</f>
        <v>0</v>
      </c>
    </row>
    <row r="996" spans="1:13" x14ac:dyDescent="0.2">
      <c r="A996" t="s">
        <v>1149</v>
      </c>
      <c r="B996" t="str">
        <f>IF(L996&lt;&gt;"",L996,_xlfn.XLOOKUP(A996,AI_NAMES!C:C,AI_NAMES!D:D,"",0))</f>
        <v/>
      </c>
      <c r="L996" t="s">
        <v>321</v>
      </c>
      <c r="M996">
        <f>IF(C996&lt;&gt;"",C996,_xlfn.XLOOKUP(B996,AI_NAMES!D:D,AI_NAMES!E:E,"",0))</f>
        <v>0</v>
      </c>
    </row>
    <row r="997" spans="1:13" x14ac:dyDescent="0.2">
      <c r="A997" t="s">
        <v>1150</v>
      </c>
      <c r="B997" t="str">
        <f>IF(L997&lt;&gt;"",L997,_xlfn.XLOOKUP(A997,AI_NAMES!C:C,AI_NAMES!D:D,"",0))</f>
        <v/>
      </c>
      <c r="L997" t="s">
        <v>321</v>
      </c>
      <c r="M997">
        <f>IF(C997&lt;&gt;"",C997,_xlfn.XLOOKUP(B997,AI_NAMES!D:D,AI_NAMES!E:E,"",0))</f>
        <v>0</v>
      </c>
    </row>
    <row r="998" spans="1:13" x14ac:dyDescent="0.2">
      <c r="A998" t="s">
        <v>1151</v>
      </c>
      <c r="B998" t="str">
        <f>IF(L998&lt;&gt;"",L998,_xlfn.XLOOKUP(A998,AI_NAMES!C:C,AI_NAMES!D:D,"",0))</f>
        <v/>
      </c>
      <c r="L998" t="s">
        <v>321</v>
      </c>
      <c r="M998">
        <f>IF(C998&lt;&gt;"",C998,_xlfn.XLOOKUP(B998,AI_NAMES!D:D,AI_NAMES!E:E,"",0))</f>
        <v>0</v>
      </c>
    </row>
    <row r="999" spans="1:13" x14ac:dyDescent="0.2">
      <c r="A999" t="s">
        <v>1152</v>
      </c>
      <c r="B999" t="str">
        <f>IF(L999&lt;&gt;"",L999,_xlfn.XLOOKUP(A999,AI_NAMES!C:C,AI_NAMES!D:D,"",0))</f>
        <v/>
      </c>
      <c r="L999" t="s">
        <v>321</v>
      </c>
      <c r="M999">
        <f>IF(C999&lt;&gt;"",C999,_xlfn.XLOOKUP(B999,AI_NAMES!D:D,AI_NAMES!E:E,"",0))</f>
        <v>0</v>
      </c>
    </row>
    <row r="1000" spans="1:13" x14ac:dyDescent="0.2">
      <c r="A1000" t="s">
        <v>1153</v>
      </c>
      <c r="B1000" t="str">
        <f>IF(L1000&lt;&gt;"",L1000,_xlfn.XLOOKUP(A1000,AI_NAMES!C:C,AI_NAMES!D:D,"",0))</f>
        <v/>
      </c>
      <c r="L1000" t="s">
        <v>321</v>
      </c>
      <c r="M1000">
        <f>IF(C1000&lt;&gt;"",C1000,_xlfn.XLOOKUP(B1000,AI_NAMES!D:D,AI_NAMES!E:E,"",0))</f>
        <v>0</v>
      </c>
    </row>
    <row r="1001" spans="1:13" x14ac:dyDescent="0.2">
      <c r="A1001" t="s">
        <v>1154</v>
      </c>
      <c r="B1001" t="str">
        <f>IF(L1001&lt;&gt;"",L1001,_xlfn.XLOOKUP(A1001,AI_NAMES!C:C,AI_NAMES!D:D,"",0))</f>
        <v/>
      </c>
      <c r="L1001" t="s">
        <v>321</v>
      </c>
      <c r="M1001">
        <f>IF(C1001&lt;&gt;"",C1001,_xlfn.XLOOKUP(B1001,AI_NAMES!D:D,AI_NAMES!E:E,"",0))</f>
        <v>0</v>
      </c>
    </row>
    <row r="1002" spans="1:13" x14ac:dyDescent="0.2">
      <c r="A1002" t="s">
        <v>1155</v>
      </c>
      <c r="B1002" t="str">
        <f>IF(L1002&lt;&gt;"",L1002,_xlfn.XLOOKUP(A1002,AI_NAMES!C:C,AI_NAMES!D:D,"",0))</f>
        <v/>
      </c>
      <c r="L1002" t="s">
        <v>321</v>
      </c>
      <c r="M1002">
        <f>IF(C1002&lt;&gt;"",C1002,_xlfn.XLOOKUP(B1002,AI_NAMES!D:D,AI_NAMES!E:E,"",0))</f>
        <v>0</v>
      </c>
    </row>
    <row r="1003" spans="1:13" x14ac:dyDescent="0.2">
      <c r="A1003" t="s">
        <v>1156</v>
      </c>
      <c r="B1003" t="str">
        <f>IF(L1003&lt;&gt;"",L1003,_xlfn.XLOOKUP(A1003,AI_NAMES!C:C,AI_NAMES!D:D,"",0))</f>
        <v/>
      </c>
      <c r="L1003" t="s">
        <v>321</v>
      </c>
      <c r="M1003">
        <f>IF(C1003&lt;&gt;"",C1003,_xlfn.XLOOKUP(B1003,AI_NAMES!D:D,AI_NAMES!E:E,"",0))</f>
        <v>0</v>
      </c>
    </row>
    <row r="1004" spans="1:13" x14ac:dyDescent="0.2">
      <c r="A1004" t="s">
        <v>1157</v>
      </c>
      <c r="B1004" t="str">
        <f>IF(L1004&lt;&gt;"",L1004,_xlfn.XLOOKUP(A1004,AI_NAMES!C:C,AI_NAMES!D:D,"",0))</f>
        <v/>
      </c>
      <c r="L1004" t="s">
        <v>321</v>
      </c>
      <c r="M1004">
        <f>IF(C1004&lt;&gt;"",C1004,_xlfn.XLOOKUP(B1004,AI_NAMES!D:D,AI_NAMES!E:E,"",0))</f>
        <v>0</v>
      </c>
    </row>
    <row r="1005" spans="1:13" x14ac:dyDescent="0.2">
      <c r="A1005" t="s">
        <v>1158</v>
      </c>
      <c r="B1005" t="str">
        <f>IF(L1005&lt;&gt;"",L1005,_xlfn.XLOOKUP(A1005,AI_NAMES!C:C,AI_NAMES!D:D,"",0))</f>
        <v/>
      </c>
      <c r="L1005" t="s">
        <v>321</v>
      </c>
      <c r="M1005">
        <f>IF(C1005&lt;&gt;"",C1005,_xlfn.XLOOKUP(B1005,AI_NAMES!D:D,AI_NAMES!E:E,"",0))</f>
        <v>0</v>
      </c>
    </row>
    <row r="1006" spans="1:13" x14ac:dyDescent="0.2">
      <c r="A1006" t="s">
        <v>1159</v>
      </c>
      <c r="B1006" t="str">
        <f>IF(L1006&lt;&gt;"",L1006,_xlfn.XLOOKUP(A1006,AI_NAMES!C:C,AI_NAMES!D:D,"",0))</f>
        <v/>
      </c>
      <c r="L1006" t="s">
        <v>321</v>
      </c>
      <c r="M1006">
        <f>IF(C1006&lt;&gt;"",C1006,_xlfn.XLOOKUP(B1006,AI_NAMES!D:D,AI_NAMES!E:E,"",0))</f>
        <v>0</v>
      </c>
    </row>
    <row r="1007" spans="1:13" x14ac:dyDescent="0.2">
      <c r="A1007" t="s">
        <v>1160</v>
      </c>
      <c r="B1007" t="str">
        <f>IF(L1007&lt;&gt;"",L1007,_xlfn.XLOOKUP(A1007,AI_NAMES!C:C,AI_NAMES!D:D,"",0))</f>
        <v/>
      </c>
      <c r="L1007" t="s">
        <v>321</v>
      </c>
      <c r="M1007">
        <f>IF(C1007&lt;&gt;"",C1007,_xlfn.XLOOKUP(B1007,AI_NAMES!D:D,AI_NAMES!E:E,"",0))</f>
        <v>0</v>
      </c>
    </row>
    <row r="1008" spans="1:13" x14ac:dyDescent="0.2">
      <c r="A1008" t="s">
        <v>1161</v>
      </c>
      <c r="B1008" t="str">
        <f>IF(L1008&lt;&gt;"",L1008,_xlfn.XLOOKUP(A1008,AI_NAMES!C:C,AI_NAMES!D:D,"",0))</f>
        <v/>
      </c>
      <c r="L1008" t="s">
        <v>321</v>
      </c>
      <c r="M1008">
        <f>IF(C1008&lt;&gt;"",C1008,_xlfn.XLOOKUP(B1008,AI_NAMES!D:D,AI_NAMES!E:E,"",0))</f>
        <v>0</v>
      </c>
    </row>
    <row r="1009" spans="1:13" x14ac:dyDescent="0.2">
      <c r="A1009" t="s">
        <v>1162</v>
      </c>
      <c r="B1009" t="str">
        <f>IF(L1009&lt;&gt;"",L1009,_xlfn.XLOOKUP(A1009,AI_NAMES!C:C,AI_NAMES!D:D,"",0))</f>
        <v/>
      </c>
      <c r="L1009" t="s">
        <v>321</v>
      </c>
      <c r="M1009">
        <f>IF(C1009&lt;&gt;"",C1009,_xlfn.XLOOKUP(B1009,AI_NAMES!D:D,AI_NAMES!E:E,"",0))</f>
        <v>0</v>
      </c>
    </row>
    <row r="1010" spans="1:13" x14ac:dyDescent="0.2">
      <c r="A1010" t="s">
        <v>1163</v>
      </c>
      <c r="B1010" t="str">
        <f>IF(L1010&lt;&gt;"",L1010,_xlfn.XLOOKUP(A1010,AI_NAMES!C:C,AI_NAMES!D:D,"",0))</f>
        <v/>
      </c>
      <c r="L1010" t="s">
        <v>321</v>
      </c>
      <c r="M1010">
        <f>IF(C1010&lt;&gt;"",C1010,_xlfn.XLOOKUP(B1010,AI_NAMES!D:D,AI_NAMES!E:E,"",0))</f>
        <v>0</v>
      </c>
    </row>
    <row r="1011" spans="1:13" x14ac:dyDescent="0.2">
      <c r="A1011" t="s">
        <v>1164</v>
      </c>
      <c r="B1011" t="str">
        <f>IF(L1011&lt;&gt;"",L1011,_xlfn.XLOOKUP(A1011,AI_NAMES!C:C,AI_NAMES!D:D,"",0))</f>
        <v/>
      </c>
      <c r="L1011" t="s">
        <v>321</v>
      </c>
      <c r="M1011">
        <f>IF(C1011&lt;&gt;"",C1011,_xlfn.XLOOKUP(B1011,AI_NAMES!D:D,AI_NAMES!E:E,"",0))</f>
        <v>0</v>
      </c>
    </row>
    <row r="1012" spans="1:13" x14ac:dyDescent="0.2">
      <c r="A1012" t="s">
        <v>1165</v>
      </c>
      <c r="B1012" t="str">
        <f>IF(L1012&lt;&gt;"",L1012,_xlfn.XLOOKUP(A1012,AI_NAMES!C:C,AI_NAMES!D:D,"",0))</f>
        <v/>
      </c>
      <c r="L1012" t="s">
        <v>321</v>
      </c>
      <c r="M1012">
        <f>IF(C1012&lt;&gt;"",C1012,_xlfn.XLOOKUP(B1012,AI_NAMES!D:D,AI_NAMES!E:E,"",0))</f>
        <v>0</v>
      </c>
    </row>
    <row r="1013" spans="1:13" x14ac:dyDescent="0.2">
      <c r="A1013" t="s">
        <v>1166</v>
      </c>
      <c r="B1013" t="str">
        <f>IF(L1013&lt;&gt;"",L1013,_xlfn.XLOOKUP(A1013,AI_NAMES!C:C,AI_NAMES!D:D,"",0))</f>
        <v/>
      </c>
      <c r="L1013" t="s">
        <v>321</v>
      </c>
      <c r="M1013">
        <f>IF(C1013&lt;&gt;"",C1013,_xlfn.XLOOKUP(B1013,AI_NAMES!D:D,AI_NAMES!E:E,"",0))</f>
        <v>0</v>
      </c>
    </row>
    <row r="1014" spans="1:13" x14ac:dyDescent="0.2">
      <c r="A1014" t="s">
        <v>1167</v>
      </c>
      <c r="B1014" t="str">
        <f>IF(L1014&lt;&gt;"",L1014,_xlfn.XLOOKUP(A1014,AI_NAMES!C:C,AI_NAMES!D:D,"",0))</f>
        <v/>
      </c>
      <c r="L1014" t="s">
        <v>321</v>
      </c>
      <c r="M1014">
        <f>IF(C1014&lt;&gt;"",C1014,_xlfn.XLOOKUP(B1014,AI_NAMES!D:D,AI_NAMES!E:E,"",0))</f>
        <v>0</v>
      </c>
    </row>
    <row r="1015" spans="1:13" x14ac:dyDescent="0.2">
      <c r="A1015" t="s">
        <v>1168</v>
      </c>
      <c r="B1015" t="str">
        <f>IF(L1015&lt;&gt;"",L1015,_xlfn.XLOOKUP(A1015,AI_NAMES!C:C,AI_NAMES!D:D,"",0))</f>
        <v/>
      </c>
      <c r="L1015" t="s">
        <v>321</v>
      </c>
      <c r="M1015">
        <f>IF(C1015&lt;&gt;"",C1015,_xlfn.XLOOKUP(B1015,AI_NAMES!D:D,AI_NAMES!E:E,"",0))</f>
        <v>0</v>
      </c>
    </row>
    <row r="1016" spans="1:13" x14ac:dyDescent="0.2">
      <c r="A1016" t="s">
        <v>1169</v>
      </c>
      <c r="B1016" t="str">
        <f>IF(L1016&lt;&gt;"",L1016,_xlfn.XLOOKUP(A1016,AI_NAMES!C:C,AI_NAMES!D:D,"",0))</f>
        <v/>
      </c>
      <c r="L1016" t="s">
        <v>321</v>
      </c>
      <c r="M1016">
        <f>IF(C1016&lt;&gt;"",C1016,_xlfn.XLOOKUP(B1016,AI_NAMES!D:D,AI_NAMES!E:E,"",0))</f>
        <v>0</v>
      </c>
    </row>
    <row r="1017" spans="1:13" x14ac:dyDescent="0.2">
      <c r="A1017" t="s">
        <v>1170</v>
      </c>
      <c r="B1017" t="str">
        <f>IF(L1017&lt;&gt;"",L1017,_xlfn.XLOOKUP(A1017,AI_NAMES!C:C,AI_NAMES!D:D,"",0))</f>
        <v/>
      </c>
      <c r="L1017" t="s">
        <v>321</v>
      </c>
      <c r="M1017">
        <f>IF(C1017&lt;&gt;"",C1017,_xlfn.XLOOKUP(B1017,AI_NAMES!D:D,AI_NAMES!E:E,"",0))</f>
        <v>0</v>
      </c>
    </row>
    <row r="1018" spans="1:13" x14ac:dyDescent="0.2">
      <c r="A1018" t="s">
        <v>1171</v>
      </c>
      <c r="B1018" t="str">
        <f>IF(L1018&lt;&gt;"",L1018,_xlfn.XLOOKUP(A1018,AI_NAMES!C:C,AI_NAMES!D:D,"",0))</f>
        <v>MayBuySpellMsg</v>
      </c>
      <c r="L1018" t="s">
        <v>1171</v>
      </c>
      <c r="M1018" t="str">
        <f>IF(C1018&lt;&gt;"",C1018,_xlfn.XLOOKUP(B1018,AI_NAMES!D:D,AI_NAMES!E:E,"",0))</f>
        <v/>
      </c>
    </row>
    <row r="1019" spans="1:13" x14ac:dyDescent="0.2">
      <c r="A1019" t="s">
        <v>1172</v>
      </c>
      <c r="B1019" t="str">
        <f>IF(L1019&lt;&gt;"",L1019,_xlfn.XLOOKUP(A1019,AI_NAMES!C:C,AI_NAMES!D:D,"",0))</f>
        <v>SelectNewSpellMsg</v>
      </c>
      <c r="L1019" t="s">
        <v>1172</v>
      </c>
      <c r="M1019" t="str">
        <f>IF(C1019&lt;&gt;"",C1019,_xlfn.XLOOKUP(B1019,AI_NAMES!D:D,AI_NAMES!E:E,"",0))</f>
        <v/>
      </c>
    </row>
    <row r="1020" spans="1:13" x14ac:dyDescent="0.2">
      <c r="A1020" t="s">
        <v>1173</v>
      </c>
      <c r="B1020" t="str">
        <f>IF(L1020&lt;&gt;"",L1020,_xlfn.XLOOKUP(A1020,AI_NAMES!C:C,AI_NAMES!D:D,"",0))</f>
        <v>ThouHastAllMsg</v>
      </c>
      <c r="L1020" t="s">
        <v>1173</v>
      </c>
      <c r="M1020" t="str">
        <f>IF(C1020&lt;&gt;"",C1020,_xlfn.XLOOKUP(B1020,AI_NAMES!D:D,AI_NAMES!E:E,"",0))</f>
        <v/>
      </c>
    </row>
    <row r="1021" spans="1:13" x14ac:dyDescent="0.2">
      <c r="A1021" t="s">
        <v>1174</v>
      </c>
      <c r="B1021" t="str">
        <f>IF(L1021&lt;&gt;"",L1021,_xlfn.XLOOKUP(A1021,AI_NAMES!C:C,AI_NAMES!D:D,"",0))</f>
        <v>PauperMsg</v>
      </c>
      <c r="L1021" t="s">
        <v>1174</v>
      </c>
      <c r="M1021" t="str">
        <f>IF(C1021&lt;&gt;"",C1021,_xlfn.XLOOKUP(B1021,AI_NAMES!D:D,AI_NAMES!E:E,"",0))</f>
        <v/>
      </c>
    </row>
    <row r="1022" spans="1:13" x14ac:dyDescent="0.2">
      <c r="A1022" t="s">
        <v>1175</v>
      </c>
      <c r="B1022" t="str">
        <f>IF(L1022&lt;&gt;"",L1022,_xlfn.XLOOKUP(A1022,AI_NAMES!C:C,AI_NAMES!D:D,"",0))</f>
        <v/>
      </c>
      <c r="L1022" t="s">
        <v>321</v>
      </c>
      <c r="M1022">
        <f>IF(C1022&lt;&gt;"",C1022,_xlfn.XLOOKUP(B1022,AI_NAMES!D:D,AI_NAMES!E:E,"",0))</f>
        <v>0</v>
      </c>
    </row>
    <row r="1023" spans="1:13" x14ac:dyDescent="0.2">
      <c r="A1023" t="s">
        <v>1176</v>
      </c>
      <c r="B1023" t="str">
        <f>IF(L1023&lt;&gt;"",L1023,_xlfn.XLOOKUP(A1023,AI_NAMES!C:C,AI_NAMES!D:D,"",0))</f>
        <v/>
      </c>
      <c r="L1023" t="s">
        <v>321</v>
      </c>
      <c r="M1023">
        <f>IF(C1023&lt;&gt;"",C1023,_xlfn.XLOOKUP(B1023,AI_NAMES!D:D,AI_NAMES!E:E,"",0))</f>
        <v>0</v>
      </c>
    </row>
    <row r="1024" spans="1:13" x14ac:dyDescent="0.2">
      <c r="A1024" t="s">
        <v>1177</v>
      </c>
      <c r="B1024" t="str">
        <f>IF(L1024&lt;&gt;"",L1024,_xlfn.XLOOKUP(A1024,AI_NAMES!C:C,AI_NAMES!D:D,"",0))</f>
        <v/>
      </c>
      <c r="L1024" t="s">
        <v>321</v>
      </c>
      <c r="M1024">
        <f>IF(C1024&lt;&gt;"",C1024,_xlfn.XLOOKUP(B1024,AI_NAMES!D:D,AI_NAMES!E:E,"",0))</f>
        <v>0</v>
      </c>
    </row>
    <row r="1025" spans="1:13" x14ac:dyDescent="0.2">
      <c r="A1025" t="s">
        <v>1178</v>
      </c>
      <c r="B1025" t="str">
        <f>IF(L1025&lt;&gt;"",L1025,_xlfn.XLOOKUP(A1025,AI_NAMES!C:C,AI_NAMES!D:D,"",0))</f>
        <v/>
      </c>
      <c r="L1025" t="s">
        <v>321</v>
      </c>
      <c r="M1025">
        <f>IF(C1025&lt;&gt;"",C1025,_xlfn.XLOOKUP(B1025,AI_NAMES!D:D,AI_NAMES!E:E,"",0))</f>
        <v>0</v>
      </c>
    </row>
    <row r="1026" spans="1:13" x14ac:dyDescent="0.2">
      <c r="A1026" t="s">
        <v>1179</v>
      </c>
      <c r="B1026" t="str">
        <f>IF(L1026&lt;&gt;"",L1026,_xlfn.XLOOKUP(A1026,AI_NAMES!C:C,AI_NAMES!D:D,"",0))</f>
        <v/>
      </c>
      <c r="L1026" t="s">
        <v>321</v>
      </c>
      <c r="M1026">
        <f>IF(C1026&lt;&gt;"",C1026,_xlfn.XLOOKUP(B1026,AI_NAMES!D:D,AI_NAMES!E:E,"",0))</f>
        <v>0</v>
      </c>
    </row>
    <row r="1027" spans="1:13" x14ac:dyDescent="0.2">
      <c r="A1027" t="s">
        <v>1180</v>
      </c>
      <c r="B1027" t="str">
        <f>IF(L1027&lt;&gt;"",L1027,_xlfn.XLOOKUP(A1027,AI_NAMES!C:C,AI_NAMES!D:D,"",0))</f>
        <v/>
      </c>
      <c r="L1027" t="s">
        <v>321</v>
      </c>
      <c r="M1027">
        <f>IF(C1027&lt;&gt;"",C1027,_xlfn.XLOOKUP(B1027,AI_NAMES!D:D,AI_NAMES!E:E,"",0))</f>
        <v>0</v>
      </c>
    </row>
    <row r="1028" spans="1:13" x14ac:dyDescent="0.2">
      <c r="A1028" t="s">
        <v>1181</v>
      </c>
      <c r="B1028" t="str">
        <f>IF(L1028&lt;&gt;"",L1028,_xlfn.XLOOKUP(A1028,AI_NAMES!C:C,AI_NAMES!D:D,"",0))</f>
        <v/>
      </c>
      <c r="L1028" t="s">
        <v>321</v>
      </c>
      <c r="M1028">
        <f>IF(C1028&lt;&gt;"",C1028,_xlfn.XLOOKUP(B1028,AI_NAMES!D:D,AI_NAMES!E:E,"",0))</f>
        <v>0</v>
      </c>
    </row>
    <row r="1029" spans="1:13" x14ac:dyDescent="0.2">
      <c r="A1029" t="s">
        <v>1182</v>
      </c>
      <c r="B1029" t="str">
        <f>IF(L1029&lt;&gt;"",L1029,_xlfn.XLOOKUP(A1029,AI_NAMES!C:C,AI_NAMES!D:D,"",0))</f>
        <v/>
      </c>
      <c r="L1029" t="s">
        <v>321</v>
      </c>
      <c r="M1029">
        <f>IF(C1029&lt;&gt;"",C1029,_xlfn.XLOOKUP(B1029,AI_NAMES!D:D,AI_NAMES!E:E,"",0))</f>
        <v>0</v>
      </c>
    </row>
    <row r="1030" spans="1:13" x14ac:dyDescent="0.2">
      <c r="A1030" t="s">
        <v>1183</v>
      </c>
      <c r="B1030" t="str">
        <f>IF(L1030&lt;&gt;"",L1030,_xlfn.XLOOKUP(A1030,AI_NAMES!C:C,AI_NAMES!D:D,"",0))</f>
        <v/>
      </c>
      <c r="L1030" t="s">
        <v>321</v>
      </c>
      <c r="M1030">
        <f>IF(C1030&lt;&gt;"",C1030,_xlfn.XLOOKUP(B1030,AI_NAMES!D:D,AI_NAMES!E:E,"",0))</f>
        <v>0</v>
      </c>
    </row>
    <row r="1031" spans="1:13" x14ac:dyDescent="0.2">
      <c r="A1031" t="s">
        <v>1184</v>
      </c>
      <c r="B1031" t="str">
        <f>IF(L1031&lt;&gt;"",L1031,_xlfn.XLOOKUP(A1031,AI_NAMES!C:C,AI_NAMES!D:D,"",0))</f>
        <v/>
      </c>
      <c r="L1031" t="s">
        <v>321</v>
      </c>
      <c r="M1031">
        <f>IF(C1031&lt;&gt;"",C1031,_xlfn.XLOOKUP(B1031,AI_NAMES!D:D,AI_NAMES!E:E,"",0))</f>
        <v>0</v>
      </c>
    </row>
    <row r="1032" spans="1:13" x14ac:dyDescent="0.2">
      <c r="A1032" t="s">
        <v>1185</v>
      </c>
      <c r="B1032" t="str">
        <f>IF(L1032&lt;&gt;"",L1032,_xlfn.XLOOKUP(A1032,AI_NAMES!C:C,AI_NAMES!D:D,"",0))</f>
        <v/>
      </c>
      <c r="L1032" t="s">
        <v>321</v>
      </c>
      <c r="M1032">
        <f>IF(C1032&lt;&gt;"",C1032,_xlfn.XLOOKUP(B1032,AI_NAMES!D:D,AI_NAMES!E:E,"",0))</f>
        <v>0</v>
      </c>
    </row>
    <row r="1033" spans="1:13" x14ac:dyDescent="0.2">
      <c r="A1033" t="s">
        <v>1186</v>
      </c>
      <c r="B1033" t="str">
        <f>IF(L1033&lt;&gt;"",L1033,_xlfn.XLOOKUP(A1033,AI_NAMES!C:C,AI_NAMES!D:D,"",0))</f>
        <v/>
      </c>
      <c r="L1033" t="s">
        <v>321</v>
      </c>
      <c r="M1033">
        <f>IF(C1033&lt;&gt;"",C1033,_xlfn.XLOOKUP(B1033,AI_NAMES!D:D,AI_NAMES!E:E,"",0))</f>
        <v>0</v>
      </c>
    </row>
    <row r="1034" spans="1:13" x14ac:dyDescent="0.2">
      <c r="A1034" t="s">
        <v>1187</v>
      </c>
      <c r="B1034" t="str">
        <f>IF(L1034&lt;&gt;"",L1034,_xlfn.XLOOKUP(A1034,AI_NAMES!C:C,AI_NAMES!D:D,"",0))</f>
        <v/>
      </c>
      <c r="L1034" t="s">
        <v>321</v>
      </c>
      <c r="M1034">
        <f>IF(C1034&lt;&gt;"",C1034,_xlfn.XLOOKUP(B1034,AI_NAMES!D:D,AI_NAMES!E:E,"",0))</f>
        <v>0</v>
      </c>
    </row>
    <row r="1035" spans="1:13" x14ac:dyDescent="0.2">
      <c r="A1035" t="s">
        <v>1188</v>
      </c>
      <c r="B1035" t="str">
        <f>IF(L1035&lt;&gt;"",L1035,_xlfn.XLOOKUP(A1035,AI_NAMES!C:C,AI_NAMES!D:D,"",0))</f>
        <v/>
      </c>
      <c r="L1035" t="s">
        <v>321</v>
      </c>
      <c r="M1035">
        <f>IF(C1035&lt;&gt;"",C1035,_xlfn.XLOOKUP(B1035,AI_NAMES!D:D,AI_NAMES!E:E,"",0))</f>
        <v>0</v>
      </c>
    </row>
    <row r="1036" spans="1:13" x14ac:dyDescent="0.2">
      <c r="A1036" t="s">
        <v>1189</v>
      </c>
      <c r="B1036" t="str">
        <f>IF(L1036&lt;&gt;"",L1036,_xlfn.XLOOKUP(A1036,AI_NAMES!C:C,AI_NAMES!D:D,"",0))</f>
        <v/>
      </c>
      <c r="L1036" t="s">
        <v>321</v>
      </c>
      <c r="M1036">
        <f>IF(C1036&lt;&gt;"",C1036,_xlfn.XLOOKUP(B1036,AI_NAMES!D:D,AI_NAMES!E:E,"",0))</f>
        <v>0</v>
      </c>
    </row>
    <row r="1037" spans="1:13" x14ac:dyDescent="0.2">
      <c r="A1037" t="s">
        <v>1190</v>
      </c>
      <c r="B1037" t="str">
        <f>IF(L1037&lt;&gt;"",L1037,_xlfn.XLOOKUP(A1037,AI_NAMES!C:C,AI_NAMES!D:D,"",0))</f>
        <v/>
      </c>
      <c r="L1037" t="s">
        <v>321</v>
      </c>
      <c r="M1037">
        <f>IF(C1037&lt;&gt;"",C1037,_xlfn.XLOOKUP(B1037,AI_NAMES!D:D,AI_NAMES!E:E,"",0))</f>
        <v>0</v>
      </c>
    </row>
    <row r="1038" spans="1:13" x14ac:dyDescent="0.2">
      <c r="A1038" t="s">
        <v>1191</v>
      </c>
      <c r="B1038" t="str">
        <f>IF(L1038&lt;&gt;"",L1038,_xlfn.XLOOKUP(A1038,AI_NAMES!C:C,AI_NAMES!D:D,"",0))</f>
        <v/>
      </c>
      <c r="L1038" t="s">
        <v>321</v>
      </c>
      <c r="M1038">
        <f>IF(C1038&lt;&gt;"",C1038,_xlfn.XLOOKUP(B1038,AI_NAMES!D:D,AI_NAMES!E:E,"",0))</f>
        <v>0</v>
      </c>
    </row>
    <row r="1039" spans="1:13" x14ac:dyDescent="0.2">
      <c r="A1039" t="s">
        <v>1192</v>
      </c>
      <c r="B1039" t="str">
        <f>IF(L1039&lt;&gt;"",L1039,_xlfn.XLOOKUP(A1039,AI_NAMES!C:C,AI_NAMES!D:D,"",0))</f>
        <v/>
      </c>
      <c r="L1039" t="s">
        <v>321</v>
      </c>
      <c r="M1039">
        <f>IF(C1039&lt;&gt;"",C1039,_xlfn.XLOOKUP(B1039,AI_NAMES!D:D,AI_NAMES!E:E,"",0))</f>
        <v>0</v>
      </c>
    </row>
    <row r="1040" spans="1:13" x14ac:dyDescent="0.2">
      <c r="A1040" t="s">
        <v>1193</v>
      </c>
      <c r="B1040" t="str">
        <f>IF(L1040&lt;&gt;"",L1040,_xlfn.XLOOKUP(A1040,AI_NAMES!C:C,AI_NAMES!D:D,"",0))</f>
        <v/>
      </c>
      <c r="L1040" t="s">
        <v>321</v>
      </c>
      <c r="M1040">
        <f>IF(C1040&lt;&gt;"",C1040,_xlfn.XLOOKUP(B1040,AI_NAMES!D:D,AI_NAMES!E:E,"",0))</f>
        <v>0</v>
      </c>
    </row>
    <row r="1041" spans="1:13" x14ac:dyDescent="0.2">
      <c r="A1041" t="s">
        <v>1194</v>
      </c>
      <c r="B1041" t="str">
        <f>IF(L1041&lt;&gt;"",L1041,_xlfn.XLOOKUP(A1041,AI_NAMES!C:C,AI_NAMES!D:D,"",0))</f>
        <v/>
      </c>
      <c r="L1041" t="s">
        <v>321</v>
      </c>
      <c r="M1041">
        <f>IF(C1041&lt;&gt;"",C1041,_xlfn.XLOOKUP(B1041,AI_NAMES!D:D,AI_NAMES!E:E,"",0))</f>
        <v>0</v>
      </c>
    </row>
    <row r="1042" spans="1:13" x14ac:dyDescent="0.2">
      <c r="A1042" t="s">
        <v>1195</v>
      </c>
      <c r="B1042" t="str">
        <f>IF(L1042&lt;&gt;"",L1042,_xlfn.XLOOKUP(A1042,AI_NAMES!C:C,AI_NAMES!D:D,"",0))</f>
        <v/>
      </c>
      <c r="L1042" t="s">
        <v>321</v>
      </c>
      <c r="M1042">
        <f>IF(C1042&lt;&gt;"",C1042,_xlfn.XLOOKUP(B1042,AI_NAMES!D:D,AI_NAMES!E:E,"",0))</f>
        <v>0</v>
      </c>
    </row>
    <row r="1043" spans="1:13" x14ac:dyDescent="0.2">
      <c r="A1043" t="s">
        <v>1196</v>
      </c>
      <c r="B1043" t="str">
        <f>IF(L1043&lt;&gt;"",L1043,_xlfn.XLOOKUP(A1043,AI_NAMES!C:C,AI_NAMES!D:D,"",0))</f>
        <v/>
      </c>
      <c r="L1043" t="s">
        <v>321</v>
      </c>
      <c r="M1043">
        <f>IF(C1043&lt;&gt;"",C1043,_xlfn.XLOOKUP(B1043,AI_NAMES!D:D,AI_NAMES!E:E,"",0))</f>
        <v>0</v>
      </c>
    </row>
    <row r="1044" spans="1:13" x14ac:dyDescent="0.2">
      <c r="A1044" t="s">
        <v>1197</v>
      </c>
      <c r="B1044" t="str">
        <f>IF(L1044&lt;&gt;"",L1044,_xlfn.XLOOKUP(A1044,AI_NAMES!C:C,AI_NAMES!D:D,"",0))</f>
        <v/>
      </c>
      <c r="L1044" t="s">
        <v>321</v>
      </c>
      <c r="M1044">
        <f>IF(C1044&lt;&gt;"",C1044,_xlfn.XLOOKUP(B1044,AI_NAMES!D:D,AI_NAMES!E:E,"",0))</f>
        <v>0</v>
      </c>
    </row>
    <row r="1045" spans="1:13" x14ac:dyDescent="0.2">
      <c r="A1045" t="s">
        <v>1198</v>
      </c>
      <c r="B1045" t="str">
        <f>IF(L1045&lt;&gt;"",L1045,_xlfn.XLOOKUP(A1045,AI_NAMES!C:C,AI_NAMES!D:D,"",0))</f>
        <v/>
      </c>
      <c r="L1045" t="s">
        <v>321</v>
      </c>
      <c r="M1045">
        <f>IF(C1045&lt;&gt;"",C1045,_xlfn.XLOOKUP(B1045,AI_NAMES!D:D,AI_NAMES!E:E,"",0))</f>
        <v>0</v>
      </c>
    </row>
    <row r="1046" spans="1:13" x14ac:dyDescent="0.2">
      <c r="A1046" t="s">
        <v>1199</v>
      </c>
      <c r="B1046" t="str">
        <f>IF(L1046&lt;&gt;"",L1046,_xlfn.XLOOKUP(A1046,AI_NAMES!C:C,AI_NAMES!D:D,"",0))</f>
        <v/>
      </c>
      <c r="L1046" t="s">
        <v>321</v>
      </c>
      <c r="M1046">
        <f>IF(C1046&lt;&gt;"",C1046,_xlfn.XLOOKUP(B1046,AI_NAMES!D:D,AI_NAMES!E:E,"",0))</f>
        <v>0</v>
      </c>
    </row>
    <row r="1047" spans="1:13" x14ac:dyDescent="0.2">
      <c r="A1047" t="s">
        <v>1200</v>
      </c>
      <c r="B1047" t="str">
        <f>IF(L1047&lt;&gt;"",L1047,_xlfn.XLOOKUP(A1047,AI_NAMES!C:C,AI_NAMES!D:D,"",0))</f>
        <v/>
      </c>
      <c r="L1047" t="s">
        <v>321</v>
      </c>
      <c r="M1047">
        <f>IF(C1047&lt;&gt;"",C1047,_xlfn.XLOOKUP(B1047,AI_NAMES!D:D,AI_NAMES!E:E,"",0))</f>
        <v>0</v>
      </c>
    </row>
    <row r="1048" spans="1:13" x14ac:dyDescent="0.2">
      <c r="A1048" t="s">
        <v>1201</v>
      </c>
      <c r="B1048" t="str">
        <f>IF(L1048&lt;&gt;"",L1048,_xlfn.XLOOKUP(A1048,AI_NAMES!C:C,AI_NAMES!D:D,"",0))</f>
        <v/>
      </c>
      <c r="L1048" t="s">
        <v>321</v>
      </c>
      <c r="M1048">
        <f>IF(C1048&lt;&gt;"",C1048,_xlfn.XLOOKUP(B1048,AI_NAMES!D:D,AI_NAMES!E:E,"",0))</f>
        <v>0</v>
      </c>
    </row>
    <row r="1049" spans="1:13" x14ac:dyDescent="0.2">
      <c r="A1049" t="s">
        <v>1202</v>
      </c>
      <c r="B1049" t="str">
        <f>IF(L1049&lt;&gt;"",L1049,_xlfn.XLOOKUP(A1049,AI_NAMES!C:C,AI_NAMES!D:D,"",0))</f>
        <v/>
      </c>
      <c r="L1049" t="s">
        <v>321</v>
      </c>
      <c r="M1049">
        <f>IF(C1049&lt;&gt;"",C1049,_xlfn.XLOOKUP(B1049,AI_NAMES!D:D,AI_NAMES!E:E,"",0))</f>
        <v>0</v>
      </c>
    </row>
    <row r="1050" spans="1:13" x14ac:dyDescent="0.2">
      <c r="A1050" t="s">
        <v>1203</v>
      </c>
      <c r="B1050" t="str">
        <f>IF(L1050&lt;&gt;"",L1050,_xlfn.XLOOKUP(A1050,AI_NAMES!C:C,AI_NAMES!D:D,"",0))</f>
        <v/>
      </c>
      <c r="L1050" t="s">
        <v>321</v>
      </c>
      <c r="M1050">
        <f>IF(C1050&lt;&gt;"",C1050,_xlfn.XLOOKUP(B1050,AI_NAMES!D:D,AI_NAMES!E:E,"",0))</f>
        <v>0</v>
      </c>
    </row>
    <row r="1051" spans="1:13" x14ac:dyDescent="0.2">
      <c r="A1051" t="s">
        <v>1204</v>
      </c>
      <c r="B1051" t="str">
        <f>IF(L1051&lt;&gt;"",L1051,_xlfn.XLOOKUP(A1051,AI_NAMES!C:C,AI_NAMES!D:D,"",0))</f>
        <v/>
      </c>
      <c r="L1051" t="s">
        <v>321</v>
      </c>
      <c r="M1051">
        <f>IF(C1051&lt;&gt;"",C1051,_xlfn.XLOOKUP(B1051,AI_NAMES!D:D,AI_NAMES!E:E,"",0))</f>
        <v>0</v>
      </c>
    </row>
    <row r="1052" spans="1:13" x14ac:dyDescent="0.2">
      <c r="A1052" t="s">
        <v>1205</v>
      </c>
      <c r="B1052" t="str">
        <f>IF(L1052&lt;&gt;"",L1052,_xlfn.XLOOKUP(A1052,AI_NAMES!C:C,AI_NAMES!D:D,"",0))</f>
        <v/>
      </c>
      <c r="L1052" t="s">
        <v>321</v>
      </c>
      <c r="M1052">
        <f>IF(C1052&lt;&gt;"",C1052,_xlfn.XLOOKUP(B1052,AI_NAMES!D:D,AI_NAMES!E:E,"",0))</f>
        <v>0</v>
      </c>
    </row>
    <row r="1053" spans="1:13" x14ac:dyDescent="0.2">
      <c r="A1053" t="s">
        <v>1206</v>
      </c>
      <c r="B1053" t="str">
        <f>IF(L1053&lt;&gt;"",L1053,_xlfn.XLOOKUP(A1053,AI_NAMES!C:C,AI_NAMES!D:D,"",0))</f>
        <v/>
      </c>
      <c r="L1053" t="s">
        <v>321</v>
      </c>
      <c r="M1053">
        <f>IF(C1053&lt;&gt;"",C1053,_xlfn.XLOOKUP(B1053,AI_NAMES!D:D,AI_NAMES!E:E,"",0))</f>
        <v>0</v>
      </c>
    </row>
    <row r="1054" spans="1:13" x14ac:dyDescent="0.2">
      <c r="A1054" t="s">
        <v>1207</v>
      </c>
      <c r="B1054" t="str">
        <f>IF(L1054&lt;&gt;"",L1054,_xlfn.XLOOKUP(A1054,AI_NAMES!C:C,AI_NAMES!D:D,"",0))</f>
        <v/>
      </c>
      <c r="L1054" t="s">
        <v>321</v>
      </c>
      <c r="M1054">
        <f>IF(C1054&lt;&gt;"",C1054,_xlfn.XLOOKUP(B1054,AI_NAMES!D:D,AI_NAMES!E:E,"",0))</f>
        <v>0</v>
      </c>
    </row>
    <row r="1055" spans="1:13" x14ac:dyDescent="0.2">
      <c r="A1055" t="s">
        <v>1208</v>
      </c>
      <c r="B1055" t="str">
        <f>IF(L1055&lt;&gt;"",L1055,_xlfn.XLOOKUP(A1055,AI_NAMES!C:C,AI_NAMES!D:D,"",0))</f>
        <v/>
      </c>
      <c r="L1055" t="s">
        <v>321</v>
      </c>
      <c r="M1055">
        <f>IF(C1055&lt;&gt;"",C1055,_xlfn.XLOOKUP(B1055,AI_NAMES!D:D,AI_NAMES!E:E,"",0))</f>
        <v>0</v>
      </c>
    </row>
    <row r="1056" spans="1:13" x14ac:dyDescent="0.2">
      <c r="A1056" t="s">
        <v>1209</v>
      </c>
      <c r="B1056" t="str">
        <f>IF(L1056&lt;&gt;"",L1056,_xlfn.XLOOKUP(A1056,AI_NAMES!C:C,AI_NAMES!D:D,"",0))</f>
        <v/>
      </c>
      <c r="L1056" t="s">
        <v>321</v>
      </c>
      <c r="M1056">
        <f>IF(C1056&lt;&gt;"",C1056,_xlfn.XLOOKUP(B1056,AI_NAMES!D:D,AI_NAMES!E:E,"",0))</f>
        <v>0</v>
      </c>
    </row>
    <row r="1057" spans="1:13" x14ac:dyDescent="0.2">
      <c r="A1057" t="s">
        <v>1210</v>
      </c>
      <c r="B1057" t="str">
        <f>IF(L1057&lt;&gt;"",L1057,_xlfn.XLOOKUP(A1057,AI_NAMES!C:C,AI_NAMES!D:D,"",0))</f>
        <v/>
      </c>
      <c r="L1057" t="s">
        <v>321</v>
      </c>
      <c r="M1057">
        <f>IF(C1057&lt;&gt;"",C1057,_xlfn.XLOOKUP(B1057,AI_NAMES!D:D,AI_NAMES!E:E,"",0))</f>
        <v>0</v>
      </c>
    </row>
    <row r="1058" spans="1:13" x14ac:dyDescent="0.2">
      <c r="A1058" t="s">
        <v>1211</v>
      </c>
      <c r="B1058" t="str">
        <f>IF(L1058&lt;&gt;"",L1058,_xlfn.XLOOKUP(A1058,AI_NAMES!C:C,AI_NAMES!D:D,"",0))</f>
        <v/>
      </c>
      <c r="L1058" t="s">
        <v>321</v>
      </c>
      <c r="M1058">
        <f>IF(C1058&lt;&gt;"",C1058,_xlfn.XLOOKUP(B1058,AI_NAMES!D:D,AI_NAMES!E:E,"",0))</f>
        <v>0</v>
      </c>
    </row>
    <row r="1059" spans="1:13" x14ac:dyDescent="0.2">
      <c r="A1059" t="s">
        <v>1212</v>
      </c>
      <c r="B1059" t="str">
        <f>IF(L1059&lt;&gt;"",L1059,_xlfn.XLOOKUP(A1059,AI_NAMES!C:C,AI_NAMES!D:D,"",0))</f>
        <v/>
      </c>
      <c r="L1059" t="s">
        <v>321</v>
      </c>
      <c r="M1059">
        <f>IF(C1059&lt;&gt;"",C1059,_xlfn.XLOOKUP(B1059,AI_NAMES!D:D,AI_NAMES!E:E,"",0))</f>
        <v>0</v>
      </c>
    </row>
    <row r="1060" spans="1:13" x14ac:dyDescent="0.2">
      <c r="A1060" t="s">
        <v>1213</v>
      </c>
      <c r="B1060" t="str">
        <f>IF(L1060&lt;&gt;"",L1060,_xlfn.XLOOKUP(A1060,AI_NAMES!C:C,AI_NAMES!D:D,"",0))</f>
        <v/>
      </c>
      <c r="L1060" t="s">
        <v>321</v>
      </c>
      <c r="M1060">
        <f>IF(C1060&lt;&gt;"",C1060,_xlfn.XLOOKUP(B1060,AI_NAMES!D:D,AI_NAMES!E:E,"",0))</f>
        <v>0</v>
      </c>
    </row>
    <row r="1061" spans="1:13" x14ac:dyDescent="0.2">
      <c r="A1061" t="s">
        <v>1214</v>
      </c>
      <c r="B1061" t="str">
        <f>IF(L1061&lt;&gt;"",L1061,_xlfn.XLOOKUP(A1061,AI_NAMES!C:C,AI_NAMES!D:D,"",0))</f>
        <v/>
      </c>
      <c r="L1061" t="s">
        <v>321</v>
      </c>
      <c r="M1061">
        <f>IF(C1061&lt;&gt;"",C1061,_xlfn.XLOOKUP(B1061,AI_NAMES!D:D,AI_NAMES!E:E,"",0))</f>
        <v>0</v>
      </c>
    </row>
    <row r="1062" spans="1:13" x14ac:dyDescent="0.2">
      <c r="A1062" t="s">
        <v>1215</v>
      </c>
      <c r="B1062" t="str">
        <f>IF(L1062&lt;&gt;"",L1062,_xlfn.XLOOKUP(A1062,AI_NAMES!C:C,AI_NAMES!D:D,"",0))</f>
        <v/>
      </c>
      <c r="L1062" t="s">
        <v>321</v>
      </c>
      <c r="M1062">
        <f>IF(C1062&lt;&gt;"",C1062,_xlfn.XLOOKUP(B1062,AI_NAMES!D:D,AI_NAMES!E:E,"",0))</f>
        <v>0</v>
      </c>
    </row>
    <row r="1063" spans="1:13" x14ac:dyDescent="0.2">
      <c r="A1063" t="s">
        <v>1216</v>
      </c>
      <c r="B1063" t="str">
        <f>IF(L1063&lt;&gt;"",L1063,_xlfn.XLOOKUP(A1063,AI_NAMES!C:C,AI_NAMES!D:D,"",0))</f>
        <v/>
      </c>
      <c r="L1063" t="s">
        <v>321</v>
      </c>
      <c r="M1063">
        <f>IF(C1063&lt;&gt;"",C1063,_xlfn.XLOOKUP(B1063,AI_NAMES!D:D,AI_NAMES!E:E,"",0))</f>
        <v>0</v>
      </c>
    </row>
    <row r="1064" spans="1:13" x14ac:dyDescent="0.2">
      <c r="A1064" t="s">
        <v>1217</v>
      </c>
      <c r="B1064" t="str">
        <f>IF(L1064&lt;&gt;"",L1064,_xlfn.XLOOKUP(A1064,AI_NAMES!C:C,AI_NAMES!D:D,"",0))</f>
        <v/>
      </c>
      <c r="L1064" t="s">
        <v>321</v>
      </c>
      <c r="M1064">
        <f>IF(C1064&lt;&gt;"",C1064,_xlfn.XLOOKUP(B1064,AI_NAMES!D:D,AI_NAMES!E:E,"",0))</f>
        <v>0</v>
      </c>
    </row>
    <row r="1065" spans="1:13" x14ac:dyDescent="0.2">
      <c r="A1065" t="s">
        <v>1218</v>
      </c>
      <c r="B1065" t="str">
        <f>IF(L1065&lt;&gt;"",L1065,_xlfn.XLOOKUP(A1065,AI_NAMES!C:C,AI_NAMES!D:D,"",0))</f>
        <v/>
      </c>
      <c r="L1065" t="s">
        <v>321</v>
      </c>
      <c r="M1065">
        <f>IF(C1065&lt;&gt;"",C1065,_xlfn.XLOOKUP(B1065,AI_NAMES!D:D,AI_NAMES!E:E,"",0))</f>
        <v>0</v>
      </c>
    </row>
    <row r="1066" spans="1:13" x14ac:dyDescent="0.2">
      <c r="A1066" t="s">
        <v>1219</v>
      </c>
      <c r="B1066" t="str">
        <f>IF(L1066&lt;&gt;"",L1066,_xlfn.XLOOKUP(A1066,AI_NAMES!C:C,AI_NAMES!D:D,"",0))</f>
        <v/>
      </c>
      <c r="L1066" t="s">
        <v>321</v>
      </c>
      <c r="M1066">
        <f>IF(C1066&lt;&gt;"",C1066,_xlfn.XLOOKUP(B1066,AI_NAMES!D:D,AI_NAMES!E:E,"",0))</f>
        <v>0</v>
      </c>
    </row>
    <row r="1067" spans="1:13" x14ac:dyDescent="0.2">
      <c r="A1067" t="s">
        <v>1220</v>
      </c>
      <c r="B1067" t="str">
        <f>IF(L1067&lt;&gt;"",L1067,_xlfn.XLOOKUP(A1067,AI_NAMES!C:C,AI_NAMES!D:D,"",0))</f>
        <v/>
      </c>
      <c r="L1067" t="s">
        <v>321</v>
      </c>
      <c r="M1067">
        <f>IF(C1067&lt;&gt;"",C1067,_xlfn.XLOOKUP(B1067,AI_NAMES!D:D,AI_NAMES!E:E,"",0))</f>
        <v>0</v>
      </c>
    </row>
    <row r="1068" spans="1:13" x14ac:dyDescent="0.2">
      <c r="A1068" t="s">
        <v>1221</v>
      </c>
      <c r="B1068" t="str">
        <f>IF(L1068&lt;&gt;"",L1068,_xlfn.XLOOKUP(A1068,AI_NAMES!C:C,AI_NAMES!D:D,"",0))</f>
        <v/>
      </c>
      <c r="L1068" t="s">
        <v>321</v>
      </c>
      <c r="M1068">
        <f>IF(C1068&lt;&gt;"",C1068,_xlfn.XLOOKUP(B1068,AI_NAMES!D:D,AI_NAMES!E:E,"",0))</f>
        <v>0</v>
      </c>
    </row>
    <row r="1069" spans="1:13" x14ac:dyDescent="0.2">
      <c r="A1069" t="s">
        <v>1222</v>
      </c>
      <c r="B1069" t="str">
        <f>IF(L1069&lt;&gt;"",L1069,_xlfn.XLOOKUP(A1069,AI_NAMES!C:C,AI_NAMES!D:D,"",0))</f>
        <v>Click_LaunchSpellFromBook</v>
      </c>
      <c r="L1069" t="s">
        <v>1223</v>
      </c>
      <c r="M1069" t="str">
        <f>IF(C1069&lt;&gt;"",C1069,_xlfn.XLOOKUP(B1069,AI_NAMES!D:D,AI_NAMES!E:E,"",0))</f>
        <v/>
      </c>
    </row>
    <row r="1070" spans="1:13" x14ac:dyDescent="0.2">
      <c r="A1070" t="s">
        <v>1224</v>
      </c>
      <c r="B1070" t="str">
        <f>IF(L1070&lt;&gt;"",L1070,_xlfn.XLOOKUP(A1070,AI_NAMES!C:C,AI_NAMES!D:D,"",0))</f>
        <v/>
      </c>
      <c r="L1070" t="s">
        <v>321</v>
      </c>
      <c r="M1070">
        <f>IF(C1070&lt;&gt;"",C1070,_xlfn.XLOOKUP(B1070,AI_NAMES!D:D,AI_NAMES!E:E,"",0))</f>
        <v>0</v>
      </c>
    </row>
    <row r="1071" spans="1:13" x14ac:dyDescent="0.2">
      <c r="A1071" t="s">
        <v>1225</v>
      </c>
      <c r="B1071" t="str">
        <f>IF(L1071&lt;&gt;"",L1071,_xlfn.XLOOKUP(A1071,AI_NAMES!C:C,AI_NAMES!D:D,"",0))</f>
        <v/>
      </c>
      <c r="L1071" t="s">
        <v>321</v>
      </c>
      <c r="M1071">
        <f>IF(C1071&lt;&gt;"",C1071,_xlfn.XLOOKUP(B1071,AI_NAMES!D:D,AI_NAMES!E:E,"",0))</f>
        <v>0</v>
      </c>
    </row>
    <row r="1072" spans="1:13" x14ac:dyDescent="0.2">
      <c r="A1072" t="s">
        <v>1226</v>
      </c>
      <c r="B1072" t="str">
        <f>IF(L1072&lt;&gt;"",L1072,_xlfn.XLOOKUP(A1072,AI_NAMES!C:C,AI_NAMES!D:D,"",0))</f>
        <v/>
      </c>
      <c r="L1072" t="s">
        <v>321</v>
      </c>
      <c r="M1072">
        <f>IF(C1072&lt;&gt;"",C1072,_xlfn.XLOOKUP(B1072,AI_NAMES!D:D,AI_NAMES!E:E,"",0))</f>
        <v>0</v>
      </c>
    </row>
    <row r="1073" spans="1:13" x14ac:dyDescent="0.2">
      <c r="A1073" t="s">
        <v>1227</v>
      </c>
      <c r="B1073" t="str">
        <f>IF(L1073&lt;&gt;"",L1073,_xlfn.XLOOKUP(A1073,AI_NAMES!C:C,AI_NAMES!D:D,"",0))</f>
        <v/>
      </c>
      <c r="L1073" t="s">
        <v>321</v>
      </c>
      <c r="M1073">
        <f>IF(C1073&lt;&gt;"",C1073,_xlfn.XLOOKUP(B1073,AI_NAMES!D:D,AI_NAMES!E:E,"",0))</f>
        <v>0</v>
      </c>
    </row>
    <row r="1074" spans="1:13" x14ac:dyDescent="0.2">
      <c r="A1074" t="s">
        <v>1228</v>
      </c>
      <c r="B1074" t="str">
        <f>IF(L1074&lt;&gt;"",L1074,_xlfn.XLOOKUP(A1074,AI_NAMES!C:C,AI_NAMES!D:D,"",0))</f>
        <v/>
      </c>
      <c r="L1074" t="s">
        <v>321</v>
      </c>
      <c r="M1074">
        <f>IF(C1074&lt;&gt;"",C1074,_xlfn.XLOOKUP(B1074,AI_NAMES!D:D,AI_NAMES!E:E,"",0))</f>
        <v>0</v>
      </c>
    </row>
    <row r="1075" spans="1:13" x14ac:dyDescent="0.2">
      <c r="A1075" t="s">
        <v>1229</v>
      </c>
      <c r="B1075" t="str">
        <f>IF(L1075&lt;&gt;"",L1075,_xlfn.XLOOKUP(A1075,AI_NAMES!C:C,AI_NAMES!D:D,"",0))</f>
        <v/>
      </c>
      <c r="L1075" t="s">
        <v>321</v>
      </c>
      <c r="M1075">
        <f>IF(C1075&lt;&gt;"",C1075,_xlfn.XLOOKUP(B1075,AI_NAMES!D:D,AI_NAMES!E:E,"",0))</f>
        <v>0</v>
      </c>
    </row>
    <row r="1076" spans="1:13" x14ac:dyDescent="0.2">
      <c r="A1076" t="s">
        <v>1230</v>
      </c>
      <c r="B1076" t="str">
        <f>IF(L1076&lt;&gt;"",L1076,_xlfn.XLOOKUP(A1076,AI_NAMES!C:C,AI_NAMES!D:D,"",0))</f>
        <v/>
      </c>
      <c r="L1076" t="s">
        <v>321</v>
      </c>
      <c r="M1076">
        <f>IF(C1076&lt;&gt;"",C1076,_xlfn.XLOOKUP(B1076,AI_NAMES!D:D,AI_NAMES!E:E,"",0))</f>
        <v>0</v>
      </c>
    </row>
    <row r="1077" spans="1:13" x14ac:dyDescent="0.2">
      <c r="A1077" t="s">
        <v>1231</v>
      </c>
      <c r="B1077" t="str">
        <f>IF(L1077&lt;&gt;"",L1077,_xlfn.XLOOKUP(A1077,AI_NAMES!C:C,AI_NAMES!D:D,"",0))</f>
        <v/>
      </c>
      <c r="L1077" t="s">
        <v>321</v>
      </c>
      <c r="M1077">
        <f>IF(C1077&lt;&gt;"",C1077,_xlfn.XLOOKUP(B1077,AI_NAMES!D:D,AI_NAMES!E:E,"",0))</f>
        <v>0</v>
      </c>
    </row>
    <row r="1078" spans="1:13" x14ac:dyDescent="0.2">
      <c r="A1078" t="s">
        <v>1232</v>
      </c>
      <c r="B1078" t="str">
        <f>IF(L1078&lt;&gt;"",L1078,_xlfn.XLOOKUP(A1078,AI_NAMES!C:C,AI_NAMES!D:D,"",0))</f>
        <v/>
      </c>
      <c r="L1078" t="s">
        <v>321</v>
      </c>
      <c r="M1078">
        <f>IF(C1078&lt;&gt;"",C1078,_xlfn.XLOOKUP(B1078,AI_NAMES!D:D,AI_NAMES!E:E,"",0))</f>
        <v>0</v>
      </c>
    </row>
    <row r="1079" spans="1:13" x14ac:dyDescent="0.2">
      <c r="A1079" t="s">
        <v>1233</v>
      </c>
      <c r="B1079" t="str">
        <f>IF(L1079&lt;&gt;"",L1079,_xlfn.XLOOKUP(A1079,AI_NAMES!C:C,AI_NAMES!D:D,"",0))</f>
        <v/>
      </c>
      <c r="L1079" t="s">
        <v>321</v>
      </c>
      <c r="M1079">
        <f>IF(C1079&lt;&gt;"",C1079,_xlfn.XLOOKUP(B1079,AI_NAMES!D:D,AI_NAMES!E:E,"",0))</f>
        <v>0</v>
      </c>
    </row>
    <row r="1080" spans="1:13" x14ac:dyDescent="0.2">
      <c r="A1080" t="s">
        <v>1234</v>
      </c>
      <c r="B1080" t="str">
        <f>IF(L1080&lt;&gt;"",L1080,_xlfn.XLOOKUP(A1080,AI_NAMES!C:C,AI_NAMES!D:D,"",0))</f>
        <v/>
      </c>
      <c r="L1080" t="s">
        <v>321</v>
      </c>
      <c r="M1080">
        <f>IF(C1080&lt;&gt;"",C1080,_xlfn.XLOOKUP(B1080,AI_NAMES!D:D,AI_NAMES!E:E,"",0))</f>
        <v>0</v>
      </c>
    </row>
    <row r="1081" spans="1:13" x14ac:dyDescent="0.2">
      <c r="A1081" t="s">
        <v>1235</v>
      </c>
      <c r="B1081" t="str">
        <f>IF(L1081&lt;&gt;"",L1081,_xlfn.XLOOKUP(A1081,AI_NAMES!C:C,AI_NAMES!D:D,"",0))</f>
        <v/>
      </c>
      <c r="L1081" t="s">
        <v>321</v>
      </c>
      <c r="M1081">
        <f>IF(C1081&lt;&gt;"",C1081,_xlfn.XLOOKUP(B1081,AI_NAMES!D:D,AI_NAMES!E:E,"",0))</f>
        <v>0</v>
      </c>
    </row>
    <row r="1082" spans="1:13" x14ac:dyDescent="0.2">
      <c r="A1082" t="s">
        <v>1236</v>
      </c>
      <c r="B1082" t="str">
        <f>IF(L1082&lt;&gt;"",L1082,_xlfn.XLOOKUP(A1082,AI_NAMES!C:C,AI_NAMES!D:D,"",0))</f>
        <v/>
      </c>
      <c r="L1082" t="s">
        <v>321</v>
      </c>
      <c r="M1082">
        <f>IF(C1082&lt;&gt;"",C1082,_xlfn.XLOOKUP(B1082,AI_NAMES!D:D,AI_NAMES!E:E,"",0))</f>
        <v>0</v>
      </c>
    </row>
    <row r="1083" spans="1:13" x14ac:dyDescent="0.2">
      <c r="A1083" t="s">
        <v>1237</v>
      </c>
      <c r="B1083" t="str">
        <f>IF(L1083&lt;&gt;"",L1083,_xlfn.XLOOKUP(A1083,AI_NAMES!C:C,AI_NAMES!D:D,"",0))</f>
        <v/>
      </c>
      <c r="L1083" t="s">
        <v>321</v>
      </c>
      <c r="M1083">
        <f>IF(C1083&lt;&gt;"",C1083,_xlfn.XLOOKUP(B1083,AI_NAMES!D:D,AI_NAMES!E:E,"",0))</f>
        <v>0</v>
      </c>
    </row>
    <row r="1084" spans="1:13" x14ac:dyDescent="0.2">
      <c r="A1084" t="s">
        <v>1238</v>
      </c>
      <c r="B1084" t="str">
        <f>IF(L1084&lt;&gt;"",L1084,_xlfn.XLOOKUP(A1084,AI_NAMES!C:C,AI_NAMES!D:D,"",0))</f>
        <v/>
      </c>
      <c r="L1084" t="s">
        <v>321</v>
      </c>
      <c r="M1084">
        <f>IF(C1084&lt;&gt;"",C1084,_xlfn.XLOOKUP(B1084,AI_NAMES!D:D,AI_NAMES!E:E,"",0))</f>
        <v>0</v>
      </c>
    </row>
    <row r="1085" spans="1:13" x14ac:dyDescent="0.2">
      <c r="A1085" t="s">
        <v>1239</v>
      </c>
      <c r="B1085" t="str">
        <f>IF(L1085&lt;&gt;"",L1085,_xlfn.XLOOKUP(A1085,AI_NAMES!C:C,AI_NAMES!D:D,"",0))</f>
        <v/>
      </c>
      <c r="L1085" t="s">
        <v>321</v>
      </c>
      <c r="M1085">
        <f>IF(C1085&lt;&gt;"",C1085,_xlfn.XLOOKUP(B1085,AI_NAMES!D:D,AI_NAMES!E:E,"",0))</f>
        <v>0</v>
      </c>
    </row>
    <row r="1086" spans="1:13" x14ac:dyDescent="0.2">
      <c r="A1086" t="s">
        <v>1240</v>
      </c>
      <c r="B1086" t="str">
        <f>IF(L1086&lt;&gt;"",L1086,_xlfn.XLOOKUP(A1086,AI_NAMES!C:C,AI_NAMES!D:D,"",0))</f>
        <v/>
      </c>
      <c r="L1086" t="s">
        <v>321</v>
      </c>
      <c r="M1086">
        <f>IF(C1086&lt;&gt;"",C1086,_xlfn.XLOOKUP(B1086,AI_NAMES!D:D,AI_NAMES!E:E,"",0))</f>
        <v>0</v>
      </c>
    </row>
    <row r="1087" spans="1:13" x14ac:dyDescent="0.2">
      <c r="A1087" t="s">
        <v>1241</v>
      </c>
      <c r="B1087" t="str">
        <f>IF(L1087&lt;&gt;"",L1087,_xlfn.XLOOKUP(A1087,AI_NAMES!C:C,AI_NAMES!D:D,"",0))</f>
        <v>SpellFizzledMsg</v>
      </c>
      <c r="L1087" t="s">
        <v>1241</v>
      </c>
      <c r="M1087" t="str">
        <f>IF(C1087&lt;&gt;"",C1087,_xlfn.XLOOKUP(B1087,AI_NAMES!D:D,AI_NAMES!E:E,"",0))</f>
        <v/>
      </c>
    </row>
    <row r="1088" spans="1:13" x14ac:dyDescent="0.2">
      <c r="A1088" t="s">
        <v>1242</v>
      </c>
      <c r="B1088" t="str">
        <f>IF(L1088&lt;&gt;"",L1088,_xlfn.XLOOKUP(A1088,AI_NAMES!C:C,AI_NAMES!D:D,"",0))</f>
        <v>Spells_LookupTable</v>
      </c>
      <c r="L1088" t="s">
        <v>1243</v>
      </c>
      <c r="M1088" t="str">
        <f>IF(C1088&lt;&gt;"",C1088,_xlfn.XLOOKUP(B1088,AI_NAMES!D:D,AI_NAMES!E:E,"",0))</f>
        <v/>
      </c>
    </row>
    <row r="1089" spans="1:13" x14ac:dyDescent="0.2">
      <c r="A1089" t="s">
        <v>1244</v>
      </c>
      <c r="B1089" t="str">
        <f>IF(L1089&lt;&gt;"",L1089,_xlfn.XLOOKUP(A1089,AI_NAMES!C:C,AI_NAMES!D:D,"",0))</f>
        <v>SpellFailedMsg</v>
      </c>
      <c r="L1089" t="s">
        <v>1244</v>
      </c>
      <c r="M1089" t="str">
        <f>IF(C1089&lt;&gt;"",C1089,_xlfn.XLOOKUP(B1089,AI_NAMES!D:D,AI_NAMES!E:E,"",0))</f>
        <v/>
      </c>
    </row>
    <row r="1090" spans="1:13" x14ac:dyDescent="0.2">
      <c r="A1090" t="s">
        <v>1245</v>
      </c>
      <c r="B1090" t="str">
        <f>IF(L1090&lt;&gt;"",L1090,_xlfn.XLOOKUP(A1090,AI_NAMES!C:C,AI_NAMES!D:D,"",0))</f>
        <v/>
      </c>
      <c r="L1090" t="s">
        <v>321</v>
      </c>
      <c r="M1090">
        <f>IF(C1090&lt;&gt;"",C1090,_xlfn.XLOOKUP(B1090,AI_NAMES!D:D,AI_NAMES!E:E,"",0))</f>
        <v>0</v>
      </c>
    </row>
    <row r="1091" spans="1:13" x14ac:dyDescent="0.2">
      <c r="A1091" t="s">
        <v>1246</v>
      </c>
      <c r="B1091" t="str">
        <f>IF(L1091&lt;&gt;"",L1091,_xlfn.XLOOKUP(A1091,AI_NAMES!C:C,AI_NAMES!D:D,"",0))</f>
        <v/>
      </c>
      <c r="L1091" t="s">
        <v>321</v>
      </c>
      <c r="M1091">
        <f>IF(C1091&lt;&gt;"",C1091,_xlfn.XLOOKUP(B1091,AI_NAMES!D:D,AI_NAMES!E:E,"",0))</f>
        <v>0</v>
      </c>
    </row>
    <row r="1092" spans="1:13" x14ac:dyDescent="0.2">
      <c r="A1092" t="s">
        <v>1247</v>
      </c>
      <c r="B1092" t="str">
        <f>IF(L1092&lt;&gt;"",L1092,_xlfn.XLOOKUP(A1092,AI_NAMES!C:C,AI_NAMES!D:D,"",0))</f>
        <v>Spells_01_Armour</v>
      </c>
      <c r="L1092" t="s">
        <v>1248</v>
      </c>
      <c r="M1092" t="str">
        <f>IF(C1092&lt;&gt;"",C1092,_xlfn.XLOOKUP(B1092,AI_NAMES!D:D,AI_NAMES!E:E,"",0))</f>
        <v/>
      </c>
    </row>
    <row r="1093" spans="1:13" x14ac:dyDescent="0.2">
      <c r="A1093" t="s">
        <v>1249</v>
      </c>
      <c r="B1093" t="str">
        <f>IF(L1093&lt;&gt;"",L1093,_xlfn.XLOOKUP(A1093,AI_NAMES!C:C,AI_NAMES!D:D,"",0))</f>
        <v/>
      </c>
      <c r="L1093" t="s">
        <v>321</v>
      </c>
      <c r="M1093">
        <f>IF(C1093&lt;&gt;"",C1093,_xlfn.XLOOKUP(B1093,AI_NAMES!D:D,AI_NAMES!E:E,"",0))</f>
        <v>0</v>
      </c>
    </row>
    <row r="1094" spans="1:13" x14ac:dyDescent="0.2">
      <c r="A1094" t="s">
        <v>1250</v>
      </c>
      <c r="B1094" t="str">
        <f>IF(L1094&lt;&gt;"",L1094,_xlfn.XLOOKUP(A1094,AI_NAMES!C:C,AI_NAMES!D:D,"",0))</f>
        <v/>
      </c>
      <c r="L1094" t="s">
        <v>321</v>
      </c>
      <c r="M1094">
        <f>IF(C1094&lt;&gt;"",C1094,_xlfn.XLOOKUP(B1094,AI_NAMES!D:D,AI_NAMES!E:E,"",0))</f>
        <v>0</v>
      </c>
    </row>
    <row r="1095" spans="1:13" x14ac:dyDescent="0.2">
      <c r="A1095" t="s">
        <v>1251</v>
      </c>
      <c r="B1095" t="str">
        <f>IF(L1095&lt;&gt;"",L1095,_xlfn.XLOOKUP(A1095,AI_NAMES!C:C,AI_NAMES!D:D,"",0))</f>
        <v>Spells_02_Terror</v>
      </c>
      <c r="L1095" t="s">
        <v>1252</v>
      </c>
      <c r="M1095" t="str">
        <f>IF(C1095&lt;&gt;"",C1095,_xlfn.XLOOKUP(B1095,AI_NAMES!D:D,AI_NAMES!E:E,"",0))</f>
        <v/>
      </c>
    </row>
    <row r="1096" spans="1:13" x14ac:dyDescent="0.2">
      <c r="A1096" t="s">
        <v>1253</v>
      </c>
      <c r="B1096" t="str">
        <f>IF(L1096&lt;&gt;"",L1096,_xlfn.XLOOKUP(A1096,AI_NAMES!C:C,AI_NAMES!D:D,"",0))</f>
        <v>Spells_03_Vitalise</v>
      </c>
      <c r="L1096" t="s">
        <v>1254</v>
      </c>
      <c r="M1096" t="str">
        <f>IF(C1096&lt;&gt;"",C1096,_xlfn.XLOOKUP(B1096,AI_NAMES!D:D,AI_NAMES!E:E,"",0))</f>
        <v/>
      </c>
    </row>
    <row r="1097" spans="1:13" x14ac:dyDescent="0.2">
      <c r="A1097" t="s">
        <v>1255</v>
      </c>
      <c r="B1097" t="str">
        <f>IF(L1097&lt;&gt;"",L1097,_xlfn.XLOOKUP(A1097,AI_NAMES!C:C,AI_NAMES!D:D,"",0))</f>
        <v>Spells_04_Biguile</v>
      </c>
      <c r="L1097" t="s">
        <v>1256</v>
      </c>
      <c r="M1097" t="str">
        <f>IF(C1097&lt;&gt;"",C1097,_xlfn.XLOOKUP(B1097,AI_NAMES!D:D,AI_NAMES!E:E,"",0))</f>
        <v/>
      </c>
    </row>
    <row r="1098" spans="1:13" x14ac:dyDescent="0.2">
      <c r="A1098" t="s">
        <v>1257</v>
      </c>
      <c r="B1098" t="str">
        <f>IF(L1098&lt;&gt;"",L1098,_xlfn.XLOOKUP(A1098,AI_NAMES!C:C,AI_NAMES!D:D,"",0))</f>
        <v/>
      </c>
      <c r="L1098" t="s">
        <v>321</v>
      </c>
      <c r="M1098">
        <f>IF(C1098&lt;&gt;"",C1098,_xlfn.XLOOKUP(B1098,AI_NAMES!D:D,AI_NAMES!E:E,"",0))</f>
        <v>0</v>
      </c>
    </row>
    <row r="1099" spans="1:13" x14ac:dyDescent="0.2">
      <c r="A1099" t="s">
        <v>1258</v>
      </c>
      <c r="B1099" t="str">
        <f>IF(L1099&lt;&gt;"",L1099,_xlfn.XLOOKUP(A1099,AI_NAMES!C:C,AI_NAMES!D:D,"",0))</f>
        <v>Spells_05_Deflect</v>
      </c>
      <c r="L1099" t="s">
        <v>1259</v>
      </c>
      <c r="M1099" t="str">
        <f>IF(C1099&lt;&gt;"",C1099,_xlfn.XLOOKUP(B1099,AI_NAMES!D:D,AI_NAMES!E:E,"",0))</f>
        <v/>
      </c>
    </row>
    <row r="1100" spans="1:13" x14ac:dyDescent="0.2">
      <c r="A1100" t="s">
        <v>1260</v>
      </c>
      <c r="B1100" t="str">
        <f>IF(L1100&lt;&gt;"",L1100,_xlfn.XLOOKUP(A1100,AI_NAMES!C:C,AI_NAMES!D:D,"",0))</f>
        <v>Spells_06_Magelock</v>
      </c>
      <c r="L1100" t="s">
        <v>1261</v>
      </c>
      <c r="M1100" t="str">
        <f>IF(C1100&lt;&gt;"",C1100,_xlfn.XLOOKUP(B1100,AI_NAMES!D:D,AI_NAMES!E:E,"",0))</f>
        <v/>
      </c>
    </row>
    <row r="1101" spans="1:13" x14ac:dyDescent="0.2">
      <c r="A1101" t="s">
        <v>1262</v>
      </c>
      <c r="B1101" t="str">
        <f>IF(L1101&lt;&gt;"",L1101,_xlfn.XLOOKUP(A1101,AI_NAMES!C:C,AI_NAMES!D:D,"",0))</f>
        <v/>
      </c>
      <c r="L1101" t="s">
        <v>321</v>
      </c>
      <c r="M1101">
        <f>IF(C1101&lt;&gt;"",C1101,_xlfn.XLOOKUP(B1101,AI_NAMES!D:D,AI_NAMES!E:E,"",0))</f>
        <v>0</v>
      </c>
    </row>
    <row r="1102" spans="1:13" x14ac:dyDescent="0.2">
      <c r="A1102" t="s">
        <v>1263</v>
      </c>
      <c r="B1102" t="str">
        <f>IF(L1102&lt;&gt;"",L1102,_xlfn.XLOOKUP(A1102,AI_NAMES!C:C,AI_NAMES!D:D,"",0))</f>
        <v/>
      </c>
      <c r="L1102" t="s">
        <v>321</v>
      </c>
      <c r="M1102">
        <f>IF(C1102&lt;&gt;"",C1102,_xlfn.XLOOKUP(B1102,AI_NAMES!D:D,AI_NAMES!E:E,"",0))</f>
        <v>0</v>
      </c>
    </row>
    <row r="1103" spans="1:13" x14ac:dyDescent="0.2">
      <c r="A1103" t="s">
        <v>1264</v>
      </c>
      <c r="B1103" t="str">
        <f>IF(L1103&lt;&gt;"",L1103,_xlfn.XLOOKUP(A1103,AI_NAMES!C:C,AI_NAMES!D:D,"",0))</f>
        <v/>
      </c>
      <c r="L1103" t="s">
        <v>321</v>
      </c>
      <c r="M1103">
        <f>IF(C1103&lt;&gt;"",C1103,_xlfn.XLOOKUP(B1103,AI_NAMES!D:D,AI_NAMES!E:E,"",0))</f>
        <v>0</v>
      </c>
    </row>
    <row r="1104" spans="1:13" x14ac:dyDescent="0.2">
      <c r="A1104" t="s">
        <v>1265</v>
      </c>
      <c r="B1104" t="str">
        <f>IF(L1104&lt;&gt;"",L1104,_xlfn.XLOOKUP(A1104,AI_NAMES!C:C,AI_NAMES!D:D,"",0))</f>
        <v/>
      </c>
      <c r="L1104" t="s">
        <v>321</v>
      </c>
      <c r="M1104">
        <f>IF(C1104&lt;&gt;"",C1104,_xlfn.XLOOKUP(B1104,AI_NAMES!D:D,AI_NAMES!E:E,"",0))</f>
        <v>0</v>
      </c>
    </row>
    <row r="1105" spans="1:13" x14ac:dyDescent="0.2">
      <c r="A1105" t="s">
        <v>1266</v>
      </c>
      <c r="B1105" t="str">
        <f>IF(L1105&lt;&gt;"",L1105,_xlfn.XLOOKUP(A1105,AI_NAMES!C:C,AI_NAMES!D:D,"",0))</f>
        <v>Spells_07_Conceal</v>
      </c>
      <c r="L1105" t="s">
        <v>1267</v>
      </c>
      <c r="M1105" t="str">
        <f>IF(C1105&lt;&gt;"",C1105,_xlfn.XLOOKUP(B1105,AI_NAMES!D:D,AI_NAMES!E:E,"",0))</f>
        <v/>
      </c>
    </row>
    <row r="1106" spans="1:13" x14ac:dyDescent="0.2">
      <c r="A1106" t="s">
        <v>1268</v>
      </c>
      <c r="B1106" t="str">
        <f>IF(L1106&lt;&gt;"",L1106,_xlfn.XLOOKUP(A1106,AI_NAMES!C:C,AI_NAMES!D:D,"",0))</f>
        <v/>
      </c>
      <c r="L1106" t="s">
        <v>321</v>
      </c>
      <c r="M1106">
        <f>IF(C1106&lt;&gt;"",C1106,_xlfn.XLOOKUP(B1106,AI_NAMES!D:D,AI_NAMES!E:E,"",0))</f>
        <v>0</v>
      </c>
    </row>
    <row r="1107" spans="1:13" x14ac:dyDescent="0.2">
      <c r="A1107" t="s">
        <v>1269</v>
      </c>
      <c r="B1107" t="str">
        <f>IF(L1107&lt;&gt;"",L1107,_xlfn.XLOOKUP(A1107,AI_NAMES!C:C,AI_NAMES!D:D,"",0))</f>
        <v>Spells_08_Warpower</v>
      </c>
      <c r="L1107" t="s">
        <v>1270</v>
      </c>
      <c r="M1107" t="str">
        <f>IF(C1107&lt;&gt;"",C1107,_xlfn.XLOOKUP(B1107,AI_NAMES!D:D,AI_NAMES!E:E,"",0))</f>
        <v/>
      </c>
    </row>
    <row r="1108" spans="1:13" x14ac:dyDescent="0.2">
      <c r="A1108" t="s">
        <v>1271</v>
      </c>
      <c r="B1108" t="str">
        <f>IF(L1108&lt;&gt;"",L1108,_xlfn.XLOOKUP(A1108,AI_NAMES!C:C,AI_NAMES!D:D,"",0))</f>
        <v>Spells_09_Missle</v>
      </c>
      <c r="L1108" t="s">
        <v>1272</v>
      </c>
      <c r="M1108" t="str">
        <f>IF(C1108&lt;&gt;"",C1108,_xlfn.XLOOKUP(B1108,AI_NAMES!D:D,AI_NAMES!E:E,"",0))</f>
        <v/>
      </c>
    </row>
    <row r="1109" spans="1:13" x14ac:dyDescent="0.2">
      <c r="A1109" t="s">
        <v>1273</v>
      </c>
      <c r="B1109" t="str">
        <f>IF(L1109&lt;&gt;"",L1109,_xlfn.XLOOKUP(A1109,AI_NAMES!C:C,AI_NAMES!D:D,"",0))</f>
        <v>Spells_10_Vanish</v>
      </c>
      <c r="L1109" t="s">
        <v>1274</v>
      </c>
      <c r="M1109" t="str">
        <f>IF(C1109&lt;&gt;"",C1109,_xlfn.XLOOKUP(B1109,AI_NAMES!D:D,AI_NAMES!E:E,"",0))</f>
        <v/>
      </c>
    </row>
    <row r="1110" spans="1:13" x14ac:dyDescent="0.2">
      <c r="A1110" t="s">
        <v>1275</v>
      </c>
      <c r="B1110" t="str">
        <f>IF(L1110&lt;&gt;"",L1110,_xlfn.XLOOKUP(A1110,AI_NAMES!C:C,AI_NAMES!D:D,"",0))</f>
        <v>Spells_11_Paralyze</v>
      </c>
      <c r="L1110" t="s">
        <v>1276</v>
      </c>
      <c r="M1110" t="str">
        <f>IF(C1110&lt;&gt;"",C1110,_xlfn.XLOOKUP(B1110,AI_NAMES!D:D,AI_NAMES!E:E,"",0))</f>
        <v/>
      </c>
    </row>
    <row r="1111" spans="1:13" x14ac:dyDescent="0.2">
      <c r="A1111" t="s">
        <v>1277</v>
      </c>
      <c r="B1111" t="str">
        <f>IF(L1111&lt;&gt;"",L1111,_xlfn.XLOOKUP(A1111,AI_NAMES!C:C,AI_NAMES!D:D,"",0))</f>
        <v>Spells_12_Alchemy</v>
      </c>
      <c r="L1111" t="s">
        <v>1278</v>
      </c>
      <c r="M1111" t="str">
        <f>IF(C1111&lt;&gt;"",C1111,_xlfn.XLOOKUP(B1111,AI_NAMES!D:D,AI_NAMES!E:E,"",0))</f>
        <v/>
      </c>
    </row>
    <row r="1112" spans="1:13" x14ac:dyDescent="0.2">
      <c r="A1112" t="s">
        <v>1279</v>
      </c>
      <c r="B1112" t="str">
        <f>IF(L1112&lt;&gt;"",L1112,_xlfn.XLOOKUP(A1112,AI_NAMES!C:C,AI_NAMES!D:D,"",0))</f>
        <v/>
      </c>
      <c r="L1112" t="s">
        <v>321</v>
      </c>
      <c r="M1112">
        <f>IF(C1112&lt;&gt;"",C1112,_xlfn.XLOOKUP(B1112,AI_NAMES!D:D,AI_NAMES!E:E,"",0))</f>
        <v>0</v>
      </c>
    </row>
    <row r="1113" spans="1:13" x14ac:dyDescent="0.2">
      <c r="A1113" t="s">
        <v>1280</v>
      </c>
      <c r="B1113" t="str">
        <f>IF(L1113&lt;&gt;"",L1113,_xlfn.XLOOKUP(A1113,AI_NAMES!C:C,AI_NAMES!D:D,"",0))</f>
        <v/>
      </c>
      <c r="L1113" t="s">
        <v>321</v>
      </c>
      <c r="M1113">
        <f>IF(C1113&lt;&gt;"",C1113,_xlfn.XLOOKUP(B1113,AI_NAMES!D:D,AI_NAMES!E:E,"",0))</f>
        <v>0</v>
      </c>
    </row>
    <row r="1114" spans="1:13" x14ac:dyDescent="0.2">
      <c r="A1114" t="s">
        <v>1281</v>
      </c>
      <c r="B1114" t="str">
        <f>IF(L1114&lt;&gt;"",L1114,_xlfn.XLOOKUP(A1114,AI_NAMES!C:C,AI_NAMES!D:D,"",0))</f>
        <v/>
      </c>
      <c r="L1114" t="s">
        <v>321</v>
      </c>
      <c r="M1114">
        <f>IF(C1114&lt;&gt;"",C1114,_xlfn.XLOOKUP(B1114,AI_NAMES!D:D,AI_NAMES!E:E,"",0))</f>
        <v>0</v>
      </c>
    </row>
    <row r="1115" spans="1:13" x14ac:dyDescent="0.2">
      <c r="A1115" t="s">
        <v>1282</v>
      </c>
      <c r="B1115" t="str">
        <f>IF(L1115&lt;&gt;"",L1115,_xlfn.XLOOKUP(A1115,AI_NAMES!C:C,AI_NAMES!D:D,"",0))</f>
        <v/>
      </c>
      <c r="L1115" t="s">
        <v>321</v>
      </c>
      <c r="M1115">
        <f>IF(C1115&lt;&gt;"",C1115,_xlfn.XLOOKUP(B1115,AI_NAMES!D:D,AI_NAMES!E:E,"",0))</f>
        <v>0</v>
      </c>
    </row>
    <row r="1116" spans="1:13" x14ac:dyDescent="0.2">
      <c r="A1116" t="s">
        <v>1283</v>
      </c>
      <c r="B1116" t="str">
        <f>IF(L1116&lt;&gt;"",L1116,_xlfn.XLOOKUP(A1116,AI_NAMES!C:C,AI_NAMES!D:D,"",0))</f>
        <v/>
      </c>
      <c r="L1116" t="s">
        <v>321</v>
      </c>
      <c r="M1116">
        <f>IF(C1116&lt;&gt;"",C1116,_xlfn.XLOOKUP(B1116,AI_NAMES!D:D,AI_NAMES!E:E,"",0))</f>
        <v>0</v>
      </c>
    </row>
    <row r="1117" spans="1:13" x14ac:dyDescent="0.2">
      <c r="A1117" t="s">
        <v>1284</v>
      </c>
      <c r="B1117" t="str">
        <f>IF(L1117&lt;&gt;"",L1117,_xlfn.XLOOKUP(A1117,AI_NAMES!C:C,AI_NAMES!D:D,"",0))</f>
        <v/>
      </c>
      <c r="L1117" t="s">
        <v>321</v>
      </c>
      <c r="M1117">
        <f>IF(C1117&lt;&gt;"",C1117,_xlfn.XLOOKUP(B1117,AI_NAMES!D:D,AI_NAMES!E:E,"",0))</f>
        <v>0</v>
      </c>
    </row>
    <row r="1118" spans="1:13" x14ac:dyDescent="0.2">
      <c r="A1118" t="s">
        <v>1285</v>
      </c>
      <c r="B1118" t="s">
        <v>1286</v>
      </c>
      <c r="L1118" t="s">
        <v>1286</v>
      </c>
      <c r="M1118" t="str">
        <f>IF(C1118&lt;&gt;"",C1118,_xlfn.XLOOKUP(B1118,AI_NAMES!D:D,AI_NAMES!E:E,"",0))</f>
        <v/>
      </c>
    </row>
    <row r="1119" spans="1:13" x14ac:dyDescent="0.2">
      <c r="A1119" t="s">
        <v>1287</v>
      </c>
      <c r="B1119" t="s">
        <v>1288</v>
      </c>
      <c r="L1119" t="s">
        <v>1288</v>
      </c>
      <c r="M1119" t="str">
        <f>IF(C1119&lt;&gt;"",C1119,_xlfn.XLOOKUP(B1119,AI_NAMES!D:D,AI_NAMES!E:E,"",0))</f>
        <v/>
      </c>
    </row>
    <row r="1120" spans="1:13" x14ac:dyDescent="0.2">
      <c r="A1120" t="s">
        <v>1289</v>
      </c>
      <c r="B1120" t="s">
        <v>1290</v>
      </c>
      <c r="L1120" t="s">
        <v>1290</v>
      </c>
      <c r="M1120" t="str">
        <f>IF(C1120&lt;&gt;"",C1120,_xlfn.XLOOKUP(B1120,AI_NAMES!D:D,AI_NAMES!E:E,"",0))</f>
        <v/>
      </c>
    </row>
    <row r="1121" spans="1:13" x14ac:dyDescent="0.2">
      <c r="A1121" t="s">
        <v>1291</v>
      </c>
      <c r="B1121" t="s">
        <v>1292</v>
      </c>
      <c r="L1121" t="s">
        <v>1292</v>
      </c>
      <c r="M1121" t="str">
        <f>IF(C1121&lt;&gt;"",C1121,_xlfn.XLOOKUP(B1121,AI_NAMES!D:D,AI_NAMES!E:E,"",0))</f>
        <v/>
      </c>
    </row>
    <row r="1122" spans="1:13" x14ac:dyDescent="0.2">
      <c r="A1122" t="s">
        <v>1293</v>
      </c>
      <c r="B1122" t="s">
        <v>321</v>
      </c>
      <c r="L1122" t="s">
        <v>321</v>
      </c>
      <c r="M1122">
        <f>IF(C1122&lt;&gt;"",C1122,_xlfn.XLOOKUP(B1122,AI_NAMES!D:D,AI_NAMES!E:E,"",0))</f>
        <v>0</v>
      </c>
    </row>
    <row r="1123" spans="1:13" x14ac:dyDescent="0.2">
      <c r="A1123" t="s">
        <v>1294</v>
      </c>
      <c r="B1123" t="s">
        <v>321</v>
      </c>
      <c r="L1123" t="s">
        <v>321</v>
      </c>
      <c r="M1123">
        <f>IF(C1123&lt;&gt;"",C1123,_xlfn.XLOOKUP(B1123,AI_NAMES!D:D,AI_NAMES!E:E,"",0))</f>
        <v>0</v>
      </c>
    </row>
    <row r="1124" spans="1:13" x14ac:dyDescent="0.2">
      <c r="A1124" t="s">
        <v>1295</v>
      </c>
      <c r="B1124" t="s">
        <v>321</v>
      </c>
      <c r="L1124" t="s">
        <v>321</v>
      </c>
      <c r="M1124">
        <f>IF(C1124&lt;&gt;"",C1124,_xlfn.XLOOKUP(B1124,AI_NAMES!D:D,AI_NAMES!E:E,"",0))</f>
        <v>0</v>
      </c>
    </row>
    <row r="1125" spans="1:13" x14ac:dyDescent="0.2">
      <c r="A1125" t="s">
        <v>1296</v>
      </c>
      <c r="B1125" t="s">
        <v>1297</v>
      </c>
      <c r="L1125" t="s">
        <v>1297</v>
      </c>
      <c r="M1125" t="str">
        <f>IF(C1125&lt;&gt;"",C1125,_xlfn.XLOOKUP(B1125,AI_NAMES!D:D,AI_NAMES!E:E,"",0))</f>
        <v/>
      </c>
    </row>
    <row r="1126" spans="1:13" x14ac:dyDescent="0.2">
      <c r="A1126" t="s">
        <v>1298</v>
      </c>
      <c r="B1126" t="s">
        <v>1299</v>
      </c>
      <c r="L1126" t="s">
        <v>1299</v>
      </c>
      <c r="M1126" t="str">
        <f>IF(C1126&lt;&gt;"",C1126,_xlfn.XLOOKUP(B1126,AI_NAMES!D:D,AI_NAMES!E:E,"",0))</f>
        <v/>
      </c>
    </row>
    <row r="1127" spans="1:13" x14ac:dyDescent="0.2">
      <c r="A1127" t="s">
        <v>1300</v>
      </c>
      <c r="B1127" t="s">
        <v>321</v>
      </c>
      <c r="L1127" t="s">
        <v>321</v>
      </c>
      <c r="M1127">
        <f>IF(C1127&lt;&gt;"",C1127,_xlfn.XLOOKUP(B1127,AI_NAMES!D:D,AI_NAMES!E:E,"",0))</f>
        <v>0</v>
      </c>
    </row>
    <row r="1128" spans="1:13" x14ac:dyDescent="0.2">
      <c r="A1128" t="s">
        <v>1301</v>
      </c>
      <c r="B1128" t="s">
        <v>321</v>
      </c>
      <c r="L1128" t="s">
        <v>321</v>
      </c>
      <c r="M1128">
        <f>IF(C1128&lt;&gt;"",C1128,_xlfn.XLOOKUP(B1128,AI_NAMES!D:D,AI_NAMES!E:E,"",0))</f>
        <v>0</v>
      </c>
    </row>
    <row r="1129" spans="1:13" x14ac:dyDescent="0.2">
      <c r="A1129" t="s">
        <v>1302</v>
      </c>
      <c r="B1129" t="s">
        <v>321</v>
      </c>
      <c r="L1129" t="s">
        <v>321</v>
      </c>
      <c r="M1129">
        <f>IF(C1129&lt;&gt;"",C1129,_xlfn.XLOOKUP(B1129,AI_NAMES!D:D,AI_NAMES!E:E,"",0))</f>
        <v>0</v>
      </c>
    </row>
    <row r="1130" spans="1:13" x14ac:dyDescent="0.2">
      <c r="A1130" t="s">
        <v>1303</v>
      </c>
      <c r="B1130" t="s">
        <v>321</v>
      </c>
      <c r="L1130" t="s">
        <v>321</v>
      </c>
      <c r="M1130">
        <f>IF(C1130&lt;&gt;"",C1130,_xlfn.XLOOKUP(B1130,AI_NAMES!D:D,AI_NAMES!E:E,"",0))</f>
        <v>0</v>
      </c>
    </row>
    <row r="1131" spans="1:13" x14ac:dyDescent="0.2">
      <c r="A1131" t="s">
        <v>1304</v>
      </c>
      <c r="B1131" t="s">
        <v>321</v>
      </c>
      <c r="L1131" t="s">
        <v>321</v>
      </c>
      <c r="M1131">
        <f>IF(C1131&lt;&gt;"",C1131,_xlfn.XLOOKUP(B1131,AI_NAMES!D:D,AI_NAMES!E:E,"",0))</f>
        <v>0</v>
      </c>
    </row>
    <row r="1132" spans="1:13" x14ac:dyDescent="0.2">
      <c r="A1132" t="s">
        <v>1305</v>
      </c>
      <c r="B1132" t="s">
        <v>321</v>
      </c>
      <c r="L1132" t="s">
        <v>321</v>
      </c>
      <c r="M1132">
        <f>IF(C1132&lt;&gt;"",C1132,_xlfn.XLOOKUP(B1132,AI_NAMES!D:D,AI_NAMES!E:E,"",0))</f>
        <v>0</v>
      </c>
    </row>
    <row r="1133" spans="1:13" x14ac:dyDescent="0.2">
      <c r="A1133" t="s">
        <v>1306</v>
      </c>
      <c r="B1133" t="s">
        <v>321</v>
      </c>
      <c r="L1133" t="s">
        <v>321</v>
      </c>
      <c r="M1133">
        <f>IF(C1133&lt;&gt;"",C1133,_xlfn.XLOOKUP(B1133,AI_NAMES!D:D,AI_NAMES!E:E,"",0))</f>
        <v>0</v>
      </c>
    </row>
    <row r="1134" spans="1:13" x14ac:dyDescent="0.2">
      <c r="A1134" t="s">
        <v>1307</v>
      </c>
      <c r="B1134" t="s">
        <v>1308</v>
      </c>
      <c r="L1134" t="s">
        <v>1308</v>
      </c>
      <c r="M1134" t="str">
        <f>IF(C1134&lt;&gt;"",C1134,_xlfn.XLOOKUP(B1134,AI_NAMES!D:D,AI_NAMES!E:E,"",0))</f>
        <v/>
      </c>
    </row>
    <row r="1135" spans="1:13" x14ac:dyDescent="0.2">
      <c r="A1135" t="s">
        <v>1309</v>
      </c>
      <c r="B1135" t="s">
        <v>321</v>
      </c>
      <c r="L1135" t="s">
        <v>321</v>
      </c>
      <c r="M1135">
        <f>IF(C1135&lt;&gt;"",C1135,_xlfn.XLOOKUP(B1135,AI_NAMES!D:D,AI_NAMES!E:E,"",0))</f>
        <v>0</v>
      </c>
    </row>
    <row r="1136" spans="1:13" x14ac:dyDescent="0.2">
      <c r="A1136" t="s">
        <v>1310</v>
      </c>
      <c r="B1136" t="s">
        <v>321</v>
      </c>
      <c r="L1136" t="s">
        <v>321</v>
      </c>
      <c r="M1136">
        <f>IF(C1136&lt;&gt;"",C1136,_xlfn.XLOOKUP(B1136,AI_NAMES!D:D,AI_NAMES!E:E,"",0))</f>
        <v>0</v>
      </c>
    </row>
    <row r="1137" spans="1:13" x14ac:dyDescent="0.2">
      <c r="A1137" t="s">
        <v>1311</v>
      </c>
      <c r="B1137" t="s">
        <v>1312</v>
      </c>
      <c r="L1137" t="s">
        <v>1312</v>
      </c>
      <c r="M1137" t="str">
        <f>IF(C1137&lt;&gt;"",C1137,_xlfn.XLOOKUP(B1137,AI_NAMES!D:D,AI_NAMES!E:E,"",0))</f>
        <v/>
      </c>
    </row>
    <row r="1138" spans="1:13" x14ac:dyDescent="0.2">
      <c r="A1138" t="s">
        <v>1313</v>
      </c>
      <c r="B1138" t="s">
        <v>321</v>
      </c>
      <c r="L1138" t="s">
        <v>321</v>
      </c>
      <c r="M1138">
        <f>IF(C1138&lt;&gt;"",C1138,_xlfn.XLOOKUP(B1138,AI_NAMES!D:D,AI_NAMES!E:E,"",0))</f>
        <v>0</v>
      </c>
    </row>
    <row r="1139" spans="1:13" x14ac:dyDescent="0.2">
      <c r="A1139" t="s">
        <v>1314</v>
      </c>
      <c r="B1139" t="s">
        <v>321</v>
      </c>
      <c r="L1139" t="s">
        <v>321</v>
      </c>
      <c r="M1139">
        <f>IF(C1139&lt;&gt;"",C1139,_xlfn.XLOOKUP(B1139,AI_NAMES!D:D,AI_NAMES!E:E,"",0))</f>
        <v>0</v>
      </c>
    </row>
    <row r="1140" spans="1:13" x14ac:dyDescent="0.2">
      <c r="A1140" t="s">
        <v>1315</v>
      </c>
      <c r="B1140" t="s">
        <v>321</v>
      </c>
      <c r="L1140" t="s">
        <v>321</v>
      </c>
      <c r="M1140">
        <f>IF(C1140&lt;&gt;"",C1140,_xlfn.XLOOKUP(B1140,AI_NAMES!D:D,AI_NAMES!E:E,"",0))</f>
        <v>0</v>
      </c>
    </row>
    <row r="1141" spans="1:13" x14ac:dyDescent="0.2">
      <c r="A1141" t="s">
        <v>1316</v>
      </c>
      <c r="B1141" t="s">
        <v>321</v>
      </c>
      <c r="L1141" t="s">
        <v>321</v>
      </c>
      <c r="M1141">
        <f>IF(C1141&lt;&gt;"",C1141,_xlfn.XLOOKUP(B1141,AI_NAMES!D:D,AI_NAMES!E:E,"",0))</f>
        <v>0</v>
      </c>
    </row>
    <row r="1142" spans="1:13" x14ac:dyDescent="0.2">
      <c r="A1142" t="s">
        <v>1317</v>
      </c>
      <c r="B1142" t="s">
        <v>1318</v>
      </c>
      <c r="L1142" t="s">
        <v>1318</v>
      </c>
      <c r="M1142" t="str">
        <f>IF(C1142&lt;&gt;"",C1142,_xlfn.XLOOKUP(B1142,AI_NAMES!D:D,AI_NAMES!E:E,"",0))</f>
        <v/>
      </c>
    </row>
    <row r="1143" spans="1:13" x14ac:dyDescent="0.2">
      <c r="A1143" t="s">
        <v>1319</v>
      </c>
      <c r="B1143" t="s">
        <v>1320</v>
      </c>
      <c r="L1143" t="s">
        <v>1320</v>
      </c>
      <c r="M1143" t="str">
        <f>IF(C1143&lt;&gt;"",C1143,_xlfn.XLOOKUP(B1143,AI_NAMES!D:D,AI_NAMES!E:E,"",0))</f>
        <v/>
      </c>
    </row>
    <row r="1144" spans="1:13" x14ac:dyDescent="0.2">
      <c r="A1144" t="s">
        <v>1321</v>
      </c>
      <c r="B1144" t="s">
        <v>1322</v>
      </c>
      <c r="L1144" t="s">
        <v>1322</v>
      </c>
      <c r="M1144" t="str">
        <f>IF(C1144&lt;&gt;"",C1144,_xlfn.XLOOKUP(B1144,AI_NAMES!D:D,AI_NAMES!E:E,"",0))</f>
        <v/>
      </c>
    </row>
    <row r="1145" spans="1:13" x14ac:dyDescent="0.2">
      <c r="A1145" t="s">
        <v>1323</v>
      </c>
      <c r="B1145" t="s">
        <v>1324</v>
      </c>
      <c r="L1145" t="s">
        <v>1324</v>
      </c>
      <c r="M1145" t="str">
        <f>IF(C1145&lt;&gt;"",C1145,_xlfn.XLOOKUP(B1145,AI_NAMES!D:D,AI_NAMES!E:E,"",0))</f>
        <v/>
      </c>
    </row>
    <row r="1146" spans="1:13" x14ac:dyDescent="0.2">
      <c r="A1146" t="s">
        <v>1325</v>
      </c>
      <c r="B1146" t="s">
        <v>1326</v>
      </c>
      <c r="L1146" t="s">
        <v>1326</v>
      </c>
      <c r="M1146" t="str">
        <f>IF(C1146&lt;&gt;"",C1146,_xlfn.XLOOKUP(B1146,AI_NAMES!D:D,AI_NAMES!E:E,"",0))</f>
        <v/>
      </c>
    </row>
    <row r="1147" spans="1:13" x14ac:dyDescent="0.2">
      <c r="A1147" t="s">
        <v>1327</v>
      </c>
      <c r="B1147" t="s">
        <v>321</v>
      </c>
      <c r="L1147" t="s">
        <v>321</v>
      </c>
      <c r="M1147">
        <f>IF(C1147&lt;&gt;"",C1147,_xlfn.XLOOKUP(B1147,AI_NAMES!D:D,AI_NAMES!E:E,"",0))</f>
        <v>0</v>
      </c>
    </row>
    <row r="1148" spans="1:13" x14ac:dyDescent="0.2">
      <c r="A1148" t="s">
        <v>1328</v>
      </c>
      <c r="B1148" t="s">
        <v>1329</v>
      </c>
      <c r="L1148" t="s">
        <v>1329</v>
      </c>
      <c r="M1148" t="str">
        <f>IF(C1148&lt;&gt;"",C1148,_xlfn.XLOOKUP(B1148,AI_NAMES!D:D,AI_NAMES!E:E,"",0))</f>
        <v/>
      </c>
    </row>
    <row r="1149" spans="1:13" x14ac:dyDescent="0.2">
      <c r="A1149" t="s">
        <v>1330</v>
      </c>
      <c r="B1149" t="s">
        <v>321</v>
      </c>
      <c r="L1149" t="s">
        <v>321</v>
      </c>
      <c r="M1149">
        <f>IF(C1149&lt;&gt;"",C1149,_xlfn.XLOOKUP(B1149,AI_NAMES!D:D,AI_NAMES!E:E,"",0))</f>
        <v>0</v>
      </c>
    </row>
    <row r="1150" spans="1:13" x14ac:dyDescent="0.2">
      <c r="A1150" t="s">
        <v>1331</v>
      </c>
      <c r="B1150" t="s">
        <v>321</v>
      </c>
      <c r="L1150" t="s">
        <v>321</v>
      </c>
      <c r="M1150">
        <f>IF(C1150&lt;&gt;"",C1150,_xlfn.XLOOKUP(B1150,AI_NAMES!D:D,AI_NAMES!E:E,"",0))</f>
        <v>0</v>
      </c>
    </row>
    <row r="1151" spans="1:13" x14ac:dyDescent="0.2">
      <c r="A1151" t="s">
        <v>1332</v>
      </c>
      <c r="B1151" t="s">
        <v>321</v>
      </c>
      <c r="L1151" t="s">
        <v>321</v>
      </c>
      <c r="M1151">
        <f>IF(C1151&lt;&gt;"",C1151,_xlfn.XLOOKUP(B1151,AI_NAMES!D:D,AI_NAMES!E:E,"",0))</f>
        <v>0</v>
      </c>
    </row>
    <row r="1152" spans="1:13" x14ac:dyDescent="0.2">
      <c r="A1152" t="s">
        <v>1333</v>
      </c>
      <c r="B1152" t="s">
        <v>321</v>
      </c>
      <c r="L1152" t="s">
        <v>321</v>
      </c>
      <c r="M1152">
        <f>IF(C1152&lt;&gt;"",C1152,_xlfn.XLOOKUP(B1152,AI_NAMES!D:D,AI_NAMES!E:E,"",0))</f>
        <v>0</v>
      </c>
    </row>
    <row r="1153" spans="1:13" x14ac:dyDescent="0.2">
      <c r="A1153" t="s">
        <v>1334</v>
      </c>
      <c r="B1153" t="s">
        <v>321</v>
      </c>
      <c r="L1153" t="s">
        <v>321</v>
      </c>
      <c r="M1153">
        <f>IF(C1153&lt;&gt;"",C1153,_xlfn.XLOOKUP(B1153,AI_NAMES!D:D,AI_NAMES!E:E,"",0))</f>
        <v>0</v>
      </c>
    </row>
    <row r="1154" spans="1:13" x14ac:dyDescent="0.2">
      <c r="A1154" t="s">
        <v>1335</v>
      </c>
      <c r="B1154" t="s">
        <v>321</v>
      </c>
      <c r="L1154" t="s">
        <v>321</v>
      </c>
      <c r="M1154">
        <f>IF(C1154&lt;&gt;"",C1154,_xlfn.XLOOKUP(B1154,AI_NAMES!D:D,AI_NAMES!E:E,"",0))</f>
        <v>0</v>
      </c>
    </row>
    <row r="1155" spans="1:13" x14ac:dyDescent="0.2">
      <c r="A1155" t="s">
        <v>1336</v>
      </c>
      <c r="B1155" t="s">
        <v>321</v>
      </c>
      <c r="L1155" t="s">
        <v>321</v>
      </c>
      <c r="M1155">
        <f>IF(C1155&lt;&gt;"",C1155,_xlfn.XLOOKUP(B1155,AI_NAMES!D:D,AI_NAMES!E:E,"",0))</f>
        <v>0</v>
      </c>
    </row>
    <row r="1156" spans="1:13" x14ac:dyDescent="0.2">
      <c r="A1156" t="s">
        <v>1337</v>
      </c>
      <c r="B1156" t="s">
        <v>321</v>
      </c>
      <c r="L1156" t="s">
        <v>321</v>
      </c>
      <c r="M1156">
        <f>IF(C1156&lt;&gt;"",C1156,_xlfn.XLOOKUP(B1156,AI_NAMES!D:D,AI_NAMES!E:E,"",0))</f>
        <v>0</v>
      </c>
    </row>
    <row r="1157" spans="1:13" x14ac:dyDescent="0.2">
      <c r="A1157" t="s">
        <v>1338</v>
      </c>
      <c r="B1157" t="s">
        <v>321</v>
      </c>
      <c r="L1157" t="s">
        <v>321</v>
      </c>
      <c r="M1157">
        <f>IF(C1157&lt;&gt;"",C1157,_xlfn.XLOOKUP(B1157,AI_NAMES!D:D,AI_NAMES!E:E,"",0))</f>
        <v>0</v>
      </c>
    </row>
    <row r="1158" spans="1:13" x14ac:dyDescent="0.2">
      <c r="A1158" t="s">
        <v>1339</v>
      </c>
      <c r="B1158" t="s">
        <v>321</v>
      </c>
      <c r="L1158" t="s">
        <v>321</v>
      </c>
      <c r="M1158">
        <f>IF(C1158&lt;&gt;"",C1158,_xlfn.XLOOKUP(B1158,AI_NAMES!D:D,AI_NAMES!E:E,"",0))</f>
        <v>0</v>
      </c>
    </row>
    <row r="1159" spans="1:13" x14ac:dyDescent="0.2">
      <c r="A1159" t="s">
        <v>1340</v>
      </c>
      <c r="B1159" t="s">
        <v>321</v>
      </c>
      <c r="L1159" t="s">
        <v>321</v>
      </c>
      <c r="M1159">
        <f>IF(C1159&lt;&gt;"",C1159,_xlfn.XLOOKUP(B1159,AI_NAMES!D:D,AI_NAMES!E:E,"",0))</f>
        <v>0</v>
      </c>
    </row>
    <row r="1160" spans="1:13" x14ac:dyDescent="0.2">
      <c r="A1160" t="s">
        <v>1341</v>
      </c>
      <c r="B1160" t="s">
        <v>321</v>
      </c>
      <c r="L1160" t="s">
        <v>321</v>
      </c>
      <c r="M1160">
        <f>IF(C1160&lt;&gt;"",C1160,_xlfn.XLOOKUP(B1160,AI_NAMES!D:D,AI_NAMES!E:E,"",0))</f>
        <v>0</v>
      </c>
    </row>
    <row r="1161" spans="1:13" x14ac:dyDescent="0.2">
      <c r="A1161" t="s">
        <v>1342</v>
      </c>
      <c r="B1161" t="s">
        <v>1343</v>
      </c>
      <c r="L1161" t="s">
        <v>1343</v>
      </c>
      <c r="M1161" t="str">
        <f>IF(C1161&lt;&gt;"",C1161,_xlfn.XLOOKUP(B1161,AI_NAMES!D:D,AI_NAMES!E:E,"",0))</f>
        <v/>
      </c>
    </row>
    <row r="1162" spans="1:13" x14ac:dyDescent="0.2">
      <c r="A1162" t="s">
        <v>1344</v>
      </c>
      <c r="B1162" t="s">
        <v>1345</v>
      </c>
      <c r="L1162" t="s">
        <v>1345</v>
      </c>
      <c r="M1162" t="str">
        <f>IF(C1162&lt;&gt;"",C1162,_xlfn.XLOOKUP(B1162,AI_NAMES!D:D,AI_NAMES!E:E,"",0))</f>
        <v/>
      </c>
    </row>
    <row r="1163" spans="1:13" x14ac:dyDescent="0.2">
      <c r="A1163" t="s">
        <v>1346</v>
      </c>
      <c r="B1163" t="s">
        <v>1347</v>
      </c>
      <c r="L1163" t="s">
        <v>1347</v>
      </c>
      <c r="M1163" t="str">
        <f>IF(C1163&lt;&gt;"",C1163,_xlfn.XLOOKUP(B1163,AI_NAMES!D:D,AI_NAMES!E:E,"",0))</f>
        <v/>
      </c>
    </row>
    <row r="1164" spans="1:13" x14ac:dyDescent="0.2">
      <c r="A1164" t="s">
        <v>1348</v>
      </c>
      <c r="B1164" t="s">
        <v>1349</v>
      </c>
      <c r="L1164" t="s">
        <v>1349</v>
      </c>
      <c r="M1164" t="str">
        <f>IF(C1164&lt;&gt;"",C1164,_xlfn.XLOOKUP(B1164,AI_NAMES!D:D,AI_NAMES!E:E,"",0))</f>
        <v/>
      </c>
    </row>
    <row r="1165" spans="1:13" x14ac:dyDescent="0.2">
      <c r="A1165" t="s">
        <v>1350</v>
      </c>
      <c r="B1165" t="s">
        <v>1351</v>
      </c>
      <c r="L1165" t="s">
        <v>1351</v>
      </c>
      <c r="M1165" t="str">
        <f>IF(C1165&lt;&gt;"",C1165,_xlfn.XLOOKUP(B1165,AI_NAMES!D:D,AI_NAMES!E:E,"",0))</f>
        <v/>
      </c>
    </row>
    <row r="1166" spans="1:13" x14ac:dyDescent="0.2">
      <c r="A1166" t="s">
        <v>1352</v>
      </c>
      <c r="B1166" t="s">
        <v>1353</v>
      </c>
      <c r="L1166" t="s">
        <v>1353</v>
      </c>
      <c r="M1166" t="str">
        <f>IF(C1166&lt;&gt;"",C1166,_xlfn.XLOOKUP(B1166,AI_NAMES!D:D,AI_NAMES!E:E,"",0))</f>
        <v/>
      </c>
    </row>
    <row r="1167" spans="1:13" x14ac:dyDescent="0.2">
      <c r="A1167" t="s">
        <v>1354</v>
      </c>
      <c r="B1167" t="s">
        <v>1355</v>
      </c>
      <c r="L1167" t="s">
        <v>1355</v>
      </c>
      <c r="M1167" t="str">
        <f>IF(C1167&lt;&gt;"",C1167,_xlfn.XLOOKUP(B1167,AI_NAMES!D:D,AI_NAMES!E:E,"",0))</f>
        <v/>
      </c>
    </row>
    <row r="1168" spans="1:13" x14ac:dyDescent="0.2">
      <c r="A1168" t="s">
        <v>1356</v>
      </c>
      <c r="B1168" t="s">
        <v>321</v>
      </c>
      <c r="L1168" t="s">
        <v>321</v>
      </c>
      <c r="M1168">
        <f>IF(C1168&lt;&gt;"",C1168,_xlfn.XLOOKUP(B1168,AI_NAMES!D:D,AI_NAMES!E:E,"",0))</f>
        <v>0</v>
      </c>
    </row>
    <row r="1169" spans="1:13" x14ac:dyDescent="0.2">
      <c r="A1169" t="s">
        <v>1357</v>
      </c>
      <c r="B1169" t="s">
        <v>321</v>
      </c>
      <c r="L1169" t="s">
        <v>321</v>
      </c>
      <c r="M1169">
        <f>IF(C1169&lt;&gt;"",C1169,_xlfn.XLOOKUP(B1169,AI_NAMES!D:D,AI_NAMES!E:E,"",0))</f>
        <v>0</v>
      </c>
    </row>
    <row r="1170" spans="1:13" x14ac:dyDescent="0.2">
      <c r="A1170" t="s">
        <v>1358</v>
      </c>
      <c r="B1170" t="s">
        <v>321</v>
      </c>
      <c r="L1170" t="s">
        <v>321</v>
      </c>
      <c r="M1170">
        <f>IF(C1170&lt;&gt;"",C1170,_xlfn.XLOOKUP(B1170,AI_NAMES!D:D,AI_NAMES!E:E,"",0))</f>
        <v>0</v>
      </c>
    </row>
    <row r="1171" spans="1:13" x14ac:dyDescent="0.2">
      <c r="A1171" t="s">
        <v>1359</v>
      </c>
      <c r="B1171" t="s">
        <v>321</v>
      </c>
      <c r="L1171" t="s">
        <v>321</v>
      </c>
      <c r="M1171">
        <f>IF(C1171&lt;&gt;"",C1171,_xlfn.XLOOKUP(B1171,AI_NAMES!D:D,AI_NAMES!E:E,"",0))</f>
        <v>0</v>
      </c>
    </row>
    <row r="1172" spans="1:13" x14ac:dyDescent="0.2">
      <c r="A1172" t="s">
        <v>1360</v>
      </c>
      <c r="B1172" t="s">
        <v>321</v>
      </c>
      <c r="L1172" t="s">
        <v>321</v>
      </c>
      <c r="M1172">
        <f>IF(C1172&lt;&gt;"",C1172,_xlfn.XLOOKUP(B1172,AI_NAMES!D:D,AI_NAMES!E:E,"",0))</f>
        <v>0</v>
      </c>
    </row>
    <row r="1173" spans="1:13" x14ac:dyDescent="0.2">
      <c r="A1173" t="s">
        <v>1361</v>
      </c>
      <c r="B1173" t="s">
        <v>321</v>
      </c>
      <c r="L1173" t="s">
        <v>321</v>
      </c>
      <c r="M1173">
        <f>IF(C1173&lt;&gt;"",C1173,_xlfn.XLOOKUP(B1173,AI_NAMES!D:D,AI_NAMES!E:E,"",0))</f>
        <v>0</v>
      </c>
    </row>
    <row r="1174" spans="1:13" x14ac:dyDescent="0.2">
      <c r="A1174" t="s">
        <v>1362</v>
      </c>
      <c r="B1174" t="s">
        <v>1363</v>
      </c>
      <c r="L1174" t="s">
        <v>1363</v>
      </c>
      <c r="M1174" t="str">
        <f>IF(C1174&lt;&gt;"",C1174,_xlfn.XLOOKUP(B1174,AI_NAMES!D:D,AI_NAMES!E:E,"",0))</f>
        <v/>
      </c>
    </row>
    <row r="1175" spans="1:13" x14ac:dyDescent="0.2">
      <c r="A1175" t="s">
        <v>1364</v>
      </c>
      <c r="B1175" t="s">
        <v>1365</v>
      </c>
      <c r="L1175" t="s">
        <v>1365</v>
      </c>
      <c r="M1175" t="str">
        <f>IF(C1175&lt;&gt;"",C1175,_xlfn.XLOOKUP(B1175,AI_NAMES!D:D,AI_NAMES!E:E,"",0))</f>
        <v/>
      </c>
    </row>
    <row r="1176" spans="1:13" x14ac:dyDescent="0.2">
      <c r="A1176" t="s">
        <v>1366</v>
      </c>
      <c r="B1176" t="s">
        <v>1367</v>
      </c>
      <c r="L1176" t="s">
        <v>1367</v>
      </c>
      <c r="M1176" t="str">
        <f>IF(C1176&lt;&gt;"",C1176,_xlfn.XLOOKUP(B1176,AI_NAMES!D:D,AI_NAMES!E:E,"",0))</f>
        <v/>
      </c>
    </row>
    <row r="1177" spans="1:13" x14ac:dyDescent="0.2">
      <c r="A1177" t="s">
        <v>1368</v>
      </c>
      <c r="B1177" t="s">
        <v>321</v>
      </c>
      <c r="L1177" t="s">
        <v>321</v>
      </c>
      <c r="M1177">
        <f>IF(C1177&lt;&gt;"",C1177,_xlfn.XLOOKUP(B1177,AI_NAMES!D:D,AI_NAMES!E:E,"",0))</f>
        <v>0</v>
      </c>
    </row>
    <row r="1178" spans="1:13" x14ac:dyDescent="0.2">
      <c r="A1178" t="s">
        <v>1369</v>
      </c>
      <c r="B1178" t="s">
        <v>321</v>
      </c>
      <c r="L1178" t="s">
        <v>321</v>
      </c>
      <c r="M1178">
        <f>IF(C1178&lt;&gt;"",C1178,_xlfn.XLOOKUP(B1178,AI_NAMES!D:D,AI_NAMES!E:E,"",0))</f>
        <v>0</v>
      </c>
    </row>
    <row r="1179" spans="1:13" x14ac:dyDescent="0.2">
      <c r="A1179" t="s">
        <v>1370</v>
      </c>
      <c r="B1179" t="s">
        <v>321</v>
      </c>
      <c r="L1179" t="s">
        <v>321</v>
      </c>
      <c r="M1179">
        <f>IF(C1179&lt;&gt;"",C1179,_xlfn.XLOOKUP(B1179,AI_NAMES!D:D,AI_NAMES!E:E,"",0))</f>
        <v>0</v>
      </c>
    </row>
    <row r="1180" spans="1:13" x14ac:dyDescent="0.2">
      <c r="A1180" t="s">
        <v>1371</v>
      </c>
      <c r="B1180" t="s">
        <v>321</v>
      </c>
      <c r="L1180" t="s">
        <v>321</v>
      </c>
      <c r="M1180">
        <f>IF(C1180&lt;&gt;"",C1180,_xlfn.XLOOKUP(B1180,AI_NAMES!D:D,AI_NAMES!E:E,"",0))</f>
        <v>0</v>
      </c>
    </row>
    <row r="1181" spans="1:13" x14ac:dyDescent="0.2">
      <c r="A1181" t="s">
        <v>1372</v>
      </c>
      <c r="B1181" t="s">
        <v>321</v>
      </c>
      <c r="L1181" t="s">
        <v>321</v>
      </c>
      <c r="M1181">
        <f>IF(C1181&lt;&gt;"",C1181,_xlfn.XLOOKUP(B1181,AI_NAMES!D:D,AI_NAMES!E:E,"",0))</f>
        <v>0</v>
      </c>
    </row>
    <row r="1182" spans="1:13" x14ac:dyDescent="0.2">
      <c r="A1182" t="s">
        <v>1373</v>
      </c>
      <c r="B1182" t="s">
        <v>321</v>
      </c>
      <c r="L1182" t="s">
        <v>321</v>
      </c>
      <c r="M1182">
        <f>IF(C1182&lt;&gt;"",C1182,_xlfn.XLOOKUP(B1182,AI_NAMES!D:D,AI_NAMES!E:E,"",0))</f>
        <v>0</v>
      </c>
    </row>
    <row r="1183" spans="1:13" x14ac:dyDescent="0.2">
      <c r="A1183" t="s">
        <v>1374</v>
      </c>
      <c r="B1183" t="s">
        <v>321</v>
      </c>
      <c r="L1183" t="s">
        <v>321</v>
      </c>
      <c r="M1183">
        <f>IF(C1183&lt;&gt;"",C1183,_xlfn.XLOOKUP(B1183,AI_NAMES!D:D,AI_NAMES!E:E,"",0))</f>
        <v>0</v>
      </c>
    </row>
    <row r="1184" spans="1:13" x14ac:dyDescent="0.2">
      <c r="A1184" t="s">
        <v>1375</v>
      </c>
      <c r="B1184" t="s">
        <v>321</v>
      </c>
      <c r="L1184" t="s">
        <v>321</v>
      </c>
      <c r="M1184">
        <f>IF(C1184&lt;&gt;"",C1184,_xlfn.XLOOKUP(B1184,AI_NAMES!D:D,AI_NAMES!E:E,"",0))</f>
        <v>0</v>
      </c>
    </row>
    <row r="1185" spans="1:13" x14ac:dyDescent="0.2">
      <c r="A1185" t="s">
        <v>1376</v>
      </c>
      <c r="B1185" t="s">
        <v>321</v>
      </c>
      <c r="L1185" t="s">
        <v>321</v>
      </c>
      <c r="M1185">
        <f>IF(C1185&lt;&gt;"",C1185,_xlfn.XLOOKUP(B1185,AI_NAMES!D:D,AI_NAMES!E:E,"",0))</f>
        <v>0</v>
      </c>
    </row>
    <row r="1186" spans="1:13" x14ac:dyDescent="0.2">
      <c r="A1186" t="s">
        <v>1377</v>
      </c>
      <c r="B1186" t="s">
        <v>321</v>
      </c>
      <c r="L1186" t="s">
        <v>321</v>
      </c>
      <c r="M1186">
        <f>IF(C1186&lt;&gt;"",C1186,_xlfn.XLOOKUP(B1186,AI_NAMES!D:D,AI_NAMES!E:E,"",0))</f>
        <v>0</v>
      </c>
    </row>
    <row r="1187" spans="1:13" x14ac:dyDescent="0.2">
      <c r="A1187" t="s">
        <v>1378</v>
      </c>
      <c r="B1187" t="s">
        <v>321</v>
      </c>
      <c r="L1187" t="s">
        <v>321</v>
      </c>
      <c r="M1187">
        <f>IF(C1187&lt;&gt;"",C1187,_xlfn.XLOOKUP(B1187,AI_NAMES!D:D,AI_NAMES!E:E,"",0))</f>
        <v>0</v>
      </c>
    </row>
    <row r="1188" spans="1:13" x14ac:dyDescent="0.2">
      <c r="A1188" t="s">
        <v>1379</v>
      </c>
      <c r="B1188" t="s">
        <v>321</v>
      </c>
      <c r="L1188" t="s">
        <v>321</v>
      </c>
      <c r="M1188">
        <f>IF(C1188&lt;&gt;"",C1188,_xlfn.XLOOKUP(B1188,AI_NAMES!D:D,AI_NAMES!E:E,"",0))</f>
        <v>0</v>
      </c>
    </row>
    <row r="1189" spans="1:13" x14ac:dyDescent="0.2">
      <c r="A1189" t="s">
        <v>1380</v>
      </c>
      <c r="B1189" t="s">
        <v>1381</v>
      </c>
      <c r="L1189" t="s">
        <v>1381</v>
      </c>
      <c r="M1189" t="str">
        <f>IF(C1189&lt;&gt;"",C1189,_xlfn.XLOOKUP(B1189,AI_NAMES!D:D,AI_NAMES!E:E,"",0))</f>
        <v/>
      </c>
    </row>
    <row r="1190" spans="1:13" x14ac:dyDescent="0.2">
      <c r="A1190" t="s">
        <v>1382</v>
      </c>
      <c r="B1190" t="s">
        <v>1383</v>
      </c>
      <c r="L1190" t="s">
        <v>1383</v>
      </c>
      <c r="M1190" t="str">
        <f>IF(C1190&lt;&gt;"",C1190,_xlfn.XLOOKUP(B1190,AI_NAMES!D:D,AI_NAMES!E:E,"",0))</f>
        <v/>
      </c>
    </row>
    <row r="1191" spans="1:13" x14ac:dyDescent="0.2">
      <c r="A1191" t="s">
        <v>1384</v>
      </c>
      <c r="B1191" t="s">
        <v>1385</v>
      </c>
      <c r="L1191" t="s">
        <v>1385</v>
      </c>
      <c r="M1191" t="str">
        <f>IF(C1191&lt;&gt;"",C1191,_xlfn.XLOOKUP(B1191,AI_NAMES!D:D,AI_NAMES!E:E,"",0))</f>
        <v/>
      </c>
    </row>
    <row r="1192" spans="1:13" x14ac:dyDescent="0.2">
      <c r="A1192" t="s">
        <v>1386</v>
      </c>
      <c r="B1192" t="s">
        <v>1387</v>
      </c>
      <c r="L1192" t="s">
        <v>1387</v>
      </c>
      <c r="M1192" t="str">
        <f>IF(C1192&lt;&gt;"",C1192,_xlfn.XLOOKUP(B1192,AI_NAMES!D:D,AI_NAMES!E:E,"",0))</f>
        <v/>
      </c>
    </row>
    <row r="1193" spans="1:13" x14ac:dyDescent="0.2">
      <c r="A1193" t="s">
        <v>1388</v>
      </c>
      <c r="B1193" t="s">
        <v>321</v>
      </c>
      <c r="L1193" t="s">
        <v>321</v>
      </c>
      <c r="M1193">
        <f>IF(C1193&lt;&gt;"",C1193,_xlfn.XLOOKUP(B1193,AI_NAMES!D:D,AI_NAMES!E:E,"",0))</f>
        <v>0</v>
      </c>
    </row>
    <row r="1194" spans="1:13" x14ac:dyDescent="0.2">
      <c r="A1194" t="s">
        <v>1389</v>
      </c>
      <c r="B1194" t="s">
        <v>1390</v>
      </c>
      <c r="L1194" t="s">
        <v>1390</v>
      </c>
      <c r="M1194" t="str">
        <f>IF(C1194&lt;&gt;"",C1194,_xlfn.XLOOKUP(B1194,AI_NAMES!D:D,AI_NAMES!E:E,"",0))</f>
        <v/>
      </c>
    </row>
    <row r="1195" spans="1:13" x14ac:dyDescent="0.2">
      <c r="A1195" t="s">
        <v>1391</v>
      </c>
      <c r="B1195" t="s">
        <v>321</v>
      </c>
      <c r="L1195" t="s">
        <v>321</v>
      </c>
      <c r="M1195">
        <f>IF(C1195&lt;&gt;"",C1195,_xlfn.XLOOKUP(B1195,AI_NAMES!D:D,AI_NAMES!E:E,"",0))</f>
        <v>0</v>
      </c>
    </row>
    <row r="1196" spans="1:13" x14ac:dyDescent="0.2">
      <c r="A1196" t="s">
        <v>1392</v>
      </c>
      <c r="B1196" t="s">
        <v>321</v>
      </c>
      <c r="L1196" t="s">
        <v>321</v>
      </c>
      <c r="M1196">
        <f>IF(C1196&lt;&gt;"",C1196,_xlfn.XLOOKUP(B1196,AI_NAMES!D:D,AI_NAMES!E:E,"",0))</f>
        <v>0</v>
      </c>
    </row>
    <row r="1197" spans="1:13" x14ac:dyDescent="0.2">
      <c r="A1197" t="s">
        <v>1393</v>
      </c>
      <c r="B1197" t="s">
        <v>321</v>
      </c>
      <c r="L1197" t="s">
        <v>321</v>
      </c>
      <c r="M1197">
        <f>IF(C1197&lt;&gt;"",C1197,_xlfn.XLOOKUP(B1197,AI_NAMES!D:D,AI_NAMES!E:E,"",0))</f>
        <v>0</v>
      </c>
    </row>
    <row r="1198" spans="1:13" x14ac:dyDescent="0.2">
      <c r="A1198" t="s">
        <v>1394</v>
      </c>
      <c r="B1198" t="s">
        <v>321</v>
      </c>
      <c r="L1198" t="s">
        <v>321</v>
      </c>
      <c r="M1198">
        <f>IF(C1198&lt;&gt;"",C1198,_xlfn.XLOOKUP(B1198,AI_NAMES!D:D,AI_NAMES!E:E,"",0))</f>
        <v>0</v>
      </c>
    </row>
    <row r="1199" spans="1:13" x14ac:dyDescent="0.2">
      <c r="A1199" t="s">
        <v>1395</v>
      </c>
      <c r="B1199" t="s">
        <v>321</v>
      </c>
      <c r="L1199" t="s">
        <v>321</v>
      </c>
      <c r="M1199">
        <f>IF(C1199&lt;&gt;"",C1199,_xlfn.XLOOKUP(B1199,AI_NAMES!D:D,AI_NAMES!E:E,"",0))</f>
        <v>0</v>
      </c>
    </row>
    <row r="1200" spans="1:13" x14ac:dyDescent="0.2">
      <c r="A1200" t="s">
        <v>1396</v>
      </c>
      <c r="B1200" t="s">
        <v>321</v>
      </c>
      <c r="L1200" t="s">
        <v>321</v>
      </c>
      <c r="M1200">
        <f>IF(C1200&lt;&gt;"",C1200,_xlfn.XLOOKUP(B1200,AI_NAMES!D:D,AI_NAMES!E:E,"",0))</f>
        <v>0</v>
      </c>
    </row>
    <row r="1201" spans="1:13" x14ac:dyDescent="0.2">
      <c r="A1201" t="s">
        <v>1397</v>
      </c>
      <c r="B1201" t="s">
        <v>321</v>
      </c>
      <c r="L1201" t="s">
        <v>321</v>
      </c>
      <c r="M1201">
        <f>IF(C1201&lt;&gt;"",C1201,_xlfn.XLOOKUP(B1201,AI_NAMES!D:D,AI_NAMES!E:E,"",0))</f>
        <v>0</v>
      </c>
    </row>
    <row r="1202" spans="1:13" x14ac:dyDescent="0.2">
      <c r="A1202" t="s">
        <v>1398</v>
      </c>
      <c r="B1202" t="s">
        <v>321</v>
      </c>
      <c r="L1202" t="s">
        <v>321</v>
      </c>
      <c r="M1202">
        <f>IF(C1202&lt;&gt;"",C1202,_xlfn.XLOOKUP(B1202,AI_NAMES!D:D,AI_NAMES!E:E,"",0))</f>
        <v>0</v>
      </c>
    </row>
    <row r="1203" spans="1:13" x14ac:dyDescent="0.2">
      <c r="A1203" t="s">
        <v>1399</v>
      </c>
      <c r="B1203" t="s">
        <v>321</v>
      </c>
      <c r="L1203" t="s">
        <v>321</v>
      </c>
      <c r="M1203">
        <f>IF(C1203&lt;&gt;"",C1203,_xlfn.XLOOKUP(B1203,AI_NAMES!D:D,AI_NAMES!E:E,"",0))</f>
        <v>0</v>
      </c>
    </row>
    <row r="1204" spans="1:13" x14ac:dyDescent="0.2">
      <c r="A1204" t="s">
        <v>1400</v>
      </c>
      <c r="B1204" t="s">
        <v>321</v>
      </c>
      <c r="L1204" t="s">
        <v>321</v>
      </c>
      <c r="M1204">
        <f>IF(C1204&lt;&gt;"",C1204,_xlfn.XLOOKUP(B1204,AI_NAMES!D:D,AI_NAMES!E:E,"",0))</f>
        <v>0</v>
      </c>
    </row>
    <row r="1205" spans="1:13" x14ac:dyDescent="0.2">
      <c r="A1205" t="s">
        <v>1401</v>
      </c>
      <c r="B1205" t="s">
        <v>321</v>
      </c>
      <c r="L1205" t="s">
        <v>321</v>
      </c>
      <c r="M1205">
        <f>IF(C1205&lt;&gt;"",C1205,_xlfn.XLOOKUP(B1205,AI_NAMES!D:D,AI_NAMES!E:E,"",0))</f>
        <v>0</v>
      </c>
    </row>
    <row r="1206" spans="1:13" x14ac:dyDescent="0.2">
      <c r="A1206" t="s">
        <v>1402</v>
      </c>
      <c r="B1206" t="s">
        <v>321</v>
      </c>
      <c r="L1206" t="s">
        <v>321</v>
      </c>
      <c r="M1206">
        <f>IF(C1206&lt;&gt;"",C1206,_xlfn.XLOOKUP(B1206,AI_NAMES!D:D,AI_NAMES!E:E,"",0))</f>
        <v>0</v>
      </c>
    </row>
    <row r="1207" spans="1:13" x14ac:dyDescent="0.2">
      <c r="A1207" t="s">
        <v>1403</v>
      </c>
      <c r="B1207" t="s">
        <v>321</v>
      </c>
      <c r="L1207" t="s">
        <v>321</v>
      </c>
      <c r="M1207">
        <f>IF(C1207&lt;&gt;"",C1207,_xlfn.XLOOKUP(B1207,AI_NAMES!D:D,AI_NAMES!E:E,"",0))</f>
        <v>0</v>
      </c>
    </row>
    <row r="1208" spans="1:13" x14ac:dyDescent="0.2">
      <c r="A1208" t="s">
        <v>1404</v>
      </c>
      <c r="B1208" t="s">
        <v>321</v>
      </c>
      <c r="L1208" t="s">
        <v>321</v>
      </c>
      <c r="M1208">
        <f>IF(C1208&lt;&gt;"",C1208,_xlfn.XLOOKUP(B1208,AI_NAMES!D:D,AI_NAMES!E:E,"",0))</f>
        <v>0</v>
      </c>
    </row>
    <row r="1209" spans="1:13" x14ac:dyDescent="0.2">
      <c r="A1209" t="s">
        <v>1405</v>
      </c>
      <c r="B1209" t="s">
        <v>321</v>
      </c>
      <c r="L1209" t="s">
        <v>321</v>
      </c>
      <c r="M1209">
        <f>IF(C1209&lt;&gt;"",C1209,_xlfn.XLOOKUP(B1209,AI_NAMES!D:D,AI_NAMES!E:E,"",0))</f>
        <v>0</v>
      </c>
    </row>
    <row r="1210" spans="1:13" x14ac:dyDescent="0.2">
      <c r="A1210" t="s">
        <v>1406</v>
      </c>
      <c r="B1210" t="s">
        <v>321</v>
      </c>
      <c r="L1210" t="s">
        <v>321</v>
      </c>
      <c r="M1210">
        <f>IF(C1210&lt;&gt;"",C1210,_xlfn.XLOOKUP(B1210,AI_NAMES!D:D,AI_NAMES!E:E,"",0))</f>
        <v>0</v>
      </c>
    </row>
    <row r="1211" spans="1:13" x14ac:dyDescent="0.2">
      <c r="A1211" t="s">
        <v>1407</v>
      </c>
      <c r="B1211" t="s">
        <v>321</v>
      </c>
      <c r="L1211" t="s">
        <v>321</v>
      </c>
      <c r="M1211">
        <f>IF(C1211&lt;&gt;"",C1211,_xlfn.XLOOKUP(B1211,AI_NAMES!D:D,AI_NAMES!E:E,"",0))</f>
        <v>0</v>
      </c>
    </row>
    <row r="1212" spans="1:13" x14ac:dyDescent="0.2">
      <c r="A1212" t="s">
        <v>1408</v>
      </c>
      <c r="B1212" t="s">
        <v>321</v>
      </c>
      <c r="L1212" t="s">
        <v>321</v>
      </c>
      <c r="M1212">
        <f>IF(C1212&lt;&gt;"",C1212,_xlfn.XLOOKUP(B1212,AI_NAMES!D:D,AI_NAMES!E:E,"",0))</f>
        <v>0</v>
      </c>
    </row>
    <row r="1213" spans="1:13" x14ac:dyDescent="0.2">
      <c r="A1213" t="s">
        <v>1409</v>
      </c>
      <c r="B1213" t="s">
        <v>321</v>
      </c>
      <c r="L1213" t="s">
        <v>321</v>
      </c>
      <c r="M1213">
        <f>IF(C1213&lt;&gt;"",C1213,_xlfn.XLOOKUP(B1213,AI_NAMES!D:D,AI_NAMES!E:E,"",0))</f>
        <v>0</v>
      </c>
    </row>
    <row r="1214" spans="1:13" x14ac:dyDescent="0.2">
      <c r="A1214" t="s">
        <v>1410</v>
      </c>
      <c r="B1214" t="s">
        <v>321</v>
      </c>
      <c r="L1214" t="s">
        <v>321</v>
      </c>
      <c r="M1214">
        <f>IF(C1214&lt;&gt;"",C1214,_xlfn.XLOOKUP(B1214,AI_NAMES!D:D,AI_NAMES!E:E,"",0))</f>
        <v>0</v>
      </c>
    </row>
    <row r="1215" spans="1:13" x14ac:dyDescent="0.2">
      <c r="A1215" t="s">
        <v>1411</v>
      </c>
      <c r="B1215" t="s">
        <v>321</v>
      </c>
      <c r="L1215" t="s">
        <v>321</v>
      </c>
      <c r="M1215">
        <f>IF(C1215&lt;&gt;"",C1215,_xlfn.XLOOKUP(B1215,AI_NAMES!D:D,AI_NAMES!E:E,"",0))</f>
        <v>0</v>
      </c>
    </row>
    <row r="1216" spans="1:13" x14ac:dyDescent="0.2">
      <c r="A1216" t="s">
        <v>1412</v>
      </c>
      <c r="B1216" t="s">
        <v>321</v>
      </c>
      <c r="L1216" t="s">
        <v>321</v>
      </c>
      <c r="M1216">
        <f>IF(C1216&lt;&gt;"",C1216,_xlfn.XLOOKUP(B1216,AI_NAMES!D:D,AI_NAMES!E:E,"",0))</f>
        <v>0</v>
      </c>
    </row>
    <row r="1217" spans="1:13" x14ac:dyDescent="0.2">
      <c r="A1217" t="s">
        <v>1413</v>
      </c>
      <c r="B1217" t="s">
        <v>321</v>
      </c>
      <c r="L1217" t="s">
        <v>321</v>
      </c>
      <c r="M1217">
        <f>IF(C1217&lt;&gt;"",C1217,_xlfn.XLOOKUP(B1217,AI_NAMES!D:D,AI_NAMES!E:E,"",0))</f>
        <v>0</v>
      </c>
    </row>
    <row r="1218" spans="1:13" x14ac:dyDescent="0.2">
      <c r="A1218" t="s">
        <v>1414</v>
      </c>
      <c r="B1218" t="s">
        <v>321</v>
      </c>
      <c r="L1218" t="s">
        <v>321</v>
      </c>
      <c r="M1218">
        <f>IF(C1218&lt;&gt;"",C1218,_xlfn.XLOOKUP(B1218,AI_NAMES!D:D,AI_NAMES!E:E,"",0))</f>
        <v>0</v>
      </c>
    </row>
    <row r="1219" spans="1:13" x14ac:dyDescent="0.2">
      <c r="A1219" t="s">
        <v>1415</v>
      </c>
      <c r="B1219" t="s">
        <v>3396</v>
      </c>
      <c r="L1219" t="s">
        <v>3396</v>
      </c>
      <c r="M1219" t="str">
        <f>IF(C1219&lt;&gt;"",C1219,_xlfn.XLOOKUP(B1219,AI_NAMES!D:D,AI_NAMES!E:E,"",0))</f>
        <v/>
      </c>
    </row>
    <row r="1220" spans="1:13" x14ac:dyDescent="0.2">
      <c r="A1220" t="s">
        <v>1416</v>
      </c>
      <c r="B1220" t="s">
        <v>3383</v>
      </c>
      <c r="L1220" t="s">
        <v>3383</v>
      </c>
      <c r="M1220" t="str">
        <f>IF(C1220&lt;&gt;"",C1220,_xlfn.XLOOKUP(B1220,AI_NAMES!D:D,AI_NAMES!E:E,"",0))</f>
        <v/>
      </c>
    </row>
    <row r="1221" spans="1:13" x14ac:dyDescent="0.2">
      <c r="A1221" t="s">
        <v>1417</v>
      </c>
      <c r="B1221" t="s">
        <v>321</v>
      </c>
      <c r="L1221" t="s">
        <v>321</v>
      </c>
      <c r="M1221">
        <f>IF(C1221&lt;&gt;"",C1221,_xlfn.XLOOKUP(B1221,AI_NAMES!D:D,AI_NAMES!E:E,"",0))</f>
        <v>0</v>
      </c>
    </row>
    <row r="1222" spans="1:13" x14ac:dyDescent="0.2">
      <c r="A1222" t="s">
        <v>1418</v>
      </c>
      <c r="B1222" t="s">
        <v>321</v>
      </c>
      <c r="L1222" t="s">
        <v>321</v>
      </c>
      <c r="M1222">
        <f>IF(C1222&lt;&gt;"",C1222,_xlfn.XLOOKUP(B1222,AI_NAMES!D:D,AI_NAMES!E:E,"",0))</f>
        <v>0</v>
      </c>
    </row>
    <row r="1223" spans="1:13" x14ac:dyDescent="0.2">
      <c r="A1223" t="s">
        <v>1419</v>
      </c>
      <c r="B1223" t="s">
        <v>1420</v>
      </c>
      <c r="L1223" t="s">
        <v>1420</v>
      </c>
      <c r="M1223" t="str">
        <f>IF(C1223&lt;&gt;"",C1223,_xlfn.XLOOKUP(B1223,AI_NAMES!D:D,AI_NAMES!E:E,"",0))</f>
        <v/>
      </c>
    </row>
    <row r="1224" spans="1:13" x14ac:dyDescent="0.2">
      <c r="A1224" t="s">
        <v>1421</v>
      </c>
      <c r="B1224" t="s">
        <v>321</v>
      </c>
      <c r="L1224" t="s">
        <v>321</v>
      </c>
      <c r="M1224">
        <f>IF(C1224&lt;&gt;"",C1224,_xlfn.XLOOKUP(B1224,AI_NAMES!D:D,AI_NAMES!E:E,"",0))</f>
        <v>0</v>
      </c>
    </row>
    <row r="1225" spans="1:13" x14ac:dyDescent="0.2">
      <c r="A1225" t="s">
        <v>1422</v>
      </c>
      <c r="B1225" t="s">
        <v>321</v>
      </c>
      <c r="L1225" t="s">
        <v>321</v>
      </c>
      <c r="M1225">
        <f>IF(C1225&lt;&gt;"",C1225,_xlfn.XLOOKUP(B1225,AI_NAMES!D:D,AI_NAMES!E:E,"",0))</f>
        <v>0</v>
      </c>
    </row>
    <row r="1226" spans="1:13" x14ac:dyDescent="0.2">
      <c r="A1226" t="s">
        <v>1423</v>
      </c>
      <c r="B1226" t="s">
        <v>321</v>
      </c>
      <c r="L1226" t="s">
        <v>321</v>
      </c>
      <c r="M1226">
        <f>IF(C1226&lt;&gt;"",C1226,_xlfn.XLOOKUP(B1226,AI_NAMES!D:D,AI_NAMES!E:E,"",0))</f>
        <v>0</v>
      </c>
    </row>
    <row r="1227" spans="1:13" x14ac:dyDescent="0.2">
      <c r="A1227" t="s">
        <v>1424</v>
      </c>
      <c r="B1227" t="s">
        <v>1425</v>
      </c>
      <c r="L1227" t="s">
        <v>1425</v>
      </c>
      <c r="M1227" t="str">
        <f>IF(C1227&lt;&gt;"",C1227,_xlfn.XLOOKUP(B1227,AI_NAMES!D:D,AI_NAMES!E:E,"",0))</f>
        <v/>
      </c>
    </row>
    <row r="1228" spans="1:13" x14ac:dyDescent="0.2">
      <c r="A1228" t="s">
        <v>1426</v>
      </c>
      <c r="B1228" t="s">
        <v>321</v>
      </c>
      <c r="L1228" t="s">
        <v>321</v>
      </c>
      <c r="M1228">
        <f>IF(C1228&lt;&gt;"",C1228,_xlfn.XLOOKUP(B1228,AI_NAMES!D:D,AI_NAMES!E:E,"",0))</f>
        <v>0</v>
      </c>
    </row>
    <row r="1229" spans="1:13" x14ac:dyDescent="0.2">
      <c r="A1229" t="s">
        <v>1427</v>
      </c>
      <c r="B1229" t="s">
        <v>321</v>
      </c>
      <c r="L1229" t="s">
        <v>321</v>
      </c>
      <c r="M1229">
        <f>IF(C1229&lt;&gt;"",C1229,_xlfn.XLOOKUP(B1229,AI_NAMES!D:D,AI_NAMES!E:E,"",0))</f>
        <v>0</v>
      </c>
    </row>
    <row r="1230" spans="1:13" x14ac:dyDescent="0.2">
      <c r="A1230" t="s">
        <v>1428</v>
      </c>
      <c r="B1230" t="s">
        <v>321</v>
      </c>
      <c r="L1230" t="s">
        <v>321</v>
      </c>
      <c r="M1230">
        <f>IF(C1230&lt;&gt;"",C1230,_xlfn.XLOOKUP(B1230,AI_NAMES!D:D,AI_NAMES!E:E,"",0))</f>
        <v>0</v>
      </c>
    </row>
    <row r="1231" spans="1:13" x14ac:dyDescent="0.2">
      <c r="A1231" t="s">
        <v>1429</v>
      </c>
      <c r="B1231" t="s">
        <v>3129</v>
      </c>
      <c r="L1231" t="s">
        <v>3129</v>
      </c>
      <c r="M1231" t="str">
        <f>IF(C1231&lt;&gt;"",C1231,_xlfn.XLOOKUP(B1231,AI_NAMES!D:D,AI_NAMES!E:E,"",0))</f>
        <v/>
      </c>
    </row>
    <row r="1232" spans="1:13" x14ac:dyDescent="0.2">
      <c r="A1232" t="s">
        <v>1430</v>
      </c>
      <c r="B1232" t="s">
        <v>3128</v>
      </c>
      <c r="L1232" t="s">
        <v>3128</v>
      </c>
      <c r="M1232" t="str">
        <f>IF(C1232&lt;&gt;"",C1232,_xlfn.XLOOKUP(B1232,AI_NAMES!D:D,AI_NAMES!E:E,"",0))</f>
        <v/>
      </c>
    </row>
    <row r="1233" spans="1:13" x14ac:dyDescent="0.2">
      <c r="A1233" t="s">
        <v>1431</v>
      </c>
      <c r="B1233" t="s">
        <v>3130</v>
      </c>
      <c r="L1233" t="s">
        <v>3130</v>
      </c>
      <c r="M1233" t="str">
        <f>IF(C1233&lt;&gt;"",C1233,_xlfn.XLOOKUP(B1233,AI_NAMES!D:D,AI_NAMES!E:E,"",0))</f>
        <v/>
      </c>
    </row>
    <row r="1234" spans="1:13" x14ac:dyDescent="0.2">
      <c r="A1234" t="s">
        <v>1433</v>
      </c>
      <c r="B1234" t="s">
        <v>3132</v>
      </c>
      <c r="L1234" t="s">
        <v>3132</v>
      </c>
      <c r="M1234" t="str">
        <f>IF(C1234&lt;&gt;"",C1234,_xlfn.XLOOKUP(B1234,AI_NAMES!D:D,AI_NAMES!E:E,"",0))</f>
        <v/>
      </c>
    </row>
    <row r="1235" spans="1:13" x14ac:dyDescent="0.2">
      <c r="A1235" t="s">
        <v>1434</v>
      </c>
      <c r="B1235" t="s">
        <v>3134</v>
      </c>
      <c r="L1235" t="s">
        <v>3134</v>
      </c>
      <c r="M1235" t="str">
        <f>IF(C1235&lt;&gt;"",C1235,_xlfn.XLOOKUP(B1235,AI_NAMES!D:D,AI_NAMES!E:E,"",0))</f>
        <v/>
      </c>
    </row>
    <row r="1236" spans="1:13" x14ac:dyDescent="0.2">
      <c r="A1236" t="s">
        <v>1435</v>
      </c>
      <c r="B1236" t="s">
        <v>3133</v>
      </c>
      <c r="L1236" t="s">
        <v>3133</v>
      </c>
      <c r="M1236" t="str">
        <f>IF(C1236&lt;&gt;"",C1236,_xlfn.XLOOKUP(B1236,AI_NAMES!D:D,AI_NAMES!E:E,"",0))</f>
        <v/>
      </c>
    </row>
    <row r="1237" spans="1:13" x14ac:dyDescent="0.2">
      <c r="A1237" t="s">
        <v>1436</v>
      </c>
      <c r="B1237" t="s">
        <v>1437</v>
      </c>
      <c r="L1237" t="s">
        <v>1437</v>
      </c>
      <c r="M1237" t="str">
        <f>IF(C1237&lt;&gt;"",C1237,_xlfn.XLOOKUP(B1237,AI_NAMES!D:D,AI_NAMES!E:E,"",0))</f>
        <v/>
      </c>
    </row>
    <row r="1238" spans="1:13" x14ac:dyDescent="0.2">
      <c r="A1238" t="s">
        <v>1438</v>
      </c>
      <c r="B1238" t="s">
        <v>1439</v>
      </c>
      <c r="L1238" t="s">
        <v>1439</v>
      </c>
      <c r="M1238" t="str">
        <f>IF(C1238&lt;&gt;"",C1238,_xlfn.XLOOKUP(B1238,AI_NAMES!D:D,AI_NAMES!E:E,"",0))</f>
        <v/>
      </c>
    </row>
    <row r="1239" spans="1:13" x14ac:dyDescent="0.2">
      <c r="A1239" t="s">
        <v>1440</v>
      </c>
      <c r="B1239" t="s">
        <v>1440</v>
      </c>
      <c r="L1239" t="s">
        <v>1440</v>
      </c>
      <c r="M1239" t="str">
        <f>IF(C1239&lt;&gt;"",C1239,_xlfn.XLOOKUP(B1239,AI_NAMES!D:D,AI_NAMES!E:E,"",0))</f>
        <v/>
      </c>
    </row>
    <row r="1240" spans="1:13" x14ac:dyDescent="0.2">
      <c r="A1240" t="s">
        <v>1441</v>
      </c>
      <c r="B1240" t="s">
        <v>1442</v>
      </c>
      <c r="L1240" t="s">
        <v>1442</v>
      </c>
      <c r="M1240" t="str">
        <f>IF(C1240&lt;&gt;"",C1240,_xlfn.XLOOKUP(B1240,AI_NAMES!D:D,AI_NAMES!E:E,"",0))</f>
        <v/>
      </c>
    </row>
    <row r="1241" spans="1:13" x14ac:dyDescent="0.2">
      <c r="A1241" t="s">
        <v>1443</v>
      </c>
      <c r="B1241" t="s">
        <v>1444</v>
      </c>
      <c r="L1241" t="s">
        <v>1444</v>
      </c>
      <c r="M1241" t="str">
        <f>IF(C1241&lt;&gt;"",C1241,_xlfn.XLOOKUP(B1241,AI_NAMES!D:D,AI_NAMES!E:E,"",0))</f>
        <v/>
      </c>
    </row>
    <row r="1242" spans="1:13" x14ac:dyDescent="0.2">
      <c r="A1242" t="s">
        <v>1445</v>
      </c>
      <c r="B1242" t="s">
        <v>1446</v>
      </c>
      <c r="L1242" t="s">
        <v>1446</v>
      </c>
      <c r="M1242" t="str">
        <f>IF(C1242&lt;&gt;"",C1242,_xlfn.XLOOKUP(B1242,AI_NAMES!D:D,AI_NAMES!E:E,"",0))</f>
        <v/>
      </c>
    </row>
    <row r="1243" spans="1:13" x14ac:dyDescent="0.2">
      <c r="A1243" t="s">
        <v>1447</v>
      </c>
      <c r="B1243" t="s">
        <v>1448</v>
      </c>
      <c r="L1243" t="s">
        <v>1448</v>
      </c>
      <c r="M1243" t="str">
        <f>IF(C1243&lt;&gt;"",C1243,_xlfn.XLOOKUP(B1243,AI_NAMES!D:D,AI_NAMES!E:E,"",0))</f>
        <v/>
      </c>
    </row>
    <row r="1244" spans="1:13" x14ac:dyDescent="0.2">
      <c r="A1244" t="s">
        <v>1449</v>
      </c>
      <c r="B1244" t="s">
        <v>1450</v>
      </c>
      <c r="L1244" t="s">
        <v>1450</v>
      </c>
      <c r="M1244" t="str">
        <f>IF(C1244&lt;&gt;"",C1244,_xlfn.XLOOKUP(B1244,AI_NAMES!D:D,AI_NAMES!E:E,"",0))</f>
        <v/>
      </c>
    </row>
    <row r="1245" spans="1:13" x14ac:dyDescent="0.2">
      <c r="A1245" t="s">
        <v>1451</v>
      </c>
      <c r="M1245">
        <f>IF(C1245&lt;&gt;"",C1245,_xlfn.XLOOKUP(B1245,AI_NAMES!D:D,AI_NAMES!E:E,"",0))</f>
        <v>0</v>
      </c>
    </row>
    <row r="1246" spans="1:13" x14ac:dyDescent="0.2">
      <c r="A1246" t="s">
        <v>1452</v>
      </c>
      <c r="B1246" t="s">
        <v>321</v>
      </c>
      <c r="L1246" t="s">
        <v>321</v>
      </c>
      <c r="M1246">
        <f>IF(C1246&lt;&gt;"",C1246,_xlfn.XLOOKUP(B1246,AI_NAMES!D:D,AI_NAMES!E:E,"",0))</f>
        <v>0</v>
      </c>
    </row>
    <row r="1247" spans="1:13" x14ac:dyDescent="0.2">
      <c r="A1247" t="s">
        <v>1453</v>
      </c>
      <c r="B1247" t="s">
        <v>321</v>
      </c>
      <c r="L1247" t="s">
        <v>321</v>
      </c>
      <c r="M1247">
        <f>IF(C1247&lt;&gt;"",C1247,_xlfn.XLOOKUP(B1247,AI_NAMES!D:D,AI_NAMES!E:E,"",0))</f>
        <v>0</v>
      </c>
    </row>
    <row r="1248" spans="1:13" x14ac:dyDescent="0.2">
      <c r="A1248" t="s">
        <v>1454</v>
      </c>
      <c r="B1248" t="s">
        <v>1455</v>
      </c>
      <c r="L1248" t="s">
        <v>1455</v>
      </c>
      <c r="M1248" t="str">
        <f>IF(C1248&lt;&gt;"",C1248,_xlfn.XLOOKUP(B1248,AI_NAMES!D:D,AI_NAMES!E:E,"",0))</f>
        <v/>
      </c>
    </row>
    <row r="1249" spans="1:13" x14ac:dyDescent="0.2">
      <c r="A1249" t="s">
        <v>1456</v>
      </c>
      <c r="B1249" t="s">
        <v>1457</v>
      </c>
      <c r="L1249" t="s">
        <v>1457</v>
      </c>
      <c r="M1249" t="str">
        <f>IF(C1249&lt;&gt;"",C1249,_xlfn.XLOOKUP(B1249,AI_NAMES!D:D,AI_NAMES!E:E,"",0))</f>
        <v/>
      </c>
    </row>
    <row r="1250" spans="1:13" x14ac:dyDescent="0.2">
      <c r="A1250" t="s">
        <v>1458</v>
      </c>
      <c r="B1250" t="s">
        <v>1459</v>
      </c>
      <c r="L1250" t="s">
        <v>1459</v>
      </c>
      <c r="M1250" t="str">
        <f>IF(C1250&lt;&gt;"",C1250,_xlfn.XLOOKUP(B1250,AI_NAMES!D:D,AI_NAMES!E:E,"",0))</f>
        <v/>
      </c>
    </row>
    <row r="1251" spans="1:13" x14ac:dyDescent="0.2">
      <c r="A1251" t="s">
        <v>1460</v>
      </c>
      <c r="B1251" t="s">
        <v>321</v>
      </c>
      <c r="L1251" t="s">
        <v>321</v>
      </c>
      <c r="M1251">
        <f>IF(C1251&lt;&gt;"",C1251,_xlfn.XLOOKUP(B1251,AI_NAMES!D:D,AI_NAMES!E:E,"",0))</f>
        <v>0</v>
      </c>
    </row>
    <row r="1252" spans="1:13" x14ac:dyDescent="0.2">
      <c r="A1252" t="s">
        <v>1461</v>
      </c>
      <c r="B1252" t="s">
        <v>3131</v>
      </c>
      <c r="L1252" t="s">
        <v>3131</v>
      </c>
      <c r="M1252" t="str">
        <f>IF(C1252&lt;&gt;"",C1252,_xlfn.XLOOKUP(B1252,AI_NAMES!D:D,AI_NAMES!E:E,"",0))</f>
        <v/>
      </c>
    </row>
    <row r="1253" spans="1:13" x14ac:dyDescent="0.2">
      <c r="A1253" t="s">
        <v>1462</v>
      </c>
      <c r="B1253" t="s">
        <v>1463</v>
      </c>
      <c r="L1253" t="s">
        <v>1463</v>
      </c>
      <c r="M1253" t="str">
        <f>IF(C1253&lt;&gt;"",C1253,_xlfn.XLOOKUP(B1253,AI_NAMES!D:D,AI_NAMES!E:E,"",0))</f>
        <v/>
      </c>
    </row>
    <row r="1254" spans="1:13" x14ac:dyDescent="0.2">
      <c r="A1254" t="s">
        <v>1464</v>
      </c>
      <c r="B1254" t="s">
        <v>1465</v>
      </c>
      <c r="L1254" t="s">
        <v>1465</v>
      </c>
      <c r="M1254" t="str">
        <f>IF(C1254&lt;&gt;"",C1254,_xlfn.XLOOKUP(B1254,AI_NAMES!D:D,AI_NAMES!E:E,"",0))</f>
        <v/>
      </c>
    </row>
    <row r="1255" spans="1:13" x14ac:dyDescent="0.2">
      <c r="A1255" t="s">
        <v>1466</v>
      </c>
      <c r="B1255" t="s">
        <v>1467</v>
      </c>
      <c r="L1255" t="s">
        <v>1467</v>
      </c>
      <c r="M1255" t="str">
        <f>IF(C1255&lt;&gt;"",C1255,_xlfn.XLOOKUP(B1255,AI_NAMES!D:D,AI_NAMES!E:E,"",0))</f>
        <v/>
      </c>
    </row>
    <row r="1256" spans="1:13" x14ac:dyDescent="0.2">
      <c r="A1256" t="s">
        <v>1468</v>
      </c>
      <c r="B1256" s="9" t="s">
        <v>1469</v>
      </c>
      <c r="L1256" t="s">
        <v>1469</v>
      </c>
      <c r="M1256" t="str">
        <f>IF(C1256&lt;&gt;"",C1256,_xlfn.XLOOKUP(B1256,AI_NAMES!D:D,AI_NAMES!E:E,"",0))</f>
        <v/>
      </c>
    </row>
    <row r="1257" spans="1:13" x14ac:dyDescent="0.2">
      <c r="A1257" t="s">
        <v>1470</v>
      </c>
      <c r="B1257" t="s">
        <v>321</v>
      </c>
      <c r="L1257" t="s">
        <v>321</v>
      </c>
      <c r="M1257">
        <f>IF(C1257&lt;&gt;"",C1257,_xlfn.XLOOKUP(B1257,AI_NAMES!D:D,AI_NAMES!E:E,"",0))</f>
        <v>0</v>
      </c>
    </row>
    <row r="1258" spans="1:13" x14ac:dyDescent="0.2">
      <c r="A1258" t="s">
        <v>1471</v>
      </c>
      <c r="B1258" t="s">
        <v>1472</v>
      </c>
      <c r="L1258" t="s">
        <v>1472</v>
      </c>
      <c r="M1258" t="str">
        <f>IF(C1258&lt;&gt;"",C1258,_xlfn.XLOOKUP(B1258,AI_NAMES!D:D,AI_NAMES!E:E,"",0))</f>
        <v/>
      </c>
    </row>
    <row r="1259" spans="1:13" x14ac:dyDescent="0.2">
      <c r="A1259" t="s">
        <v>1473</v>
      </c>
      <c r="B1259" t="s">
        <v>321</v>
      </c>
      <c r="L1259" t="s">
        <v>321</v>
      </c>
      <c r="M1259">
        <f>IF(C1259&lt;&gt;"",C1259,_xlfn.XLOOKUP(B1259,AI_NAMES!D:D,AI_NAMES!E:E,"",0))</f>
        <v>0</v>
      </c>
    </row>
    <row r="1260" spans="1:13" x14ac:dyDescent="0.2">
      <c r="A1260" t="s">
        <v>1474</v>
      </c>
      <c r="B1260" t="s">
        <v>321</v>
      </c>
      <c r="L1260" t="s">
        <v>321</v>
      </c>
      <c r="M1260">
        <f>IF(C1260&lt;&gt;"",C1260,_xlfn.XLOOKUP(B1260,AI_NAMES!D:D,AI_NAMES!E:E,"",0))</f>
        <v>0</v>
      </c>
    </row>
    <row r="1261" spans="1:13" x14ac:dyDescent="0.2">
      <c r="A1261" t="s">
        <v>1475</v>
      </c>
      <c r="B1261" t="s">
        <v>321</v>
      </c>
      <c r="L1261" t="s">
        <v>321</v>
      </c>
      <c r="M1261">
        <f>IF(C1261&lt;&gt;"",C1261,_xlfn.XLOOKUP(B1261,AI_NAMES!D:D,AI_NAMES!E:E,"",0))</f>
        <v>0</v>
      </c>
    </row>
    <row r="1262" spans="1:13" x14ac:dyDescent="0.2">
      <c r="A1262" t="s">
        <v>1476</v>
      </c>
      <c r="B1262" t="s">
        <v>321</v>
      </c>
      <c r="L1262" t="s">
        <v>321</v>
      </c>
      <c r="M1262">
        <f>IF(C1262&lt;&gt;"",C1262,_xlfn.XLOOKUP(B1262,AI_NAMES!D:D,AI_NAMES!E:E,"",0))</f>
        <v>0</v>
      </c>
    </row>
    <row r="1263" spans="1:13" x14ac:dyDescent="0.2">
      <c r="A1263" t="s">
        <v>1477</v>
      </c>
      <c r="B1263" t="s">
        <v>321</v>
      </c>
      <c r="L1263" t="s">
        <v>321</v>
      </c>
      <c r="M1263">
        <f>IF(C1263&lt;&gt;"",C1263,_xlfn.XLOOKUP(B1263,AI_NAMES!D:D,AI_NAMES!E:E,"",0))</f>
        <v>0</v>
      </c>
    </row>
    <row r="1264" spans="1:13" x14ac:dyDescent="0.2">
      <c r="A1264" t="s">
        <v>1478</v>
      </c>
      <c r="B1264" t="s">
        <v>321</v>
      </c>
      <c r="L1264" t="s">
        <v>321</v>
      </c>
      <c r="M1264">
        <f>IF(C1264&lt;&gt;"",C1264,_xlfn.XLOOKUP(B1264,AI_NAMES!D:D,AI_NAMES!E:E,"",0))</f>
        <v>0</v>
      </c>
    </row>
    <row r="1265" spans="1:13" x14ac:dyDescent="0.2">
      <c r="A1265" t="s">
        <v>1479</v>
      </c>
      <c r="B1265" t="s">
        <v>321</v>
      </c>
      <c r="L1265" t="s">
        <v>321</v>
      </c>
      <c r="M1265">
        <f>IF(C1265&lt;&gt;"",C1265,_xlfn.XLOOKUP(B1265,AI_NAMES!D:D,AI_NAMES!E:E,"",0))</f>
        <v>0</v>
      </c>
    </row>
    <row r="1266" spans="1:13" x14ac:dyDescent="0.2">
      <c r="A1266" t="s">
        <v>1480</v>
      </c>
      <c r="B1266" t="s">
        <v>321</v>
      </c>
      <c r="L1266" t="s">
        <v>321</v>
      </c>
      <c r="M1266">
        <f>IF(C1266&lt;&gt;"",C1266,_xlfn.XLOOKUP(B1266,AI_NAMES!D:D,AI_NAMES!E:E,"",0))</f>
        <v>0</v>
      </c>
    </row>
    <row r="1267" spans="1:13" x14ac:dyDescent="0.2">
      <c r="A1267" t="s">
        <v>1481</v>
      </c>
      <c r="B1267" t="s">
        <v>321</v>
      </c>
      <c r="L1267" t="s">
        <v>321</v>
      </c>
      <c r="M1267">
        <f>IF(C1267&lt;&gt;"",C1267,_xlfn.XLOOKUP(B1267,AI_NAMES!D:D,AI_NAMES!E:E,"",0))</f>
        <v>0</v>
      </c>
    </row>
    <row r="1268" spans="1:13" x14ac:dyDescent="0.2">
      <c r="A1268" t="s">
        <v>1482</v>
      </c>
      <c r="B1268" t="s">
        <v>321</v>
      </c>
      <c r="L1268" t="s">
        <v>321</v>
      </c>
      <c r="M1268">
        <f>IF(C1268&lt;&gt;"",C1268,_xlfn.XLOOKUP(B1268,AI_NAMES!D:D,AI_NAMES!E:E,"",0))</f>
        <v>0</v>
      </c>
    </row>
    <row r="1269" spans="1:13" x14ac:dyDescent="0.2">
      <c r="A1269" t="s">
        <v>1483</v>
      </c>
      <c r="B1269" t="s">
        <v>321</v>
      </c>
      <c r="L1269" t="s">
        <v>321</v>
      </c>
      <c r="M1269">
        <f>IF(C1269&lt;&gt;"",C1269,_xlfn.XLOOKUP(B1269,AI_NAMES!D:D,AI_NAMES!E:E,"",0))</f>
        <v>0</v>
      </c>
    </row>
    <row r="1270" spans="1:13" x14ac:dyDescent="0.2">
      <c r="A1270" t="s">
        <v>1484</v>
      </c>
      <c r="B1270" t="s">
        <v>321</v>
      </c>
      <c r="L1270" t="s">
        <v>321</v>
      </c>
      <c r="M1270">
        <f>IF(C1270&lt;&gt;"",C1270,_xlfn.XLOOKUP(B1270,AI_NAMES!D:D,AI_NAMES!E:E,"",0))</f>
        <v>0</v>
      </c>
    </row>
    <row r="1271" spans="1:13" x14ac:dyDescent="0.2">
      <c r="A1271" t="s">
        <v>1485</v>
      </c>
      <c r="B1271" t="s">
        <v>321</v>
      </c>
      <c r="L1271" t="s">
        <v>321</v>
      </c>
      <c r="M1271">
        <f>IF(C1271&lt;&gt;"",C1271,_xlfn.XLOOKUP(B1271,AI_NAMES!D:D,AI_NAMES!E:E,"",0))</f>
        <v>0</v>
      </c>
    </row>
    <row r="1272" spans="1:13" x14ac:dyDescent="0.2">
      <c r="A1272" t="s">
        <v>1486</v>
      </c>
      <c r="B1272" t="s">
        <v>321</v>
      </c>
      <c r="L1272" t="s">
        <v>321</v>
      </c>
      <c r="M1272">
        <f>IF(C1272&lt;&gt;"",C1272,_xlfn.XLOOKUP(B1272,AI_NAMES!D:D,AI_NAMES!E:E,"",0))</f>
        <v>0</v>
      </c>
    </row>
    <row r="1273" spans="1:13" x14ac:dyDescent="0.2">
      <c r="A1273" t="s">
        <v>1487</v>
      </c>
      <c r="B1273" t="s">
        <v>321</v>
      </c>
      <c r="L1273" t="s">
        <v>321</v>
      </c>
      <c r="M1273">
        <f>IF(C1273&lt;&gt;"",C1273,_xlfn.XLOOKUP(B1273,AI_NAMES!D:D,AI_NAMES!E:E,"",0))</f>
        <v>0</v>
      </c>
    </row>
    <row r="1274" spans="1:13" x14ac:dyDescent="0.2">
      <c r="A1274" t="s">
        <v>1488</v>
      </c>
      <c r="B1274" t="s">
        <v>321</v>
      </c>
      <c r="L1274" t="s">
        <v>321</v>
      </c>
      <c r="M1274">
        <f>IF(C1274&lt;&gt;"",C1274,_xlfn.XLOOKUP(B1274,AI_NAMES!D:D,AI_NAMES!E:E,"",0))</f>
        <v>0</v>
      </c>
    </row>
    <row r="1275" spans="1:13" x14ac:dyDescent="0.2">
      <c r="A1275" t="s">
        <v>1489</v>
      </c>
      <c r="B1275" t="s">
        <v>321</v>
      </c>
      <c r="L1275" t="s">
        <v>321</v>
      </c>
      <c r="M1275">
        <f>IF(C1275&lt;&gt;"",C1275,_xlfn.XLOOKUP(B1275,AI_NAMES!D:D,AI_NAMES!E:E,"",0))</f>
        <v>0</v>
      </c>
    </row>
    <row r="1276" spans="1:13" x14ac:dyDescent="0.2">
      <c r="A1276" t="s">
        <v>1490</v>
      </c>
      <c r="B1276" t="s">
        <v>321</v>
      </c>
      <c r="L1276" t="s">
        <v>321</v>
      </c>
      <c r="M1276">
        <f>IF(C1276&lt;&gt;"",C1276,_xlfn.XLOOKUP(B1276,AI_NAMES!D:D,AI_NAMES!E:E,"",0))</f>
        <v>0</v>
      </c>
    </row>
    <row r="1277" spans="1:13" x14ac:dyDescent="0.2">
      <c r="A1277" t="s">
        <v>1491</v>
      </c>
      <c r="B1277" t="s">
        <v>321</v>
      </c>
      <c r="L1277" t="s">
        <v>321</v>
      </c>
      <c r="M1277">
        <f>IF(C1277&lt;&gt;"",C1277,_xlfn.XLOOKUP(B1277,AI_NAMES!D:D,AI_NAMES!E:E,"",0))</f>
        <v>0</v>
      </c>
    </row>
    <row r="1278" spans="1:13" x14ac:dyDescent="0.2">
      <c r="A1278" t="s">
        <v>1492</v>
      </c>
      <c r="B1278" t="s">
        <v>321</v>
      </c>
      <c r="L1278" t="s">
        <v>321</v>
      </c>
      <c r="M1278">
        <f>IF(C1278&lt;&gt;"",C1278,_xlfn.XLOOKUP(B1278,AI_NAMES!D:D,AI_NAMES!E:E,"",0))</f>
        <v>0</v>
      </c>
    </row>
    <row r="1279" spans="1:13" x14ac:dyDescent="0.2">
      <c r="A1279" t="s">
        <v>1493</v>
      </c>
      <c r="B1279" t="s">
        <v>321</v>
      </c>
      <c r="L1279" t="s">
        <v>321</v>
      </c>
      <c r="M1279">
        <f>IF(C1279&lt;&gt;"",C1279,_xlfn.XLOOKUP(B1279,AI_NAMES!D:D,AI_NAMES!E:E,"",0))</f>
        <v>0</v>
      </c>
    </row>
    <row r="1280" spans="1:13" x14ac:dyDescent="0.2">
      <c r="A1280" t="s">
        <v>1494</v>
      </c>
      <c r="B1280" t="s">
        <v>321</v>
      </c>
      <c r="L1280" t="s">
        <v>321</v>
      </c>
      <c r="M1280">
        <f>IF(C1280&lt;&gt;"",C1280,_xlfn.XLOOKUP(B1280,AI_NAMES!D:D,AI_NAMES!E:E,"",0))</f>
        <v>0</v>
      </c>
    </row>
    <row r="1281" spans="1:13" x14ac:dyDescent="0.2">
      <c r="A1281" t="s">
        <v>1495</v>
      </c>
      <c r="B1281" t="s">
        <v>321</v>
      </c>
      <c r="L1281" t="s">
        <v>321</v>
      </c>
      <c r="M1281">
        <f>IF(C1281&lt;&gt;"",C1281,_xlfn.XLOOKUP(B1281,AI_NAMES!D:D,AI_NAMES!E:E,"",0))</f>
        <v>0</v>
      </c>
    </row>
    <row r="1282" spans="1:13" x14ac:dyDescent="0.2">
      <c r="A1282" t="s">
        <v>1496</v>
      </c>
      <c r="B1282" t="s">
        <v>321</v>
      </c>
      <c r="L1282" t="s">
        <v>321</v>
      </c>
      <c r="M1282">
        <f>IF(C1282&lt;&gt;"",C1282,_xlfn.XLOOKUP(B1282,AI_NAMES!D:D,AI_NAMES!E:E,"",0))</f>
        <v>0</v>
      </c>
    </row>
    <row r="1283" spans="1:13" x14ac:dyDescent="0.2">
      <c r="A1283" t="s">
        <v>1497</v>
      </c>
      <c r="B1283" t="s">
        <v>321</v>
      </c>
      <c r="L1283" t="s">
        <v>321</v>
      </c>
      <c r="M1283">
        <f>IF(C1283&lt;&gt;"",C1283,_xlfn.XLOOKUP(B1283,AI_NAMES!D:D,AI_NAMES!E:E,"",0))</f>
        <v>0</v>
      </c>
    </row>
    <row r="1284" spans="1:13" x14ac:dyDescent="0.2">
      <c r="A1284" t="s">
        <v>1498</v>
      </c>
      <c r="B1284" t="s">
        <v>321</v>
      </c>
      <c r="L1284" t="s">
        <v>321</v>
      </c>
      <c r="M1284">
        <f>IF(C1284&lt;&gt;"",C1284,_xlfn.XLOOKUP(B1284,AI_NAMES!D:D,AI_NAMES!E:E,"",0))</f>
        <v>0</v>
      </c>
    </row>
    <row r="1285" spans="1:13" x14ac:dyDescent="0.2">
      <c r="A1285" t="s">
        <v>1499</v>
      </c>
      <c r="B1285" t="s">
        <v>321</v>
      </c>
      <c r="L1285" t="s">
        <v>321</v>
      </c>
      <c r="M1285">
        <f>IF(C1285&lt;&gt;"",C1285,_xlfn.XLOOKUP(B1285,AI_NAMES!D:D,AI_NAMES!E:E,"",0))</f>
        <v>0</v>
      </c>
    </row>
    <row r="1286" spans="1:13" x14ac:dyDescent="0.2">
      <c r="A1286" t="s">
        <v>1500</v>
      </c>
      <c r="B1286" t="s">
        <v>321</v>
      </c>
      <c r="L1286" t="s">
        <v>321</v>
      </c>
      <c r="M1286">
        <f>IF(C1286&lt;&gt;"",C1286,_xlfn.XLOOKUP(B1286,AI_NAMES!D:D,AI_NAMES!E:E,"",0))</f>
        <v>0</v>
      </c>
    </row>
    <row r="1287" spans="1:13" x14ac:dyDescent="0.2">
      <c r="A1287" t="s">
        <v>1501</v>
      </c>
      <c r="B1287" t="s">
        <v>321</v>
      </c>
      <c r="L1287" t="s">
        <v>321</v>
      </c>
      <c r="M1287">
        <f>IF(C1287&lt;&gt;"",C1287,_xlfn.XLOOKUP(B1287,AI_NAMES!D:D,AI_NAMES!E:E,"",0))</f>
        <v>0</v>
      </c>
    </row>
    <row r="1288" spans="1:13" x14ac:dyDescent="0.2">
      <c r="A1288" t="s">
        <v>1502</v>
      </c>
      <c r="B1288" t="s">
        <v>321</v>
      </c>
      <c r="L1288" t="s">
        <v>321</v>
      </c>
      <c r="M1288">
        <f>IF(C1288&lt;&gt;"",C1288,_xlfn.XLOOKUP(B1288,AI_NAMES!D:D,AI_NAMES!E:E,"",0))</f>
        <v>0</v>
      </c>
    </row>
    <row r="1289" spans="1:13" x14ac:dyDescent="0.2">
      <c r="A1289" t="s">
        <v>1503</v>
      </c>
      <c r="B1289" t="s">
        <v>321</v>
      </c>
      <c r="L1289" t="s">
        <v>321</v>
      </c>
      <c r="M1289">
        <f>IF(C1289&lt;&gt;"",C1289,_xlfn.XLOOKUP(B1289,AI_NAMES!D:D,AI_NAMES!E:E,"",0))</f>
        <v>0</v>
      </c>
    </row>
    <row r="1290" spans="1:13" x14ac:dyDescent="0.2">
      <c r="A1290" t="s">
        <v>1504</v>
      </c>
      <c r="B1290" t="s">
        <v>321</v>
      </c>
      <c r="L1290" t="s">
        <v>321</v>
      </c>
      <c r="M1290">
        <f>IF(C1290&lt;&gt;"",C1290,_xlfn.XLOOKUP(B1290,AI_NAMES!D:D,AI_NAMES!E:E,"",0))</f>
        <v>0</v>
      </c>
    </row>
    <row r="1291" spans="1:13" x14ac:dyDescent="0.2">
      <c r="A1291" t="s">
        <v>1505</v>
      </c>
      <c r="B1291" t="s">
        <v>321</v>
      </c>
      <c r="L1291" t="s">
        <v>321</v>
      </c>
      <c r="M1291">
        <f>IF(C1291&lt;&gt;"",C1291,_xlfn.XLOOKUP(B1291,AI_NAMES!D:D,AI_NAMES!E:E,"",0))</f>
        <v>0</v>
      </c>
    </row>
    <row r="1292" spans="1:13" x14ac:dyDescent="0.2">
      <c r="A1292" t="s">
        <v>1506</v>
      </c>
      <c r="B1292" t="s">
        <v>321</v>
      </c>
      <c r="L1292" t="s">
        <v>321</v>
      </c>
      <c r="M1292">
        <f>IF(C1292&lt;&gt;"",C1292,_xlfn.XLOOKUP(B1292,AI_NAMES!D:D,AI_NAMES!E:E,"",0))</f>
        <v>0</v>
      </c>
    </row>
    <row r="1293" spans="1:13" x14ac:dyDescent="0.2">
      <c r="A1293" t="s">
        <v>1507</v>
      </c>
      <c r="B1293" t="s">
        <v>321</v>
      </c>
      <c r="L1293" t="s">
        <v>321</v>
      </c>
      <c r="M1293">
        <f>IF(C1293&lt;&gt;"",C1293,_xlfn.XLOOKUP(B1293,AI_NAMES!D:D,AI_NAMES!E:E,"",0))</f>
        <v>0</v>
      </c>
    </row>
    <row r="1294" spans="1:13" x14ac:dyDescent="0.2">
      <c r="A1294" t="s">
        <v>1508</v>
      </c>
      <c r="B1294" t="s">
        <v>321</v>
      </c>
      <c r="L1294" t="s">
        <v>321</v>
      </c>
      <c r="M1294">
        <f>IF(C1294&lt;&gt;"",C1294,_xlfn.XLOOKUP(B1294,AI_NAMES!D:D,AI_NAMES!E:E,"",0))</f>
        <v>0</v>
      </c>
    </row>
    <row r="1295" spans="1:13" x14ac:dyDescent="0.2">
      <c r="A1295" t="s">
        <v>1509</v>
      </c>
      <c r="B1295" t="s">
        <v>321</v>
      </c>
      <c r="L1295" t="s">
        <v>321</v>
      </c>
      <c r="M1295">
        <f>IF(C1295&lt;&gt;"",C1295,_xlfn.XLOOKUP(B1295,AI_NAMES!D:D,AI_NAMES!E:E,"",0))</f>
        <v>0</v>
      </c>
    </row>
    <row r="1296" spans="1:13" x14ac:dyDescent="0.2">
      <c r="A1296" t="s">
        <v>1510</v>
      </c>
      <c r="B1296" t="s">
        <v>321</v>
      </c>
      <c r="L1296" t="s">
        <v>321</v>
      </c>
      <c r="M1296">
        <f>IF(C1296&lt;&gt;"",C1296,_xlfn.XLOOKUP(B1296,AI_NAMES!D:D,AI_NAMES!E:E,"",0))</f>
        <v>0</v>
      </c>
    </row>
    <row r="1297" spans="1:13" x14ac:dyDescent="0.2">
      <c r="A1297" t="s">
        <v>1511</v>
      </c>
      <c r="B1297" t="s">
        <v>321</v>
      </c>
      <c r="L1297" t="s">
        <v>321</v>
      </c>
      <c r="M1297">
        <f>IF(C1297&lt;&gt;"",C1297,_xlfn.XLOOKUP(B1297,AI_NAMES!D:D,AI_NAMES!E:E,"",0))</f>
        <v>0</v>
      </c>
    </row>
    <row r="1298" spans="1:13" x14ac:dyDescent="0.2">
      <c r="A1298" t="s">
        <v>1512</v>
      </c>
      <c r="B1298" t="s">
        <v>321</v>
      </c>
      <c r="L1298" t="s">
        <v>321</v>
      </c>
      <c r="M1298">
        <f>IF(C1298&lt;&gt;"",C1298,_xlfn.XLOOKUP(B1298,AI_NAMES!D:D,AI_NAMES!E:E,"",0))</f>
        <v>0</v>
      </c>
    </row>
    <row r="1299" spans="1:13" x14ac:dyDescent="0.2">
      <c r="A1299" t="s">
        <v>1513</v>
      </c>
      <c r="B1299" t="s">
        <v>321</v>
      </c>
      <c r="L1299" t="s">
        <v>321</v>
      </c>
      <c r="M1299">
        <f>IF(C1299&lt;&gt;"",C1299,_xlfn.XLOOKUP(B1299,AI_NAMES!D:D,AI_NAMES!E:E,"",0))</f>
        <v>0</v>
      </c>
    </row>
    <row r="1300" spans="1:13" x14ac:dyDescent="0.2">
      <c r="A1300" t="s">
        <v>1514</v>
      </c>
      <c r="B1300" t="s">
        <v>1515</v>
      </c>
      <c r="L1300" t="s">
        <v>1515</v>
      </c>
      <c r="M1300" t="str">
        <f>IF(C1300&lt;&gt;"",C1300,_xlfn.XLOOKUP(B1300,AI_NAMES!D:D,AI_NAMES!E:E,"",0))</f>
        <v/>
      </c>
    </row>
    <row r="1301" spans="1:13" x14ac:dyDescent="0.2">
      <c r="A1301" t="s">
        <v>1516</v>
      </c>
      <c r="B1301" t="s">
        <v>321</v>
      </c>
      <c r="L1301" t="s">
        <v>321</v>
      </c>
      <c r="M1301">
        <f>IF(C1301&lt;&gt;"",C1301,_xlfn.XLOOKUP(B1301,AI_NAMES!D:D,AI_NAMES!E:E,"",0))</f>
        <v>0</v>
      </c>
    </row>
    <row r="1302" spans="1:13" x14ac:dyDescent="0.2">
      <c r="A1302" t="s">
        <v>1517</v>
      </c>
      <c r="B1302" t="s">
        <v>321</v>
      </c>
      <c r="L1302" t="s">
        <v>321</v>
      </c>
      <c r="M1302">
        <f>IF(C1302&lt;&gt;"",C1302,_xlfn.XLOOKUP(B1302,AI_NAMES!D:D,AI_NAMES!E:E,"",0))</f>
        <v>0</v>
      </c>
    </row>
    <row r="1303" spans="1:13" x14ac:dyDescent="0.2">
      <c r="A1303" t="s">
        <v>1518</v>
      </c>
      <c r="B1303" t="s">
        <v>321</v>
      </c>
      <c r="L1303" t="s">
        <v>321</v>
      </c>
      <c r="M1303">
        <f>IF(C1303&lt;&gt;"",C1303,_xlfn.XLOOKUP(B1303,AI_NAMES!D:D,AI_NAMES!E:E,"",0))</f>
        <v>0</v>
      </c>
    </row>
    <row r="1304" spans="1:13" x14ac:dyDescent="0.2">
      <c r="A1304" t="s">
        <v>1519</v>
      </c>
      <c r="B1304" t="s">
        <v>321</v>
      </c>
      <c r="L1304" t="s">
        <v>321</v>
      </c>
      <c r="M1304">
        <f>IF(C1304&lt;&gt;"",C1304,_xlfn.XLOOKUP(B1304,AI_NAMES!D:D,AI_NAMES!E:E,"",0))</f>
        <v>0</v>
      </c>
    </row>
    <row r="1305" spans="1:13" x14ac:dyDescent="0.2">
      <c r="A1305" t="s">
        <v>1520</v>
      </c>
      <c r="B1305" t="s">
        <v>321</v>
      </c>
      <c r="L1305" t="s">
        <v>321</v>
      </c>
      <c r="M1305">
        <f>IF(C1305&lt;&gt;"",C1305,_xlfn.XLOOKUP(B1305,AI_NAMES!D:D,AI_NAMES!E:E,"",0))</f>
        <v>0</v>
      </c>
    </row>
    <row r="1306" spans="1:13" x14ac:dyDescent="0.2">
      <c r="A1306" t="s">
        <v>1521</v>
      </c>
      <c r="B1306" t="s">
        <v>321</v>
      </c>
      <c r="L1306" t="s">
        <v>321</v>
      </c>
      <c r="M1306">
        <f>IF(C1306&lt;&gt;"",C1306,_xlfn.XLOOKUP(B1306,AI_NAMES!D:D,AI_NAMES!E:E,"",0))</f>
        <v>0</v>
      </c>
    </row>
    <row r="1307" spans="1:13" x14ac:dyDescent="0.2">
      <c r="A1307" t="s">
        <v>1522</v>
      </c>
      <c r="B1307" t="s">
        <v>321</v>
      </c>
      <c r="L1307" t="s">
        <v>321</v>
      </c>
      <c r="M1307">
        <f>IF(C1307&lt;&gt;"",C1307,_xlfn.XLOOKUP(B1307,AI_NAMES!D:D,AI_NAMES!E:E,"",0))</f>
        <v>0</v>
      </c>
    </row>
    <row r="1308" spans="1:13" x14ac:dyDescent="0.2">
      <c r="A1308" t="s">
        <v>1523</v>
      </c>
      <c r="B1308" t="s">
        <v>321</v>
      </c>
      <c r="L1308" t="s">
        <v>321</v>
      </c>
      <c r="M1308">
        <f>IF(C1308&lt;&gt;"",C1308,_xlfn.XLOOKUP(B1308,AI_NAMES!D:D,AI_NAMES!E:E,"",0))</f>
        <v>0</v>
      </c>
    </row>
    <row r="1309" spans="1:13" x14ac:dyDescent="0.2">
      <c r="A1309" t="s">
        <v>1524</v>
      </c>
      <c r="B1309" t="s">
        <v>321</v>
      </c>
      <c r="L1309" t="s">
        <v>321</v>
      </c>
      <c r="M1309">
        <f>IF(C1309&lt;&gt;"",C1309,_xlfn.XLOOKUP(B1309,AI_NAMES!D:D,AI_NAMES!E:E,"",0))</f>
        <v>0</v>
      </c>
    </row>
    <row r="1310" spans="1:13" x14ac:dyDescent="0.2">
      <c r="A1310" t="s">
        <v>1525</v>
      </c>
      <c r="B1310" t="s">
        <v>321</v>
      </c>
      <c r="L1310" t="s">
        <v>321</v>
      </c>
      <c r="M1310">
        <f>IF(C1310&lt;&gt;"",C1310,_xlfn.XLOOKUP(B1310,AI_NAMES!D:D,AI_NAMES!E:E,"",0))</f>
        <v>0</v>
      </c>
    </row>
    <row r="1311" spans="1:13" x14ac:dyDescent="0.2">
      <c r="A1311" t="s">
        <v>1526</v>
      </c>
      <c r="B1311" t="s">
        <v>321</v>
      </c>
      <c r="L1311" t="s">
        <v>321</v>
      </c>
      <c r="M1311">
        <f>IF(C1311&lt;&gt;"",C1311,_xlfn.XLOOKUP(B1311,AI_NAMES!D:D,AI_NAMES!E:E,"",0))</f>
        <v>0</v>
      </c>
    </row>
    <row r="1312" spans="1:13" x14ac:dyDescent="0.2">
      <c r="A1312" t="s">
        <v>1527</v>
      </c>
      <c r="B1312" t="s">
        <v>321</v>
      </c>
      <c r="L1312" t="s">
        <v>321</v>
      </c>
      <c r="M1312">
        <f>IF(C1312&lt;&gt;"",C1312,_xlfn.XLOOKUP(B1312,AI_NAMES!D:D,AI_NAMES!E:E,"",0))</f>
        <v>0</v>
      </c>
    </row>
    <row r="1313" spans="1:13" x14ac:dyDescent="0.2">
      <c r="A1313" t="s">
        <v>1528</v>
      </c>
      <c r="B1313" t="s">
        <v>321</v>
      </c>
      <c r="L1313" t="s">
        <v>321</v>
      </c>
      <c r="M1313">
        <f>IF(C1313&lt;&gt;"",C1313,_xlfn.XLOOKUP(B1313,AI_NAMES!D:D,AI_NAMES!E:E,"",0))</f>
        <v>0</v>
      </c>
    </row>
    <row r="1314" spans="1:13" x14ac:dyDescent="0.2">
      <c r="A1314" t="s">
        <v>1529</v>
      </c>
      <c r="B1314" t="s">
        <v>321</v>
      </c>
      <c r="L1314" t="s">
        <v>321</v>
      </c>
      <c r="M1314">
        <f>IF(C1314&lt;&gt;"",C1314,_xlfn.XLOOKUP(B1314,AI_NAMES!D:D,AI_NAMES!E:E,"",0))</f>
        <v>0</v>
      </c>
    </row>
    <row r="1315" spans="1:13" x14ac:dyDescent="0.2">
      <c r="A1315" t="s">
        <v>1530</v>
      </c>
      <c r="B1315" t="s">
        <v>321</v>
      </c>
      <c r="L1315" t="s">
        <v>321</v>
      </c>
      <c r="M1315">
        <f>IF(C1315&lt;&gt;"",C1315,_xlfn.XLOOKUP(B1315,AI_NAMES!D:D,AI_NAMES!E:E,"",0))</f>
        <v>0</v>
      </c>
    </row>
    <row r="1316" spans="1:13" x14ac:dyDescent="0.2">
      <c r="A1316" t="s">
        <v>1531</v>
      </c>
      <c r="B1316" t="s">
        <v>321</v>
      </c>
      <c r="L1316" t="s">
        <v>321</v>
      </c>
      <c r="M1316">
        <f>IF(C1316&lt;&gt;"",C1316,_xlfn.XLOOKUP(B1316,AI_NAMES!D:D,AI_NAMES!E:E,"",0))</f>
        <v>0</v>
      </c>
    </row>
    <row r="1317" spans="1:13" x14ac:dyDescent="0.2">
      <c r="A1317" t="s">
        <v>1532</v>
      </c>
      <c r="B1317" t="s">
        <v>321</v>
      </c>
      <c r="L1317" t="s">
        <v>321</v>
      </c>
      <c r="M1317">
        <f>IF(C1317&lt;&gt;"",C1317,_xlfn.XLOOKUP(B1317,AI_NAMES!D:D,AI_NAMES!E:E,"",0))</f>
        <v>0</v>
      </c>
    </row>
    <row r="1318" spans="1:13" x14ac:dyDescent="0.2">
      <c r="A1318" t="s">
        <v>1533</v>
      </c>
      <c r="B1318" t="s">
        <v>321</v>
      </c>
      <c r="L1318" t="s">
        <v>321</v>
      </c>
      <c r="M1318">
        <f>IF(C1318&lt;&gt;"",C1318,_xlfn.XLOOKUP(B1318,AI_NAMES!D:D,AI_NAMES!E:E,"",0))</f>
        <v>0</v>
      </c>
    </row>
    <row r="1319" spans="1:13" x14ac:dyDescent="0.2">
      <c r="A1319" t="s">
        <v>1534</v>
      </c>
      <c r="B1319" t="s">
        <v>321</v>
      </c>
      <c r="L1319" t="s">
        <v>321</v>
      </c>
      <c r="M1319">
        <f>IF(C1319&lt;&gt;"",C1319,_xlfn.XLOOKUP(B1319,AI_NAMES!D:D,AI_NAMES!E:E,"",0))</f>
        <v>0</v>
      </c>
    </row>
    <row r="1320" spans="1:13" x14ac:dyDescent="0.2">
      <c r="A1320" t="s">
        <v>1535</v>
      </c>
      <c r="B1320" t="s">
        <v>321</v>
      </c>
      <c r="L1320" t="s">
        <v>321</v>
      </c>
      <c r="M1320">
        <f>IF(C1320&lt;&gt;"",C1320,_xlfn.XLOOKUP(B1320,AI_NAMES!D:D,AI_NAMES!E:E,"",0))</f>
        <v>0</v>
      </c>
    </row>
    <row r="1321" spans="1:13" x14ac:dyDescent="0.2">
      <c r="A1321" t="s">
        <v>1536</v>
      </c>
      <c r="B1321" t="s">
        <v>321</v>
      </c>
      <c r="L1321" t="s">
        <v>321</v>
      </c>
      <c r="M1321">
        <f>IF(C1321&lt;&gt;"",C1321,_xlfn.XLOOKUP(B1321,AI_NAMES!D:D,AI_NAMES!E:E,"",0))</f>
        <v>0</v>
      </c>
    </row>
    <row r="1322" spans="1:13" x14ac:dyDescent="0.2">
      <c r="A1322" t="s">
        <v>1537</v>
      </c>
      <c r="B1322" t="s">
        <v>1537</v>
      </c>
      <c r="L1322" t="s">
        <v>1537</v>
      </c>
      <c r="M1322" t="str">
        <f>IF(C1322&lt;&gt;"",C1322,_xlfn.XLOOKUP(B1322,AI_NAMES!D:D,AI_NAMES!E:E,"",0))</f>
        <v/>
      </c>
    </row>
    <row r="1323" spans="1:13" x14ac:dyDescent="0.2">
      <c r="A1323" t="s">
        <v>1538</v>
      </c>
      <c r="B1323" t="s">
        <v>1538</v>
      </c>
      <c r="L1323" t="s">
        <v>1538</v>
      </c>
      <c r="M1323" t="str">
        <f>IF(C1323&lt;&gt;"",C1323,_xlfn.XLOOKUP(B1323,AI_NAMES!D:D,AI_NAMES!E:E,"",0))</f>
        <v/>
      </c>
    </row>
    <row r="1324" spans="1:13" x14ac:dyDescent="0.2">
      <c r="A1324" t="s">
        <v>1539</v>
      </c>
      <c r="B1324" t="s">
        <v>1539</v>
      </c>
      <c r="L1324" t="s">
        <v>1539</v>
      </c>
      <c r="M1324" t="str">
        <f>IF(C1324&lt;&gt;"",C1324,_xlfn.XLOOKUP(B1324,AI_NAMES!D:D,AI_NAMES!E:E,"",0))</f>
        <v/>
      </c>
    </row>
    <row r="1325" spans="1:13" x14ac:dyDescent="0.2">
      <c r="A1325" t="s">
        <v>1540</v>
      </c>
      <c r="B1325" t="s">
        <v>1540</v>
      </c>
      <c r="L1325" t="s">
        <v>1540</v>
      </c>
      <c r="M1325" t="str">
        <f>IF(C1325&lt;&gt;"",C1325,_xlfn.XLOOKUP(B1325,AI_NAMES!D:D,AI_NAMES!E:E,"",0))</f>
        <v/>
      </c>
    </row>
    <row r="1326" spans="1:13" x14ac:dyDescent="0.2">
      <c r="A1326" t="s">
        <v>1541</v>
      </c>
      <c r="B1326" t="s">
        <v>1541</v>
      </c>
      <c r="L1326" t="s">
        <v>1541</v>
      </c>
      <c r="M1326" t="str">
        <f>IF(C1326&lt;&gt;"",C1326,_xlfn.XLOOKUP(B1326,AI_NAMES!D:D,AI_NAMES!E:E,"",0))</f>
        <v/>
      </c>
    </row>
    <row r="1327" spans="1:13" x14ac:dyDescent="0.2">
      <c r="A1327" t="s">
        <v>1542</v>
      </c>
      <c r="B1327" t="s">
        <v>1542</v>
      </c>
      <c r="L1327" t="s">
        <v>1542</v>
      </c>
      <c r="M1327" t="str">
        <f>IF(C1327&lt;&gt;"",C1327,_xlfn.XLOOKUP(B1327,AI_NAMES!D:D,AI_NAMES!E:E,"",0))</f>
        <v/>
      </c>
    </row>
    <row r="1328" spans="1:13" x14ac:dyDescent="0.2">
      <c r="A1328" t="s">
        <v>1543</v>
      </c>
      <c r="B1328" t="s">
        <v>1543</v>
      </c>
      <c r="L1328" t="s">
        <v>1543</v>
      </c>
      <c r="M1328" t="str">
        <f>IF(C1328&lt;&gt;"",C1328,_xlfn.XLOOKUP(B1328,AI_NAMES!D:D,AI_NAMES!E:E,"",0))</f>
        <v/>
      </c>
    </row>
    <row r="1329" spans="1:13" x14ac:dyDescent="0.2">
      <c r="A1329" t="s">
        <v>1544</v>
      </c>
      <c r="B1329" t="s">
        <v>1544</v>
      </c>
      <c r="L1329" t="s">
        <v>1544</v>
      </c>
      <c r="M1329" t="str">
        <f>IF(C1329&lt;&gt;"",C1329,_xlfn.XLOOKUP(B1329,AI_NAMES!D:D,AI_NAMES!E:E,"",0))</f>
        <v/>
      </c>
    </row>
    <row r="1330" spans="1:13" x14ac:dyDescent="0.2">
      <c r="A1330" t="s">
        <v>1545</v>
      </c>
      <c r="B1330" t="s">
        <v>321</v>
      </c>
      <c r="L1330" t="s">
        <v>321</v>
      </c>
      <c r="M1330">
        <f>IF(C1330&lt;&gt;"",C1330,_xlfn.XLOOKUP(B1330,AI_NAMES!D:D,AI_NAMES!E:E,"",0))</f>
        <v>0</v>
      </c>
    </row>
    <row r="1331" spans="1:13" x14ac:dyDescent="0.2">
      <c r="A1331" t="s">
        <v>1546</v>
      </c>
      <c r="B1331" t="s">
        <v>321</v>
      </c>
      <c r="L1331" t="s">
        <v>321</v>
      </c>
      <c r="M1331">
        <f>IF(C1331&lt;&gt;"",C1331,_xlfn.XLOOKUP(B1331,AI_NAMES!D:D,AI_NAMES!E:E,"",0))</f>
        <v>0</v>
      </c>
    </row>
    <row r="1332" spans="1:13" x14ac:dyDescent="0.2">
      <c r="A1332" t="s">
        <v>1547</v>
      </c>
      <c r="B1332" t="s">
        <v>321</v>
      </c>
      <c r="L1332" t="s">
        <v>321</v>
      </c>
      <c r="M1332">
        <f>IF(C1332&lt;&gt;"",C1332,_xlfn.XLOOKUP(B1332,AI_NAMES!D:D,AI_NAMES!E:E,"",0))</f>
        <v>0</v>
      </c>
    </row>
    <row r="1333" spans="1:13" x14ac:dyDescent="0.2">
      <c r="A1333" t="s">
        <v>1548</v>
      </c>
      <c r="B1333" t="s">
        <v>321</v>
      </c>
      <c r="L1333" t="s">
        <v>321</v>
      </c>
      <c r="M1333">
        <f>IF(C1333&lt;&gt;"",C1333,_xlfn.XLOOKUP(B1333,AI_NAMES!D:D,AI_NAMES!E:E,"",0))</f>
        <v>0</v>
      </c>
    </row>
    <row r="1334" spans="1:13" x14ac:dyDescent="0.2">
      <c r="A1334" t="s">
        <v>1549</v>
      </c>
      <c r="B1334" t="s">
        <v>321</v>
      </c>
      <c r="L1334" t="s">
        <v>321</v>
      </c>
      <c r="M1334">
        <f>IF(C1334&lt;&gt;"",C1334,_xlfn.XLOOKUP(B1334,AI_NAMES!D:D,AI_NAMES!E:E,"",0))</f>
        <v>0</v>
      </c>
    </row>
    <row r="1335" spans="1:13" x14ac:dyDescent="0.2">
      <c r="A1335" t="s">
        <v>1550</v>
      </c>
      <c r="B1335" t="s">
        <v>321</v>
      </c>
      <c r="L1335" t="s">
        <v>321</v>
      </c>
      <c r="M1335">
        <f>IF(C1335&lt;&gt;"",C1335,_xlfn.XLOOKUP(B1335,AI_NAMES!D:D,AI_NAMES!E:E,"",0))</f>
        <v>0</v>
      </c>
    </row>
    <row r="1336" spans="1:13" x14ac:dyDescent="0.2">
      <c r="A1336" t="s">
        <v>1551</v>
      </c>
      <c r="B1336" t="s">
        <v>321</v>
      </c>
      <c r="L1336" t="s">
        <v>321</v>
      </c>
      <c r="M1336">
        <f>IF(C1336&lt;&gt;"",C1336,_xlfn.XLOOKUP(B1336,AI_NAMES!D:D,AI_NAMES!E:E,"",0))</f>
        <v>0</v>
      </c>
    </row>
    <row r="1337" spans="1:13" x14ac:dyDescent="0.2">
      <c r="A1337" t="s">
        <v>1552</v>
      </c>
      <c r="B1337" t="s">
        <v>321</v>
      </c>
      <c r="L1337" t="s">
        <v>321</v>
      </c>
      <c r="M1337">
        <f>IF(C1337&lt;&gt;"",C1337,_xlfn.XLOOKUP(B1337,AI_NAMES!D:D,AI_NAMES!E:E,"",0))</f>
        <v>0</v>
      </c>
    </row>
    <row r="1338" spans="1:13" x14ac:dyDescent="0.2">
      <c r="A1338" t="s">
        <v>1553</v>
      </c>
      <c r="B1338" t="s">
        <v>321</v>
      </c>
      <c r="L1338" t="s">
        <v>321</v>
      </c>
      <c r="M1338">
        <f>IF(C1338&lt;&gt;"",C1338,_xlfn.XLOOKUP(B1338,AI_NAMES!D:D,AI_NAMES!E:E,"",0))</f>
        <v>0</v>
      </c>
    </row>
    <row r="1339" spans="1:13" x14ac:dyDescent="0.2">
      <c r="A1339" t="s">
        <v>1554</v>
      </c>
      <c r="B1339" t="s">
        <v>321</v>
      </c>
      <c r="L1339" t="s">
        <v>321</v>
      </c>
      <c r="M1339">
        <f>IF(C1339&lt;&gt;"",C1339,_xlfn.XLOOKUP(B1339,AI_NAMES!D:D,AI_NAMES!E:E,"",0))</f>
        <v>0</v>
      </c>
    </row>
    <row r="1340" spans="1:13" x14ac:dyDescent="0.2">
      <c r="A1340" t="s">
        <v>1555</v>
      </c>
      <c r="B1340" t="s">
        <v>321</v>
      </c>
      <c r="L1340" t="s">
        <v>321</v>
      </c>
      <c r="M1340">
        <f>IF(C1340&lt;&gt;"",C1340,_xlfn.XLOOKUP(B1340,AI_NAMES!D:D,AI_NAMES!E:E,"",0))</f>
        <v>0</v>
      </c>
    </row>
    <row r="1341" spans="1:13" x14ac:dyDescent="0.2">
      <c r="A1341" t="s">
        <v>1556</v>
      </c>
      <c r="B1341" t="s">
        <v>321</v>
      </c>
      <c r="L1341" t="s">
        <v>321</v>
      </c>
      <c r="M1341">
        <f>IF(C1341&lt;&gt;"",C1341,_xlfn.XLOOKUP(B1341,AI_NAMES!D:D,AI_NAMES!E:E,"",0))</f>
        <v>0</v>
      </c>
    </row>
    <row r="1342" spans="1:13" x14ac:dyDescent="0.2">
      <c r="A1342" t="s">
        <v>1557</v>
      </c>
      <c r="B1342" t="s">
        <v>321</v>
      </c>
      <c r="L1342" t="s">
        <v>321</v>
      </c>
      <c r="M1342">
        <f>IF(C1342&lt;&gt;"",C1342,_xlfn.XLOOKUP(B1342,AI_NAMES!D:D,AI_NAMES!E:E,"",0))</f>
        <v>0</v>
      </c>
    </row>
    <row r="1343" spans="1:13" x14ac:dyDescent="0.2">
      <c r="A1343" t="s">
        <v>1558</v>
      </c>
      <c r="B1343" t="s">
        <v>321</v>
      </c>
      <c r="L1343" t="s">
        <v>321</v>
      </c>
      <c r="M1343">
        <f>IF(C1343&lt;&gt;"",C1343,_xlfn.XLOOKUP(B1343,AI_NAMES!D:D,AI_NAMES!E:E,"",0))</f>
        <v>0</v>
      </c>
    </row>
    <row r="1344" spans="1:13" x14ac:dyDescent="0.2">
      <c r="A1344" t="s">
        <v>1559</v>
      </c>
      <c r="B1344" t="s">
        <v>321</v>
      </c>
      <c r="L1344" t="s">
        <v>321</v>
      </c>
      <c r="M1344">
        <f>IF(C1344&lt;&gt;"",C1344,_xlfn.XLOOKUP(B1344,AI_NAMES!D:D,AI_NAMES!E:E,"",0))</f>
        <v>0</v>
      </c>
    </row>
    <row r="1345" spans="1:13" x14ac:dyDescent="0.2">
      <c r="A1345" t="s">
        <v>1560</v>
      </c>
      <c r="B1345" t="s">
        <v>321</v>
      </c>
      <c r="L1345" t="s">
        <v>321</v>
      </c>
      <c r="M1345">
        <f>IF(C1345&lt;&gt;"",C1345,_xlfn.XLOOKUP(B1345,AI_NAMES!D:D,AI_NAMES!E:E,"",0))</f>
        <v>0</v>
      </c>
    </row>
    <row r="1346" spans="1:13" x14ac:dyDescent="0.2">
      <c r="A1346" t="s">
        <v>1561</v>
      </c>
      <c r="B1346" t="s">
        <v>321</v>
      </c>
      <c r="L1346" t="s">
        <v>321</v>
      </c>
      <c r="M1346">
        <f>IF(C1346&lt;&gt;"",C1346,_xlfn.XLOOKUP(B1346,AI_NAMES!D:D,AI_NAMES!E:E,"",0))</f>
        <v>0</v>
      </c>
    </row>
    <row r="1347" spans="1:13" x14ac:dyDescent="0.2">
      <c r="A1347" t="s">
        <v>1562</v>
      </c>
      <c r="B1347" t="s">
        <v>321</v>
      </c>
      <c r="L1347" t="s">
        <v>321</v>
      </c>
      <c r="M1347">
        <f>IF(C1347&lt;&gt;"",C1347,_xlfn.XLOOKUP(B1347,AI_NAMES!D:D,AI_NAMES!E:E,"",0))</f>
        <v>0</v>
      </c>
    </row>
    <row r="1348" spans="1:13" x14ac:dyDescent="0.2">
      <c r="A1348" t="s">
        <v>1563</v>
      </c>
      <c r="B1348" t="s">
        <v>321</v>
      </c>
      <c r="L1348" t="s">
        <v>321</v>
      </c>
      <c r="M1348">
        <f>IF(C1348&lt;&gt;"",C1348,_xlfn.XLOOKUP(B1348,AI_NAMES!D:D,AI_NAMES!E:E,"",0))</f>
        <v>0</v>
      </c>
    </row>
    <row r="1349" spans="1:13" x14ac:dyDescent="0.2">
      <c r="A1349" t="s">
        <v>1564</v>
      </c>
      <c r="B1349" t="s">
        <v>321</v>
      </c>
      <c r="L1349" t="s">
        <v>321</v>
      </c>
      <c r="M1349">
        <f>IF(C1349&lt;&gt;"",C1349,_xlfn.XLOOKUP(B1349,AI_NAMES!D:D,AI_NAMES!E:E,"",0))</f>
        <v>0</v>
      </c>
    </row>
    <row r="1350" spans="1:13" x14ac:dyDescent="0.2">
      <c r="A1350" t="s">
        <v>1565</v>
      </c>
      <c r="B1350" t="s">
        <v>321</v>
      </c>
      <c r="L1350" t="s">
        <v>321</v>
      </c>
      <c r="M1350">
        <f>IF(C1350&lt;&gt;"",C1350,_xlfn.XLOOKUP(B1350,AI_NAMES!D:D,AI_NAMES!E:E,"",0))</f>
        <v>0</v>
      </c>
    </row>
    <row r="1351" spans="1:13" x14ac:dyDescent="0.2">
      <c r="A1351" t="s">
        <v>1566</v>
      </c>
      <c r="B1351" t="s">
        <v>321</v>
      </c>
      <c r="L1351" t="s">
        <v>321</v>
      </c>
      <c r="M1351">
        <f>IF(C1351&lt;&gt;"",C1351,_xlfn.XLOOKUP(B1351,AI_NAMES!D:D,AI_NAMES!E:E,"",0))</f>
        <v>0</v>
      </c>
    </row>
    <row r="1352" spans="1:13" x14ac:dyDescent="0.2">
      <c r="A1352" t="s">
        <v>1567</v>
      </c>
      <c r="B1352" t="s">
        <v>321</v>
      </c>
      <c r="L1352" t="s">
        <v>321</v>
      </c>
      <c r="M1352">
        <f>IF(C1352&lt;&gt;"",C1352,_xlfn.XLOOKUP(B1352,AI_NAMES!D:D,AI_NAMES!E:E,"",0))</f>
        <v>0</v>
      </c>
    </row>
    <row r="1353" spans="1:13" x14ac:dyDescent="0.2">
      <c r="A1353" t="s">
        <v>1568</v>
      </c>
      <c r="B1353" t="s">
        <v>321</v>
      </c>
      <c r="L1353" t="s">
        <v>321</v>
      </c>
      <c r="M1353">
        <f>IF(C1353&lt;&gt;"",C1353,_xlfn.XLOOKUP(B1353,AI_NAMES!D:D,AI_NAMES!E:E,"",0))</f>
        <v>0</v>
      </c>
    </row>
    <row r="1354" spans="1:13" x14ac:dyDescent="0.2">
      <c r="A1354" t="s">
        <v>1569</v>
      </c>
      <c r="B1354" t="s">
        <v>321</v>
      </c>
      <c r="L1354" t="s">
        <v>321</v>
      </c>
      <c r="M1354">
        <f>IF(C1354&lt;&gt;"",C1354,_xlfn.XLOOKUP(B1354,AI_NAMES!D:D,AI_NAMES!E:E,"",0))</f>
        <v>0</v>
      </c>
    </row>
    <row r="1355" spans="1:13" x14ac:dyDescent="0.2">
      <c r="A1355" t="s">
        <v>1570</v>
      </c>
      <c r="B1355" t="s">
        <v>321</v>
      </c>
      <c r="L1355" t="s">
        <v>321</v>
      </c>
      <c r="M1355">
        <f>IF(C1355&lt;&gt;"",C1355,_xlfn.XLOOKUP(B1355,AI_NAMES!D:D,AI_NAMES!E:E,"",0))</f>
        <v>0</v>
      </c>
    </row>
    <row r="1356" spans="1:13" x14ac:dyDescent="0.2">
      <c r="A1356" t="s">
        <v>1571</v>
      </c>
      <c r="B1356" t="s">
        <v>321</v>
      </c>
      <c r="L1356" t="s">
        <v>321</v>
      </c>
      <c r="M1356">
        <f>IF(C1356&lt;&gt;"",C1356,_xlfn.XLOOKUP(B1356,AI_NAMES!D:D,AI_NAMES!E:E,"",0))</f>
        <v>0</v>
      </c>
    </row>
    <row r="1357" spans="1:13" x14ac:dyDescent="0.2">
      <c r="A1357" t="s">
        <v>1572</v>
      </c>
      <c r="B1357" t="s">
        <v>321</v>
      </c>
      <c r="L1357" t="s">
        <v>321</v>
      </c>
      <c r="M1357">
        <f>IF(C1357&lt;&gt;"",C1357,_xlfn.XLOOKUP(B1357,AI_NAMES!D:D,AI_NAMES!E:E,"",0))</f>
        <v>0</v>
      </c>
    </row>
    <row r="1358" spans="1:13" x14ac:dyDescent="0.2">
      <c r="A1358" t="s">
        <v>1573</v>
      </c>
      <c r="B1358" t="s">
        <v>321</v>
      </c>
      <c r="L1358" t="s">
        <v>321</v>
      </c>
      <c r="M1358">
        <f>IF(C1358&lt;&gt;"",C1358,_xlfn.XLOOKUP(B1358,AI_NAMES!D:D,AI_NAMES!E:E,"",0))</f>
        <v>0</v>
      </c>
    </row>
    <row r="1359" spans="1:13" x14ac:dyDescent="0.2">
      <c r="A1359" t="s">
        <v>1574</v>
      </c>
      <c r="B1359" t="s">
        <v>321</v>
      </c>
      <c r="L1359" t="s">
        <v>321</v>
      </c>
      <c r="M1359">
        <f>IF(C1359&lt;&gt;"",C1359,_xlfn.XLOOKUP(B1359,AI_NAMES!D:D,AI_NAMES!E:E,"",0))</f>
        <v>0</v>
      </c>
    </row>
    <row r="1360" spans="1:13" x14ac:dyDescent="0.2">
      <c r="A1360" t="s">
        <v>1575</v>
      </c>
      <c r="B1360" t="s">
        <v>321</v>
      </c>
      <c r="L1360" t="s">
        <v>321</v>
      </c>
      <c r="M1360">
        <f>IF(C1360&lt;&gt;"",C1360,_xlfn.XLOOKUP(B1360,AI_NAMES!D:D,AI_NAMES!E:E,"",0))</f>
        <v>0</v>
      </c>
    </row>
    <row r="1361" spans="1:13" x14ac:dyDescent="0.2">
      <c r="A1361" t="s">
        <v>1576</v>
      </c>
      <c r="B1361" t="s">
        <v>321</v>
      </c>
      <c r="L1361" t="s">
        <v>321</v>
      </c>
      <c r="M1361">
        <f>IF(C1361&lt;&gt;"",C1361,_xlfn.XLOOKUP(B1361,AI_NAMES!D:D,AI_NAMES!E:E,"",0))</f>
        <v>0</v>
      </c>
    </row>
    <row r="1362" spans="1:13" x14ac:dyDescent="0.2">
      <c r="A1362" t="s">
        <v>1577</v>
      </c>
      <c r="B1362" t="s">
        <v>321</v>
      </c>
      <c r="L1362" t="s">
        <v>321</v>
      </c>
      <c r="M1362">
        <f>IF(C1362&lt;&gt;"",C1362,_xlfn.XLOOKUP(B1362,AI_NAMES!D:D,AI_NAMES!E:E,"",0))</f>
        <v>0</v>
      </c>
    </row>
    <row r="1363" spans="1:13" x14ac:dyDescent="0.2">
      <c r="A1363" t="s">
        <v>1578</v>
      </c>
      <c r="B1363" t="s">
        <v>321</v>
      </c>
      <c r="L1363" t="s">
        <v>321</v>
      </c>
      <c r="M1363">
        <f>IF(C1363&lt;&gt;"",C1363,_xlfn.XLOOKUP(B1363,AI_NAMES!D:D,AI_NAMES!E:E,"",0))</f>
        <v>0</v>
      </c>
    </row>
    <row r="1364" spans="1:13" x14ac:dyDescent="0.2">
      <c r="A1364" t="s">
        <v>1579</v>
      </c>
      <c r="B1364" t="s">
        <v>321</v>
      </c>
      <c r="L1364" t="s">
        <v>321</v>
      </c>
      <c r="M1364">
        <f>IF(C1364&lt;&gt;"",C1364,_xlfn.XLOOKUP(B1364,AI_NAMES!D:D,AI_NAMES!E:E,"",0))</f>
        <v>0</v>
      </c>
    </row>
    <row r="1365" spans="1:13" x14ac:dyDescent="0.2">
      <c r="A1365" t="s">
        <v>1580</v>
      </c>
      <c r="B1365" t="s">
        <v>321</v>
      </c>
      <c r="L1365" t="s">
        <v>321</v>
      </c>
      <c r="M1365">
        <f>IF(C1365&lt;&gt;"",C1365,_xlfn.XLOOKUP(B1365,AI_NAMES!D:D,AI_NAMES!E:E,"",0))</f>
        <v>0</v>
      </c>
    </row>
    <row r="1366" spans="1:13" x14ac:dyDescent="0.2">
      <c r="A1366" t="s">
        <v>1581</v>
      </c>
      <c r="B1366" t="s">
        <v>321</v>
      </c>
      <c r="L1366" t="s">
        <v>321</v>
      </c>
      <c r="M1366">
        <f>IF(C1366&lt;&gt;"",C1366,_xlfn.XLOOKUP(B1366,AI_NAMES!D:D,AI_NAMES!E:E,"",0))</f>
        <v>0</v>
      </c>
    </row>
    <row r="1367" spans="1:13" x14ac:dyDescent="0.2">
      <c r="A1367" t="s">
        <v>1582</v>
      </c>
      <c r="B1367" t="s">
        <v>321</v>
      </c>
      <c r="L1367" t="s">
        <v>321</v>
      </c>
      <c r="M1367">
        <f>IF(C1367&lt;&gt;"",C1367,_xlfn.XLOOKUP(B1367,AI_NAMES!D:D,AI_NAMES!E:E,"",0))</f>
        <v>0</v>
      </c>
    </row>
    <row r="1368" spans="1:13" x14ac:dyDescent="0.2">
      <c r="A1368" t="s">
        <v>1583</v>
      </c>
      <c r="B1368" t="s">
        <v>321</v>
      </c>
      <c r="L1368" t="s">
        <v>321</v>
      </c>
      <c r="M1368">
        <f>IF(C1368&lt;&gt;"",C1368,_xlfn.XLOOKUP(B1368,AI_NAMES!D:D,AI_NAMES!E:E,"",0))</f>
        <v>0</v>
      </c>
    </row>
    <row r="1369" spans="1:13" x14ac:dyDescent="0.2">
      <c r="A1369" t="s">
        <v>1584</v>
      </c>
      <c r="B1369" t="s">
        <v>321</v>
      </c>
      <c r="L1369" t="s">
        <v>321</v>
      </c>
      <c r="M1369">
        <f>IF(C1369&lt;&gt;"",C1369,_xlfn.XLOOKUP(B1369,AI_NAMES!D:D,AI_NAMES!E:E,"",0))</f>
        <v>0</v>
      </c>
    </row>
    <row r="1370" spans="1:13" x14ac:dyDescent="0.2">
      <c r="A1370" t="s">
        <v>1585</v>
      </c>
      <c r="B1370" t="s">
        <v>1586</v>
      </c>
      <c r="L1370" t="s">
        <v>1586</v>
      </c>
      <c r="M1370" t="str">
        <f>IF(C1370&lt;&gt;"",C1370,_xlfn.XLOOKUP(B1370,AI_NAMES!D:D,AI_NAMES!E:E,"",0))</f>
        <v/>
      </c>
    </row>
    <row r="1371" spans="1:13" x14ac:dyDescent="0.2">
      <c r="A1371" t="s">
        <v>1587</v>
      </c>
      <c r="B1371" t="s">
        <v>321</v>
      </c>
      <c r="L1371" t="s">
        <v>321</v>
      </c>
      <c r="M1371">
        <f>IF(C1371&lt;&gt;"",C1371,_xlfn.XLOOKUP(B1371,AI_NAMES!D:D,AI_NAMES!E:E,"",0))</f>
        <v>0</v>
      </c>
    </row>
    <row r="1372" spans="1:13" x14ac:dyDescent="0.2">
      <c r="A1372" t="s">
        <v>1588</v>
      </c>
      <c r="B1372" t="s">
        <v>321</v>
      </c>
      <c r="L1372" t="s">
        <v>321</v>
      </c>
      <c r="M1372">
        <f>IF(C1372&lt;&gt;"",C1372,_xlfn.XLOOKUP(B1372,AI_NAMES!D:D,AI_NAMES!E:E,"",0))</f>
        <v>0</v>
      </c>
    </row>
    <row r="1373" spans="1:13" x14ac:dyDescent="0.2">
      <c r="A1373" t="s">
        <v>1589</v>
      </c>
      <c r="B1373" t="s">
        <v>321</v>
      </c>
      <c r="L1373" t="s">
        <v>321</v>
      </c>
      <c r="M1373">
        <f>IF(C1373&lt;&gt;"",C1373,_xlfn.XLOOKUP(B1373,AI_NAMES!D:D,AI_NAMES!E:E,"",0))</f>
        <v>0</v>
      </c>
    </row>
    <row r="1374" spans="1:13" x14ac:dyDescent="0.2">
      <c r="A1374" t="s">
        <v>1590</v>
      </c>
      <c r="B1374" t="s">
        <v>321</v>
      </c>
      <c r="L1374" t="s">
        <v>321</v>
      </c>
      <c r="M1374">
        <f>IF(C1374&lt;&gt;"",C1374,_xlfn.XLOOKUP(B1374,AI_NAMES!D:D,AI_NAMES!E:E,"",0))</f>
        <v>0</v>
      </c>
    </row>
    <row r="1375" spans="1:13" x14ac:dyDescent="0.2">
      <c r="A1375" t="s">
        <v>1591</v>
      </c>
      <c r="B1375" t="s">
        <v>321</v>
      </c>
      <c r="L1375" t="s">
        <v>321</v>
      </c>
      <c r="M1375">
        <f>IF(C1375&lt;&gt;"",C1375,_xlfn.XLOOKUP(B1375,AI_NAMES!D:D,AI_NAMES!E:E,"",0))</f>
        <v>0</v>
      </c>
    </row>
    <row r="1376" spans="1:13" x14ac:dyDescent="0.2">
      <c r="A1376" t="s">
        <v>1592</v>
      </c>
      <c r="B1376" t="s">
        <v>321</v>
      </c>
      <c r="L1376" t="s">
        <v>321</v>
      </c>
      <c r="M1376">
        <f>IF(C1376&lt;&gt;"",C1376,_xlfn.XLOOKUP(B1376,AI_NAMES!D:D,AI_NAMES!E:E,"",0))</f>
        <v>0</v>
      </c>
    </row>
    <row r="1377" spans="1:13" x14ac:dyDescent="0.2">
      <c r="A1377" t="s">
        <v>1593</v>
      </c>
      <c r="B1377" t="s">
        <v>321</v>
      </c>
      <c r="L1377" t="s">
        <v>321</v>
      </c>
      <c r="M1377">
        <f>IF(C1377&lt;&gt;"",C1377,_xlfn.XLOOKUP(B1377,AI_NAMES!D:D,AI_NAMES!E:E,"",0))</f>
        <v>0</v>
      </c>
    </row>
    <row r="1378" spans="1:13" x14ac:dyDescent="0.2">
      <c r="A1378" t="s">
        <v>1594</v>
      </c>
      <c r="B1378" t="s">
        <v>321</v>
      </c>
      <c r="L1378" t="s">
        <v>321</v>
      </c>
      <c r="M1378">
        <f>IF(C1378&lt;&gt;"",C1378,_xlfn.XLOOKUP(B1378,AI_NAMES!D:D,AI_NAMES!E:E,"",0))</f>
        <v>0</v>
      </c>
    </row>
    <row r="1379" spans="1:13" x14ac:dyDescent="0.2">
      <c r="A1379" t="s">
        <v>1595</v>
      </c>
      <c r="B1379" t="s">
        <v>321</v>
      </c>
      <c r="L1379" t="s">
        <v>321</v>
      </c>
      <c r="M1379">
        <f>IF(C1379&lt;&gt;"",C1379,_xlfn.XLOOKUP(B1379,AI_NAMES!D:D,AI_NAMES!E:E,"",0))</f>
        <v>0</v>
      </c>
    </row>
    <row r="1380" spans="1:13" x14ac:dyDescent="0.2">
      <c r="A1380" t="s">
        <v>1596</v>
      </c>
      <c r="B1380" t="s">
        <v>321</v>
      </c>
      <c r="L1380" t="s">
        <v>321</v>
      </c>
      <c r="M1380">
        <f>IF(C1380&lt;&gt;"",C1380,_xlfn.XLOOKUP(B1380,AI_NAMES!D:D,AI_NAMES!E:E,"",0))</f>
        <v>0</v>
      </c>
    </row>
    <row r="1381" spans="1:13" x14ac:dyDescent="0.2">
      <c r="A1381" t="s">
        <v>1597</v>
      </c>
      <c r="B1381" t="s">
        <v>3201</v>
      </c>
      <c r="L1381" t="s">
        <v>3201</v>
      </c>
      <c r="M1381" t="str">
        <f>IF(C1381&lt;&gt;"",C1381,_xlfn.XLOOKUP(B1381,AI_NAMES!D:D,AI_NAMES!E:E,"",0))</f>
        <v/>
      </c>
    </row>
    <row r="1382" spans="1:13" x14ac:dyDescent="0.2">
      <c r="A1382" t="s">
        <v>1598</v>
      </c>
      <c r="B1382" t="s">
        <v>1599</v>
      </c>
      <c r="L1382" t="s">
        <v>1599</v>
      </c>
      <c r="M1382" t="str">
        <f>IF(C1382&lt;&gt;"",C1382,_xlfn.XLOOKUP(B1382,AI_NAMES!D:D,AI_NAMES!E:E,"",0))</f>
        <v/>
      </c>
    </row>
    <row r="1383" spans="1:13" x14ac:dyDescent="0.2">
      <c r="A1383" t="s">
        <v>1600</v>
      </c>
      <c r="B1383" t="s">
        <v>321</v>
      </c>
      <c r="L1383" t="s">
        <v>321</v>
      </c>
      <c r="M1383">
        <f>IF(C1383&lt;&gt;"",C1383,_xlfn.XLOOKUP(B1383,AI_NAMES!D:D,AI_NAMES!E:E,"",0))</f>
        <v>0</v>
      </c>
    </row>
    <row r="1384" spans="1:13" x14ac:dyDescent="0.2">
      <c r="A1384" t="s">
        <v>1601</v>
      </c>
      <c r="B1384" t="s">
        <v>321</v>
      </c>
      <c r="L1384" t="s">
        <v>321</v>
      </c>
      <c r="M1384">
        <f>IF(C1384&lt;&gt;"",C1384,_xlfn.XLOOKUP(B1384,AI_NAMES!D:D,AI_NAMES!E:E,"",0))</f>
        <v>0</v>
      </c>
    </row>
    <row r="1385" spans="1:13" x14ac:dyDescent="0.2">
      <c r="A1385" t="s">
        <v>1602</v>
      </c>
      <c r="B1385" t="s">
        <v>321</v>
      </c>
      <c r="L1385" t="s">
        <v>321</v>
      </c>
      <c r="M1385">
        <f>IF(C1385&lt;&gt;"",C1385,_xlfn.XLOOKUP(B1385,AI_NAMES!D:D,AI_NAMES!E:E,"",0))</f>
        <v>0</v>
      </c>
    </row>
    <row r="1386" spans="1:13" x14ac:dyDescent="0.2">
      <c r="A1386" t="s">
        <v>1603</v>
      </c>
      <c r="B1386" t="s">
        <v>321</v>
      </c>
      <c r="L1386" t="s">
        <v>321</v>
      </c>
      <c r="M1386">
        <f>IF(C1386&lt;&gt;"",C1386,_xlfn.XLOOKUP(B1386,AI_NAMES!D:D,AI_NAMES!E:E,"",0))</f>
        <v>0</v>
      </c>
    </row>
    <row r="1387" spans="1:13" x14ac:dyDescent="0.2">
      <c r="A1387" t="s">
        <v>1604</v>
      </c>
      <c r="B1387" t="s">
        <v>1605</v>
      </c>
      <c r="L1387" t="s">
        <v>1605</v>
      </c>
      <c r="M1387" t="str">
        <f>IF(C1387&lt;&gt;"",C1387,_xlfn.XLOOKUP(B1387,AI_NAMES!D:D,AI_NAMES!E:E,"",0))</f>
        <v/>
      </c>
    </row>
    <row r="1388" spans="1:13" x14ac:dyDescent="0.2">
      <c r="A1388" t="s">
        <v>1606</v>
      </c>
      <c r="B1388" t="s">
        <v>321</v>
      </c>
      <c r="L1388" t="s">
        <v>321</v>
      </c>
      <c r="M1388">
        <f>IF(C1388&lt;&gt;"",C1388,_xlfn.XLOOKUP(B1388,AI_NAMES!D:D,AI_NAMES!E:E,"",0))</f>
        <v>0</v>
      </c>
    </row>
    <row r="1389" spans="1:13" x14ac:dyDescent="0.2">
      <c r="A1389" t="s">
        <v>1607</v>
      </c>
      <c r="B1389" t="s">
        <v>321</v>
      </c>
      <c r="L1389" t="s">
        <v>321</v>
      </c>
      <c r="M1389">
        <f>IF(C1389&lt;&gt;"",C1389,_xlfn.XLOOKUP(B1389,AI_NAMES!D:D,AI_NAMES!E:E,"",0))</f>
        <v>0</v>
      </c>
    </row>
    <row r="1390" spans="1:13" x14ac:dyDescent="0.2">
      <c r="A1390" t="s">
        <v>1608</v>
      </c>
      <c r="B1390" t="s">
        <v>321</v>
      </c>
      <c r="L1390" t="s">
        <v>321</v>
      </c>
      <c r="M1390">
        <f>IF(C1390&lt;&gt;"",C1390,_xlfn.XLOOKUP(B1390,AI_NAMES!D:D,AI_NAMES!E:E,"",0))</f>
        <v>0</v>
      </c>
    </row>
    <row r="1391" spans="1:13" x14ac:dyDescent="0.2">
      <c r="A1391" t="s">
        <v>1609</v>
      </c>
      <c r="B1391" t="s">
        <v>321</v>
      </c>
      <c r="L1391" t="s">
        <v>321</v>
      </c>
      <c r="M1391">
        <f>IF(C1391&lt;&gt;"",C1391,_xlfn.XLOOKUP(B1391,AI_NAMES!D:D,AI_NAMES!E:E,"",0))</f>
        <v>0</v>
      </c>
    </row>
    <row r="1392" spans="1:13" x14ac:dyDescent="0.2">
      <c r="A1392" t="s">
        <v>1610</v>
      </c>
      <c r="B1392" t="s">
        <v>321</v>
      </c>
      <c r="L1392" t="s">
        <v>321</v>
      </c>
      <c r="M1392">
        <f>IF(C1392&lt;&gt;"",C1392,_xlfn.XLOOKUP(B1392,AI_NAMES!D:D,AI_NAMES!E:E,"",0))</f>
        <v>0</v>
      </c>
    </row>
    <row r="1393" spans="1:13" x14ac:dyDescent="0.2">
      <c r="A1393" t="s">
        <v>1611</v>
      </c>
      <c r="B1393" t="s">
        <v>321</v>
      </c>
      <c r="L1393" t="s">
        <v>321</v>
      </c>
      <c r="M1393">
        <f>IF(C1393&lt;&gt;"",C1393,_xlfn.XLOOKUP(B1393,AI_NAMES!D:D,AI_NAMES!E:E,"",0))</f>
        <v>0</v>
      </c>
    </row>
    <row r="1394" spans="1:13" x14ac:dyDescent="0.2">
      <c r="A1394" t="s">
        <v>1612</v>
      </c>
      <c r="B1394" t="s">
        <v>321</v>
      </c>
      <c r="L1394" t="s">
        <v>321</v>
      </c>
      <c r="M1394">
        <f>IF(C1394&lt;&gt;"",C1394,_xlfn.XLOOKUP(B1394,AI_NAMES!D:D,AI_NAMES!E:E,"",0))</f>
        <v>0</v>
      </c>
    </row>
    <row r="1395" spans="1:13" x14ac:dyDescent="0.2">
      <c r="A1395" t="s">
        <v>1613</v>
      </c>
      <c r="B1395" t="s">
        <v>321</v>
      </c>
      <c r="L1395" t="s">
        <v>321</v>
      </c>
      <c r="M1395">
        <f>IF(C1395&lt;&gt;"",C1395,_xlfn.XLOOKUP(B1395,AI_NAMES!D:D,AI_NAMES!E:E,"",0))</f>
        <v>0</v>
      </c>
    </row>
    <row r="1396" spans="1:13" x14ac:dyDescent="0.2">
      <c r="A1396" t="s">
        <v>1614</v>
      </c>
      <c r="B1396" t="s">
        <v>321</v>
      </c>
      <c r="L1396" t="s">
        <v>321</v>
      </c>
      <c r="M1396">
        <f>IF(C1396&lt;&gt;"",C1396,_xlfn.XLOOKUP(B1396,AI_NAMES!D:D,AI_NAMES!E:E,"",0))</f>
        <v>0</v>
      </c>
    </row>
    <row r="1397" spans="1:13" x14ac:dyDescent="0.2">
      <c r="A1397" t="s">
        <v>1615</v>
      </c>
      <c r="B1397" t="s">
        <v>321</v>
      </c>
      <c r="L1397" t="s">
        <v>321</v>
      </c>
      <c r="M1397">
        <f>IF(C1397&lt;&gt;"",C1397,_xlfn.XLOOKUP(B1397,AI_NAMES!D:D,AI_NAMES!E:E,"",0))</f>
        <v>0</v>
      </c>
    </row>
    <row r="1398" spans="1:13" x14ac:dyDescent="0.2">
      <c r="A1398" t="s">
        <v>1616</v>
      </c>
      <c r="B1398" t="s">
        <v>321</v>
      </c>
      <c r="L1398" t="s">
        <v>321</v>
      </c>
      <c r="M1398">
        <f>IF(C1398&lt;&gt;"",C1398,_xlfn.XLOOKUP(B1398,AI_NAMES!D:D,AI_NAMES!E:E,"",0))</f>
        <v>0</v>
      </c>
    </row>
    <row r="1399" spans="1:13" x14ac:dyDescent="0.2">
      <c r="A1399" t="s">
        <v>1617</v>
      </c>
      <c r="B1399" t="s">
        <v>321</v>
      </c>
      <c r="L1399" t="s">
        <v>321</v>
      </c>
      <c r="M1399">
        <f>IF(C1399&lt;&gt;"",C1399,_xlfn.XLOOKUP(B1399,AI_NAMES!D:D,AI_NAMES!E:E,"",0))</f>
        <v>0</v>
      </c>
    </row>
    <row r="1400" spans="1:13" x14ac:dyDescent="0.2">
      <c r="A1400" t="s">
        <v>1618</v>
      </c>
      <c r="B1400" t="s">
        <v>321</v>
      </c>
      <c r="L1400" t="s">
        <v>321</v>
      </c>
      <c r="M1400">
        <f>IF(C1400&lt;&gt;"",C1400,_xlfn.XLOOKUP(B1400,AI_NAMES!D:D,AI_NAMES!E:E,"",0))</f>
        <v>0</v>
      </c>
    </row>
    <row r="1401" spans="1:13" x14ac:dyDescent="0.2">
      <c r="A1401" t="s">
        <v>1619</v>
      </c>
      <c r="B1401" t="s">
        <v>321</v>
      </c>
      <c r="L1401" t="s">
        <v>321</v>
      </c>
      <c r="M1401">
        <f>IF(C1401&lt;&gt;"",C1401,_xlfn.XLOOKUP(B1401,AI_NAMES!D:D,AI_NAMES!E:E,"",0))</f>
        <v>0</v>
      </c>
    </row>
    <row r="1402" spans="1:13" x14ac:dyDescent="0.2">
      <c r="A1402" t="s">
        <v>1620</v>
      </c>
      <c r="B1402" t="s">
        <v>321</v>
      </c>
      <c r="L1402" t="s">
        <v>321</v>
      </c>
      <c r="M1402">
        <f>IF(C1402&lt;&gt;"",C1402,_xlfn.XLOOKUP(B1402,AI_NAMES!D:D,AI_NAMES!E:E,"",0))</f>
        <v>0</v>
      </c>
    </row>
    <row r="1403" spans="1:13" x14ac:dyDescent="0.2">
      <c r="A1403" t="s">
        <v>1621</v>
      </c>
      <c r="B1403" t="s">
        <v>321</v>
      </c>
      <c r="L1403" t="s">
        <v>321</v>
      </c>
      <c r="M1403">
        <f>IF(C1403&lt;&gt;"",C1403,_xlfn.XLOOKUP(B1403,AI_NAMES!D:D,AI_NAMES!E:E,"",0))</f>
        <v>0</v>
      </c>
    </row>
    <row r="1404" spans="1:13" x14ac:dyDescent="0.2">
      <c r="A1404" t="s">
        <v>1622</v>
      </c>
      <c r="B1404" t="s">
        <v>321</v>
      </c>
      <c r="L1404" t="s">
        <v>321</v>
      </c>
      <c r="M1404">
        <f>IF(C1404&lt;&gt;"",C1404,_xlfn.XLOOKUP(B1404,AI_NAMES!D:D,AI_NAMES!E:E,"",0))</f>
        <v>0</v>
      </c>
    </row>
    <row r="1405" spans="1:13" x14ac:dyDescent="0.2">
      <c r="A1405" t="s">
        <v>1623</v>
      </c>
      <c r="B1405" t="s">
        <v>321</v>
      </c>
      <c r="L1405" t="s">
        <v>321</v>
      </c>
      <c r="M1405">
        <f>IF(C1405&lt;&gt;"",C1405,_xlfn.XLOOKUP(B1405,AI_NAMES!D:D,AI_NAMES!E:E,"",0))</f>
        <v>0</v>
      </c>
    </row>
    <row r="1406" spans="1:13" x14ac:dyDescent="0.2">
      <c r="A1406" t="s">
        <v>1624</v>
      </c>
      <c r="B1406" t="s">
        <v>321</v>
      </c>
      <c r="L1406" t="s">
        <v>321</v>
      </c>
      <c r="M1406">
        <f>IF(C1406&lt;&gt;"",C1406,_xlfn.XLOOKUP(B1406,AI_NAMES!D:D,AI_NAMES!E:E,"",0))</f>
        <v>0</v>
      </c>
    </row>
    <row r="1407" spans="1:13" x14ac:dyDescent="0.2">
      <c r="A1407" t="s">
        <v>1625</v>
      </c>
      <c r="B1407" t="s">
        <v>321</v>
      </c>
      <c r="L1407" t="s">
        <v>321</v>
      </c>
      <c r="M1407">
        <f>IF(C1407&lt;&gt;"",C1407,_xlfn.XLOOKUP(B1407,AI_NAMES!D:D,AI_NAMES!E:E,"",0))</f>
        <v>0</v>
      </c>
    </row>
    <row r="1408" spans="1:13" x14ac:dyDescent="0.2">
      <c r="A1408" t="s">
        <v>1626</v>
      </c>
      <c r="B1408" t="s">
        <v>321</v>
      </c>
      <c r="L1408" t="s">
        <v>321</v>
      </c>
      <c r="M1408">
        <f>IF(C1408&lt;&gt;"",C1408,_xlfn.XLOOKUP(B1408,AI_NAMES!D:D,AI_NAMES!E:E,"",0))</f>
        <v>0</v>
      </c>
    </row>
    <row r="1409" spans="1:13" x14ac:dyDescent="0.2">
      <c r="A1409" t="s">
        <v>1627</v>
      </c>
      <c r="B1409" t="s">
        <v>321</v>
      </c>
      <c r="L1409" t="s">
        <v>321</v>
      </c>
      <c r="M1409">
        <f>IF(C1409&lt;&gt;"",C1409,_xlfn.XLOOKUP(B1409,AI_NAMES!D:D,AI_NAMES!E:E,"",0))</f>
        <v>0</v>
      </c>
    </row>
    <row r="1410" spans="1:13" x14ac:dyDescent="0.2">
      <c r="A1410" t="s">
        <v>1628</v>
      </c>
      <c r="B1410" t="s">
        <v>321</v>
      </c>
      <c r="L1410" t="s">
        <v>321</v>
      </c>
      <c r="M1410">
        <f>IF(C1410&lt;&gt;"",C1410,_xlfn.XLOOKUP(B1410,AI_NAMES!D:D,AI_NAMES!E:E,"",0))</f>
        <v>0</v>
      </c>
    </row>
    <row r="1411" spans="1:13" x14ac:dyDescent="0.2">
      <c r="A1411" t="s">
        <v>1629</v>
      </c>
      <c r="B1411" t="s">
        <v>321</v>
      </c>
      <c r="L1411" t="s">
        <v>321</v>
      </c>
      <c r="M1411">
        <f>IF(C1411&lt;&gt;"",C1411,_xlfn.XLOOKUP(B1411,AI_NAMES!D:D,AI_NAMES!E:E,"",0))</f>
        <v>0</v>
      </c>
    </row>
    <row r="1412" spans="1:13" x14ac:dyDescent="0.2">
      <c r="A1412" t="s">
        <v>1630</v>
      </c>
      <c r="B1412" t="s">
        <v>321</v>
      </c>
      <c r="L1412" t="s">
        <v>321</v>
      </c>
      <c r="M1412">
        <f>IF(C1412&lt;&gt;"",C1412,_xlfn.XLOOKUP(B1412,AI_NAMES!D:D,AI_NAMES!E:E,"",0))</f>
        <v>0</v>
      </c>
    </row>
    <row r="1413" spans="1:13" x14ac:dyDescent="0.2">
      <c r="A1413" t="s">
        <v>1631</v>
      </c>
      <c r="B1413" t="s">
        <v>321</v>
      </c>
      <c r="L1413" t="s">
        <v>321</v>
      </c>
      <c r="M1413">
        <f>IF(C1413&lt;&gt;"",C1413,_xlfn.XLOOKUP(B1413,AI_NAMES!D:D,AI_NAMES!E:E,"",0))</f>
        <v>0</v>
      </c>
    </row>
    <row r="1414" spans="1:13" x14ac:dyDescent="0.2">
      <c r="A1414" t="s">
        <v>1632</v>
      </c>
      <c r="B1414" t="s">
        <v>321</v>
      </c>
      <c r="L1414" t="s">
        <v>321</v>
      </c>
      <c r="M1414">
        <f>IF(C1414&lt;&gt;"",C1414,_xlfn.XLOOKUP(B1414,AI_NAMES!D:D,AI_NAMES!E:E,"",0))</f>
        <v>0</v>
      </c>
    </row>
    <row r="1415" spans="1:13" x14ac:dyDescent="0.2">
      <c r="A1415" t="s">
        <v>1633</v>
      </c>
      <c r="B1415" t="s">
        <v>321</v>
      </c>
      <c r="L1415" t="s">
        <v>321</v>
      </c>
      <c r="M1415">
        <f>IF(C1415&lt;&gt;"",C1415,_xlfn.XLOOKUP(B1415,AI_NAMES!D:D,AI_NAMES!E:E,"",0))</f>
        <v>0</v>
      </c>
    </row>
    <row r="1416" spans="1:13" x14ac:dyDescent="0.2">
      <c r="A1416" t="s">
        <v>1634</v>
      </c>
      <c r="B1416" t="s">
        <v>3342</v>
      </c>
      <c r="F1416">
        <v>16</v>
      </c>
      <c r="L1416" t="s">
        <v>3342</v>
      </c>
      <c r="M1416" t="str">
        <f>IF(C1416&lt;&gt;"",C1416,_xlfn.XLOOKUP(B1416,AI_NAMES!D:D,AI_NAMES!E:E,"",0))</f>
        <v/>
      </c>
    </row>
    <row r="1417" spans="1:13" x14ac:dyDescent="0.2">
      <c r="A1417" t="s">
        <v>1635</v>
      </c>
      <c r="B1417" t="s">
        <v>321</v>
      </c>
      <c r="L1417" t="s">
        <v>321</v>
      </c>
      <c r="M1417">
        <f>IF(C1417&lt;&gt;"",C1417,_xlfn.XLOOKUP(B1417,AI_NAMES!D:D,AI_NAMES!E:E,"",0))</f>
        <v>0</v>
      </c>
    </row>
    <row r="1418" spans="1:13" x14ac:dyDescent="0.2">
      <c r="A1418" t="s">
        <v>1636</v>
      </c>
      <c r="B1418" t="s">
        <v>321</v>
      </c>
      <c r="L1418" t="s">
        <v>321</v>
      </c>
      <c r="M1418">
        <f>IF(C1418&lt;&gt;"",C1418,_xlfn.XLOOKUP(B1418,AI_NAMES!D:D,AI_NAMES!E:E,"",0))</f>
        <v>0</v>
      </c>
    </row>
    <row r="1419" spans="1:13" x14ac:dyDescent="0.2">
      <c r="A1419" t="s">
        <v>1637</v>
      </c>
      <c r="B1419" t="s">
        <v>321</v>
      </c>
      <c r="L1419" t="s">
        <v>321</v>
      </c>
      <c r="M1419">
        <f>IF(C1419&lt;&gt;"",C1419,_xlfn.XLOOKUP(B1419,AI_NAMES!D:D,AI_NAMES!E:E,"",0))</f>
        <v>0</v>
      </c>
    </row>
    <row r="1420" spans="1:13" x14ac:dyDescent="0.2">
      <c r="A1420" t="s">
        <v>1638</v>
      </c>
      <c r="B1420" t="s">
        <v>321</v>
      </c>
      <c r="L1420" t="s">
        <v>321</v>
      </c>
      <c r="M1420">
        <f>IF(C1420&lt;&gt;"",C1420,_xlfn.XLOOKUP(B1420,AI_NAMES!D:D,AI_NAMES!E:E,"",0))</f>
        <v>0</v>
      </c>
    </row>
    <row r="1421" spans="1:13" x14ac:dyDescent="0.2">
      <c r="A1421" t="s">
        <v>1639</v>
      </c>
      <c r="B1421" t="s">
        <v>321</v>
      </c>
      <c r="L1421" t="s">
        <v>321</v>
      </c>
      <c r="M1421">
        <f>IF(C1421&lt;&gt;"",C1421,_xlfn.XLOOKUP(B1421,AI_NAMES!D:D,AI_NAMES!E:E,"",0))</f>
        <v>0</v>
      </c>
    </row>
    <row r="1422" spans="1:13" x14ac:dyDescent="0.2">
      <c r="A1422" t="s">
        <v>1640</v>
      </c>
      <c r="B1422" t="s">
        <v>321</v>
      </c>
      <c r="L1422" t="s">
        <v>321</v>
      </c>
      <c r="M1422">
        <f>IF(C1422&lt;&gt;"",C1422,_xlfn.XLOOKUP(B1422,AI_NAMES!D:D,AI_NAMES!E:E,"",0))</f>
        <v>0</v>
      </c>
    </row>
    <row r="1423" spans="1:13" x14ac:dyDescent="0.2">
      <c r="A1423" t="s">
        <v>1641</v>
      </c>
      <c r="B1423" t="s">
        <v>321</v>
      </c>
      <c r="L1423" t="s">
        <v>321</v>
      </c>
      <c r="M1423">
        <f>IF(C1423&lt;&gt;"",C1423,_xlfn.XLOOKUP(B1423,AI_NAMES!D:D,AI_NAMES!E:E,"",0))</f>
        <v>0</v>
      </c>
    </row>
    <row r="1424" spans="1:13" x14ac:dyDescent="0.2">
      <c r="A1424" t="s">
        <v>1642</v>
      </c>
      <c r="B1424" t="s">
        <v>321</v>
      </c>
      <c r="L1424" t="s">
        <v>321</v>
      </c>
      <c r="M1424">
        <f>IF(C1424&lt;&gt;"",C1424,_xlfn.XLOOKUP(B1424,AI_NAMES!D:D,AI_NAMES!E:E,"",0))</f>
        <v>0</v>
      </c>
    </row>
    <row r="1425" spans="1:13" x14ac:dyDescent="0.2">
      <c r="A1425" t="s">
        <v>1643</v>
      </c>
      <c r="B1425" t="s">
        <v>321</v>
      </c>
      <c r="L1425" t="s">
        <v>321</v>
      </c>
      <c r="M1425">
        <f>IF(C1425&lt;&gt;"",C1425,_xlfn.XLOOKUP(B1425,AI_NAMES!D:D,AI_NAMES!E:E,"",0))</f>
        <v>0</v>
      </c>
    </row>
    <row r="1426" spans="1:13" x14ac:dyDescent="0.2">
      <c r="A1426" t="s">
        <v>1644</v>
      </c>
      <c r="B1426" t="s">
        <v>321</v>
      </c>
      <c r="L1426" t="s">
        <v>321</v>
      </c>
      <c r="M1426">
        <f>IF(C1426&lt;&gt;"",C1426,_xlfn.XLOOKUP(B1426,AI_NAMES!D:D,AI_NAMES!E:E,"",0))</f>
        <v>0</v>
      </c>
    </row>
    <row r="1427" spans="1:13" x14ac:dyDescent="0.2">
      <c r="A1427" t="s">
        <v>1645</v>
      </c>
      <c r="B1427" t="s">
        <v>1646</v>
      </c>
      <c r="L1427" t="s">
        <v>1646</v>
      </c>
      <c r="M1427" t="str">
        <f>IF(C1427&lt;&gt;"",C1427,_xlfn.XLOOKUP(B1427,AI_NAMES!D:D,AI_NAMES!E:E,"",0))</f>
        <v/>
      </c>
    </row>
    <row r="1428" spans="1:13" x14ac:dyDescent="0.2">
      <c r="A1428" t="s">
        <v>1647</v>
      </c>
      <c r="B1428" t="s">
        <v>1648</v>
      </c>
      <c r="L1428" t="s">
        <v>1648</v>
      </c>
      <c r="M1428" t="str">
        <f>IF(C1428&lt;&gt;"",C1428,_xlfn.XLOOKUP(B1428,AI_NAMES!D:D,AI_NAMES!E:E,"",0))</f>
        <v/>
      </c>
    </row>
    <row r="1429" spans="1:13" x14ac:dyDescent="0.2">
      <c r="A1429" t="s">
        <v>1649</v>
      </c>
      <c r="B1429" t="s">
        <v>1650</v>
      </c>
      <c r="L1429" t="s">
        <v>1650</v>
      </c>
      <c r="M1429" t="str">
        <f>IF(C1429&lt;&gt;"",C1429,_xlfn.XLOOKUP(B1429,AI_NAMES!D:D,AI_NAMES!E:E,"",0))</f>
        <v/>
      </c>
    </row>
    <row r="1430" spans="1:13" x14ac:dyDescent="0.2">
      <c r="A1430" t="s">
        <v>1651</v>
      </c>
      <c r="B1430" t="s">
        <v>1652</v>
      </c>
      <c r="L1430" t="s">
        <v>1652</v>
      </c>
      <c r="M1430" t="str">
        <f>IF(C1430&lt;&gt;"",C1430,_xlfn.XLOOKUP(B1430,AI_NAMES!D:D,AI_NAMES!E:E,"",0))</f>
        <v/>
      </c>
    </row>
    <row r="1431" spans="1:13" x14ac:dyDescent="0.2">
      <c r="A1431" t="s">
        <v>1653</v>
      </c>
      <c r="B1431" t="s">
        <v>1654</v>
      </c>
      <c r="L1431" t="s">
        <v>1654</v>
      </c>
      <c r="M1431" t="str">
        <f>IF(C1431&lt;&gt;"",C1431,_xlfn.XLOOKUP(B1431,AI_NAMES!D:D,AI_NAMES!E:E,"",0))</f>
        <v/>
      </c>
    </row>
    <row r="1432" spans="1:13" x14ac:dyDescent="0.2">
      <c r="A1432" t="s">
        <v>1655</v>
      </c>
      <c r="B1432" t="s">
        <v>1656</v>
      </c>
      <c r="L1432" t="s">
        <v>1656</v>
      </c>
      <c r="M1432" t="str">
        <f>IF(C1432&lt;&gt;"",C1432,_xlfn.XLOOKUP(B1432,AI_NAMES!D:D,AI_NAMES!E:E,"",0))</f>
        <v/>
      </c>
    </row>
    <row r="1433" spans="1:13" x14ac:dyDescent="0.2">
      <c r="A1433" t="s">
        <v>1657</v>
      </c>
      <c r="B1433" t="s">
        <v>321</v>
      </c>
      <c r="L1433" t="s">
        <v>321</v>
      </c>
      <c r="M1433">
        <f>IF(C1433&lt;&gt;"",C1433,_xlfn.XLOOKUP(B1433,AI_NAMES!D:D,AI_NAMES!E:E,"",0))</f>
        <v>0</v>
      </c>
    </row>
    <row r="1434" spans="1:13" x14ac:dyDescent="0.2">
      <c r="A1434" t="s">
        <v>1658</v>
      </c>
      <c r="B1434" t="s">
        <v>321</v>
      </c>
      <c r="L1434" t="s">
        <v>321</v>
      </c>
      <c r="M1434">
        <f>IF(C1434&lt;&gt;"",C1434,_xlfn.XLOOKUP(B1434,AI_NAMES!D:D,AI_NAMES!E:E,"",0))</f>
        <v>0</v>
      </c>
    </row>
    <row r="1435" spans="1:13" x14ac:dyDescent="0.2">
      <c r="A1435" t="s">
        <v>1659</v>
      </c>
      <c r="B1435" t="s">
        <v>321</v>
      </c>
      <c r="L1435" t="s">
        <v>321</v>
      </c>
      <c r="M1435">
        <f>IF(C1435&lt;&gt;"",C1435,_xlfn.XLOOKUP(B1435,AI_NAMES!D:D,AI_NAMES!E:E,"",0))</f>
        <v>0</v>
      </c>
    </row>
    <row r="1436" spans="1:13" x14ac:dyDescent="0.2">
      <c r="A1436" t="s">
        <v>1660</v>
      </c>
      <c r="B1436" t="s">
        <v>3390</v>
      </c>
      <c r="L1436" t="s">
        <v>3390</v>
      </c>
      <c r="M1436" t="str">
        <f>IF(C1436&lt;&gt;"",C1436,_xlfn.XLOOKUP(B1436,AI_NAMES!D:D,AI_NAMES!E:E,"",0))</f>
        <v/>
      </c>
    </row>
    <row r="1437" spans="1:13" x14ac:dyDescent="0.2">
      <c r="A1437" t="s">
        <v>1661</v>
      </c>
      <c r="B1437" t="s">
        <v>321</v>
      </c>
      <c r="L1437" t="s">
        <v>321</v>
      </c>
      <c r="M1437">
        <f>IF(C1437&lt;&gt;"",C1437,_xlfn.XLOOKUP(B1437,AI_NAMES!D:D,AI_NAMES!E:E,"",0))</f>
        <v>0</v>
      </c>
    </row>
    <row r="1438" spans="1:13" x14ac:dyDescent="0.2">
      <c r="A1438" t="s">
        <v>1662</v>
      </c>
      <c r="B1438" t="s">
        <v>321</v>
      </c>
      <c r="L1438" t="s">
        <v>321</v>
      </c>
      <c r="M1438">
        <f>IF(C1438&lt;&gt;"",C1438,_xlfn.XLOOKUP(B1438,AI_NAMES!D:D,AI_NAMES!E:E,"",0))</f>
        <v>0</v>
      </c>
    </row>
    <row r="1439" spans="1:13" x14ac:dyDescent="0.2">
      <c r="A1439" t="s">
        <v>1663</v>
      </c>
      <c r="B1439" t="s">
        <v>321</v>
      </c>
      <c r="L1439" t="s">
        <v>321</v>
      </c>
      <c r="M1439">
        <f>IF(C1439&lt;&gt;"",C1439,_xlfn.XLOOKUP(B1439,AI_NAMES!D:D,AI_NAMES!E:E,"",0))</f>
        <v>0</v>
      </c>
    </row>
    <row r="1440" spans="1:13" x14ac:dyDescent="0.2">
      <c r="A1440" t="s">
        <v>1664</v>
      </c>
      <c r="B1440" t="s">
        <v>321</v>
      </c>
      <c r="L1440" t="s">
        <v>321</v>
      </c>
      <c r="M1440">
        <f>IF(C1440&lt;&gt;"",C1440,_xlfn.XLOOKUP(B1440,AI_NAMES!D:D,AI_NAMES!E:E,"",0))</f>
        <v>0</v>
      </c>
    </row>
    <row r="1441" spans="1:13" x14ac:dyDescent="0.2">
      <c r="A1441" t="s">
        <v>1665</v>
      </c>
      <c r="B1441" t="s">
        <v>321</v>
      </c>
      <c r="L1441" t="s">
        <v>321</v>
      </c>
      <c r="M1441">
        <f>IF(C1441&lt;&gt;"",C1441,_xlfn.XLOOKUP(B1441,AI_NAMES!D:D,AI_NAMES!E:E,"",0))</f>
        <v>0</v>
      </c>
    </row>
    <row r="1442" spans="1:13" x14ac:dyDescent="0.2">
      <c r="A1442" t="s">
        <v>1666</v>
      </c>
      <c r="B1442" t="s">
        <v>3389</v>
      </c>
      <c r="L1442" t="s">
        <v>3389</v>
      </c>
      <c r="M1442" t="str">
        <f>IF(C1442&lt;&gt;"",C1442,_xlfn.XLOOKUP(B1442,AI_NAMES!D:D,AI_NAMES!E:E,"",0))</f>
        <v/>
      </c>
    </row>
    <row r="1443" spans="1:13" x14ac:dyDescent="0.2">
      <c r="A1443" t="s">
        <v>1667</v>
      </c>
      <c r="B1443" t="s">
        <v>321</v>
      </c>
      <c r="L1443" t="s">
        <v>321</v>
      </c>
      <c r="M1443">
        <f>IF(C1443&lt;&gt;"",C1443,_xlfn.XLOOKUP(B1443,AI_NAMES!D:D,AI_NAMES!E:E,"",0))</f>
        <v>0</v>
      </c>
    </row>
    <row r="1444" spans="1:13" x14ac:dyDescent="0.2">
      <c r="A1444" t="s">
        <v>1668</v>
      </c>
      <c r="B1444" t="s">
        <v>3385</v>
      </c>
      <c r="L1444" t="s">
        <v>3385</v>
      </c>
      <c r="M1444" t="str">
        <f>IF(C1444&lt;&gt;"",C1444,_xlfn.XLOOKUP(B1444,AI_NAMES!D:D,AI_NAMES!E:E,"",0))</f>
        <v/>
      </c>
    </row>
    <row r="1445" spans="1:13" x14ac:dyDescent="0.2">
      <c r="A1445" t="s">
        <v>1669</v>
      </c>
      <c r="B1445" t="s">
        <v>3384</v>
      </c>
      <c r="L1445" t="s">
        <v>3384</v>
      </c>
      <c r="M1445" t="str">
        <f>IF(C1445&lt;&gt;"",C1445,_xlfn.XLOOKUP(B1445,AI_NAMES!D:D,AI_NAMES!E:E,"",0))</f>
        <v/>
      </c>
    </row>
    <row r="1446" spans="1:13" x14ac:dyDescent="0.2">
      <c r="A1446" t="s">
        <v>1670</v>
      </c>
      <c r="B1446" t="s">
        <v>321</v>
      </c>
      <c r="L1446" t="s">
        <v>321</v>
      </c>
      <c r="M1446">
        <f>IF(C1446&lt;&gt;"",C1446,_xlfn.XLOOKUP(B1446,AI_NAMES!D:D,AI_NAMES!E:E,"",0))</f>
        <v>0</v>
      </c>
    </row>
    <row r="1447" spans="1:13" x14ac:dyDescent="0.2">
      <c r="A1447" t="s">
        <v>1671</v>
      </c>
      <c r="B1447" t="s">
        <v>321</v>
      </c>
      <c r="L1447" t="s">
        <v>321</v>
      </c>
      <c r="M1447">
        <f>IF(C1447&lt;&gt;"",C1447,_xlfn.XLOOKUP(B1447,AI_NAMES!D:D,AI_NAMES!E:E,"",0))</f>
        <v>0</v>
      </c>
    </row>
    <row r="1448" spans="1:13" x14ac:dyDescent="0.2">
      <c r="A1448" t="s">
        <v>1672</v>
      </c>
      <c r="B1448" t="s">
        <v>321</v>
      </c>
      <c r="L1448" t="s">
        <v>321</v>
      </c>
      <c r="M1448">
        <f>IF(C1448&lt;&gt;"",C1448,_xlfn.XLOOKUP(B1448,AI_NAMES!D:D,AI_NAMES!E:E,"",0))</f>
        <v>0</v>
      </c>
    </row>
    <row r="1449" spans="1:13" x14ac:dyDescent="0.2">
      <c r="A1449" t="s">
        <v>1673</v>
      </c>
      <c r="B1449" t="s">
        <v>321</v>
      </c>
      <c r="L1449" t="s">
        <v>321</v>
      </c>
      <c r="M1449">
        <f>IF(C1449&lt;&gt;"",C1449,_xlfn.XLOOKUP(B1449,AI_NAMES!D:D,AI_NAMES!E:E,"",0))</f>
        <v>0</v>
      </c>
    </row>
    <row r="1450" spans="1:13" x14ac:dyDescent="0.2">
      <c r="A1450" t="s">
        <v>1674</v>
      </c>
      <c r="B1450" t="s">
        <v>3388</v>
      </c>
      <c r="L1450" t="s">
        <v>3388</v>
      </c>
      <c r="M1450" t="str">
        <f>IF(C1450&lt;&gt;"",C1450,_xlfn.XLOOKUP(B1450,AI_NAMES!D:D,AI_NAMES!E:E,"",0))</f>
        <v/>
      </c>
    </row>
    <row r="1451" spans="1:13" x14ac:dyDescent="0.2">
      <c r="A1451" t="s">
        <v>1675</v>
      </c>
      <c r="B1451" t="s">
        <v>321</v>
      </c>
      <c r="L1451" t="s">
        <v>321</v>
      </c>
      <c r="M1451">
        <f>IF(C1451&lt;&gt;"",C1451,_xlfn.XLOOKUP(B1451,AI_NAMES!D:D,AI_NAMES!E:E,"",0))</f>
        <v>0</v>
      </c>
    </row>
    <row r="1452" spans="1:13" x14ac:dyDescent="0.2">
      <c r="A1452" t="s">
        <v>1676</v>
      </c>
      <c r="B1452" t="s">
        <v>321</v>
      </c>
      <c r="L1452" t="s">
        <v>321</v>
      </c>
      <c r="M1452">
        <f>IF(C1452&lt;&gt;"",C1452,_xlfn.XLOOKUP(B1452,AI_NAMES!D:D,AI_NAMES!E:E,"",0))</f>
        <v>0</v>
      </c>
    </row>
    <row r="1453" spans="1:13" x14ac:dyDescent="0.2">
      <c r="A1453" t="s">
        <v>1677</v>
      </c>
      <c r="B1453" t="s">
        <v>321</v>
      </c>
      <c r="L1453" t="s">
        <v>321</v>
      </c>
      <c r="M1453">
        <f>IF(C1453&lt;&gt;"",C1453,_xlfn.XLOOKUP(B1453,AI_NAMES!D:D,AI_NAMES!E:E,"",0))</f>
        <v>0</v>
      </c>
    </row>
    <row r="1454" spans="1:13" x14ac:dyDescent="0.2">
      <c r="A1454" t="s">
        <v>1678</v>
      </c>
      <c r="B1454" t="s">
        <v>321</v>
      </c>
      <c r="L1454" t="s">
        <v>321</v>
      </c>
      <c r="M1454">
        <f>IF(C1454&lt;&gt;"",C1454,_xlfn.XLOOKUP(B1454,AI_NAMES!D:D,AI_NAMES!E:E,"",0))</f>
        <v>0</v>
      </c>
    </row>
    <row r="1455" spans="1:13" x14ac:dyDescent="0.2">
      <c r="A1455" t="s">
        <v>1679</v>
      </c>
      <c r="B1455" t="s">
        <v>321</v>
      </c>
      <c r="L1455" t="s">
        <v>321</v>
      </c>
      <c r="M1455">
        <f>IF(C1455&lt;&gt;"",C1455,_xlfn.XLOOKUP(B1455,AI_NAMES!D:D,AI_NAMES!E:E,"",0))</f>
        <v>0</v>
      </c>
    </row>
    <row r="1456" spans="1:13" x14ac:dyDescent="0.2">
      <c r="A1456" t="s">
        <v>1680</v>
      </c>
      <c r="B1456" t="s">
        <v>321</v>
      </c>
      <c r="L1456" t="s">
        <v>321</v>
      </c>
      <c r="M1456">
        <f>IF(C1456&lt;&gt;"",C1456,_xlfn.XLOOKUP(B1456,AI_NAMES!D:D,AI_NAMES!E:E,"",0))</f>
        <v>0</v>
      </c>
    </row>
    <row r="1457" spans="1:13" x14ac:dyDescent="0.2">
      <c r="A1457" t="s">
        <v>1681</v>
      </c>
      <c r="B1457" t="s">
        <v>321</v>
      </c>
      <c r="L1457" t="s">
        <v>321</v>
      </c>
      <c r="M1457">
        <f>IF(C1457&lt;&gt;"",C1457,_xlfn.XLOOKUP(B1457,AI_NAMES!D:D,AI_NAMES!E:E,"",0))</f>
        <v>0</v>
      </c>
    </row>
    <row r="1458" spans="1:13" x14ac:dyDescent="0.2">
      <c r="A1458" t="s">
        <v>1682</v>
      </c>
      <c r="B1458" t="s">
        <v>321</v>
      </c>
      <c r="L1458" t="s">
        <v>321</v>
      </c>
      <c r="M1458">
        <f>IF(C1458&lt;&gt;"",C1458,_xlfn.XLOOKUP(B1458,AI_NAMES!D:D,AI_NAMES!E:E,"",0))</f>
        <v>0</v>
      </c>
    </row>
    <row r="1459" spans="1:13" x14ac:dyDescent="0.2">
      <c r="A1459" t="s">
        <v>1683</v>
      </c>
      <c r="B1459" t="s">
        <v>321</v>
      </c>
      <c r="L1459" t="s">
        <v>321</v>
      </c>
      <c r="M1459">
        <f>IF(C1459&lt;&gt;"",C1459,_xlfn.XLOOKUP(B1459,AI_NAMES!D:D,AI_NAMES!E:E,"",0))</f>
        <v>0</v>
      </c>
    </row>
    <row r="1460" spans="1:13" x14ac:dyDescent="0.2">
      <c r="A1460" t="s">
        <v>1684</v>
      </c>
      <c r="B1460" t="s">
        <v>321</v>
      </c>
      <c r="L1460" t="s">
        <v>321</v>
      </c>
      <c r="M1460">
        <f>IF(C1460&lt;&gt;"",C1460,_xlfn.XLOOKUP(B1460,AI_NAMES!D:D,AI_NAMES!E:E,"",0))</f>
        <v>0</v>
      </c>
    </row>
    <row r="1461" spans="1:13" x14ac:dyDescent="0.2">
      <c r="A1461" t="s">
        <v>1685</v>
      </c>
      <c r="B1461" t="s">
        <v>3395</v>
      </c>
      <c r="L1461" t="s">
        <v>3395</v>
      </c>
      <c r="M1461" t="str">
        <f>IF(C1461&lt;&gt;"",C1461,_xlfn.XLOOKUP(B1461,AI_NAMES!D:D,AI_NAMES!E:E,"",0))</f>
        <v/>
      </c>
    </row>
    <row r="1462" spans="1:13" x14ac:dyDescent="0.2">
      <c r="A1462" t="s">
        <v>1686</v>
      </c>
      <c r="B1462" t="s">
        <v>321</v>
      </c>
      <c r="L1462" t="s">
        <v>321</v>
      </c>
      <c r="M1462">
        <f>IF(C1462&lt;&gt;"",C1462,_xlfn.XLOOKUP(B1462,AI_NAMES!D:D,AI_NAMES!E:E,"",0))</f>
        <v>0</v>
      </c>
    </row>
    <row r="1463" spans="1:13" x14ac:dyDescent="0.2">
      <c r="A1463" t="s">
        <v>1687</v>
      </c>
      <c r="B1463" t="s">
        <v>321</v>
      </c>
      <c r="L1463" t="s">
        <v>321</v>
      </c>
      <c r="M1463">
        <f>IF(C1463&lt;&gt;"",C1463,_xlfn.XLOOKUP(B1463,AI_NAMES!D:D,AI_NAMES!E:E,"",0))</f>
        <v>0</v>
      </c>
    </row>
    <row r="1464" spans="1:13" x14ac:dyDescent="0.2">
      <c r="A1464" t="s">
        <v>1688</v>
      </c>
      <c r="B1464" t="s">
        <v>321</v>
      </c>
      <c r="L1464" t="s">
        <v>321</v>
      </c>
      <c r="M1464">
        <f>IF(C1464&lt;&gt;"",C1464,_xlfn.XLOOKUP(B1464,AI_NAMES!D:D,AI_NAMES!E:E,"",0))</f>
        <v>0</v>
      </c>
    </row>
    <row r="1465" spans="1:13" x14ac:dyDescent="0.2">
      <c r="A1465" t="s">
        <v>1689</v>
      </c>
      <c r="B1465" t="s">
        <v>3386</v>
      </c>
      <c r="L1465" t="s">
        <v>3386</v>
      </c>
      <c r="M1465" t="str">
        <f>IF(C1465&lt;&gt;"",C1465,_xlfn.XLOOKUP(B1465,AI_NAMES!D:D,AI_NAMES!E:E,"",0))</f>
        <v/>
      </c>
    </row>
    <row r="1466" spans="1:13" x14ac:dyDescent="0.2">
      <c r="A1466" t="s">
        <v>1690</v>
      </c>
      <c r="B1466" t="s">
        <v>1691</v>
      </c>
      <c r="L1466" t="s">
        <v>1691</v>
      </c>
      <c r="M1466" t="str">
        <f>IF(C1466&lt;&gt;"",C1466,_xlfn.XLOOKUP(B1466,AI_NAMES!D:D,AI_NAMES!E:E,"",0))</f>
        <v/>
      </c>
    </row>
    <row r="1467" spans="1:13" x14ac:dyDescent="0.2">
      <c r="A1467" t="s">
        <v>1692</v>
      </c>
      <c r="B1467" t="s">
        <v>3387</v>
      </c>
      <c r="L1467" t="s">
        <v>3387</v>
      </c>
      <c r="M1467" t="str">
        <f>IF(C1467&lt;&gt;"",C1467,_xlfn.XLOOKUP(B1467,AI_NAMES!D:D,AI_NAMES!E:E,"",0))</f>
        <v/>
      </c>
    </row>
    <row r="1468" spans="1:13" x14ac:dyDescent="0.2">
      <c r="A1468" t="s">
        <v>1693</v>
      </c>
      <c r="B1468" t="s">
        <v>321</v>
      </c>
      <c r="L1468" t="s">
        <v>321</v>
      </c>
      <c r="M1468">
        <f>IF(C1468&lt;&gt;"",C1468,_xlfn.XLOOKUP(B1468,AI_NAMES!D:D,AI_NAMES!E:E,"",0))</f>
        <v>0</v>
      </c>
    </row>
    <row r="1469" spans="1:13" x14ac:dyDescent="0.2">
      <c r="A1469" t="s">
        <v>1694</v>
      </c>
      <c r="B1469" t="s">
        <v>321</v>
      </c>
      <c r="L1469" t="s">
        <v>321</v>
      </c>
      <c r="M1469">
        <f>IF(C1469&lt;&gt;"",C1469,_xlfn.XLOOKUP(B1469,AI_NAMES!D:D,AI_NAMES!E:E,"",0))</f>
        <v>0</v>
      </c>
    </row>
    <row r="1470" spans="1:13" x14ac:dyDescent="0.2">
      <c r="A1470" t="s">
        <v>1695</v>
      </c>
      <c r="B1470" t="s">
        <v>321</v>
      </c>
      <c r="L1470" t="s">
        <v>321</v>
      </c>
      <c r="M1470">
        <f>IF(C1470&lt;&gt;"",C1470,_xlfn.XLOOKUP(B1470,AI_NAMES!D:D,AI_NAMES!E:E,"",0))</f>
        <v>0</v>
      </c>
    </row>
    <row r="1471" spans="1:13" x14ac:dyDescent="0.2">
      <c r="A1471" t="s">
        <v>1696</v>
      </c>
      <c r="B1471" t="s">
        <v>321</v>
      </c>
      <c r="L1471" t="s">
        <v>321</v>
      </c>
      <c r="M1471">
        <f>IF(C1471&lt;&gt;"",C1471,_xlfn.XLOOKUP(B1471,AI_NAMES!D:D,AI_NAMES!E:E,"",0))</f>
        <v>0</v>
      </c>
    </row>
    <row r="1472" spans="1:13" x14ac:dyDescent="0.2">
      <c r="A1472" t="s">
        <v>1697</v>
      </c>
      <c r="B1472" t="s">
        <v>321</v>
      </c>
      <c r="L1472" t="s">
        <v>321</v>
      </c>
      <c r="M1472">
        <f>IF(C1472&lt;&gt;"",C1472,_xlfn.XLOOKUP(B1472,AI_NAMES!D:D,AI_NAMES!E:E,"",0))</f>
        <v>0</v>
      </c>
    </row>
    <row r="1473" spans="1:13" x14ac:dyDescent="0.2">
      <c r="A1473" t="s">
        <v>1698</v>
      </c>
      <c r="B1473" t="s">
        <v>321</v>
      </c>
      <c r="L1473" t="s">
        <v>321</v>
      </c>
      <c r="M1473">
        <f>IF(C1473&lt;&gt;"",C1473,_xlfn.XLOOKUP(B1473,AI_NAMES!D:D,AI_NAMES!E:E,"",0))</f>
        <v>0</v>
      </c>
    </row>
    <row r="1474" spans="1:13" x14ac:dyDescent="0.2">
      <c r="A1474" t="s">
        <v>1699</v>
      </c>
      <c r="B1474" t="s">
        <v>321</v>
      </c>
      <c r="L1474" t="s">
        <v>321</v>
      </c>
      <c r="M1474">
        <f>IF(C1474&lt;&gt;"",C1474,_xlfn.XLOOKUP(B1474,AI_NAMES!D:D,AI_NAMES!E:E,"",0))</f>
        <v>0</v>
      </c>
    </row>
    <row r="1475" spans="1:13" x14ac:dyDescent="0.2">
      <c r="A1475" t="s">
        <v>1700</v>
      </c>
      <c r="B1475" t="s">
        <v>321</v>
      </c>
      <c r="L1475" t="s">
        <v>321</v>
      </c>
      <c r="M1475">
        <f>IF(C1475&lt;&gt;"",C1475,_xlfn.XLOOKUP(B1475,AI_NAMES!D:D,AI_NAMES!E:E,"",0))</f>
        <v>0</v>
      </c>
    </row>
    <row r="1476" spans="1:13" x14ac:dyDescent="0.2">
      <c r="A1476" t="s">
        <v>1701</v>
      </c>
      <c r="B1476" t="s">
        <v>321</v>
      </c>
      <c r="L1476" t="s">
        <v>321</v>
      </c>
      <c r="M1476">
        <f>IF(C1476&lt;&gt;"",C1476,_xlfn.XLOOKUP(B1476,AI_NAMES!D:D,AI_NAMES!E:E,"",0))</f>
        <v>0</v>
      </c>
    </row>
    <row r="1477" spans="1:13" x14ac:dyDescent="0.2">
      <c r="A1477" t="s">
        <v>1702</v>
      </c>
      <c r="B1477" t="s">
        <v>321</v>
      </c>
      <c r="L1477" t="s">
        <v>321</v>
      </c>
      <c r="M1477">
        <f>IF(C1477&lt;&gt;"",C1477,_xlfn.XLOOKUP(B1477,AI_NAMES!D:D,AI_NAMES!E:E,"",0))</f>
        <v>0</v>
      </c>
    </row>
    <row r="1478" spans="1:13" x14ac:dyDescent="0.2">
      <c r="A1478" t="s">
        <v>1703</v>
      </c>
      <c r="B1478" t="s">
        <v>321</v>
      </c>
      <c r="L1478" t="s">
        <v>321</v>
      </c>
      <c r="M1478">
        <f>IF(C1478&lt;&gt;"",C1478,_xlfn.XLOOKUP(B1478,AI_NAMES!D:D,AI_NAMES!E:E,"",0))</f>
        <v>0</v>
      </c>
    </row>
    <row r="1479" spans="1:13" x14ac:dyDescent="0.2">
      <c r="A1479" t="s">
        <v>1704</v>
      </c>
      <c r="B1479" t="s">
        <v>321</v>
      </c>
      <c r="L1479" t="s">
        <v>321</v>
      </c>
      <c r="M1479">
        <f>IF(C1479&lt;&gt;"",C1479,_xlfn.XLOOKUP(B1479,AI_NAMES!D:D,AI_NAMES!E:E,"",0))</f>
        <v>0</v>
      </c>
    </row>
    <row r="1480" spans="1:13" x14ac:dyDescent="0.2">
      <c r="A1480" t="s">
        <v>1705</v>
      </c>
      <c r="B1480" t="s">
        <v>321</v>
      </c>
      <c r="L1480" t="s">
        <v>321</v>
      </c>
      <c r="M1480">
        <f>IF(C1480&lt;&gt;"",C1480,_xlfn.XLOOKUP(B1480,AI_NAMES!D:D,AI_NAMES!E:E,"",0))</f>
        <v>0</v>
      </c>
    </row>
    <row r="1481" spans="1:13" x14ac:dyDescent="0.2">
      <c r="A1481" t="s">
        <v>1706</v>
      </c>
      <c r="B1481" t="s">
        <v>321</v>
      </c>
      <c r="L1481" t="s">
        <v>321</v>
      </c>
      <c r="M1481">
        <f>IF(C1481&lt;&gt;"",C1481,_xlfn.XLOOKUP(B1481,AI_NAMES!D:D,AI_NAMES!E:E,"",0))</f>
        <v>0</v>
      </c>
    </row>
    <row r="1482" spans="1:13" x14ac:dyDescent="0.2">
      <c r="A1482" t="s">
        <v>1707</v>
      </c>
      <c r="B1482" t="s">
        <v>3393</v>
      </c>
      <c r="L1482" t="s">
        <v>3393</v>
      </c>
      <c r="M1482" t="str">
        <f>IF(C1482&lt;&gt;"",C1482,_xlfn.XLOOKUP(B1482,AI_NAMES!D:D,AI_NAMES!E:E,"",0))</f>
        <v/>
      </c>
    </row>
    <row r="1483" spans="1:13" x14ac:dyDescent="0.2">
      <c r="A1483" t="s">
        <v>1708</v>
      </c>
      <c r="B1483" t="s">
        <v>3392</v>
      </c>
      <c r="L1483" t="s">
        <v>3392</v>
      </c>
      <c r="M1483" t="str">
        <f>IF(C1483&lt;&gt;"",C1483,_xlfn.XLOOKUP(B1483,AI_NAMES!D:D,AI_NAMES!E:E,"",0))</f>
        <v/>
      </c>
    </row>
    <row r="1484" spans="1:13" x14ac:dyDescent="0.2">
      <c r="A1484" t="s">
        <v>1709</v>
      </c>
      <c r="B1484" t="s">
        <v>3391</v>
      </c>
      <c r="L1484" t="s">
        <v>3391</v>
      </c>
      <c r="M1484" t="str">
        <f>IF(C1484&lt;&gt;"",C1484,_xlfn.XLOOKUP(B1484,AI_NAMES!D:D,AI_NAMES!E:E,"",0))</f>
        <v/>
      </c>
    </row>
    <row r="1485" spans="1:13" x14ac:dyDescent="0.2">
      <c r="A1485" t="s">
        <v>1710</v>
      </c>
      <c r="B1485" t="s">
        <v>3394</v>
      </c>
      <c r="L1485" t="s">
        <v>3394</v>
      </c>
      <c r="M1485" t="str">
        <f>IF(C1485&lt;&gt;"",C1485,_xlfn.XLOOKUP(B1485,AI_NAMES!D:D,AI_NAMES!E:E,"",0))</f>
        <v/>
      </c>
    </row>
    <row r="1486" spans="1:13" x14ac:dyDescent="0.2">
      <c r="A1486" t="s">
        <v>1711</v>
      </c>
      <c r="B1486" t="s">
        <v>3397</v>
      </c>
      <c r="L1486" t="s">
        <v>3397</v>
      </c>
      <c r="M1486" t="str">
        <f>IF(C1486&lt;&gt;"",C1486,_xlfn.XLOOKUP(B1486,AI_NAMES!D:D,AI_NAMES!E:E,"",0))</f>
        <v/>
      </c>
    </row>
    <row r="1487" spans="1:13" x14ac:dyDescent="0.2">
      <c r="A1487" t="s">
        <v>1712</v>
      </c>
      <c r="B1487" t="s">
        <v>1713</v>
      </c>
      <c r="L1487" t="s">
        <v>1713</v>
      </c>
      <c r="M1487" t="str">
        <f>IF(C1487&lt;&gt;"",C1487,_xlfn.XLOOKUP(B1487,AI_NAMES!D:D,AI_NAMES!E:E,"",0))</f>
        <v/>
      </c>
    </row>
    <row r="1488" spans="1:13" x14ac:dyDescent="0.2">
      <c r="A1488" t="s">
        <v>1714</v>
      </c>
      <c r="B1488" t="s">
        <v>1715</v>
      </c>
      <c r="L1488" t="s">
        <v>1715</v>
      </c>
      <c r="M1488" t="str">
        <f>IF(C1488&lt;&gt;"",C1488,_xlfn.XLOOKUP(B1488,AI_NAMES!D:D,AI_NAMES!E:E,"",0))</f>
        <v/>
      </c>
    </row>
    <row r="1489" spans="1:13" x14ac:dyDescent="0.2">
      <c r="A1489" t="s">
        <v>1716</v>
      </c>
      <c r="B1489" t="s">
        <v>1717</v>
      </c>
      <c r="L1489" t="s">
        <v>1717</v>
      </c>
      <c r="M1489" t="str">
        <f>IF(C1489&lt;&gt;"",C1489,_xlfn.XLOOKUP(B1489,AI_NAMES!D:D,AI_NAMES!E:E,"",0))</f>
        <v/>
      </c>
    </row>
    <row r="1490" spans="1:13" x14ac:dyDescent="0.2">
      <c r="A1490" t="s">
        <v>1718</v>
      </c>
      <c r="B1490" t="s">
        <v>1719</v>
      </c>
      <c r="L1490" t="s">
        <v>1719</v>
      </c>
      <c r="M1490" t="str">
        <f>IF(C1490&lt;&gt;"",C1490,_xlfn.XLOOKUP(B1490,AI_NAMES!D:D,AI_NAMES!E:E,"",0))</f>
        <v/>
      </c>
    </row>
    <row r="1491" spans="1:13" x14ac:dyDescent="0.2">
      <c r="A1491" t="s">
        <v>1720</v>
      </c>
      <c r="B1491" s="27" t="s">
        <v>3692</v>
      </c>
      <c r="L1491" t="s">
        <v>3425</v>
      </c>
      <c r="M1491" t="str">
        <f>IF(C1491&lt;&gt;"",C1491,_xlfn.XLOOKUP(B1491,AI_NAMES!D:D,AI_NAMES!E:E,"",0))</f>
        <v/>
      </c>
    </row>
    <row r="1492" spans="1:13" x14ac:dyDescent="0.2">
      <c r="A1492" t="s">
        <v>1721</v>
      </c>
      <c r="B1492" s="27" t="s">
        <v>3693</v>
      </c>
      <c r="L1492" t="s">
        <v>3403</v>
      </c>
      <c r="M1492" t="str">
        <f>IF(C1492&lt;&gt;"",C1492,_xlfn.XLOOKUP(B1492,AI_NAMES!D:D,AI_NAMES!E:E,"",0))</f>
        <v/>
      </c>
    </row>
    <row r="1493" spans="1:13" x14ac:dyDescent="0.2">
      <c r="A1493" t="s">
        <v>1722</v>
      </c>
      <c r="B1493" t="s">
        <v>3405</v>
      </c>
      <c r="C1493" s="5" t="s">
        <v>3404</v>
      </c>
      <c r="L1493" t="s">
        <v>3405</v>
      </c>
      <c r="M1493" t="str">
        <f>IF(C1493&lt;&gt;"",C1493,_xlfn.XLOOKUP(B1493,AI_NAMES!D:D,AI_NAMES!E:E,"",0))</f>
        <v>.CheckStairs</v>
      </c>
    </row>
    <row r="1494" spans="1:13" x14ac:dyDescent="0.2">
      <c r="A1494" t="s">
        <v>1723</v>
      </c>
      <c r="B1494" t="s">
        <v>3407</v>
      </c>
      <c r="L1494" t="s">
        <v>3407</v>
      </c>
      <c r="M1494">
        <f>IF(C1494&lt;&gt;"",C1494,_xlfn.XLOOKUP(B1494,AI_NAMES!D:D,AI_NAMES!E:E,"",0))</f>
        <v>0</v>
      </c>
    </row>
    <row r="1495" spans="1:13" x14ac:dyDescent="0.2">
      <c r="A1495" t="s">
        <v>1724</v>
      </c>
      <c r="B1495" t="s">
        <v>3408</v>
      </c>
      <c r="L1495" t="s">
        <v>3408</v>
      </c>
      <c r="M1495">
        <f>IF(C1495&lt;&gt;"",C1495,_xlfn.XLOOKUP(B1495,AI_NAMES!D:D,AI_NAMES!E:E,"",0))</f>
        <v>0</v>
      </c>
    </row>
    <row r="1496" spans="1:13" x14ac:dyDescent="0.2">
      <c r="A1496" t="s">
        <v>1725</v>
      </c>
      <c r="B1496" t="s">
        <v>3409</v>
      </c>
      <c r="L1496" t="s">
        <v>3409</v>
      </c>
      <c r="M1496">
        <f>IF(C1496&lt;&gt;"",C1496,_xlfn.XLOOKUP(B1496,AI_NAMES!D:D,AI_NAMES!E:E,"",0))</f>
        <v>0</v>
      </c>
    </row>
    <row r="1497" spans="1:13" x14ac:dyDescent="0.2">
      <c r="A1497" t="s">
        <v>1726</v>
      </c>
      <c r="B1497" t="s">
        <v>3410</v>
      </c>
      <c r="L1497" t="s">
        <v>3410</v>
      </c>
      <c r="M1497">
        <f>IF(C1497&lt;&gt;"",C1497,_xlfn.XLOOKUP(B1497,AI_NAMES!D:D,AI_NAMES!E:E,"",0))</f>
        <v>0</v>
      </c>
    </row>
    <row r="1498" spans="1:13" x14ac:dyDescent="0.2">
      <c r="A1498" t="s">
        <v>1727</v>
      </c>
      <c r="B1498" t="s">
        <v>3411</v>
      </c>
      <c r="L1498" t="s">
        <v>3411</v>
      </c>
      <c r="M1498">
        <f>IF(C1498&lt;&gt;"",C1498,_xlfn.XLOOKUP(B1498,AI_NAMES!D:D,AI_NAMES!E:E,"",0))</f>
        <v>0</v>
      </c>
    </row>
    <row r="1499" spans="1:13" x14ac:dyDescent="0.2">
      <c r="A1499" t="s">
        <v>1728</v>
      </c>
      <c r="B1499" t="s">
        <v>3412</v>
      </c>
      <c r="L1499" t="s">
        <v>3412</v>
      </c>
      <c r="M1499">
        <f>IF(C1499&lt;&gt;"",C1499,_xlfn.XLOOKUP(B1499,AI_NAMES!D:D,AI_NAMES!E:E,"",0))</f>
        <v>0</v>
      </c>
    </row>
    <row r="1500" spans="1:13" x14ac:dyDescent="0.2">
      <c r="A1500" t="s">
        <v>1729</v>
      </c>
      <c r="B1500" t="s">
        <v>3413</v>
      </c>
      <c r="L1500" t="s">
        <v>3413</v>
      </c>
      <c r="M1500">
        <f>IF(C1500&lt;&gt;"",C1500,_xlfn.XLOOKUP(B1500,AI_NAMES!D:D,AI_NAMES!E:E,"",0))</f>
        <v>0</v>
      </c>
    </row>
    <row r="1501" spans="1:13" x14ac:dyDescent="0.2">
      <c r="A1501" t="s">
        <v>1730</v>
      </c>
      <c r="B1501" t="s">
        <v>3414</v>
      </c>
      <c r="L1501" t="s">
        <v>3414</v>
      </c>
      <c r="M1501">
        <f>IF(C1501&lt;&gt;"",C1501,_xlfn.XLOOKUP(B1501,AI_NAMES!D:D,AI_NAMES!E:E,"",0))</f>
        <v>0</v>
      </c>
    </row>
    <row r="1502" spans="1:13" x14ac:dyDescent="0.2">
      <c r="A1502" t="s">
        <v>1731</v>
      </c>
      <c r="B1502" t="s">
        <v>3415</v>
      </c>
      <c r="L1502" t="s">
        <v>3415</v>
      </c>
      <c r="M1502">
        <f>IF(C1502&lt;&gt;"",C1502,_xlfn.XLOOKUP(B1502,AI_NAMES!D:D,AI_NAMES!E:E,"",0))</f>
        <v>0</v>
      </c>
    </row>
    <row r="1503" spans="1:13" x14ac:dyDescent="0.2">
      <c r="A1503" t="s">
        <v>1732</v>
      </c>
      <c r="B1503" t="s">
        <v>1733</v>
      </c>
      <c r="L1503" t="s">
        <v>1733</v>
      </c>
      <c r="M1503" t="str">
        <f>IF(C1503&lt;&gt;"",C1503,_xlfn.XLOOKUP(B1503,AI_NAMES!D:D,AI_NAMES!E:E,"",0))</f>
        <v/>
      </c>
    </row>
    <row r="1504" spans="1:13" x14ac:dyDescent="0.2">
      <c r="A1504" t="s">
        <v>1734</v>
      </c>
      <c r="B1504" t="s">
        <v>1735</v>
      </c>
      <c r="L1504" t="s">
        <v>1735</v>
      </c>
      <c r="M1504" t="str">
        <f>IF(C1504&lt;&gt;"",C1504,_xlfn.XLOOKUP(B1504,AI_NAMES!D:D,AI_NAMES!E:E,"",0))</f>
        <v/>
      </c>
    </row>
    <row r="1505" spans="1:13" x14ac:dyDescent="0.2">
      <c r="A1505" t="s">
        <v>1736</v>
      </c>
      <c r="B1505" t="s">
        <v>3406</v>
      </c>
      <c r="L1505" t="s">
        <v>3406</v>
      </c>
      <c r="M1505" t="str">
        <f>IF(C1505&lt;&gt;"",C1505,_xlfn.XLOOKUP(B1505,AI_NAMES!D:D,AI_NAMES!E:E,"",0))</f>
        <v/>
      </c>
    </row>
    <row r="1506" spans="1:13" x14ac:dyDescent="0.2">
      <c r="A1506" t="s">
        <v>1737</v>
      </c>
      <c r="B1506" t="s">
        <v>3424</v>
      </c>
      <c r="L1506" t="s">
        <v>3424</v>
      </c>
      <c r="M1506">
        <f>IF(C1506&lt;&gt;"",C1506,_xlfn.XLOOKUP(B1506,AI_NAMES!D:D,AI_NAMES!E:E,"",0))</f>
        <v>0</v>
      </c>
    </row>
    <row r="1507" spans="1:13" x14ac:dyDescent="0.2">
      <c r="A1507" t="s">
        <v>1738</v>
      </c>
      <c r="B1507" t="s">
        <v>3423</v>
      </c>
      <c r="L1507" t="s">
        <v>3423</v>
      </c>
      <c r="M1507">
        <f>IF(C1507&lt;&gt;"",C1507,_xlfn.XLOOKUP(B1507,AI_NAMES!D:D,AI_NAMES!E:E,"",0))</f>
        <v>0</v>
      </c>
    </row>
    <row r="1508" spans="1:13" x14ac:dyDescent="0.2">
      <c r="A1508" t="s">
        <v>1739</v>
      </c>
      <c r="B1508" t="s">
        <v>3422</v>
      </c>
      <c r="L1508" t="s">
        <v>3422</v>
      </c>
      <c r="M1508">
        <f>IF(C1508&lt;&gt;"",C1508,_xlfn.XLOOKUP(B1508,AI_NAMES!D:D,AI_NAMES!E:E,"",0))</f>
        <v>0</v>
      </c>
    </row>
    <row r="1509" spans="1:13" x14ac:dyDescent="0.2">
      <c r="A1509" t="s">
        <v>1740</v>
      </c>
      <c r="B1509" t="s">
        <v>3421</v>
      </c>
      <c r="L1509" t="s">
        <v>3421</v>
      </c>
      <c r="M1509">
        <f>IF(C1509&lt;&gt;"",C1509,_xlfn.XLOOKUP(B1509,AI_NAMES!D:D,AI_NAMES!E:E,"",0))</f>
        <v>0</v>
      </c>
    </row>
    <row r="1510" spans="1:13" x14ac:dyDescent="0.2">
      <c r="A1510" t="s">
        <v>1741</v>
      </c>
      <c r="B1510" t="s">
        <v>3420</v>
      </c>
      <c r="L1510" t="s">
        <v>3420</v>
      </c>
      <c r="M1510">
        <f>IF(C1510&lt;&gt;"",C1510,_xlfn.XLOOKUP(B1510,AI_NAMES!D:D,AI_NAMES!E:E,"",0))</f>
        <v>0</v>
      </c>
    </row>
    <row r="1511" spans="1:13" x14ac:dyDescent="0.2">
      <c r="A1511" t="s">
        <v>1742</v>
      </c>
      <c r="B1511" t="s">
        <v>3419</v>
      </c>
      <c r="L1511" t="s">
        <v>3419</v>
      </c>
      <c r="M1511">
        <f>IF(C1511&lt;&gt;"",C1511,_xlfn.XLOOKUP(B1511,AI_NAMES!D:D,AI_NAMES!E:E,"",0))</f>
        <v>0</v>
      </c>
    </row>
    <row r="1512" spans="1:13" x14ac:dyDescent="0.2">
      <c r="A1512" t="s">
        <v>1743</v>
      </c>
      <c r="B1512" t="s">
        <v>3418</v>
      </c>
      <c r="L1512" t="s">
        <v>3418</v>
      </c>
      <c r="M1512">
        <f>IF(C1512&lt;&gt;"",C1512,_xlfn.XLOOKUP(B1512,AI_NAMES!D:D,AI_NAMES!E:E,"",0))</f>
        <v>0</v>
      </c>
    </row>
    <row r="1513" spans="1:13" x14ac:dyDescent="0.2">
      <c r="A1513" t="s">
        <v>1744</v>
      </c>
      <c r="B1513" t="s">
        <v>3417</v>
      </c>
      <c r="L1513" t="s">
        <v>3417</v>
      </c>
      <c r="M1513">
        <f>IF(C1513&lt;&gt;"",C1513,_xlfn.XLOOKUP(B1513,AI_NAMES!D:D,AI_NAMES!E:E,"",0))</f>
        <v>0</v>
      </c>
    </row>
    <row r="1514" spans="1:13" x14ac:dyDescent="0.2">
      <c r="A1514" t="s">
        <v>1745</v>
      </c>
      <c r="B1514" t="s">
        <v>3416</v>
      </c>
      <c r="L1514" t="s">
        <v>3416</v>
      </c>
      <c r="M1514">
        <f>IF(C1514&lt;&gt;"",C1514,_xlfn.XLOOKUP(B1514,AI_NAMES!D:D,AI_NAMES!E:E,"",0))</f>
        <v>0</v>
      </c>
    </row>
    <row r="1515" spans="1:13" x14ac:dyDescent="0.2">
      <c r="A1515" t="s">
        <v>1746</v>
      </c>
      <c r="B1515" t="s">
        <v>1747</v>
      </c>
      <c r="L1515" t="s">
        <v>1747</v>
      </c>
      <c r="M1515" t="str">
        <f>IF(C1515&lt;&gt;"",C1515,_xlfn.XLOOKUP(B1515,AI_NAMES!D:D,AI_NAMES!E:E,"",0))</f>
        <v/>
      </c>
    </row>
    <row r="1516" spans="1:13" x14ac:dyDescent="0.2">
      <c r="A1516" t="s">
        <v>1748</v>
      </c>
      <c r="B1516" t="s">
        <v>1749</v>
      </c>
      <c r="L1516" t="s">
        <v>1749</v>
      </c>
      <c r="M1516" t="str">
        <f>IF(C1516&lt;&gt;"",C1516,_xlfn.XLOOKUP(B1516,AI_NAMES!D:D,AI_NAMES!E:E,"",0))</f>
        <v/>
      </c>
    </row>
    <row r="1517" spans="1:13" x14ac:dyDescent="0.2">
      <c r="A1517" t="s">
        <v>1750</v>
      </c>
      <c r="B1517" t="s">
        <v>3434</v>
      </c>
      <c r="L1517" t="s">
        <v>3434</v>
      </c>
      <c r="M1517" t="str">
        <f>IF(C1517&lt;&gt;"",C1517,_xlfn.XLOOKUP(B1517,AI_NAMES!D:D,AI_NAMES!E:E,"",0))</f>
        <v/>
      </c>
    </row>
    <row r="1518" spans="1:13" x14ac:dyDescent="0.2">
      <c r="A1518" t="s">
        <v>1751</v>
      </c>
      <c r="B1518" t="s">
        <v>3433</v>
      </c>
      <c r="L1518" t="s">
        <v>3433</v>
      </c>
      <c r="M1518" t="str">
        <f>IF(C1518&lt;&gt;"",C1518,_xlfn.XLOOKUP(B1518,AI_NAMES!D:D,AI_NAMES!E:E,"",0))</f>
        <v/>
      </c>
    </row>
    <row r="1519" spans="1:13" x14ac:dyDescent="0.2">
      <c r="A1519" t="s">
        <v>1752</v>
      </c>
      <c r="M1519">
        <f>IF(C1519&lt;&gt;"",C1519,_xlfn.XLOOKUP(B1519,AI_NAMES!D:D,AI_NAMES!E:E,"",0))</f>
        <v>0</v>
      </c>
    </row>
    <row r="1520" spans="1:13" x14ac:dyDescent="0.2">
      <c r="A1520" t="s">
        <v>1753</v>
      </c>
      <c r="B1520" t="s">
        <v>321</v>
      </c>
      <c r="L1520" t="s">
        <v>321</v>
      </c>
      <c r="M1520">
        <f>IF(C1520&lt;&gt;"",C1520,_xlfn.XLOOKUP(B1520,AI_NAMES!D:D,AI_NAMES!E:E,"",0))</f>
        <v>0</v>
      </c>
    </row>
    <row r="1521" spans="1:13" x14ac:dyDescent="0.2">
      <c r="A1521" t="s">
        <v>1756</v>
      </c>
      <c r="B1521" t="s">
        <v>3432</v>
      </c>
      <c r="L1521" t="s">
        <v>3432</v>
      </c>
      <c r="M1521" t="str">
        <f>IF(C1521&lt;&gt;"",C1521,_xlfn.XLOOKUP(B1521,AI_NAMES!D:D,AI_NAMES!E:E,"",0))</f>
        <v/>
      </c>
    </row>
    <row r="1522" spans="1:13" x14ac:dyDescent="0.2">
      <c r="A1522" t="s">
        <v>1757</v>
      </c>
      <c r="B1522" t="s">
        <v>321</v>
      </c>
      <c r="L1522" t="s">
        <v>321</v>
      </c>
      <c r="M1522">
        <f>IF(C1522&lt;&gt;"",C1522,_xlfn.XLOOKUP(B1522,AI_NAMES!D:D,AI_NAMES!E:E,"",0))</f>
        <v>0</v>
      </c>
    </row>
    <row r="1523" spans="1:13" x14ac:dyDescent="0.2">
      <c r="A1523" t="s">
        <v>1758</v>
      </c>
      <c r="B1523" t="s">
        <v>3431</v>
      </c>
      <c r="L1523" t="s">
        <v>3431</v>
      </c>
      <c r="M1523" t="str">
        <f>IF(C1523&lt;&gt;"",C1523,_xlfn.XLOOKUP(B1523,AI_NAMES!D:D,AI_NAMES!E:E,"",0))</f>
        <v/>
      </c>
    </row>
    <row r="1524" spans="1:13" x14ac:dyDescent="0.2">
      <c r="A1524" t="s">
        <v>1759</v>
      </c>
      <c r="B1524" t="s">
        <v>321</v>
      </c>
      <c r="L1524" t="s">
        <v>321</v>
      </c>
      <c r="M1524">
        <f>IF(C1524&lt;&gt;"",C1524,_xlfn.XLOOKUP(B1524,AI_NAMES!D:D,AI_NAMES!E:E,"",0))</f>
        <v>0</v>
      </c>
    </row>
    <row r="1525" spans="1:13" x14ac:dyDescent="0.2">
      <c r="A1525" t="s">
        <v>1760</v>
      </c>
      <c r="B1525" t="s">
        <v>321</v>
      </c>
      <c r="L1525" t="s">
        <v>321</v>
      </c>
      <c r="M1525">
        <f>IF(C1525&lt;&gt;"",C1525,_xlfn.XLOOKUP(B1525,AI_NAMES!D:D,AI_NAMES!E:E,"",0))</f>
        <v>0</v>
      </c>
    </row>
    <row r="1526" spans="1:13" x14ac:dyDescent="0.2">
      <c r="A1526" t="s">
        <v>1761</v>
      </c>
      <c r="B1526" t="s">
        <v>321</v>
      </c>
      <c r="L1526" t="s">
        <v>321</v>
      </c>
      <c r="M1526">
        <f>IF(C1526&lt;&gt;"",C1526,_xlfn.XLOOKUP(B1526,AI_NAMES!D:D,AI_NAMES!E:E,"",0))</f>
        <v>0</v>
      </c>
    </row>
    <row r="1527" spans="1:13" x14ac:dyDescent="0.2">
      <c r="A1527" t="s">
        <v>1762</v>
      </c>
      <c r="B1527" t="s">
        <v>321</v>
      </c>
      <c r="L1527" t="s">
        <v>321</v>
      </c>
      <c r="M1527">
        <f>IF(C1527&lt;&gt;"",C1527,_xlfn.XLOOKUP(B1527,AI_NAMES!D:D,AI_NAMES!E:E,"",0))</f>
        <v>0</v>
      </c>
    </row>
    <row r="1528" spans="1:13" x14ac:dyDescent="0.2">
      <c r="A1528" t="s">
        <v>1764</v>
      </c>
      <c r="B1528" t="s">
        <v>321</v>
      </c>
      <c r="L1528" t="s">
        <v>321</v>
      </c>
      <c r="M1528">
        <f>IF(C1528&lt;&gt;"",C1528,_xlfn.XLOOKUP(B1528,AI_NAMES!D:D,AI_NAMES!E:E,"",0))</f>
        <v>0</v>
      </c>
    </row>
    <row r="1529" spans="1:13" x14ac:dyDescent="0.2">
      <c r="A1529" t="s">
        <v>1765</v>
      </c>
      <c r="B1529" t="s">
        <v>1766</v>
      </c>
      <c r="L1529" t="s">
        <v>1766</v>
      </c>
      <c r="M1529" t="str">
        <f>IF(C1529&lt;&gt;"",C1529,_xlfn.XLOOKUP(B1529,AI_NAMES!D:D,AI_NAMES!E:E,"",0))</f>
        <v/>
      </c>
    </row>
    <row r="1530" spans="1:13" x14ac:dyDescent="0.2">
      <c r="A1530" t="s">
        <v>1767</v>
      </c>
      <c r="B1530" t="s">
        <v>1768</v>
      </c>
      <c r="L1530" t="s">
        <v>1768</v>
      </c>
      <c r="M1530" t="str">
        <f>IF(C1530&lt;&gt;"",C1530,_xlfn.XLOOKUP(B1530,AI_NAMES!D:D,AI_NAMES!E:E,"",0))</f>
        <v/>
      </c>
    </row>
    <row r="1531" spans="1:13" x14ac:dyDescent="0.2">
      <c r="A1531" t="s">
        <v>1769</v>
      </c>
      <c r="B1531" t="s">
        <v>1770</v>
      </c>
      <c r="L1531" t="s">
        <v>1770</v>
      </c>
      <c r="M1531" t="str">
        <f>IF(C1531&lt;&gt;"",C1531,_xlfn.XLOOKUP(B1531,AI_NAMES!D:D,AI_NAMES!E:E,"",0))</f>
        <v/>
      </c>
    </row>
    <row r="1532" spans="1:13" x14ac:dyDescent="0.2">
      <c r="A1532" t="s">
        <v>1771</v>
      </c>
      <c r="B1532" t="s">
        <v>321</v>
      </c>
      <c r="L1532" t="s">
        <v>321</v>
      </c>
      <c r="M1532">
        <f>IF(C1532&lt;&gt;"",C1532,_xlfn.XLOOKUP(B1532,AI_NAMES!D:D,AI_NAMES!E:E,"",0))</f>
        <v>0</v>
      </c>
    </row>
    <row r="1533" spans="1:13" x14ac:dyDescent="0.2">
      <c r="A1533" t="s">
        <v>3127</v>
      </c>
      <c r="B1533" t="s">
        <v>1772</v>
      </c>
      <c r="L1533" t="s">
        <v>1772</v>
      </c>
      <c r="M1533" t="str">
        <f>IF(C1533&lt;&gt;"",C1533,_xlfn.XLOOKUP(B1533,AI_NAMES!D:D,AI_NAMES!E:E,"",0))</f>
        <v/>
      </c>
    </row>
    <row r="1534" spans="1:13" x14ac:dyDescent="0.2">
      <c r="A1534" t="s">
        <v>1773</v>
      </c>
      <c r="B1534" t="s">
        <v>1773</v>
      </c>
      <c r="L1534" t="s">
        <v>1773</v>
      </c>
      <c r="M1534" t="str">
        <f>IF(C1534&lt;&gt;"",C1534,_xlfn.XLOOKUP(B1534,AI_NAMES!D:D,AI_NAMES!E:E,"",0))</f>
        <v/>
      </c>
    </row>
    <row r="1535" spans="1:13" x14ac:dyDescent="0.2">
      <c r="A1535" t="s">
        <v>1774</v>
      </c>
      <c r="B1535" t="s">
        <v>1774</v>
      </c>
      <c r="L1535" t="s">
        <v>1774</v>
      </c>
      <c r="M1535" t="str">
        <f>IF(C1535&lt;&gt;"",C1535,_xlfn.XLOOKUP(B1535,AI_NAMES!D:D,AI_NAMES!E:E,"",0))</f>
        <v/>
      </c>
    </row>
    <row r="1536" spans="1:13" x14ac:dyDescent="0.2">
      <c r="A1536" t="s">
        <v>1775</v>
      </c>
      <c r="B1536" t="s">
        <v>3430</v>
      </c>
      <c r="L1536" t="s">
        <v>3430</v>
      </c>
      <c r="M1536" t="str">
        <f>IF(C1536&lt;&gt;"",C1536,_xlfn.XLOOKUP(B1536,AI_NAMES!D:D,AI_NAMES!E:E,"",0))</f>
        <v/>
      </c>
    </row>
    <row r="1537" spans="1:13" x14ac:dyDescent="0.2">
      <c r="A1537" t="s">
        <v>1776</v>
      </c>
      <c r="B1537" t="s">
        <v>1777</v>
      </c>
      <c r="L1537" t="s">
        <v>1777</v>
      </c>
      <c r="M1537" t="str">
        <f>IF(C1537&lt;&gt;"",C1537,_xlfn.XLOOKUP(B1537,AI_NAMES!D:D,AI_NAMES!E:E,"",0))</f>
        <v/>
      </c>
    </row>
    <row r="1538" spans="1:13" x14ac:dyDescent="0.2">
      <c r="A1538" t="s">
        <v>1778</v>
      </c>
      <c r="M1538">
        <f>IF(C1538&lt;&gt;"",C1538,_xlfn.XLOOKUP(B1538,AI_NAMES!D:D,AI_NAMES!E:E,"",0))</f>
        <v>0</v>
      </c>
    </row>
    <row r="1539" spans="1:13" x14ac:dyDescent="0.2">
      <c r="A1539" t="s">
        <v>1779</v>
      </c>
      <c r="B1539" t="s">
        <v>321</v>
      </c>
      <c r="L1539" t="s">
        <v>321</v>
      </c>
      <c r="M1539">
        <f>IF(C1539&lt;&gt;"",C1539,_xlfn.XLOOKUP(B1539,AI_NAMES!D:D,AI_NAMES!E:E,"",0))</f>
        <v>0</v>
      </c>
    </row>
    <row r="1540" spans="1:13" x14ac:dyDescent="0.2">
      <c r="A1540" t="s">
        <v>1780</v>
      </c>
      <c r="B1540" t="s">
        <v>3436</v>
      </c>
      <c r="L1540" t="s">
        <v>3436</v>
      </c>
      <c r="M1540" t="str">
        <f>IF(C1540&lt;&gt;"",C1540,_xlfn.XLOOKUP(B1540,AI_NAMES!D:D,AI_NAMES!E:E,"",0))</f>
        <v/>
      </c>
    </row>
    <row r="1541" spans="1:13" x14ac:dyDescent="0.2">
      <c r="A1541" t="s">
        <v>1781</v>
      </c>
      <c r="B1541" t="s">
        <v>321</v>
      </c>
      <c r="L1541" t="s">
        <v>321</v>
      </c>
      <c r="M1541">
        <f>IF(C1541&lt;&gt;"",C1541,_xlfn.XLOOKUP(B1541,AI_NAMES!D:D,AI_NAMES!E:E,"",0))</f>
        <v>0</v>
      </c>
    </row>
    <row r="1542" spans="1:13" x14ac:dyDescent="0.2">
      <c r="A1542" t="s">
        <v>1782</v>
      </c>
      <c r="B1542" t="s">
        <v>3438</v>
      </c>
      <c r="L1542" t="s">
        <v>3438</v>
      </c>
      <c r="M1542" t="str">
        <f>IF(C1542&lt;&gt;"",C1542,_xlfn.XLOOKUP(B1542,AI_NAMES!D:D,AI_NAMES!E:E,"",0))</f>
        <v/>
      </c>
    </row>
    <row r="1543" spans="1:13" x14ac:dyDescent="0.2">
      <c r="A1543" t="s">
        <v>1783</v>
      </c>
      <c r="B1543" t="s">
        <v>1784</v>
      </c>
      <c r="L1543" t="s">
        <v>1784</v>
      </c>
      <c r="M1543" t="str">
        <f>IF(C1543&lt;&gt;"",C1543,_xlfn.XLOOKUP(B1543,AI_NAMES!D:D,AI_NAMES!E:E,"",0))</f>
        <v/>
      </c>
    </row>
    <row r="1544" spans="1:13" x14ac:dyDescent="0.2">
      <c r="A1544" t="s">
        <v>1785</v>
      </c>
      <c r="B1544" t="s">
        <v>1786</v>
      </c>
      <c r="L1544" t="s">
        <v>1786</v>
      </c>
      <c r="M1544" t="str">
        <f>IF(C1544&lt;&gt;"",C1544,_xlfn.XLOOKUP(B1544,AI_NAMES!D:D,AI_NAMES!E:E,"",0))</f>
        <v/>
      </c>
    </row>
    <row r="1545" spans="1:13" x14ac:dyDescent="0.2">
      <c r="A1545" t="s">
        <v>1787</v>
      </c>
      <c r="B1545" t="s">
        <v>3435</v>
      </c>
      <c r="L1545" t="s">
        <v>3435</v>
      </c>
      <c r="M1545" t="str">
        <f>IF(C1545&lt;&gt;"",C1545,_xlfn.XLOOKUP(B1545,AI_NAMES!D:D,AI_NAMES!E:E,"",0))</f>
        <v/>
      </c>
    </row>
    <row r="1546" spans="1:13" x14ac:dyDescent="0.2">
      <c r="A1546" t="s">
        <v>1788</v>
      </c>
      <c r="B1546" t="s">
        <v>321</v>
      </c>
      <c r="L1546" t="s">
        <v>321</v>
      </c>
      <c r="M1546">
        <f>IF(C1546&lt;&gt;"",C1546,_xlfn.XLOOKUP(B1546,AI_NAMES!D:D,AI_NAMES!E:E,"",0))</f>
        <v>0</v>
      </c>
    </row>
    <row r="1547" spans="1:13" x14ac:dyDescent="0.2">
      <c r="A1547" t="s">
        <v>1789</v>
      </c>
      <c r="B1547" t="s">
        <v>1790</v>
      </c>
      <c r="L1547" t="s">
        <v>1790</v>
      </c>
      <c r="M1547" t="str">
        <f>IF(C1547&lt;&gt;"",C1547,_xlfn.XLOOKUP(B1547,AI_NAMES!D:D,AI_NAMES!E:E,"",0))</f>
        <v/>
      </c>
    </row>
    <row r="1548" spans="1:13" x14ac:dyDescent="0.2">
      <c r="A1548" t="s">
        <v>1791</v>
      </c>
      <c r="B1548" t="s">
        <v>1792</v>
      </c>
      <c r="L1548" t="s">
        <v>1792</v>
      </c>
      <c r="M1548" t="str">
        <f>IF(C1548&lt;&gt;"",C1548,_xlfn.XLOOKUP(B1548,AI_NAMES!D:D,AI_NAMES!E:E,"",0))</f>
        <v/>
      </c>
    </row>
    <row r="1549" spans="1:13" x14ac:dyDescent="0.2">
      <c r="A1549" t="s">
        <v>1793</v>
      </c>
      <c r="B1549" t="s">
        <v>321</v>
      </c>
      <c r="L1549" t="s">
        <v>321</v>
      </c>
      <c r="M1549">
        <f>IF(C1549&lt;&gt;"",C1549,_xlfn.XLOOKUP(B1549,AI_NAMES!D:D,AI_NAMES!E:E,"",0))</f>
        <v>0</v>
      </c>
    </row>
    <row r="1550" spans="1:13" x14ac:dyDescent="0.2">
      <c r="A1550" t="s">
        <v>1794</v>
      </c>
      <c r="B1550" t="s">
        <v>3444</v>
      </c>
      <c r="L1550" t="s">
        <v>3444</v>
      </c>
      <c r="M1550" t="str">
        <f>IF(C1550&lt;&gt;"",C1550,_xlfn.XLOOKUP(B1550,AI_NAMES!D:D,AI_NAMES!E:E,"",0))</f>
        <v/>
      </c>
    </row>
    <row r="1551" spans="1:13" x14ac:dyDescent="0.2">
      <c r="A1551" t="s">
        <v>1795</v>
      </c>
      <c r="B1551" t="s">
        <v>3439</v>
      </c>
      <c r="L1551" t="s">
        <v>3439</v>
      </c>
      <c r="M1551" t="str">
        <f>IF(C1551&lt;&gt;"",C1551,_xlfn.XLOOKUP(B1551,AI_NAMES!D:D,AI_NAMES!E:E,"",0))</f>
        <v/>
      </c>
    </row>
    <row r="1552" spans="1:13" x14ac:dyDescent="0.2">
      <c r="A1552" t="s">
        <v>1796</v>
      </c>
      <c r="B1552" t="s">
        <v>3440</v>
      </c>
      <c r="L1552" t="s">
        <v>3440</v>
      </c>
      <c r="M1552" t="str">
        <f>IF(C1552&lt;&gt;"",C1552,_xlfn.XLOOKUP(B1552,AI_NAMES!D:D,AI_NAMES!E:E,"",0))</f>
        <v/>
      </c>
    </row>
    <row r="1553" spans="1:13" x14ac:dyDescent="0.2">
      <c r="A1553" t="s">
        <v>1797</v>
      </c>
      <c r="B1553" t="s">
        <v>3441</v>
      </c>
      <c r="L1553" t="s">
        <v>3441</v>
      </c>
      <c r="M1553" t="str">
        <f>IF(C1553&lt;&gt;"",C1553,_xlfn.XLOOKUP(B1553,AI_NAMES!D:D,AI_NAMES!E:E,"",0))</f>
        <v/>
      </c>
    </row>
    <row r="1554" spans="1:13" x14ac:dyDescent="0.2">
      <c r="A1554" t="s">
        <v>1798</v>
      </c>
      <c r="B1554" t="s">
        <v>3442</v>
      </c>
      <c r="L1554" t="s">
        <v>3442</v>
      </c>
      <c r="M1554" t="str">
        <f>IF(C1554&lt;&gt;"",C1554,_xlfn.XLOOKUP(B1554,AI_NAMES!D:D,AI_NAMES!E:E,"",0))</f>
        <v/>
      </c>
    </row>
    <row r="1555" spans="1:13" x14ac:dyDescent="0.2">
      <c r="A1555" t="s">
        <v>1799</v>
      </c>
      <c r="B1555" t="s">
        <v>3443</v>
      </c>
      <c r="L1555" t="s">
        <v>3443</v>
      </c>
      <c r="M1555" t="str">
        <f>IF(C1555&lt;&gt;"",C1555,_xlfn.XLOOKUP(B1555,AI_NAMES!D:D,AI_NAMES!E:E,"",0))</f>
        <v/>
      </c>
    </row>
    <row r="1556" spans="1:13" x14ac:dyDescent="0.2">
      <c r="A1556" t="s">
        <v>1800</v>
      </c>
      <c r="B1556" t="s">
        <v>3437</v>
      </c>
      <c r="L1556" t="s">
        <v>3437</v>
      </c>
      <c r="M1556" t="str">
        <f>IF(C1556&lt;&gt;"",C1556,_xlfn.XLOOKUP(B1556,AI_NAMES!D:D,AI_NAMES!E:E,"",0))</f>
        <v/>
      </c>
    </row>
    <row r="1557" spans="1:13" x14ac:dyDescent="0.2">
      <c r="A1557" t="s">
        <v>1801</v>
      </c>
      <c r="B1557" t="s">
        <v>3426</v>
      </c>
      <c r="L1557" t="s">
        <v>3426</v>
      </c>
      <c r="M1557" t="str">
        <f>IF(C1557&lt;&gt;"",C1557,_xlfn.XLOOKUP(B1557,AI_NAMES!D:D,AI_NAMES!E:E,"",0))</f>
        <v/>
      </c>
    </row>
    <row r="1558" spans="1:13" x14ac:dyDescent="0.2">
      <c r="A1558" t="s">
        <v>1802</v>
      </c>
      <c r="B1558" t="s">
        <v>3427</v>
      </c>
      <c r="L1558" t="s">
        <v>3427</v>
      </c>
      <c r="M1558" t="str">
        <f>IF(C1558&lt;&gt;"",C1558,_xlfn.XLOOKUP(B1558,AI_NAMES!D:D,AI_NAMES!E:E,"",0))</f>
        <v/>
      </c>
    </row>
    <row r="1559" spans="1:13" x14ac:dyDescent="0.2">
      <c r="A1559" t="s">
        <v>1803</v>
      </c>
      <c r="B1559" t="s">
        <v>3428</v>
      </c>
      <c r="L1559" t="s">
        <v>3428</v>
      </c>
      <c r="M1559" t="str">
        <f>IF(C1559&lt;&gt;"",C1559,_xlfn.XLOOKUP(B1559,AI_NAMES!D:D,AI_NAMES!E:E,"",0))</f>
        <v/>
      </c>
    </row>
    <row r="1560" spans="1:13" x14ac:dyDescent="0.2">
      <c r="A1560" t="s">
        <v>1804</v>
      </c>
      <c r="B1560" t="s">
        <v>321</v>
      </c>
      <c r="L1560" t="s">
        <v>321</v>
      </c>
      <c r="M1560">
        <f>IF(C1560&lt;&gt;"",C1560,_xlfn.XLOOKUP(B1560,AI_NAMES!D:D,AI_NAMES!E:E,"",0))</f>
        <v>0</v>
      </c>
    </row>
    <row r="1561" spans="1:13" x14ac:dyDescent="0.2">
      <c r="A1561" t="s">
        <v>1805</v>
      </c>
      <c r="B1561" t="s">
        <v>321</v>
      </c>
      <c r="L1561" t="s">
        <v>321</v>
      </c>
      <c r="M1561">
        <f>IF(C1561&lt;&gt;"",C1561,_xlfn.XLOOKUP(B1561,AI_NAMES!D:D,AI_NAMES!E:E,"",0))</f>
        <v>0</v>
      </c>
    </row>
    <row r="1562" spans="1:13" x14ac:dyDescent="0.2">
      <c r="A1562" t="s">
        <v>1806</v>
      </c>
      <c r="B1562" t="s">
        <v>321</v>
      </c>
      <c r="L1562" t="s">
        <v>321</v>
      </c>
      <c r="M1562">
        <f>IF(C1562&lt;&gt;"",C1562,_xlfn.XLOOKUP(B1562,AI_NAMES!D:D,AI_NAMES!E:E,"",0))</f>
        <v>0</v>
      </c>
    </row>
    <row r="1563" spans="1:13" x14ac:dyDescent="0.2">
      <c r="A1563" t="s">
        <v>1807</v>
      </c>
      <c r="B1563" t="s">
        <v>321</v>
      </c>
      <c r="L1563" t="s">
        <v>321</v>
      </c>
      <c r="M1563">
        <f>IF(C1563&lt;&gt;"",C1563,_xlfn.XLOOKUP(B1563,AI_NAMES!D:D,AI_NAMES!E:E,"",0))</f>
        <v>0</v>
      </c>
    </row>
    <row r="1564" spans="1:13" x14ac:dyDescent="0.2">
      <c r="A1564" t="s">
        <v>1808</v>
      </c>
      <c r="B1564" t="s">
        <v>321</v>
      </c>
      <c r="L1564" t="s">
        <v>321</v>
      </c>
      <c r="M1564">
        <f>IF(C1564&lt;&gt;"",C1564,_xlfn.XLOOKUP(B1564,AI_NAMES!D:D,AI_NAMES!E:E,"",0))</f>
        <v>0</v>
      </c>
    </row>
    <row r="1565" spans="1:13" x14ac:dyDescent="0.2">
      <c r="A1565" t="s">
        <v>1809</v>
      </c>
      <c r="B1565" t="s">
        <v>321</v>
      </c>
      <c r="L1565" t="s">
        <v>321</v>
      </c>
      <c r="M1565">
        <f>IF(C1565&lt;&gt;"",C1565,_xlfn.XLOOKUP(B1565,AI_NAMES!D:D,AI_NAMES!E:E,"",0))</f>
        <v>0</v>
      </c>
    </row>
    <row r="1566" spans="1:13" x14ac:dyDescent="0.2">
      <c r="A1566" t="s">
        <v>1810</v>
      </c>
      <c r="B1566" t="s">
        <v>321</v>
      </c>
      <c r="L1566" t="s">
        <v>321</v>
      </c>
      <c r="M1566">
        <f>IF(C1566&lt;&gt;"",C1566,_xlfn.XLOOKUP(B1566,AI_NAMES!D:D,AI_NAMES!E:E,"",0))</f>
        <v>0</v>
      </c>
    </row>
    <row r="1567" spans="1:13" x14ac:dyDescent="0.2">
      <c r="A1567" t="s">
        <v>1811</v>
      </c>
      <c r="B1567" t="s">
        <v>321</v>
      </c>
      <c r="L1567" t="s">
        <v>321</v>
      </c>
      <c r="M1567">
        <f>IF(C1567&lt;&gt;"",C1567,_xlfn.XLOOKUP(B1567,AI_NAMES!D:D,AI_NAMES!E:E,"",0))</f>
        <v>0</v>
      </c>
    </row>
    <row r="1568" spans="1:13" x14ac:dyDescent="0.2">
      <c r="A1568" t="s">
        <v>1812</v>
      </c>
      <c r="B1568" t="s">
        <v>321</v>
      </c>
      <c r="L1568" t="s">
        <v>321</v>
      </c>
      <c r="M1568">
        <f>IF(C1568&lt;&gt;"",C1568,_xlfn.XLOOKUP(B1568,AI_NAMES!D:D,AI_NAMES!E:E,"",0))</f>
        <v>0</v>
      </c>
    </row>
    <row r="1569" spans="1:13" x14ac:dyDescent="0.2">
      <c r="A1569" t="s">
        <v>1813</v>
      </c>
      <c r="B1569" t="s">
        <v>321</v>
      </c>
      <c r="L1569" t="s">
        <v>321</v>
      </c>
      <c r="M1569">
        <f>IF(C1569&lt;&gt;"",C1569,_xlfn.XLOOKUP(B1569,AI_NAMES!D:D,AI_NAMES!E:E,"",0))</f>
        <v>0</v>
      </c>
    </row>
    <row r="1570" spans="1:13" x14ac:dyDescent="0.2">
      <c r="A1570" t="s">
        <v>1814</v>
      </c>
      <c r="B1570" t="s">
        <v>321</v>
      </c>
      <c r="L1570" t="s">
        <v>321</v>
      </c>
      <c r="M1570">
        <f>IF(C1570&lt;&gt;"",C1570,_xlfn.XLOOKUP(B1570,AI_NAMES!D:D,AI_NAMES!E:E,"",0))</f>
        <v>0</v>
      </c>
    </row>
    <row r="1571" spans="1:13" x14ac:dyDescent="0.2">
      <c r="A1571" t="s">
        <v>1815</v>
      </c>
      <c r="B1571" t="s">
        <v>321</v>
      </c>
      <c r="L1571" t="s">
        <v>321</v>
      </c>
      <c r="M1571">
        <f>IF(C1571&lt;&gt;"",C1571,_xlfn.XLOOKUP(B1571,AI_NAMES!D:D,AI_NAMES!E:E,"",0))</f>
        <v>0</v>
      </c>
    </row>
    <row r="1572" spans="1:13" x14ac:dyDescent="0.2">
      <c r="A1572" t="s">
        <v>1816</v>
      </c>
      <c r="B1572" t="s">
        <v>321</v>
      </c>
      <c r="L1572" t="s">
        <v>321</v>
      </c>
      <c r="M1572">
        <f>IF(C1572&lt;&gt;"",C1572,_xlfn.XLOOKUP(B1572,AI_NAMES!D:D,AI_NAMES!E:E,"",0))</f>
        <v>0</v>
      </c>
    </row>
    <row r="1573" spans="1:13" x14ac:dyDescent="0.2">
      <c r="A1573" t="s">
        <v>1817</v>
      </c>
      <c r="B1573" t="s">
        <v>3429</v>
      </c>
      <c r="L1573" t="s">
        <v>3429</v>
      </c>
      <c r="M1573" t="str">
        <f>IF(C1573&lt;&gt;"",C1573,_xlfn.XLOOKUP(B1573,AI_NAMES!D:D,AI_NAMES!E:E,"",0))</f>
        <v/>
      </c>
    </row>
    <row r="1574" spans="1:13" x14ac:dyDescent="0.2">
      <c r="A1574" t="s">
        <v>1818</v>
      </c>
      <c r="B1574" t="s">
        <v>321</v>
      </c>
      <c r="L1574" t="s">
        <v>321</v>
      </c>
      <c r="M1574">
        <f>IF(C1574&lt;&gt;"",C1574,_xlfn.XLOOKUP(B1574,AI_NAMES!D:D,AI_NAMES!E:E,"",0))</f>
        <v>0</v>
      </c>
    </row>
    <row r="1575" spans="1:13" x14ac:dyDescent="0.2">
      <c r="A1575" t="s">
        <v>1819</v>
      </c>
      <c r="B1575" t="s">
        <v>321</v>
      </c>
      <c r="L1575" t="s">
        <v>321</v>
      </c>
      <c r="M1575">
        <f>IF(C1575&lt;&gt;"",C1575,_xlfn.XLOOKUP(B1575,AI_NAMES!D:D,AI_NAMES!E:E,"",0))</f>
        <v>0</v>
      </c>
    </row>
    <row r="1576" spans="1:13" x14ac:dyDescent="0.2">
      <c r="A1576" t="s">
        <v>1820</v>
      </c>
      <c r="B1576" t="s">
        <v>321</v>
      </c>
      <c r="L1576" t="s">
        <v>321</v>
      </c>
      <c r="M1576">
        <f>IF(C1576&lt;&gt;"",C1576,_xlfn.XLOOKUP(B1576,AI_NAMES!D:D,AI_NAMES!E:E,"",0))</f>
        <v>0</v>
      </c>
    </row>
    <row r="1577" spans="1:13" x14ac:dyDescent="0.2">
      <c r="A1577" t="s">
        <v>1821</v>
      </c>
      <c r="B1577" t="s">
        <v>321</v>
      </c>
      <c r="L1577" t="s">
        <v>321</v>
      </c>
      <c r="M1577">
        <f>IF(C1577&lt;&gt;"",C1577,_xlfn.XLOOKUP(B1577,AI_NAMES!D:D,AI_NAMES!E:E,"",0))</f>
        <v>0</v>
      </c>
    </row>
    <row r="1578" spans="1:13" x14ac:dyDescent="0.2">
      <c r="A1578" t="s">
        <v>1822</v>
      </c>
      <c r="B1578" t="s">
        <v>321</v>
      </c>
      <c r="L1578" t="s">
        <v>321</v>
      </c>
      <c r="M1578">
        <f>IF(C1578&lt;&gt;"",C1578,_xlfn.XLOOKUP(B1578,AI_NAMES!D:D,AI_NAMES!E:E,"",0))</f>
        <v>0</v>
      </c>
    </row>
    <row r="1579" spans="1:13" x14ac:dyDescent="0.2">
      <c r="A1579" t="s">
        <v>1823</v>
      </c>
      <c r="B1579" t="s">
        <v>321</v>
      </c>
      <c r="L1579" t="s">
        <v>321</v>
      </c>
      <c r="M1579">
        <f>IF(C1579&lt;&gt;"",C1579,_xlfn.XLOOKUP(B1579,AI_NAMES!D:D,AI_NAMES!E:E,"",0))</f>
        <v>0</v>
      </c>
    </row>
    <row r="1580" spans="1:13" x14ac:dyDescent="0.2">
      <c r="A1580" t="s">
        <v>1824</v>
      </c>
      <c r="B1580" t="s">
        <v>321</v>
      </c>
      <c r="L1580" t="s">
        <v>321</v>
      </c>
      <c r="M1580">
        <f>IF(C1580&lt;&gt;"",C1580,_xlfn.XLOOKUP(B1580,AI_NAMES!D:D,AI_NAMES!E:E,"",0))</f>
        <v>0</v>
      </c>
    </row>
    <row r="1581" spans="1:13" x14ac:dyDescent="0.2">
      <c r="A1581" t="s">
        <v>1825</v>
      </c>
      <c r="B1581" t="s">
        <v>321</v>
      </c>
      <c r="L1581" t="s">
        <v>321</v>
      </c>
      <c r="M1581">
        <f>IF(C1581&lt;&gt;"",C1581,_xlfn.XLOOKUP(B1581,AI_NAMES!D:D,AI_NAMES!E:E,"",0))</f>
        <v>0</v>
      </c>
    </row>
    <row r="1582" spans="1:13" x14ac:dyDescent="0.2">
      <c r="A1582" t="s">
        <v>1826</v>
      </c>
      <c r="B1582" t="s">
        <v>321</v>
      </c>
      <c r="L1582" t="s">
        <v>321</v>
      </c>
      <c r="M1582">
        <f>IF(C1582&lt;&gt;"",C1582,_xlfn.XLOOKUP(B1582,AI_NAMES!D:D,AI_NAMES!E:E,"",0))</f>
        <v>0</v>
      </c>
    </row>
    <row r="1583" spans="1:13" x14ac:dyDescent="0.2">
      <c r="A1583" t="s">
        <v>1827</v>
      </c>
      <c r="B1583" t="s">
        <v>321</v>
      </c>
      <c r="L1583" t="s">
        <v>321</v>
      </c>
      <c r="M1583">
        <f>IF(C1583&lt;&gt;"",C1583,_xlfn.XLOOKUP(B1583,AI_NAMES!D:D,AI_NAMES!E:E,"",0))</f>
        <v>0</v>
      </c>
    </row>
    <row r="1584" spans="1:13" x14ac:dyDescent="0.2">
      <c r="A1584" t="s">
        <v>1828</v>
      </c>
      <c r="B1584" t="s">
        <v>321</v>
      </c>
      <c r="L1584" t="s">
        <v>321</v>
      </c>
      <c r="M1584">
        <f>IF(C1584&lt;&gt;"",C1584,_xlfn.XLOOKUP(B1584,AI_NAMES!D:D,AI_NAMES!E:E,"",0))</f>
        <v>0</v>
      </c>
    </row>
    <row r="1585" spans="1:13" x14ac:dyDescent="0.2">
      <c r="A1585" t="s">
        <v>1829</v>
      </c>
      <c r="B1585" t="s">
        <v>321</v>
      </c>
      <c r="L1585" t="s">
        <v>321</v>
      </c>
      <c r="M1585">
        <f>IF(C1585&lt;&gt;"",C1585,_xlfn.XLOOKUP(B1585,AI_NAMES!D:D,AI_NAMES!E:E,"",0))</f>
        <v>0</v>
      </c>
    </row>
    <row r="1586" spans="1:13" x14ac:dyDescent="0.2">
      <c r="A1586" t="s">
        <v>1830</v>
      </c>
      <c r="B1586" t="s">
        <v>321</v>
      </c>
      <c r="L1586" t="s">
        <v>321</v>
      </c>
      <c r="M1586">
        <f>IF(C1586&lt;&gt;"",C1586,_xlfn.XLOOKUP(B1586,AI_NAMES!D:D,AI_NAMES!E:E,"",0))</f>
        <v>0</v>
      </c>
    </row>
    <row r="1587" spans="1:13" x14ac:dyDescent="0.2">
      <c r="A1587" t="s">
        <v>1831</v>
      </c>
      <c r="B1587" t="s">
        <v>321</v>
      </c>
      <c r="L1587" t="s">
        <v>321</v>
      </c>
      <c r="M1587">
        <f>IF(C1587&lt;&gt;"",C1587,_xlfn.XLOOKUP(B1587,AI_NAMES!D:D,AI_NAMES!E:E,"",0))</f>
        <v>0</v>
      </c>
    </row>
    <row r="1588" spans="1:13" x14ac:dyDescent="0.2">
      <c r="A1588" t="s">
        <v>1832</v>
      </c>
      <c r="B1588" t="s">
        <v>321</v>
      </c>
      <c r="L1588" t="s">
        <v>321</v>
      </c>
      <c r="M1588">
        <f>IF(C1588&lt;&gt;"",C1588,_xlfn.XLOOKUP(B1588,AI_NAMES!D:D,AI_NAMES!E:E,"",0))</f>
        <v>0</v>
      </c>
    </row>
    <row r="1589" spans="1:13" x14ac:dyDescent="0.2">
      <c r="A1589" t="s">
        <v>1833</v>
      </c>
      <c r="B1589" t="s">
        <v>321</v>
      </c>
      <c r="L1589" t="s">
        <v>321</v>
      </c>
      <c r="M1589">
        <f>IF(C1589&lt;&gt;"",C1589,_xlfn.XLOOKUP(B1589,AI_NAMES!D:D,AI_NAMES!E:E,"",0))</f>
        <v>0</v>
      </c>
    </row>
    <row r="1590" spans="1:13" x14ac:dyDescent="0.2">
      <c r="A1590" t="s">
        <v>1834</v>
      </c>
      <c r="B1590" t="s">
        <v>3398</v>
      </c>
      <c r="L1590" t="s">
        <v>3398</v>
      </c>
      <c r="M1590" t="str">
        <f>IF(C1590&lt;&gt;"",C1590,_xlfn.XLOOKUP(B1590,AI_NAMES!D:D,AI_NAMES!E:E,"",0))</f>
        <v/>
      </c>
    </row>
    <row r="1591" spans="1:13" x14ac:dyDescent="0.2">
      <c r="A1591" t="s">
        <v>1835</v>
      </c>
      <c r="B1591" t="s">
        <v>321</v>
      </c>
      <c r="L1591" t="s">
        <v>321</v>
      </c>
      <c r="M1591">
        <f>IF(C1591&lt;&gt;"",C1591,_xlfn.XLOOKUP(B1591,AI_NAMES!D:D,AI_NAMES!E:E,"",0))</f>
        <v>0</v>
      </c>
    </row>
    <row r="1592" spans="1:13" x14ac:dyDescent="0.2">
      <c r="A1592" t="s">
        <v>1836</v>
      </c>
      <c r="B1592" t="s">
        <v>321</v>
      </c>
      <c r="L1592" t="s">
        <v>321</v>
      </c>
      <c r="M1592">
        <f>IF(C1592&lt;&gt;"",C1592,_xlfn.XLOOKUP(B1592,AI_NAMES!D:D,AI_NAMES!E:E,"",0))</f>
        <v>0</v>
      </c>
    </row>
    <row r="1593" spans="1:13" x14ac:dyDescent="0.2">
      <c r="A1593" t="s">
        <v>1837</v>
      </c>
      <c r="B1593" t="s">
        <v>321</v>
      </c>
      <c r="L1593" t="s">
        <v>321</v>
      </c>
      <c r="M1593">
        <f>IF(C1593&lt;&gt;"",C1593,_xlfn.XLOOKUP(B1593,AI_NAMES!D:D,AI_NAMES!E:E,"",0))</f>
        <v>0</v>
      </c>
    </row>
    <row r="1594" spans="1:13" x14ac:dyDescent="0.2">
      <c r="A1594" t="s">
        <v>1838</v>
      </c>
      <c r="B1594" t="s">
        <v>321</v>
      </c>
      <c r="L1594" t="s">
        <v>321</v>
      </c>
      <c r="M1594">
        <f>IF(C1594&lt;&gt;"",C1594,_xlfn.XLOOKUP(B1594,AI_NAMES!D:D,AI_NAMES!E:E,"",0))</f>
        <v>0</v>
      </c>
    </row>
    <row r="1595" spans="1:13" x14ac:dyDescent="0.2">
      <c r="A1595" t="s">
        <v>1839</v>
      </c>
      <c r="B1595" t="s">
        <v>321</v>
      </c>
      <c r="L1595" t="s">
        <v>321</v>
      </c>
      <c r="M1595">
        <f>IF(C1595&lt;&gt;"",C1595,_xlfn.XLOOKUP(B1595,AI_NAMES!D:D,AI_NAMES!E:E,"",0))</f>
        <v>0</v>
      </c>
    </row>
    <row r="1596" spans="1:13" x14ac:dyDescent="0.2">
      <c r="A1596" t="s">
        <v>1840</v>
      </c>
      <c r="B1596" t="s">
        <v>321</v>
      </c>
      <c r="L1596" t="s">
        <v>321</v>
      </c>
      <c r="M1596">
        <f>IF(C1596&lt;&gt;"",C1596,_xlfn.XLOOKUP(B1596,AI_NAMES!D:D,AI_NAMES!E:E,"",0))</f>
        <v>0</v>
      </c>
    </row>
    <row r="1597" spans="1:13" x14ac:dyDescent="0.2">
      <c r="A1597" t="s">
        <v>1841</v>
      </c>
      <c r="B1597" t="s">
        <v>321</v>
      </c>
      <c r="L1597" t="s">
        <v>321</v>
      </c>
      <c r="M1597">
        <f>IF(C1597&lt;&gt;"",C1597,_xlfn.XLOOKUP(B1597,AI_NAMES!D:D,AI_NAMES!E:E,"",0))</f>
        <v>0</v>
      </c>
    </row>
    <row r="1598" spans="1:13" x14ac:dyDescent="0.2">
      <c r="A1598" t="s">
        <v>1842</v>
      </c>
      <c r="B1598" t="s">
        <v>321</v>
      </c>
      <c r="L1598" t="s">
        <v>321</v>
      </c>
      <c r="M1598">
        <f>IF(C1598&lt;&gt;"",C1598,_xlfn.XLOOKUP(B1598,AI_NAMES!D:D,AI_NAMES!E:E,"",0))</f>
        <v>0</v>
      </c>
    </row>
    <row r="1599" spans="1:13" x14ac:dyDescent="0.2">
      <c r="A1599" t="s">
        <v>1843</v>
      </c>
      <c r="B1599" t="s">
        <v>321</v>
      </c>
      <c r="L1599" t="s">
        <v>321</v>
      </c>
      <c r="M1599">
        <f>IF(C1599&lt;&gt;"",C1599,_xlfn.XLOOKUP(B1599,AI_NAMES!D:D,AI_NAMES!E:E,"",0))</f>
        <v>0</v>
      </c>
    </row>
    <row r="1600" spans="1:13" x14ac:dyDescent="0.2">
      <c r="A1600" t="s">
        <v>1844</v>
      </c>
      <c r="B1600" t="s">
        <v>321</v>
      </c>
      <c r="L1600" t="s">
        <v>321</v>
      </c>
      <c r="M1600">
        <f>IF(C1600&lt;&gt;"",C1600,_xlfn.XLOOKUP(B1600,AI_NAMES!D:D,AI_NAMES!E:E,"",0))</f>
        <v>0</v>
      </c>
    </row>
    <row r="1601" spans="1:13" x14ac:dyDescent="0.2">
      <c r="A1601" t="s">
        <v>1845</v>
      </c>
      <c r="B1601" t="s">
        <v>321</v>
      </c>
      <c r="L1601" t="s">
        <v>321</v>
      </c>
      <c r="M1601">
        <f>IF(C1601&lt;&gt;"",C1601,_xlfn.XLOOKUP(B1601,AI_NAMES!D:D,AI_NAMES!E:E,"",0))</f>
        <v>0</v>
      </c>
    </row>
    <row r="1602" spans="1:13" x14ac:dyDescent="0.2">
      <c r="A1602" t="s">
        <v>1846</v>
      </c>
      <c r="B1602" t="s">
        <v>321</v>
      </c>
      <c r="L1602" t="s">
        <v>321</v>
      </c>
      <c r="M1602">
        <f>IF(C1602&lt;&gt;"",C1602,_xlfn.XLOOKUP(B1602,AI_NAMES!D:D,AI_NAMES!E:E,"",0))</f>
        <v>0</v>
      </c>
    </row>
    <row r="1603" spans="1:13" x14ac:dyDescent="0.2">
      <c r="A1603" t="s">
        <v>1847</v>
      </c>
      <c r="B1603" t="s">
        <v>321</v>
      </c>
      <c r="L1603" t="s">
        <v>321</v>
      </c>
      <c r="M1603">
        <f>IF(C1603&lt;&gt;"",C1603,_xlfn.XLOOKUP(B1603,AI_NAMES!D:D,AI_NAMES!E:E,"",0))</f>
        <v>0</v>
      </c>
    </row>
    <row r="1604" spans="1:13" x14ac:dyDescent="0.2">
      <c r="A1604" t="s">
        <v>1848</v>
      </c>
      <c r="B1604" t="s">
        <v>321</v>
      </c>
      <c r="L1604" t="s">
        <v>321</v>
      </c>
      <c r="M1604">
        <f>IF(C1604&lt;&gt;"",C1604,_xlfn.XLOOKUP(B1604,AI_NAMES!D:D,AI_NAMES!E:E,"",0))</f>
        <v>0</v>
      </c>
    </row>
    <row r="1605" spans="1:13" x14ac:dyDescent="0.2">
      <c r="A1605" t="s">
        <v>1849</v>
      </c>
      <c r="B1605" t="s">
        <v>321</v>
      </c>
      <c r="L1605" t="s">
        <v>321</v>
      </c>
      <c r="M1605">
        <f>IF(C1605&lt;&gt;"",C1605,_xlfn.XLOOKUP(B1605,AI_NAMES!D:D,AI_NAMES!E:E,"",0))</f>
        <v>0</v>
      </c>
    </row>
    <row r="1606" spans="1:13" x14ac:dyDescent="0.2">
      <c r="A1606" t="s">
        <v>1850</v>
      </c>
      <c r="B1606" t="s">
        <v>321</v>
      </c>
      <c r="L1606" t="s">
        <v>321</v>
      </c>
      <c r="M1606">
        <f>IF(C1606&lt;&gt;"",C1606,_xlfn.XLOOKUP(B1606,AI_NAMES!D:D,AI_NAMES!E:E,"",0))</f>
        <v>0</v>
      </c>
    </row>
    <row r="1607" spans="1:13" x14ac:dyDescent="0.2">
      <c r="A1607" t="s">
        <v>1851</v>
      </c>
      <c r="B1607" t="s">
        <v>321</v>
      </c>
      <c r="L1607" t="s">
        <v>321</v>
      </c>
      <c r="M1607">
        <f>IF(C1607&lt;&gt;"",C1607,_xlfn.XLOOKUP(B1607,AI_NAMES!D:D,AI_NAMES!E:E,"",0))</f>
        <v>0</v>
      </c>
    </row>
    <row r="1608" spans="1:13" x14ac:dyDescent="0.2">
      <c r="A1608" t="s">
        <v>1852</v>
      </c>
      <c r="B1608" t="s">
        <v>321</v>
      </c>
      <c r="L1608" t="s">
        <v>321</v>
      </c>
      <c r="M1608">
        <f>IF(C1608&lt;&gt;"",C1608,_xlfn.XLOOKUP(B1608,AI_NAMES!D:D,AI_NAMES!E:E,"",0))</f>
        <v>0</v>
      </c>
    </row>
    <row r="1609" spans="1:13" x14ac:dyDescent="0.2">
      <c r="A1609" t="s">
        <v>1853</v>
      </c>
      <c r="B1609" t="s">
        <v>321</v>
      </c>
      <c r="L1609" t="s">
        <v>321</v>
      </c>
      <c r="M1609">
        <f>IF(C1609&lt;&gt;"",C1609,_xlfn.XLOOKUP(B1609,AI_NAMES!D:D,AI_NAMES!E:E,"",0))</f>
        <v>0</v>
      </c>
    </row>
    <row r="1610" spans="1:13" x14ac:dyDescent="0.2">
      <c r="A1610" t="s">
        <v>1854</v>
      </c>
      <c r="B1610" t="s">
        <v>321</v>
      </c>
      <c r="L1610" t="s">
        <v>321</v>
      </c>
      <c r="M1610">
        <f>IF(C1610&lt;&gt;"",C1610,_xlfn.XLOOKUP(B1610,AI_NAMES!D:D,AI_NAMES!E:E,"",0))</f>
        <v>0</v>
      </c>
    </row>
    <row r="1611" spans="1:13" x14ac:dyDescent="0.2">
      <c r="A1611" t="s">
        <v>1855</v>
      </c>
      <c r="B1611" t="s">
        <v>321</v>
      </c>
      <c r="L1611" t="s">
        <v>321</v>
      </c>
      <c r="M1611">
        <f>IF(C1611&lt;&gt;"",C1611,_xlfn.XLOOKUP(B1611,AI_NAMES!D:D,AI_NAMES!E:E,"",0))</f>
        <v>0</v>
      </c>
    </row>
    <row r="1612" spans="1:13" x14ac:dyDescent="0.2">
      <c r="A1612" t="s">
        <v>1856</v>
      </c>
      <c r="B1612" t="s">
        <v>321</v>
      </c>
      <c r="L1612" t="s">
        <v>321</v>
      </c>
      <c r="M1612">
        <f>IF(C1612&lt;&gt;"",C1612,_xlfn.XLOOKUP(B1612,AI_NAMES!D:D,AI_NAMES!E:E,"",0))</f>
        <v>0</v>
      </c>
    </row>
    <row r="1613" spans="1:13" x14ac:dyDescent="0.2">
      <c r="A1613" t="s">
        <v>1857</v>
      </c>
      <c r="B1613" t="s">
        <v>321</v>
      </c>
      <c r="L1613" t="s">
        <v>321</v>
      </c>
      <c r="M1613">
        <f>IF(C1613&lt;&gt;"",C1613,_xlfn.XLOOKUP(B1613,AI_NAMES!D:D,AI_NAMES!E:E,"",0))</f>
        <v>0</v>
      </c>
    </row>
    <row r="1614" spans="1:13" x14ac:dyDescent="0.2">
      <c r="A1614" t="s">
        <v>1858</v>
      </c>
      <c r="B1614" t="s">
        <v>321</v>
      </c>
      <c r="L1614" t="s">
        <v>321</v>
      </c>
      <c r="M1614">
        <f>IF(C1614&lt;&gt;"",C1614,_xlfn.XLOOKUP(B1614,AI_NAMES!D:D,AI_NAMES!E:E,"",0))</f>
        <v>0</v>
      </c>
    </row>
    <row r="1615" spans="1:13" x14ac:dyDescent="0.2">
      <c r="A1615" t="s">
        <v>1859</v>
      </c>
      <c r="B1615" t="s">
        <v>321</v>
      </c>
      <c r="L1615" t="s">
        <v>321</v>
      </c>
      <c r="M1615">
        <f>IF(C1615&lt;&gt;"",C1615,_xlfn.XLOOKUP(B1615,AI_NAMES!D:D,AI_NAMES!E:E,"",0))</f>
        <v>0</v>
      </c>
    </row>
    <row r="1616" spans="1:13" x14ac:dyDescent="0.2">
      <c r="A1616" t="s">
        <v>1860</v>
      </c>
      <c r="B1616" t="s">
        <v>321</v>
      </c>
      <c r="L1616" t="s">
        <v>321</v>
      </c>
      <c r="M1616">
        <f>IF(C1616&lt;&gt;"",C1616,_xlfn.XLOOKUP(B1616,AI_NAMES!D:D,AI_NAMES!E:E,"",0))</f>
        <v>0</v>
      </c>
    </row>
    <row r="1617" spans="1:13" x14ac:dyDescent="0.2">
      <c r="A1617" t="s">
        <v>1861</v>
      </c>
      <c r="B1617" t="s">
        <v>321</v>
      </c>
      <c r="L1617" t="s">
        <v>321</v>
      </c>
      <c r="M1617">
        <f>IF(C1617&lt;&gt;"",C1617,_xlfn.XLOOKUP(B1617,AI_NAMES!D:D,AI_NAMES!E:E,"",0))</f>
        <v>0</v>
      </c>
    </row>
    <row r="1618" spans="1:13" x14ac:dyDescent="0.2">
      <c r="A1618" t="s">
        <v>1862</v>
      </c>
      <c r="B1618" t="s">
        <v>321</v>
      </c>
      <c r="L1618" t="s">
        <v>321</v>
      </c>
      <c r="M1618">
        <f>IF(C1618&lt;&gt;"",C1618,_xlfn.XLOOKUP(B1618,AI_NAMES!D:D,AI_NAMES!E:E,"",0))</f>
        <v>0</v>
      </c>
    </row>
    <row r="1619" spans="1:13" x14ac:dyDescent="0.2">
      <c r="A1619" t="s">
        <v>1863</v>
      </c>
      <c r="B1619" t="s">
        <v>321</v>
      </c>
      <c r="L1619" t="s">
        <v>321</v>
      </c>
      <c r="M1619">
        <f>IF(C1619&lt;&gt;"",C1619,_xlfn.XLOOKUP(B1619,AI_NAMES!D:D,AI_NAMES!E:E,"",0))</f>
        <v>0</v>
      </c>
    </row>
    <row r="1620" spans="1:13" x14ac:dyDescent="0.2">
      <c r="A1620" t="s">
        <v>1864</v>
      </c>
      <c r="B1620" t="s">
        <v>321</v>
      </c>
      <c r="L1620" t="s">
        <v>321</v>
      </c>
      <c r="M1620">
        <f>IF(C1620&lt;&gt;"",C1620,_xlfn.XLOOKUP(B1620,AI_NAMES!D:D,AI_NAMES!E:E,"",0))</f>
        <v>0</v>
      </c>
    </row>
    <row r="1621" spans="1:13" x14ac:dyDescent="0.2">
      <c r="A1621" t="s">
        <v>1865</v>
      </c>
      <c r="B1621" t="s">
        <v>321</v>
      </c>
      <c r="L1621" t="s">
        <v>321</v>
      </c>
      <c r="M1621">
        <f>IF(C1621&lt;&gt;"",C1621,_xlfn.XLOOKUP(B1621,AI_NAMES!D:D,AI_NAMES!E:E,"",0))</f>
        <v>0</v>
      </c>
    </row>
    <row r="1622" spans="1:13" x14ac:dyDescent="0.2">
      <c r="A1622" t="s">
        <v>1866</v>
      </c>
      <c r="B1622" t="s">
        <v>321</v>
      </c>
      <c r="L1622" t="s">
        <v>321</v>
      </c>
      <c r="M1622">
        <f>IF(C1622&lt;&gt;"",C1622,_xlfn.XLOOKUP(B1622,AI_NAMES!D:D,AI_NAMES!E:E,"",0))</f>
        <v>0</v>
      </c>
    </row>
    <row r="1623" spans="1:13" x14ac:dyDescent="0.2">
      <c r="A1623" t="s">
        <v>1867</v>
      </c>
      <c r="B1623" t="s">
        <v>321</v>
      </c>
      <c r="L1623" t="s">
        <v>321</v>
      </c>
      <c r="M1623">
        <f>IF(C1623&lt;&gt;"",C1623,_xlfn.XLOOKUP(B1623,AI_NAMES!D:D,AI_NAMES!E:E,"",0))</f>
        <v>0</v>
      </c>
    </row>
    <row r="1624" spans="1:13" x14ac:dyDescent="0.2">
      <c r="A1624" t="s">
        <v>1868</v>
      </c>
      <c r="B1624" t="s">
        <v>321</v>
      </c>
      <c r="L1624" t="s">
        <v>321</v>
      </c>
      <c r="M1624">
        <f>IF(C1624&lt;&gt;"",C1624,_xlfn.XLOOKUP(B1624,AI_NAMES!D:D,AI_NAMES!E:E,"",0))</f>
        <v>0</v>
      </c>
    </row>
    <row r="1625" spans="1:13" x14ac:dyDescent="0.2">
      <c r="A1625" t="s">
        <v>1869</v>
      </c>
      <c r="B1625" t="s">
        <v>321</v>
      </c>
      <c r="L1625" t="s">
        <v>321</v>
      </c>
      <c r="M1625">
        <f>IF(C1625&lt;&gt;"",C1625,_xlfn.XLOOKUP(B1625,AI_NAMES!D:D,AI_NAMES!E:E,"",0))</f>
        <v>0</v>
      </c>
    </row>
    <row r="1626" spans="1:13" x14ac:dyDescent="0.2">
      <c r="A1626" t="s">
        <v>1870</v>
      </c>
      <c r="B1626" t="s">
        <v>321</v>
      </c>
      <c r="L1626" t="s">
        <v>321</v>
      </c>
      <c r="M1626">
        <f>IF(C1626&lt;&gt;"",C1626,_xlfn.XLOOKUP(B1626,AI_NAMES!D:D,AI_NAMES!E:E,"",0))</f>
        <v>0</v>
      </c>
    </row>
    <row r="1627" spans="1:13" x14ac:dyDescent="0.2">
      <c r="A1627" t="s">
        <v>1871</v>
      </c>
      <c r="B1627" t="s">
        <v>321</v>
      </c>
      <c r="L1627" t="s">
        <v>321</v>
      </c>
      <c r="M1627">
        <f>IF(C1627&lt;&gt;"",C1627,_xlfn.XLOOKUP(B1627,AI_NAMES!D:D,AI_NAMES!E:E,"",0))</f>
        <v>0</v>
      </c>
    </row>
    <row r="1628" spans="1:13" x14ac:dyDescent="0.2">
      <c r="A1628" t="s">
        <v>1872</v>
      </c>
      <c r="B1628" t="s">
        <v>321</v>
      </c>
      <c r="L1628" t="s">
        <v>321</v>
      </c>
      <c r="M1628">
        <f>IF(C1628&lt;&gt;"",C1628,_xlfn.XLOOKUP(B1628,AI_NAMES!D:D,AI_NAMES!E:E,"",0))</f>
        <v>0</v>
      </c>
    </row>
    <row r="1629" spans="1:13" x14ac:dyDescent="0.2">
      <c r="A1629" t="s">
        <v>1873</v>
      </c>
      <c r="B1629" t="s">
        <v>321</v>
      </c>
      <c r="L1629" t="s">
        <v>321</v>
      </c>
      <c r="M1629">
        <f>IF(C1629&lt;&gt;"",C1629,_xlfn.XLOOKUP(B1629,AI_NAMES!D:D,AI_NAMES!E:E,"",0))</f>
        <v>0</v>
      </c>
    </row>
    <row r="1630" spans="1:13" x14ac:dyDescent="0.2">
      <c r="A1630" t="s">
        <v>1874</v>
      </c>
      <c r="B1630" t="s">
        <v>321</v>
      </c>
      <c r="L1630" t="s">
        <v>321</v>
      </c>
      <c r="M1630">
        <f>IF(C1630&lt;&gt;"",C1630,_xlfn.XLOOKUP(B1630,AI_NAMES!D:D,AI_NAMES!E:E,"",0))</f>
        <v>0</v>
      </c>
    </row>
    <row r="1631" spans="1:13" x14ac:dyDescent="0.2">
      <c r="A1631" t="s">
        <v>1875</v>
      </c>
      <c r="B1631" t="s">
        <v>321</v>
      </c>
      <c r="L1631" t="s">
        <v>321</v>
      </c>
      <c r="M1631">
        <f>IF(C1631&lt;&gt;"",C1631,_xlfn.XLOOKUP(B1631,AI_NAMES!D:D,AI_NAMES!E:E,"",0))</f>
        <v>0</v>
      </c>
    </row>
    <row r="1632" spans="1:13" x14ac:dyDescent="0.2">
      <c r="A1632" t="s">
        <v>1876</v>
      </c>
      <c r="B1632" t="s">
        <v>321</v>
      </c>
      <c r="L1632" t="s">
        <v>321</v>
      </c>
      <c r="M1632">
        <f>IF(C1632&lt;&gt;"",C1632,_xlfn.XLOOKUP(B1632,AI_NAMES!D:D,AI_NAMES!E:E,"",0))</f>
        <v>0</v>
      </c>
    </row>
    <row r="1633" spans="1:13" x14ac:dyDescent="0.2">
      <c r="A1633" t="s">
        <v>1877</v>
      </c>
      <c r="B1633" t="s">
        <v>321</v>
      </c>
      <c r="L1633" t="s">
        <v>321</v>
      </c>
      <c r="M1633">
        <f>IF(C1633&lt;&gt;"",C1633,_xlfn.XLOOKUP(B1633,AI_NAMES!D:D,AI_NAMES!E:E,"",0))</f>
        <v>0</v>
      </c>
    </row>
    <row r="1634" spans="1:13" x14ac:dyDescent="0.2">
      <c r="A1634" t="s">
        <v>1878</v>
      </c>
      <c r="B1634" t="s">
        <v>321</v>
      </c>
      <c r="L1634" t="s">
        <v>321</v>
      </c>
      <c r="M1634">
        <f>IF(C1634&lt;&gt;"",C1634,_xlfn.XLOOKUP(B1634,AI_NAMES!D:D,AI_NAMES!E:E,"",0))</f>
        <v>0</v>
      </c>
    </row>
    <row r="1635" spans="1:13" x14ac:dyDescent="0.2">
      <c r="A1635" t="s">
        <v>1879</v>
      </c>
      <c r="B1635" t="s">
        <v>321</v>
      </c>
      <c r="L1635" t="s">
        <v>321</v>
      </c>
      <c r="M1635">
        <f>IF(C1635&lt;&gt;"",C1635,_xlfn.XLOOKUP(B1635,AI_NAMES!D:D,AI_NAMES!E:E,"",0))</f>
        <v>0</v>
      </c>
    </row>
    <row r="1636" spans="1:13" x14ac:dyDescent="0.2">
      <c r="A1636" t="s">
        <v>1880</v>
      </c>
      <c r="B1636" t="s">
        <v>321</v>
      </c>
      <c r="L1636" t="s">
        <v>321</v>
      </c>
      <c r="M1636">
        <f>IF(C1636&lt;&gt;"",C1636,_xlfn.XLOOKUP(B1636,AI_NAMES!D:D,AI_NAMES!E:E,"",0))</f>
        <v>0</v>
      </c>
    </row>
    <row r="1637" spans="1:13" x14ac:dyDescent="0.2">
      <c r="A1637" t="s">
        <v>1881</v>
      </c>
      <c r="B1637" t="s">
        <v>321</v>
      </c>
      <c r="L1637" t="s">
        <v>321</v>
      </c>
      <c r="M1637">
        <f>IF(C1637&lt;&gt;"",C1637,_xlfn.XLOOKUP(B1637,AI_NAMES!D:D,AI_NAMES!E:E,"",0))</f>
        <v>0</v>
      </c>
    </row>
    <row r="1638" spans="1:13" x14ac:dyDescent="0.2">
      <c r="A1638" t="s">
        <v>1882</v>
      </c>
      <c r="B1638" t="s">
        <v>321</v>
      </c>
      <c r="L1638" t="s">
        <v>321</v>
      </c>
      <c r="M1638">
        <f>IF(C1638&lt;&gt;"",C1638,_xlfn.XLOOKUP(B1638,AI_NAMES!D:D,AI_NAMES!E:E,"",0))</f>
        <v>0</v>
      </c>
    </row>
    <row r="1639" spans="1:13" x14ac:dyDescent="0.2">
      <c r="A1639" t="s">
        <v>1883</v>
      </c>
      <c r="B1639" t="s">
        <v>321</v>
      </c>
      <c r="L1639" t="s">
        <v>321</v>
      </c>
      <c r="M1639">
        <f>IF(C1639&lt;&gt;"",C1639,_xlfn.XLOOKUP(B1639,AI_NAMES!D:D,AI_NAMES!E:E,"",0))</f>
        <v>0</v>
      </c>
    </row>
    <row r="1640" spans="1:13" x14ac:dyDescent="0.2">
      <c r="A1640" t="s">
        <v>1884</v>
      </c>
      <c r="B1640" t="s">
        <v>321</v>
      </c>
      <c r="L1640" t="s">
        <v>321</v>
      </c>
      <c r="M1640">
        <f>IF(C1640&lt;&gt;"",C1640,_xlfn.XLOOKUP(B1640,AI_NAMES!D:D,AI_NAMES!E:E,"",0))</f>
        <v>0</v>
      </c>
    </row>
    <row r="1641" spans="1:13" x14ac:dyDescent="0.2">
      <c r="A1641" t="s">
        <v>1885</v>
      </c>
      <c r="B1641" t="s">
        <v>321</v>
      </c>
      <c r="L1641" t="s">
        <v>321</v>
      </c>
      <c r="M1641">
        <f>IF(C1641&lt;&gt;"",C1641,_xlfn.XLOOKUP(B1641,AI_NAMES!D:D,AI_NAMES!E:E,"",0))</f>
        <v>0</v>
      </c>
    </row>
    <row r="1642" spans="1:13" x14ac:dyDescent="0.2">
      <c r="A1642" t="s">
        <v>1886</v>
      </c>
      <c r="B1642" t="s">
        <v>321</v>
      </c>
      <c r="L1642" t="s">
        <v>321</v>
      </c>
      <c r="M1642">
        <f>IF(C1642&lt;&gt;"",C1642,_xlfn.XLOOKUP(B1642,AI_NAMES!D:D,AI_NAMES!E:E,"",0))</f>
        <v>0</v>
      </c>
    </row>
    <row r="1643" spans="1:13" x14ac:dyDescent="0.2">
      <c r="A1643" t="s">
        <v>1887</v>
      </c>
      <c r="B1643" t="s">
        <v>321</v>
      </c>
      <c r="L1643" t="s">
        <v>321</v>
      </c>
      <c r="M1643">
        <f>IF(C1643&lt;&gt;"",C1643,_xlfn.XLOOKUP(B1643,AI_NAMES!D:D,AI_NAMES!E:E,"",0))</f>
        <v>0</v>
      </c>
    </row>
    <row r="1644" spans="1:13" x14ac:dyDescent="0.2">
      <c r="A1644" t="s">
        <v>1888</v>
      </c>
      <c r="B1644" t="s">
        <v>321</v>
      </c>
      <c r="L1644" t="s">
        <v>321</v>
      </c>
      <c r="M1644">
        <f>IF(C1644&lt;&gt;"",C1644,_xlfn.XLOOKUP(B1644,AI_NAMES!D:D,AI_NAMES!E:E,"",0))</f>
        <v>0</v>
      </c>
    </row>
    <row r="1645" spans="1:13" x14ac:dyDescent="0.2">
      <c r="A1645" t="s">
        <v>1889</v>
      </c>
      <c r="B1645" t="s">
        <v>321</v>
      </c>
      <c r="L1645" t="s">
        <v>321</v>
      </c>
      <c r="M1645">
        <f>IF(C1645&lt;&gt;"",C1645,_xlfn.XLOOKUP(B1645,AI_NAMES!D:D,AI_NAMES!E:E,"",0))</f>
        <v>0</v>
      </c>
    </row>
    <row r="1646" spans="1:13" x14ac:dyDescent="0.2">
      <c r="A1646" t="s">
        <v>1890</v>
      </c>
      <c r="B1646" t="s">
        <v>321</v>
      </c>
      <c r="L1646" t="s">
        <v>321</v>
      </c>
      <c r="M1646">
        <f>IF(C1646&lt;&gt;"",C1646,_xlfn.XLOOKUP(B1646,AI_NAMES!D:D,AI_NAMES!E:E,"",0))</f>
        <v>0</v>
      </c>
    </row>
    <row r="1647" spans="1:13" x14ac:dyDescent="0.2">
      <c r="A1647" t="s">
        <v>1891</v>
      </c>
      <c r="B1647" t="s">
        <v>321</v>
      </c>
      <c r="L1647" t="s">
        <v>321</v>
      </c>
      <c r="M1647">
        <f>IF(C1647&lt;&gt;"",C1647,_xlfn.XLOOKUP(B1647,AI_NAMES!D:D,AI_NAMES!E:E,"",0))</f>
        <v>0</v>
      </c>
    </row>
    <row r="1648" spans="1:13" x14ac:dyDescent="0.2">
      <c r="A1648" t="s">
        <v>1892</v>
      </c>
      <c r="B1648" t="s">
        <v>321</v>
      </c>
      <c r="L1648" t="s">
        <v>321</v>
      </c>
      <c r="M1648">
        <f>IF(C1648&lt;&gt;"",C1648,_xlfn.XLOOKUP(B1648,AI_NAMES!D:D,AI_NAMES!E:E,"",0))</f>
        <v>0</v>
      </c>
    </row>
    <row r="1649" spans="1:13" x14ac:dyDescent="0.2">
      <c r="A1649" t="s">
        <v>1893</v>
      </c>
      <c r="B1649" t="s">
        <v>321</v>
      </c>
      <c r="L1649" t="s">
        <v>321</v>
      </c>
      <c r="M1649">
        <f>IF(C1649&lt;&gt;"",C1649,_xlfn.XLOOKUP(B1649,AI_NAMES!D:D,AI_NAMES!E:E,"",0))</f>
        <v>0</v>
      </c>
    </row>
    <row r="1650" spans="1:13" x14ac:dyDescent="0.2">
      <c r="A1650" t="s">
        <v>1894</v>
      </c>
      <c r="B1650" t="s">
        <v>321</v>
      </c>
      <c r="L1650" t="s">
        <v>321</v>
      </c>
      <c r="M1650">
        <f>IF(C1650&lt;&gt;"",C1650,_xlfn.XLOOKUP(B1650,AI_NAMES!D:D,AI_NAMES!E:E,"",0))</f>
        <v>0</v>
      </c>
    </row>
    <row r="1651" spans="1:13" x14ac:dyDescent="0.2">
      <c r="A1651" t="s">
        <v>1895</v>
      </c>
      <c r="B1651" t="s">
        <v>321</v>
      </c>
      <c r="L1651" t="s">
        <v>321</v>
      </c>
      <c r="M1651">
        <f>IF(C1651&lt;&gt;"",C1651,_xlfn.XLOOKUP(B1651,AI_NAMES!D:D,AI_NAMES!E:E,"",0))</f>
        <v>0</v>
      </c>
    </row>
    <row r="1652" spans="1:13" x14ac:dyDescent="0.2">
      <c r="A1652" t="s">
        <v>1896</v>
      </c>
      <c r="B1652" t="s">
        <v>321</v>
      </c>
      <c r="L1652" t="s">
        <v>321</v>
      </c>
      <c r="M1652">
        <f>IF(C1652&lt;&gt;"",C1652,_xlfn.XLOOKUP(B1652,AI_NAMES!D:D,AI_NAMES!E:E,"",0))</f>
        <v>0</v>
      </c>
    </row>
    <row r="1653" spans="1:13" x14ac:dyDescent="0.2">
      <c r="A1653" t="s">
        <v>1897</v>
      </c>
      <c r="B1653" t="s">
        <v>321</v>
      </c>
      <c r="L1653" t="s">
        <v>321</v>
      </c>
      <c r="M1653">
        <f>IF(C1653&lt;&gt;"",C1653,_xlfn.XLOOKUP(B1653,AI_NAMES!D:D,AI_NAMES!E:E,"",0))</f>
        <v>0</v>
      </c>
    </row>
    <row r="1654" spans="1:13" x14ac:dyDescent="0.2">
      <c r="A1654" t="s">
        <v>1898</v>
      </c>
      <c r="B1654" t="s">
        <v>321</v>
      </c>
      <c r="L1654" t="s">
        <v>321</v>
      </c>
      <c r="M1654">
        <f>IF(C1654&lt;&gt;"",C1654,_xlfn.XLOOKUP(B1654,AI_NAMES!D:D,AI_NAMES!E:E,"",0))</f>
        <v>0</v>
      </c>
    </row>
    <row r="1655" spans="1:13" x14ac:dyDescent="0.2">
      <c r="A1655" t="s">
        <v>1899</v>
      </c>
      <c r="B1655" t="s">
        <v>321</v>
      </c>
      <c r="L1655" t="s">
        <v>321</v>
      </c>
      <c r="M1655">
        <f>IF(C1655&lt;&gt;"",C1655,_xlfn.XLOOKUP(B1655,AI_NAMES!D:D,AI_NAMES!E:E,"",0))</f>
        <v>0</v>
      </c>
    </row>
    <row r="1656" spans="1:13" x14ac:dyDescent="0.2">
      <c r="A1656" t="s">
        <v>1900</v>
      </c>
      <c r="B1656" t="s">
        <v>321</v>
      </c>
      <c r="L1656" t="s">
        <v>321</v>
      </c>
      <c r="M1656">
        <f>IF(C1656&lt;&gt;"",C1656,_xlfn.XLOOKUP(B1656,AI_NAMES!D:D,AI_NAMES!E:E,"",0))</f>
        <v>0</v>
      </c>
    </row>
    <row r="1657" spans="1:13" x14ac:dyDescent="0.2">
      <c r="A1657" t="s">
        <v>1901</v>
      </c>
      <c r="B1657" t="s">
        <v>321</v>
      </c>
      <c r="L1657" t="s">
        <v>321</v>
      </c>
      <c r="M1657">
        <f>IF(C1657&lt;&gt;"",C1657,_xlfn.XLOOKUP(B1657,AI_NAMES!D:D,AI_NAMES!E:E,"",0))</f>
        <v>0</v>
      </c>
    </row>
    <row r="1658" spans="1:13" x14ac:dyDescent="0.2">
      <c r="A1658" t="s">
        <v>1902</v>
      </c>
      <c r="B1658" t="s">
        <v>321</v>
      </c>
      <c r="L1658" t="s">
        <v>321</v>
      </c>
      <c r="M1658">
        <f>IF(C1658&lt;&gt;"",C1658,_xlfn.XLOOKUP(B1658,AI_NAMES!D:D,AI_NAMES!E:E,"",0))</f>
        <v>0</v>
      </c>
    </row>
    <row r="1659" spans="1:13" x14ac:dyDescent="0.2">
      <c r="A1659" t="s">
        <v>1903</v>
      </c>
      <c r="B1659" t="s">
        <v>321</v>
      </c>
      <c r="L1659" t="s">
        <v>321</v>
      </c>
      <c r="M1659">
        <f>IF(C1659&lt;&gt;"",C1659,_xlfn.XLOOKUP(B1659,AI_NAMES!D:D,AI_NAMES!E:E,"",0))</f>
        <v>0</v>
      </c>
    </row>
    <row r="1660" spans="1:13" x14ac:dyDescent="0.2">
      <c r="A1660" t="s">
        <v>1904</v>
      </c>
      <c r="B1660" t="s">
        <v>321</v>
      </c>
      <c r="L1660" t="s">
        <v>321</v>
      </c>
      <c r="M1660">
        <f>IF(C1660&lt;&gt;"",C1660,_xlfn.XLOOKUP(B1660,AI_NAMES!D:D,AI_NAMES!E:E,"",0))</f>
        <v>0</v>
      </c>
    </row>
    <row r="1661" spans="1:13" x14ac:dyDescent="0.2">
      <c r="A1661" t="s">
        <v>1905</v>
      </c>
      <c r="B1661" t="s">
        <v>321</v>
      </c>
      <c r="L1661" t="s">
        <v>321</v>
      </c>
      <c r="M1661">
        <f>IF(C1661&lt;&gt;"",C1661,_xlfn.XLOOKUP(B1661,AI_NAMES!D:D,AI_NAMES!E:E,"",0))</f>
        <v>0</v>
      </c>
    </row>
    <row r="1662" spans="1:13" x14ac:dyDescent="0.2">
      <c r="A1662" t="s">
        <v>1906</v>
      </c>
      <c r="B1662" t="s">
        <v>321</v>
      </c>
      <c r="L1662" t="s">
        <v>321</v>
      </c>
      <c r="M1662">
        <f>IF(C1662&lt;&gt;"",C1662,_xlfn.XLOOKUP(B1662,AI_NAMES!D:D,AI_NAMES!E:E,"",0))</f>
        <v>0</v>
      </c>
    </row>
    <row r="1663" spans="1:13" x14ac:dyDescent="0.2">
      <c r="A1663" t="s">
        <v>1907</v>
      </c>
      <c r="B1663" t="s">
        <v>321</v>
      </c>
      <c r="L1663" t="s">
        <v>321</v>
      </c>
      <c r="M1663">
        <f>IF(C1663&lt;&gt;"",C1663,_xlfn.XLOOKUP(B1663,AI_NAMES!D:D,AI_NAMES!E:E,"",0))</f>
        <v>0</v>
      </c>
    </row>
    <row r="1664" spans="1:13" x14ac:dyDescent="0.2">
      <c r="A1664" t="s">
        <v>1908</v>
      </c>
      <c r="B1664" t="s">
        <v>321</v>
      </c>
      <c r="L1664" t="s">
        <v>321</v>
      </c>
      <c r="M1664">
        <f>IF(C1664&lt;&gt;"",C1664,_xlfn.XLOOKUP(B1664,AI_NAMES!D:D,AI_NAMES!E:E,"",0))</f>
        <v>0</v>
      </c>
    </row>
    <row r="1665" spans="1:13" x14ac:dyDescent="0.2">
      <c r="A1665" t="s">
        <v>1909</v>
      </c>
      <c r="B1665" t="s">
        <v>321</v>
      </c>
      <c r="L1665" t="s">
        <v>321</v>
      </c>
      <c r="M1665">
        <f>IF(C1665&lt;&gt;"",C1665,_xlfn.XLOOKUP(B1665,AI_NAMES!D:D,AI_NAMES!E:E,"",0))</f>
        <v>0</v>
      </c>
    </row>
    <row r="1666" spans="1:13" x14ac:dyDescent="0.2">
      <c r="A1666" t="s">
        <v>1910</v>
      </c>
      <c r="B1666" t="s">
        <v>321</v>
      </c>
      <c r="L1666" t="s">
        <v>321</v>
      </c>
      <c r="M1666">
        <f>IF(C1666&lt;&gt;"",C1666,_xlfn.XLOOKUP(B1666,AI_NAMES!D:D,AI_NAMES!E:E,"",0))</f>
        <v>0</v>
      </c>
    </row>
    <row r="1667" spans="1:13" x14ac:dyDescent="0.2">
      <c r="A1667" t="s">
        <v>1911</v>
      </c>
      <c r="B1667" t="s">
        <v>321</v>
      </c>
      <c r="L1667" t="s">
        <v>321</v>
      </c>
      <c r="M1667">
        <f>IF(C1667&lt;&gt;"",C1667,_xlfn.XLOOKUP(B1667,AI_NAMES!D:D,AI_NAMES!E:E,"",0))</f>
        <v>0</v>
      </c>
    </row>
    <row r="1668" spans="1:13" x14ac:dyDescent="0.2">
      <c r="A1668" t="s">
        <v>1912</v>
      </c>
      <c r="B1668" t="s">
        <v>321</v>
      </c>
      <c r="L1668" t="s">
        <v>321</v>
      </c>
      <c r="M1668">
        <f>IF(C1668&lt;&gt;"",C1668,_xlfn.XLOOKUP(B1668,AI_NAMES!D:D,AI_NAMES!E:E,"",0))</f>
        <v>0</v>
      </c>
    </row>
    <row r="1669" spans="1:13" x14ac:dyDescent="0.2">
      <c r="A1669" t="s">
        <v>1913</v>
      </c>
      <c r="B1669" t="s">
        <v>321</v>
      </c>
      <c r="L1669" t="s">
        <v>321</v>
      </c>
      <c r="M1669">
        <f>IF(C1669&lt;&gt;"",C1669,_xlfn.XLOOKUP(B1669,AI_NAMES!D:D,AI_NAMES!E:E,"",0))</f>
        <v>0</v>
      </c>
    </row>
    <row r="1670" spans="1:13" x14ac:dyDescent="0.2">
      <c r="A1670" t="s">
        <v>1914</v>
      </c>
      <c r="B1670" t="s">
        <v>321</v>
      </c>
      <c r="L1670" t="s">
        <v>321</v>
      </c>
      <c r="M1670">
        <f>IF(C1670&lt;&gt;"",C1670,_xlfn.XLOOKUP(B1670,AI_NAMES!D:D,AI_NAMES!E:E,"",0))</f>
        <v>0</v>
      </c>
    </row>
    <row r="1671" spans="1:13" x14ac:dyDescent="0.2">
      <c r="A1671" t="s">
        <v>1915</v>
      </c>
      <c r="B1671" t="s">
        <v>321</v>
      </c>
      <c r="L1671" t="s">
        <v>321</v>
      </c>
      <c r="M1671">
        <f>IF(C1671&lt;&gt;"",C1671,_xlfn.XLOOKUP(B1671,AI_NAMES!D:D,AI_NAMES!E:E,"",0))</f>
        <v>0</v>
      </c>
    </row>
    <row r="1672" spans="1:13" x14ac:dyDescent="0.2">
      <c r="A1672" t="s">
        <v>1916</v>
      </c>
      <c r="B1672" t="s">
        <v>321</v>
      </c>
      <c r="L1672" t="s">
        <v>321</v>
      </c>
      <c r="M1672">
        <f>IF(C1672&lt;&gt;"",C1672,_xlfn.XLOOKUP(B1672,AI_NAMES!D:D,AI_NAMES!E:E,"",0))</f>
        <v>0</v>
      </c>
    </row>
    <row r="1673" spans="1:13" x14ac:dyDescent="0.2">
      <c r="A1673" t="s">
        <v>1917</v>
      </c>
      <c r="B1673" t="s">
        <v>321</v>
      </c>
      <c r="L1673" t="s">
        <v>321</v>
      </c>
      <c r="M1673">
        <f>IF(C1673&lt;&gt;"",C1673,_xlfn.XLOOKUP(B1673,AI_NAMES!D:D,AI_NAMES!E:E,"",0))</f>
        <v>0</v>
      </c>
    </row>
    <row r="1674" spans="1:13" x14ac:dyDescent="0.2">
      <c r="A1674" t="s">
        <v>1918</v>
      </c>
      <c r="B1674" t="s">
        <v>321</v>
      </c>
      <c r="L1674" t="s">
        <v>321</v>
      </c>
      <c r="M1674">
        <f>IF(C1674&lt;&gt;"",C1674,_xlfn.XLOOKUP(B1674,AI_NAMES!D:D,AI_NAMES!E:E,"",0))</f>
        <v>0</v>
      </c>
    </row>
    <row r="1675" spans="1:13" x14ac:dyDescent="0.2">
      <c r="A1675" t="s">
        <v>1919</v>
      </c>
      <c r="B1675" t="s">
        <v>321</v>
      </c>
      <c r="L1675" t="s">
        <v>321</v>
      </c>
      <c r="M1675">
        <f>IF(C1675&lt;&gt;"",C1675,_xlfn.XLOOKUP(B1675,AI_NAMES!D:D,AI_NAMES!E:E,"",0))</f>
        <v>0</v>
      </c>
    </row>
    <row r="1676" spans="1:13" x14ac:dyDescent="0.2">
      <c r="A1676" t="s">
        <v>1920</v>
      </c>
      <c r="B1676" t="s">
        <v>321</v>
      </c>
      <c r="L1676" t="s">
        <v>321</v>
      </c>
      <c r="M1676">
        <f>IF(C1676&lt;&gt;"",C1676,_xlfn.XLOOKUP(B1676,AI_NAMES!D:D,AI_NAMES!E:E,"",0))</f>
        <v>0</v>
      </c>
    </row>
    <row r="1677" spans="1:13" x14ac:dyDescent="0.2">
      <c r="A1677" t="s">
        <v>1921</v>
      </c>
      <c r="B1677" t="s">
        <v>321</v>
      </c>
      <c r="L1677" t="s">
        <v>321</v>
      </c>
      <c r="M1677">
        <f>IF(C1677&lt;&gt;"",C1677,_xlfn.XLOOKUP(B1677,AI_NAMES!D:D,AI_NAMES!E:E,"",0))</f>
        <v>0</v>
      </c>
    </row>
    <row r="1678" spans="1:13" x14ac:dyDescent="0.2">
      <c r="A1678" t="s">
        <v>1922</v>
      </c>
      <c r="B1678" t="s">
        <v>321</v>
      </c>
      <c r="L1678" t="s">
        <v>321</v>
      </c>
      <c r="M1678">
        <f>IF(C1678&lt;&gt;"",C1678,_xlfn.XLOOKUP(B1678,AI_NAMES!D:D,AI_NAMES!E:E,"",0))</f>
        <v>0</v>
      </c>
    </row>
    <row r="1679" spans="1:13" x14ac:dyDescent="0.2">
      <c r="A1679" t="s">
        <v>1923</v>
      </c>
      <c r="B1679" t="s">
        <v>321</v>
      </c>
      <c r="L1679" t="s">
        <v>321</v>
      </c>
      <c r="M1679">
        <f>IF(C1679&lt;&gt;"",C1679,_xlfn.XLOOKUP(B1679,AI_NAMES!D:D,AI_NAMES!E:E,"",0))</f>
        <v>0</v>
      </c>
    </row>
    <row r="1680" spans="1:13" x14ac:dyDescent="0.2">
      <c r="A1680" t="s">
        <v>1924</v>
      </c>
      <c r="B1680" t="s">
        <v>321</v>
      </c>
      <c r="L1680" t="s">
        <v>321</v>
      </c>
      <c r="M1680">
        <f>IF(C1680&lt;&gt;"",C1680,_xlfn.XLOOKUP(B1680,AI_NAMES!D:D,AI_NAMES!E:E,"",0))</f>
        <v>0</v>
      </c>
    </row>
    <row r="1681" spans="1:13" x14ac:dyDescent="0.2">
      <c r="A1681" t="s">
        <v>1925</v>
      </c>
      <c r="B1681" t="s">
        <v>3402</v>
      </c>
      <c r="L1681" t="s">
        <v>3402</v>
      </c>
      <c r="M1681" t="str">
        <f>IF(C1681&lt;&gt;"",C1681,_xlfn.XLOOKUP(B1681,AI_NAMES!D:D,AI_NAMES!E:E,"",0))</f>
        <v/>
      </c>
    </row>
    <row r="1682" spans="1:13" x14ac:dyDescent="0.2">
      <c r="A1682" t="s">
        <v>1926</v>
      </c>
      <c r="B1682" t="s">
        <v>321</v>
      </c>
      <c r="L1682" t="s">
        <v>321</v>
      </c>
      <c r="M1682">
        <f>IF(C1682&lt;&gt;"",C1682,_xlfn.XLOOKUP(B1682,AI_NAMES!D:D,AI_NAMES!E:E,"",0))</f>
        <v>0</v>
      </c>
    </row>
    <row r="1683" spans="1:13" x14ac:dyDescent="0.2">
      <c r="A1683" t="s">
        <v>1927</v>
      </c>
      <c r="B1683" t="s">
        <v>321</v>
      </c>
      <c r="L1683" t="s">
        <v>321</v>
      </c>
      <c r="M1683">
        <f>IF(C1683&lt;&gt;"",C1683,_xlfn.XLOOKUP(B1683,AI_NAMES!D:D,AI_NAMES!E:E,"",0))</f>
        <v>0</v>
      </c>
    </row>
    <row r="1684" spans="1:13" x14ac:dyDescent="0.2">
      <c r="A1684" t="s">
        <v>1928</v>
      </c>
      <c r="B1684" t="s">
        <v>321</v>
      </c>
      <c r="L1684" t="s">
        <v>321</v>
      </c>
      <c r="M1684">
        <f>IF(C1684&lt;&gt;"",C1684,_xlfn.XLOOKUP(B1684,AI_NAMES!D:D,AI_NAMES!E:E,"",0))</f>
        <v>0</v>
      </c>
    </row>
    <row r="1685" spans="1:13" x14ac:dyDescent="0.2">
      <c r="A1685" t="s">
        <v>1929</v>
      </c>
      <c r="B1685" t="s">
        <v>321</v>
      </c>
      <c r="L1685" t="s">
        <v>321</v>
      </c>
      <c r="M1685">
        <f>IF(C1685&lt;&gt;"",C1685,_xlfn.XLOOKUP(B1685,AI_NAMES!D:D,AI_NAMES!E:E,"",0))</f>
        <v>0</v>
      </c>
    </row>
    <row r="1686" spans="1:13" x14ac:dyDescent="0.2">
      <c r="A1686" t="s">
        <v>1930</v>
      </c>
      <c r="B1686" t="s">
        <v>321</v>
      </c>
      <c r="L1686" t="s">
        <v>321</v>
      </c>
      <c r="M1686">
        <f>IF(C1686&lt;&gt;"",C1686,_xlfn.XLOOKUP(B1686,AI_NAMES!D:D,AI_NAMES!E:E,"",0))</f>
        <v>0</v>
      </c>
    </row>
    <row r="1687" spans="1:13" x14ac:dyDescent="0.2">
      <c r="A1687" t="s">
        <v>1931</v>
      </c>
      <c r="B1687" t="s">
        <v>321</v>
      </c>
      <c r="L1687" t="s">
        <v>321</v>
      </c>
      <c r="M1687">
        <f>IF(C1687&lt;&gt;"",C1687,_xlfn.XLOOKUP(B1687,AI_NAMES!D:D,AI_NAMES!E:E,"",0))</f>
        <v>0</v>
      </c>
    </row>
    <row r="1688" spans="1:13" x14ac:dyDescent="0.2">
      <c r="A1688" t="s">
        <v>1932</v>
      </c>
      <c r="B1688" t="s">
        <v>321</v>
      </c>
      <c r="L1688" t="s">
        <v>321</v>
      </c>
      <c r="M1688">
        <f>IF(C1688&lt;&gt;"",C1688,_xlfn.XLOOKUP(B1688,AI_NAMES!D:D,AI_NAMES!E:E,"",0))</f>
        <v>0</v>
      </c>
    </row>
    <row r="1689" spans="1:13" x14ac:dyDescent="0.2">
      <c r="A1689" t="s">
        <v>1933</v>
      </c>
      <c r="B1689" t="s">
        <v>321</v>
      </c>
      <c r="L1689" t="s">
        <v>321</v>
      </c>
      <c r="M1689">
        <f>IF(C1689&lt;&gt;"",C1689,_xlfn.XLOOKUP(B1689,AI_NAMES!D:D,AI_NAMES!E:E,"",0))</f>
        <v>0</v>
      </c>
    </row>
    <row r="1690" spans="1:13" x14ac:dyDescent="0.2">
      <c r="A1690" t="s">
        <v>1934</v>
      </c>
      <c r="B1690" t="s">
        <v>321</v>
      </c>
      <c r="L1690" t="s">
        <v>321</v>
      </c>
      <c r="M1690">
        <f>IF(C1690&lt;&gt;"",C1690,_xlfn.XLOOKUP(B1690,AI_NAMES!D:D,AI_NAMES!E:E,"",0))</f>
        <v>0</v>
      </c>
    </row>
    <row r="1691" spans="1:13" x14ac:dyDescent="0.2">
      <c r="A1691" t="s">
        <v>1935</v>
      </c>
      <c r="B1691" t="s">
        <v>321</v>
      </c>
      <c r="L1691" t="s">
        <v>321</v>
      </c>
      <c r="M1691">
        <f>IF(C1691&lt;&gt;"",C1691,_xlfn.XLOOKUP(B1691,AI_NAMES!D:D,AI_NAMES!E:E,"",0))</f>
        <v>0</v>
      </c>
    </row>
    <row r="1692" spans="1:13" x14ac:dyDescent="0.2">
      <c r="A1692" t="s">
        <v>1936</v>
      </c>
      <c r="B1692" t="s">
        <v>321</v>
      </c>
      <c r="L1692" t="s">
        <v>321</v>
      </c>
      <c r="M1692">
        <f>IF(C1692&lt;&gt;"",C1692,_xlfn.XLOOKUP(B1692,AI_NAMES!D:D,AI_NAMES!E:E,"",0))</f>
        <v>0</v>
      </c>
    </row>
    <row r="1693" spans="1:13" x14ac:dyDescent="0.2">
      <c r="A1693" t="s">
        <v>1937</v>
      </c>
      <c r="B1693" t="s">
        <v>321</v>
      </c>
      <c r="L1693" t="s">
        <v>321</v>
      </c>
      <c r="M1693">
        <f>IF(C1693&lt;&gt;"",C1693,_xlfn.XLOOKUP(B1693,AI_NAMES!D:D,AI_NAMES!E:E,"",0))</f>
        <v>0</v>
      </c>
    </row>
    <row r="1694" spans="1:13" x14ac:dyDescent="0.2">
      <c r="A1694" t="s">
        <v>1938</v>
      </c>
      <c r="B1694" t="s">
        <v>321</v>
      </c>
      <c r="L1694" t="s">
        <v>321</v>
      </c>
      <c r="M1694">
        <f>IF(C1694&lt;&gt;"",C1694,_xlfn.XLOOKUP(B1694,AI_NAMES!D:D,AI_NAMES!E:E,"",0))</f>
        <v>0</v>
      </c>
    </row>
    <row r="1695" spans="1:13" x14ac:dyDescent="0.2">
      <c r="A1695" t="s">
        <v>1939</v>
      </c>
      <c r="B1695" t="s">
        <v>321</v>
      </c>
      <c r="L1695" t="s">
        <v>321</v>
      </c>
      <c r="M1695">
        <f>IF(C1695&lt;&gt;"",C1695,_xlfn.XLOOKUP(B1695,AI_NAMES!D:D,AI_NAMES!E:E,"",0))</f>
        <v>0</v>
      </c>
    </row>
    <row r="1696" spans="1:13" x14ac:dyDescent="0.2">
      <c r="A1696" t="s">
        <v>1940</v>
      </c>
      <c r="B1696" t="s">
        <v>321</v>
      </c>
      <c r="L1696" t="s">
        <v>321</v>
      </c>
      <c r="M1696">
        <f>IF(C1696&lt;&gt;"",C1696,_xlfn.XLOOKUP(B1696,AI_NAMES!D:D,AI_NAMES!E:E,"",0))</f>
        <v>0</v>
      </c>
    </row>
    <row r="1697" spans="1:13" x14ac:dyDescent="0.2">
      <c r="A1697" t="s">
        <v>1941</v>
      </c>
      <c r="B1697" t="s">
        <v>321</v>
      </c>
      <c r="L1697" t="s">
        <v>321</v>
      </c>
      <c r="M1697">
        <f>IF(C1697&lt;&gt;"",C1697,_xlfn.XLOOKUP(B1697,AI_NAMES!D:D,AI_NAMES!E:E,"",0))</f>
        <v>0</v>
      </c>
    </row>
    <row r="1698" spans="1:13" x14ac:dyDescent="0.2">
      <c r="A1698" t="s">
        <v>1942</v>
      </c>
      <c r="B1698" t="s">
        <v>321</v>
      </c>
      <c r="L1698" t="s">
        <v>321</v>
      </c>
      <c r="M1698">
        <f>IF(C1698&lt;&gt;"",C1698,_xlfn.XLOOKUP(B1698,AI_NAMES!D:D,AI_NAMES!E:E,"",0))</f>
        <v>0</v>
      </c>
    </row>
    <row r="1699" spans="1:13" x14ac:dyDescent="0.2">
      <c r="A1699" t="s">
        <v>1943</v>
      </c>
      <c r="B1699" t="s">
        <v>321</v>
      </c>
      <c r="L1699" t="s">
        <v>321</v>
      </c>
      <c r="M1699">
        <f>IF(C1699&lt;&gt;"",C1699,_xlfn.XLOOKUP(B1699,AI_NAMES!D:D,AI_NAMES!E:E,"",0))</f>
        <v>0</v>
      </c>
    </row>
    <row r="1700" spans="1:13" x14ac:dyDescent="0.2">
      <c r="A1700" t="s">
        <v>1944</v>
      </c>
      <c r="B1700" t="s">
        <v>321</v>
      </c>
      <c r="L1700" t="s">
        <v>321</v>
      </c>
      <c r="M1700">
        <f>IF(C1700&lt;&gt;"",C1700,_xlfn.XLOOKUP(B1700,AI_NAMES!D:D,AI_NAMES!E:E,"",0))</f>
        <v>0</v>
      </c>
    </row>
    <row r="1701" spans="1:13" x14ac:dyDescent="0.2">
      <c r="A1701" t="s">
        <v>1945</v>
      </c>
      <c r="B1701" t="s">
        <v>321</v>
      </c>
      <c r="L1701" t="s">
        <v>321</v>
      </c>
      <c r="M1701">
        <f>IF(C1701&lt;&gt;"",C1701,_xlfn.XLOOKUP(B1701,AI_NAMES!D:D,AI_NAMES!E:E,"",0))</f>
        <v>0</v>
      </c>
    </row>
    <row r="1702" spans="1:13" x14ac:dyDescent="0.2">
      <c r="A1702" t="s">
        <v>1946</v>
      </c>
      <c r="B1702" t="s">
        <v>321</v>
      </c>
      <c r="L1702" t="s">
        <v>321</v>
      </c>
      <c r="M1702">
        <f>IF(C1702&lt;&gt;"",C1702,_xlfn.XLOOKUP(B1702,AI_NAMES!D:D,AI_NAMES!E:E,"",0))</f>
        <v>0</v>
      </c>
    </row>
    <row r="1703" spans="1:13" x14ac:dyDescent="0.2">
      <c r="A1703" t="s">
        <v>1947</v>
      </c>
      <c r="B1703" t="s">
        <v>321</v>
      </c>
      <c r="L1703" t="s">
        <v>321</v>
      </c>
      <c r="M1703">
        <f>IF(C1703&lt;&gt;"",C1703,_xlfn.XLOOKUP(B1703,AI_NAMES!D:D,AI_NAMES!E:E,"",0))</f>
        <v>0</v>
      </c>
    </row>
    <row r="1704" spans="1:13" x14ac:dyDescent="0.2">
      <c r="A1704" t="s">
        <v>1948</v>
      </c>
      <c r="B1704" t="s">
        <v>321</v>
      </c>
      <c r="L1704" t="s">
        <v>321</v>
      </c>
      <c r="M1704">
        <f>IF(C1704&lt;&gt;"",C1704,_xlfn.XLOOKUP(B1704,AI_NAMES!D:D,AI_NAMES!E:E,"",0))</f>
        <v>0</v>
      </c>
    </row>
    <row r="1705" spans="1:13" x14ac:dyDescent="0.2">
      <c r="A1705" t="s">
        <v>1949</v>
      </c>
      <c r="B1705" t="s">
        <v>321</v>
      </c>
      <c r="L1705" t="s">
        <v>321</v>
      </c>
      <c r="M1705">
        <f>IF(C1705&lt;&gt;"",C1705,_xlfn.XLOOKUP(B1705,AI_NAMES!D:D,AI_NAMES!E:E,"",0))</f>
        <v>0</v>
      </c>
    </row>
    <row r="1706" spans="1:13" x14ac:dyDescent="0.2">
      <c r="A1706" t="s">
        <v>1950</v>
      </c>
      <c r="B1706" t="s">
        <v>321</v>
      </c>
      <c r="L1706" t="s">
        <v>321</v>
      </c>
      <c r="M1706">
        <f>IF(C1706&lt;&gt;"",C1706,_xlfn.XLOOKUP(B1706,AI_NAMES!D:D,AI_NAMES!E:E,"",0))</f>
        <v>0</v>
      </c>
    </row>
    <row r="1707" spans="1:13" x14ac:dyDescent="0.2">
      <c r="A1707" t="s">
        <v>1951</v>
      </c>
      <c r="B1707" t="s">
        <v>321</v>
      </c>
      <c r="L1707" t="s">
        <v>321</v>
      </c>
      <c r="M1707">
        <f>IF(C1707&lt;&gt;"",C1707,_xlfn.XLOOKUP(B1707,AI_NAMES!D:D,AI_NAMES!E:E,"",0))</f>
        <v>0</v>
      </c>
    </row>
    <row r="1708" spans="1:13" x14ac:dyDescent="0.2">
      <c r="A1708" t="s">
        <v>1952</v>
      </c>
      <c r="B1708" t="s">
        <v>321</v>
      </c>
      <c r="L1708" t="s">
        <v>321</v>
      </c>
      <c r="M1708">
        <f>IF(C1708&lt;&gt;"",C1708,_xlfn.XLOOKUP(B1708,AI_NAMES!D:D,AI_NAMES!E:E,"",0))</f>
        <v>0</v>
      </c>
    </row>
    <row r="1709" spans="1:13" x14ac:dyDescent="0.2">
      <c r="A1709" t="s">
        <v>1953</v>
      </c>
      <c r="B1709" t="s">
        <v>321</v>
      </c>
      <c r="L1709" t="s">
        <v>321</v>
      </c>
      <c r="M1709">
        <f>IF(C1709&lt;&gt;"",C1709,_xlfn.XLOOKUP(B1709,AI_NAMES!D:D,AI_NAMES!E:E,"",0))</f>
        <v>0</v>
      </c>
    </row>
    <row r="1710" spans="1:13" x14ac:dyDescent="0.2">
      <c r="A1710" t="s">
        <v>1954</v>
      </c>
      <c r="B1710" t="s">
        <v>321</v>
      </c>
      <c r="L1710" t="s">
        <v>321</v>
      </c>
      <c r="M1710">
        <f>IF(C1710&lt;&gt;"",C1710,_xlfn.XLOOKUP(B1710,AI_NAMES!D:D,AI_NAMES!E:E,"",0))</f>
        <v>0</v>
      </c>
    </row>
    <row r="1711" spans="1:13" x14ac:dyDescent="0.2">
      <c r="A1711" t="s">
        <v>1955</v>
      </c>
      <c r="B1711" t="s">
        <v>321</v>
      </c>
      <c r="L1711" t="s">
        <v>321</v>
      </c>
      <c r="M1711">
        <f>IF(C1711&lt;&gt;"",C1711,_xlfn.XLOOKUP(B1711,AI_NAMES!D:D,AI_NAMES!E:E,"",0))</f>
        <v>0</v>
      </c>
    </row>
    <row r="1712" spans="1:13" x14ac:dyDescent="0.2">
      <c r="A1712" t="s">
        <v>1956</v>
      </c>
      <c r="B1712" t="s">
        <v>1957</v>
      </c>
      <c r="L1712" t="s">
        <v>1957</v>
      </c>
      <c r="M1712" t="str">
        <f>IF(C1712&lt;&gt;"",C1712,_xlfn.XLOOKUP(B1712,AI_NAMES!D:D,AI_NAMES!E:E,"",0))</f>
        <v/>
      </c>
    </row>
    <row r="1713" spans="1:13" x14ac:dyDescent="0.2">
      <c r="A1713" t="s">
        <v>1958</v>
      </c>
      <c r="B1713" t="s">
        <v>321</v>
      </c>
      <c r="L1713" t="s">
        <v>321</v>
      </c>
      <c r="M1713">
        <f>IF(C1713&lt;&gt;"",C1713,_xlfn.XLOOKUP(B1713,AI_NAMES!D:D,AI_NAMES!E:E,"",0))</f>
        <v>0</v>
      </c>
    </row>
    <row r="1714" spans="1:13" x14ac:dyDescent="0.2">
      <c r="A1714" t="s">
        <v>1959</v>
      </c>
      <c r="B1714" t="s">
        <v>321</v>
      </c>
      <c r="L1714" t="s">
        <v>321</v>
      </c>
      <c r="M1714">
        <f>IF(C1714&lt;&gt;"",C1714,_xlfn.XLOOKUP(B1714,AI_NAMES!D:D,AI_NAMES!E:E,"",0))</f>
        <v>0</v>
      </c>
    </row>
    <row r="1715" spans="1:13" x14ac:dyDescent="0.2">
      <c r="A1715" t="s">
        <v>1960</v>
      </c>
      <c r="B1715" t="s">
        <v>321</v>
      </c>
      <c r="L1715" t="s">
        <v>321</v>
      </c>
      <c r="M1715">
        <f>IF(C1715&lt;&gt;"",C1715,_xlfn.XLOOKUP(B1715,AI_NAMES!D:D,AI_NAMES!E:E,"",0))</f>
        <v>0</v>
      </c>
    </row>
    <row r="1716" spans="1:13" x14ac:dyDescent="0.2">
      <c r="A1716" t="s">
        <v>1961</v>
      </c>
      <c r="B1716" t="s">
        <v>321</v>
      </c>
      <c r="L1716" t="s">
        <v>321</v>
      </c>
      <c r="M1716">
        <f>IF(C1716&lt;&gt;"",C1716,_xlfn.XLOOKUP(B1716,AI_NAMES!D:D,AI_NAMES!E:E,"",0))</f>
        <v>0</v>
      </c>
    </row>
    <row r="1717" spans="1:13" x14ac:dyDescent="0.2">
      <c r="A1717" t="s">
        <v>1962</v>
      </c>
      <c r="B1717" t="s">
        <v>1962</v>
      </c>
      <c r="L1717" t="s">
        <v>1962</v>
      </c>
      <c r="M1717" t="str">
        <f>IF(C1717&lt;&gt;"",C1717,_xlfn.XLOOKUP(B1717,AI_NAMES!D:D,AI_NAMES!E:E,"",0))</f>
        <v/>
      </c>
    </row>
    <row r="1718" spans="1:13" x14ac:dyDescent="0.2">
      <c r="A1718" t="s">
        <v>1963</v>
      </c>
      <c r="B1718" t="s">
        <v>321</v>
      </c>
      <c r="L1718" t="s">
        <v>321</v>
      </c>
      <c r="M1718">
        <f>IF(C1718&lt;&gt;"",C1718,_xlfn.XLOOKUP(B1718,AI_NAMES!D:D,AI_NAMES!E:E,"",0))</f>
        <v>0</v>
      </c>
    </row>
    <row r="1719" spans="1:13" x14ac:dyDescent="0.2">
      <c r="A1719" t="s">
        <v>1964</v>
      </c>
      <c r="B1719" t="s">
        <v>321</v>
      </c>
      <c r="L1719" t="s">
        <v>321</v>
      </c>
      <c r="M1719">
        <f>IF(C1719&lt;&gt;"",C1719,_xlfn.XLOOKUP(B1719,AI_NAMES!D:D,AI_NAMES!E:E,"",0))</f>
        <v>0</v>
      </c>
    </row>
    <row r="1720" spans="1:13" x14ac:dyDescent="0.2">
      <c r="A1720" t="s">
        <v>1965</v>
      </c>
      <c r="B1720" t="s">
        <v>321</v>
      </c>
      <c r="L1720" t="s">
        <v>321</v>
      </c>
      <c r="M1720">
        <f>IF(C1720&lt;&gt;"",C1720,_xlfn.XLOOKUP(B1720,AI_NAMES!D:D,AI_NAMES!E:E,"",0))</f>
        <v>0</v>
      </c>
    </row>
    <row r="1721" spans="1:13" x14ac:dyDescent="0.2">
      <c r="A1721" t="s">
        <v>1966</v>
      </c>
      <c r="B1721" t="s">
        <v>321</v>
      </c>
      <c r="L1721" t="s">
        <v>321</v>
      </c>
      <c r="M1721">
        <f>IF(C1721&lt;&gt;"",C1721,_xlfn.XLOOKUP(B1721,AI_NAMES!D:D,AI_NAMES!E:E,"",0))</f>
        <v>0</v>
      </c>
    </row>
    <row r="1722" spans="1:13" x14ac:dyDescent="0.2">
      <c r="A1722" t="s">
        <v>1967</v>
      </c>
      <c r="B1722" t="s">
        <v>321</v>
      </c>
      <c r="L1722" t="s">
        <v>321</v>
      </c>
      <c r="M1722">
        <f>IF(C1722&lt;&gt;"",C1722,_xlfn.XLOOKUP(B1722,AI_NAMES!D:D,AI_NAMES!E:E,"",0))</f>
        <v>0</v>
      </c>
    </row>
    <row r="1723" spans="1:13" x14ac:dyDescent="0.2">
      <c r="A1723" t="s">
        <v>1968</v>
      </c>
      <c r="B1723" t="s">
        <v>321</v>
      </c>
      <c r="L1723" t="s">
        <v>321</v>
      </c>
      <c r="M1723">
        <f>IF(C1723&lt;&gt;"",C1723,_xlfn.XLOOKUP(B1723,AI_NAMES!D:D,AI_NAMES!E:E,"",0))</f>
        <v>0</v>
      </c>
    </row>
    <row r="1724" spans="1:13" x14ac:dyDescent="0.2">
      <c r="A1724" t="s">
        <v>1969</v>
      </c>
      <c r="B1724" t="s">
        <v>321</v>
      </c>
      <c r="L1724" t="s">
        <v>321</v>
      </c>
      <c r="M1724">
        <f>IF(C1724&lt;&gt;"",C1724,_xlfn.XLOOKUP(B1724,AI_NAMES!D:D,AI_NAMES!E:E,"",0))</f>
        <v>0</v>
      </c>
    </row>
    <row r="1725" spans="1:13" x14ac:dyDescent="0.2">
      <c r="A1725" t="s">
        <v>1970</v>
      </c>
      <c r="B1725" t="s">
        <v>321</v>
      </c>
      <c r="L1725" t="s">
        <v>321</v>
      </c>
      <c r="M1725">
        <f>IF(C1725&lt;&gt;"",C1725,_xlfn.XLOOKUP(B1725,AI_NAMES!D:D,AI_NAMES!E:E,"",0))</f>
        <v>0</v>
      </c>
    </row>
    <row r="1726" spans="1:13" x14ac:dyDescent="0.2">
      <c r="A1726" t="s">
        <v>1971</v>
      </c>
      <c r="B1726" t="s">
        <v>321</v>
      </c>
      <c r="L1726" t="s">
        <v>321</v>
      </c>
      <c r="M1726">
        <f>IF(C1726&lt;&gt;"",C1726,_xlfn.XLOOKUP(B1726,AI_NAMES!D:D,AI_NAMES!E:E,"",0))</f>
        <v>0</v>
      </c>
    </row>
    <row r="1727" spans="1:13" x14ac:dyDescent="0.2">
      <c r="A1727" t="s">
        <v>1972</v>
      </c>
      <c r="B1727" t="s">
        <v>321</v>
      </c>
      <c r="L1727" t="s">
        <v>321</v>
      </c>
      <c r="M1727">
        <f>IF(C1727&lt;&gt;"",C1727,_xlfn.XLOOKUP(B1727,AI_NAMES!D:D,AI_NAMES!E:E,"",0))</f>
        <v>0</v>
      </c>
    </row>
    <row r="1728" spans="1:13" x14ac:dyDescent="0.2">
      <c r="A1728" t="s">
        <v>1973</v>
      </c>
      <c r="B1728" t="s">
        <v>321</v>
      </c>
      <c r="L1728" t="s">
        <v>321</v>
      </c>
      <c r="M1728">
        <f>IF(C1728&lt;&gt;"",C1728,_xlfn.XLOOKUP(B1728,AI_NAMES!D:D,AI_NAMES!E:E,"",0))</f>
        <v>0</v>
      </c>
    </row>
    <row r="1729" spans="1:13" x14ac:dyDescent="0.2">
      <c r="A1729" t="s">
        <v>1974</v>
      </c>
      <c r="B1729" t="s">
        <v>321</v>
      </c>
      <c r="L1729" t="s">
        <v>321</v>
      </c>
      <c r="M1729">
        <f>IF(C1729&lt;&gt;"",C1729,_xlfn.XLOOKUP(B1729,AI_NAMES!D:D,AI_NAMES!E:E,"",0))</f>
        <v>0</v>
      </c>
    </row>
    <row r="1730" spans="1:13" x14ac:dyDescent="0.2">
      <c r="A1730" t="s">
        <v>1975</v>
      </c>
      <c r="B1730" t="s">
        <v>321</v>
      </c>
      <c r="L1730" t="s">
        <v>321</v>
      </c>
      <c r="M1730">
        <f>IF(C1730&lt;&gt;"",C1730,_xlfn.XLOOKUP(B1730,AI_NAMES!D:D,AI_NAMES!E:E,"",0))</f>
        <v>0</v>
      </c>
    </row>
    <row r="1731" spans="1:13" x14ac:dyDescent="0.2">
      <c r="A1731" t="s">
        <v>1976</v>
      </c>
      <c r="B1731" t="s">
        <v>321</v>
      </c>
      <c r="L1731" t="s">
        <v>321</v>
      </c>
      <c r="M1731">
        <f>IF(C1731&lt;&gt;"",C1731,_xlfn.XLOOKUP(B1731,AI_NAMES!D:D,AI_NAMES!E:E,"",0))</f>
        <v>0</v>
      </c>
    </row>
    <row r="1732" spans="1:13" x14ac:dyDescent="0.2">
      <c r="A1732" t="s">
        <v>1977</v>
      </c>
      <c r="B1732" t="s">
        <v>321</v>
      </c>
      <c r="L1732" t="s">
        <v>321</v>
      </c>
      <c r="M1732">
        <f>IF(C1732&lt;&gt;"",C1732,_xlfn.XLOOKUP(B1732,AI_NAMES!D:D,AI_NAMES!E:E,"",0))</f>
        <v>0</v>
      </c>
    </row>
    <row r="1733" spans="1:13" x14ac:dyDescent="0.2">
      <c r="A1733" t="s">
        <v>1978</v>
      </c>
      <c r="B1733" t="s">
        <v>321</v>
      </c>
      <c r="L1733" t="s">
        <v>321</v>
      </c>
      <c r="M1733">
        <f>IF(C1733&lt;&gt;"",C1733,_xlfn.XLOOKUP(B1733,AI_NAMES!D:D,AI_NAMES!E:E,"",0))</f>
        <v>0</v>
      </c>
    </row>
    <row r="1734" spans="1:13" x14ac:dyDescent="0.2">
      <c r="A1734" t="s">
        <v>1979</v>
      </c>
      <c r="B1734" t="s">
        <v>321</v>
      </c>
      <c r="L1734" t="s">
        <v>321</v>
      </c>
      <c r="M1734">
        <f>IF(C1734&lt;&gt;"",C1734,_xlfn.XLOOKUP(B1734,AI_NAMES!D:D,AI_NAMES!E:E,"",0))</f>
        <v>0</v>
      </c>
    </row>
    <row r="1735" spans="1:13" x14ac:dyDescent="0.2">
      <c r="A1735" t="s">
        <v>1980</v>
      </c>
      <c r="B1735" t="s">
        <v>321</v>
      </c>
      <c r="L1735" t="s">
        <v>321</v>
      </c>
      <c r="M1735">
        <f>IF(C1735&lt;&gt;"",C1735,_xlfn.XLOOKUP(B1735,AI_NAMES!D:D,AI_NAMES!E:E,"",0))</f>
        <v>0</v>
      </c>
    </row>
    <row r="1736" spans="1:13" x14ac:dyDescent="0.2">
      <c r="A1736" t="s">
        <v>1981</v>
      </c>
      <c r="B1736" t="s">
        <v>321</v>
      </c>
      <c r="L1736" t="s">
        <v>321</v>
      </c>
      <c r="M1736">
        <f>IF(C1736&lt;&gt;"",C1736,_xlfn.XLOOKUP(B1736,AI_NAMES!D:D,AI_NAMES!E:E,"",0))</f>
        <v>0</v>
      </c>
    </row>
    <row r="1737" spans="1:13" x14ac:dyDescent="0.2">
      <c r="A1737" t="s">
        <v>1982</v>
      </c>
      <c r="B1737" t="s">
        <v>321</v>
      </c>
      <c r="L1737" t="s">
        <v>321</v>
      </c>
      <c r="M1737">
        <f>IF(C1737&lt;&gt;"",C1737,_xlfn.XLOOKUP(B1737,AI_NAMES!D:D,AI_NAMES!E:E,"",0))</f>
        <v>0</v>
      </c>
    </row>
    <row r="1738" spans="1:13" x14ac:dyDescent="0.2">
      <c r="A1738" t="s">
        <v>1983</v>
      </c>
      <c r="B1738" t="s">
        <v>321</v>
      </c>
      <c r="L1738" t="s">
        <v>321</v>
      </c>
      <c r="M1738">
        <f>IF(C1738&lt;&gt;"",C1738,_xlfn.XLOOKUP(B1738,AI_NAMES!D:D,AI_NAMES!E:E,"",0))</f>
        <v>0</v>
      </c>
    </row>
    <row r="1739" spans="1:13" x14ac:dyDescent="0.2">
      <c r="A1739" t="s">
        <v>1984</v>
      </c>
      <c r="B1739" t="s">
        <v>321</v>
      </c>
      <c r="L1739" t="s">
        <v>321</v>
      </c>
      <c r="M1739">
        <f>IF(C1739&lt;&gt;"",C1739,_xlfn.XLOOKUP(B1739,AI_NAMES!D:D,AI_NAMES!E:E,"",0))</f>
        <v>0</v>
      </c>
    </row>
    <row r="1740" spans="1:13" x14ac:dyDescent="0.2">
      <c r="A1740" t="s">
        <v>1985</v>
      </c>
      <c r="B1740" t="s">
        <v>321</v>
      </c>
      <c r="L1740" t="s">
        <v>321</v>
      </c>
      <c r="M1740">
        <f>IF(C1740&lt;&gt;"",C1740,_xlfn.XLOOKUP(B1740,AI_NAMES!D:D,AI_NAMES!E:E,"",0))</f>
        <v>0</v>
      </c>
    </row>
    <row r="1741" spans="1:13" x14ac:dyDescent="0.2">
      <c r="A1741" t="s">
        <v>1986</v>
      </c>
      <c r="B1741" t="s">
        <v>321</v>
      </c>
      <c r="L1741" t="s">
        <v>321</v>
      </c>
      <c r="M1741">
        <f>IF(C1741&lt;&gt;"",C1741,_xlfn.XLOOKUP(B1741,AI_NAMES!D:D,AI_NAMES!E:E,"",0))</f>
        <v>0</v>
      </c>
    </row>
    <row r="1742" spans="1:13" x14ac:dyDescent="0.2">
      <c r="A1742" t="s">
        <v>1987</v>
      </c>
      <c r="B1742" t="s">
        <v>321</v>
      </c>
      <c r="L1742" t="s">
        <v>321</v>
      </c>
      <c r="M1742">
        <f>IF(C1742&lt;&gt;"",C1742,_xlfn.XLOOKUP(B1742,AI_NAMES!D:D,AI_NAMES!E:E,"",0))</f>
        <v>0</v>
      </c>
    </row>
    <row r="1743" spans="1:13" x14ac:dyDescent="0.2">
      <c r="A1743" t="s">
        <v>1988</v>
      </c>
      <c r="B1743" t="s">
        <v>321</v>
      </c>
      <c r="L1743" t="s">
        <v>321</v>
      </c>
      <c r="M1743">
        <f>IF(C1743&lt;&gt;"",C1743,_xlfn.XLOOKUP(B1743,AI_NAMES!D:D,AI_NAMES!E:E,"",0))</f>
        <v>0</v>
      </c>
    </row>
    <row r="1744" spans="1:13" x14ac:dyDescent="0.2">
      <c r="A1744" t="s">
        <v>1989</v>
      </c>
      <c r="B1744" t="s">
        <v>321</v>
      </c>
      <c r="L1744" t="s">
        <v>321</v>
      </c>
      <c r="M1744">
        <f>IF(C1744&lt;&gt;"",C1744,_xlfn.XLOOKUP(B1744,AI_NAMES!D:D,AI_NAMES!E:E,"",0))</f>
        <v>0</v>
      </c>
    </row>
    <row r="1745" spans="1:13" x14ac:dyDescent="0.2">
      <c r="A1745" t="s">
        <v>1990</v>
      </c>
      <c r="B1745" t="s">
        <v>321</v>
      </c>
      <c r="L1745" t="s">
        <v>321</v>
      </c>
      <c r="M1745">
        <f>IF(C1745&lt;&gt;"",C1745,_xlfn.XLOOKUP(B1745,AI_NAMES!D:D,AI_NAMES!E:E,"",0))</f>
        <v>0</v>
      </c>
    </row>
    <row r="1746" spans="1:13" x14ac:dyDescent="0.2">
      <c r="A1746" t="s">
        <v>1991</v>
      </c>
      <c r="B1746" t="s">
        <v>321</v>
      </c>
      <c r="L1746" t="s">
        <v>321</v>
      </c>
      <c r="M1746">
        <f>IF(C1746&lt;&gt;"",C1746,_xlfn.XLOOKUP(B1746,AI_NAMES!D:D,AI_NAMES!E:E,"",0))</f>
        <v>0</v>
      </c>
    </row>
    <row r="1747" spans="1:13" x14ac:dyDescent="0.2">
      <c r="A1747" t="s">
        <v>1992</v>
      </c>
      <c r="B1747" t="s">
        <v>321</v>
      </c>
      <c r="L1747" t="s">
        <v>321</v>
      </c>
      <c r="M1747">
        <f>IF(C1747&lt;&gt;"",C1747,_xlfn.XLOOKUP(B1747,AI_NAMES!D:D,AI_NAMES!E:E,"",0))</f>
        <v>0</v>
      </c>
    </row>
    <row r="1748" spans="1:13" x14ac:dyDescent="0.2">
      <c r="A1748" t="s">
        <v>1993</v>
      </c>
      <c r="B1748" t="s">
        <v>321</v>
      </c>
      <c r="L1748" t="s">
        <v>321</v>
      </c>
      <c r="M1748">
        <f>IF(C1748&lt;&gt;"",C1748,_xlfn.XLOOKUP(B1748,AI_NAMES!D:D,AI_NAMES!E:E,"",0))</f>
        <v>0</v>
      </c>
    </row>
    <row r="1749" spans="1:13" x14ac:dyDescent="0.2">
      <c r="A1749" t="s">
        <v>1994</v>
      </c>
      <c r="B1749" t="s">
        <v>321</v>
      </c>
      <c r="L1749" t="s">
        <v>321</v>
      </c>
      <c r="M1749">
        <f>IF(C1749&lt;&gt;"",C1749,_xlfn.XLOOKUP(B1749,AI_NAMES!D:D,AI_NAMES!E:E,"",0))</f>
        <v>0</v>
      </c>
    </row>
    <row r="1750" spans="1:13" x14ac:dyDescent="0.2">
      <c r="A1750" t="s">
        <v>1995</v>
      </c>
      <c r="B1750" t="s">
        <v>321</v>
      </c>
      <c r="L1750" t="s">
        <v>321</v>
      </c>
      <c r="M1750">
        <f>IF(C1750&lt;&gt;"",C1750,_xlfn.XLOOKUP(B1750,AI_NAMES!D:D,AI_NAMES!E:E,"",0))</f>
        <v>0</v>
      </c>
    </row>
    <row r="1751" spans="1:13" x14ac:dyDescent="0.2">
      <c r="A1751" t="s">
        <v>1996</v>
      </c>
      <c r="B1751" t="s">
        <v>321</v>
      </c>
      <c r="L1751" t="s">
        <v>321</v>
      </c>
      <c r="M1751">
        <f>IF(C1751&lt;&gt;"",C1751,_xlfn.XLOOKUP(B1751,AI_NAMES!D:D,AI_NAMES!E:E,"",0))</f>
        <v>0</v>
      </c>
    </row>
    <row r="1752" spans="1:13" x14ac:dyDescent="0.2">
      <c r="A1752" t="s">
        <v>1997</v>
      </c>
      <c r="B1752" t="s">
        <v>321</v>
      </c>
      <c r="L1752" t="s">
        <v>321</v>
      </c>
      <c r="M1752">
        <f>IF(C1752&lt;&gt;"",C1752,_xlfn.XLOOKUP(B1752,AI_NAMES!D:D,AI_NAMES!E:E,"",0))</f>
        <v>0</v>
      </c>
    </row>
    <row r="1753" spans="1:13" x14ac:dyDescent="0.2">
      <c r="A1753" t="s">
        <v>1998</v>
      </c>
      <c r="B1753" t="s">
        <v>321</v>
      </c>
      <c r="L1753" t="s">
        <v>321</v>
      </c>
      <c r="M1753">
        <f>IF(C1753&lt;&gt;"",C1753,_xlfn.XLOOKUP(B1753,AI_NAMES!D:D,AI_NAMES!E:E,"",0))</f>
        <v>0</v>
      </c>
    </row>
    <row r="1754" spans="1:13" x14ac:dyDescent="0.2">
      <c r="A1754" t="s">
        <v>1999</v>
      </c>
      <c r="B1754" t="s">
        <v>321</v>
      </c>
      <c r="L1754" t="s">
        <v>321</v>
      </c>
      <c r="M1754">
        <f>IF(C1754&lt;&gt;"",C1754,_xlfn.XLOOKUP(B1754,AI_NAMES!D:D,AI_NAMES!E:E,"",0))</f>
        <v>0</v>
      </c>
    </row>
    <row r="1755" spans="1:13" x14ac:dyDescent="0.2">
      <c r="A1755" t="s">
        <v>2000</v>
      </c>
      <c r="B1755" t="s">
        <v>321</v>
      </c>
      <c r="L1755" t="s">
        <v>321</v>
      </c>
      <c r="M1755">
        <f>IF(C1755&lt;&gt;"",C1755,_xlfn.XLOOKUP(B1755,AI_NAMES!D:D,AI_NAMES!E:E,"",0))</f>
        <v>0</v>
      </c>
    </row>
    <row r="1756" spans="1:13" x14ac:dyDescent="0.2">
      <c r="A1756" t="s">
        <v>2001</v>
      </c>
      <c r="B1756" t="s">
        <v>321</v>
      </c>
      <c r="L1756" t="s">
        <v>321</v>
      </c>
      <c r="M1756">
        <f>IF(C1756&lt;&gt;"",C1756,_xlfn.XLOOKUP(B1756,AI_NAMES!D:D,AI_NAMES!E:E,"",0))</f>
        <v>0</v>
      </c>
    </row>
    <row r="1757" spans="1:13" x14ac:dyDescent="0.2">
      <c r="A1757" t="s">
        <v>2002</v>
      </c>
      <c r="B1757" t="s">
        <v>321</v>
      </c>
      <c r="L1757" t="s">
        <v>321</v>
      </c>
      <c r="M1757">
        <f>IF(C1757&lt;&gt;"",C1757,_xlfn.XLOOKUP(B1757,AI_NAMES!D:D,AI_NAMES!E:E,"",0))</f>
        <v>0</v>
      </c>
    </row>
    <row r="1758" spans="1:13" x14ac:dyDescent="0.2">
      <c r="A1758" t="s">
        <v>2003</v>
      </c>
      <c r="B1758" t="s">
        <v>321</v>
      </c>
      <c r="L1758" t="s">
        <v>321</v>
      </c>
      <c r="M1758">
        <f>IF(C1758&lt;&gt;"",C1758,_xlfn.XLOOKUP(B1758,AI_NAMES!D:D,AI_NAMES!E:E,"",0))</f>
        <v>0</v>
      </c>
    </row>
    <row r="1759" spans="1:13" x14ac:dyDescent="0.2">
      <c r="A1759" t="s">
        <v>2004</v>
      </c>
      <c r="B1759" t="s">
        <v>321</v>
      </c>
      <c r="L1759" t="s">
        <v>321</v>
      </c>
      <c r="M1759">
        <f>IF(C1759&lt;&gt;"",C1759,_xlfn.XLOOKUP(B1759,AI_NAMES!D:D,AI_NAMES!E:E,"",0))</f>
        <v>0</v>
      </c>
    </row>
    <row r="1760" spans="1:13" x14ac:dyDescent="0.2">
      <c r="A1760" t="s">
        <v>2005</v>
      </c>
      <c r="B1760" t="s">
        <v>321</v>
      </c>
      <c r="L1760" t="s">
        <v>321</v>
      </c>
      <c r="M1760">
        <f>IF(C1760&lt;&gt;"",C1760,_xlfn.XLOOKUP(B1760,AI_NAMES!D:D,AI_NAMES!E:E,"",0))</f>
        <v>0</v>
      </c>
    </row>
    <row r="1761" spans="1:13" x14ac:dyDescent="0.2">
      <c r="A1761" t="s">
        <v>2006</v>
      </c>
      <c r="B1761" t="s">
        <v>321</v>
      </c>
      <c r="L1761" t="s">
        <v>321</v>
      </c>
      <c r="M1761">
        <f>IF(C1761&lt;&gt;"",C1761,_xlfn.XLOOKUP(B1761,AI_NAMES!D:D,AI_NAMES!E:E,"",0))</f>
        <v>0</v>
      </c>
    </row>
    <row r="1762" spans="1:13" x14ac:dyDescent="0.2">
      <c r="A1762" t="s">
        <v>2007</v>
      </c>
      <c r="B1762" t="s">
        <v>321</v>
      </c>
      <c r="L1762" t="s">
        <v>321</v>
      </c>
      <c r="M1762">
        <f>IF(C1762&lt;&gt;"",C1762,_xlfn.XLOOKUP(B1762,AI_NAMES!D:D,AI_NAMES!E:E,"",0))</f>
        <v>0</v>
      </c>
    </row>
    <row r="1763" spans="1:13" x14ac:dyDescent="0.2">
      <c r="A1763" t="s">
        <v>2008</v>
      </c>
      <c r="B1763" t="s">
        <v>321</v>
      </c>
      <c r="L1763" t="s">
        <v>321</v>
      </c>
      <c r="M1763">
        <f>IF(C1763&lt;&gt;"",C1763,_xlfn.XLOOKUP(B1763,AI_NAMES!D:D,AI_NAMES!E:E,"",0))</f>
        <v>0</v>
      </c>
    </row>
    <row r="1764" spans="1:13" x14ac:dyDescent="0.2">
      <c r="A1764" t="s">
        <v>2009</v>
      </c>
      <c r="B1764" t="s">
        <v>2009</v>
      </c>
      <c r="L1764" t="s">
        <v>2009</v>
      </c>
      <c r="M1764" t="str">
        <f>IF(C1764&lt;&gt;"",C1764,_xlfn.XLOOKUP(B1764,AI_NAMES!D:D,AI_NAMES!E:E,"",0))</f>
        <v/>
      </c>
    </row>
    <row r="1765" spans="1:13" x14ac:dyDescent="0.2">
      <c r="A1765" t="s">
        <v>2010</v>
      </c>
      <c r="B1765" t="s">
        <v>2011</v>
      </c>
      <c r="L1765" t="s">
        <v>2011</v>
      </c>
      <c r="M1765" t="str">
        <f>IF(C1765&lt;&gt;"",C1765,_xlfn.XLOOKUP(B1765,AI_NAMES!D:D,AI_NAMES!E:E,"",0))</f>
        <v/>
      </c>
    </row>
    <row r="1766" spans="1:13" x14ac:dyDescent="0.2">
      <c r="A1766" t="s">
        <v>2012</v>
      </c>
      <c r="B1766" t="s">
        <v>2013</v>
      </c>
      <c r="L1766" t="s">
        <v>2013</v>
      </c>
      <c r="M1766" t="str">
        <f>IF(C1766&lt;&gt;"",C1766,_xlfn.XLOOKUP(B1766,AI_NAMES!D:D,AI_NAMES!E:E,"",0))</f>
        <v/>
      </c>
    </row>
    <row r="1767" spans="1:13" x14ac:dyDescent="0.2">
      <c r="A1767" t="s">
        <v>2014</v>
      </c>
      <c r="B1767" t="s">
        <v>2015</v>
      </c>
      <c r="L1767" t="s">
        <v>2015</v>
      </c>
      <c r="M1767" t="str">
        <f>IF(C1767&lt;&gt;"",C1767,_xlfn.XLOOKUP(B1767,AI_NAMES!D:D,AI_NAMES!E:E,"",0))</f>
        <v/>
      </c>
    </row>
    <row r="1768" spans="1:13" x14ac:dyDescent="0.2">
      <c r="A1768" t="s">
        <v>2016</v>
      </c>
      <c r="B1768" t="s">
        <v>3125</v>
      </c>
      <c r="L1768" t="s">
        <v>3125</v>
      </c>
      <c r="M1768" t="str">
        <f>IF(C1768&lt;&gt;"",C1768,_xlfn.XLOOKUP(B1768,AI_NAMES!D:D,AI_NAMES!E:E,"",0))</f>
        <v/>
      </c>
    </row>
    <row r="1769" spans="1:13" x14ac:dyDescent="0.2">
      <c r="A1769" t="s">
        <v>2017</v>
      </c>
      <c r="B1769" t="s">
        <v>321</v>
      </c>
      <c r="L1769" t="s">
        <v>321</v>
      </c>
      <c r="M1769">
        <f>IF(C1769&lt;&gt;"",C1769,_xlfn.XLOOKUP(B1769,AI_NAMES!D:D,AI_NAMES!E:E,"",0))</f>
        <v>0</v>
      </c>
    </row>
    <row r="1770" spans="1:13" x14ac:dyDescent="0.2">
      <c r="A1770" t="s">
        <v>2018</v>
      </c>
      <c r="B1770" t="s">
        <v>2019</v>
      </c>
      <c r="L1770" t="s">
        <v>2019</v>
      </c>
      <c r="M1770" t="str">
        <f>IF(C1770&lt;&gt;"",C1770,_xlfn.XLOOKUP(B1770,AI_NAMES!D:D,AI_NAMES!E:E,"",0))</f>
        <v/>
      </c>
    </row>
    <row r="1771" spans="1:13" x14ac:dyDescent="0.2">
      <c r="A1771" t="s">
        <v>2020</v>
      </c>
      <c r="B1771" t="s">
        <v>321</v>
      </c>
      <c r="L1771" t="s">
        <v>321</v>
      </c>
      <c r="M1771">
        <f>IF(C1771&lt;&gt;"",C1771,_xlfn.XLOOKUP(B1771,AI_NAMES!D:D,AI_NAMES!E:E,"",0))</f>
        <v>0</v>
      </c>
    </row>
    <row r="1772" spans="1:13" x14ac:dyDescent="0.2">
      <c r="A1772" t="s">
        <v>2021</v>
      </c>
      <c r="B1772" t="s">
        <v>321</v>
      </c>
      <c r="L1772" t="s">
        <v>321</v>
      </c>
      <c r="M1772">
        <f>IF(C1772&lt;&gt;"",C1772,_xlfn.XLOOKUP(B1772,AI_NAMES!D:D,AI_NAMES!E:E,"",0))</f>
        <v>0</v>
      </c>
    </row>
    <row r="1773" spans="1:13" x14ac:dyDescent="0.2">
      <c r="A1773" t="s">
        <v>2022</v>
      </c>
      <c r="B1773" t="s">
        <v>321</v>
      </c>
      <c r="L1773" t="s">
        <v>321</v>
      </c>
      <c r="M1773">
        <f>IF(C1773&lt;&gt;"",C1773,_xlfn.XLOOKUP(B1773,AI_NAMES!D:D,AI_NAMES!E:E,"",0))</f>
        <v>0</v>
      </c>
    </row>
    <row r="1774" spans="1:13" x14ac:dyDescent="0.2">
      <c r="A1774" t="s">
        <v>2023</v>
      </c>
      <c r="B1774" t="s">
        <v>321</v>
      </c>
      <c r="L1774" t="s">
        <v>321</v>
      </c>
      <c r="M1774">
        <f>IF(C1774&lt;&gt;"",C1774,_xlfn.XLOOKUP(B1774,AI_NAMES!D:D,AI_NAMES!E:E,"",0))</f>
        <v>0</v>
      </c>
    </row>
    <row r="1775" spans="1:13" x14ac:dyDescent="0.2">
      <c r="A1775" t="s">
        <v>2024</v>
      </c>
      <c r="B1775" t="s">
        <v>321</v>
      </c>
      <c r="L1775" t="s">
        <v>321</v>
      </c>
      <c r="M1775">
        <f>IF(C1775&lt;&gt;"",C1775,_xlfn.XLOOKUP(B1775,AI_NAMES!D:D,AI_NAMES!E:E,"",0))</f>
        <v>0</v>
      </c>
    </row>
    <row r="1776" spans="1:13" x14ac:dyDescent="0.2">
      <c r="A1776" t="s">
        <v>2025</v>
      </c>
      <c r="B1776" t="s">
        <v>321</v>
      </c>
      <c r="L1776" t="s">
        <v>321</v>
      </c>
      <c r="M1776">
        <f>IF(C1776&lt;&gt;"",C1776,_xlfn.XLOOKUP(B1776,AI_NAMES!D:D,AI_NAMES!E:E,"",0))</f>
        <v>0</v>
      </c>
    </row>
    <row r="1777" spans="1:13" x14ac:dyDescent="0.2">
      <c r="A1777" t="s">
        <v>2026</v>
      </c>
      <c r="B1777" t="s">
        <v>321</v>
      </c>
      <c r="L1777" t="s">
        <v>321</v>
      </c>
      <c r="M1777">
        <f>IF(C1777&lt;&gt;"",C1777,_xlfn.XLOOKUP(B1777,AI_NAMES!D:D,AI_NAMES!E:E,"",0))</f>
        <v>0</v>
      </c>
    </row>
    <row r="1778" spans="1:13" x14ac:dyDescent="0.2">
      <c r="A1778" t="s">
        <v>2027</v>
      </c>
      <c r="B1778" t="s">
        <v>321</v>
      </c>
      <c r="L1778" t="s">
        <v>321</v>
      </c>
      <c r="M1778">
        <f>IF(C1778&lt;&gt;"",C1778,_xlfn.XLOOKUP(B1778,AI_NAMES!D:D,AI_NAMES!E:E,"",0))</f>
        <v>0</v>
      </c>
    </row>
    <row r="1779" spans="1:13" x14ac:dyDescent="0.2">
      <c r="A1779" t="s">
        <v>2028</v>
      </c>
      <c r="B1779" t="s">
        <v>321</v>
      </c>
      <c r="L1779" t="s">
        <v>321</v>
      </c>
      <c r="M1779">
        <f>IF(C1779&lt;&gt;"",C1779,_xlfn.XLOOKUP(B1779,AI_NAMES!D:D,AI_NAMES!E:E,"",0))</f>
        <v>0</v>
      </c>
    </row>
    <row r="1780" spans="1:13" x14ac:dyDescent="0.2">
      <c r="A1780" t="s">
        <v>2029</v>
      </c>
      <c r="B1780" t="s">
        <v>321</v>
      </c>
      <c r="L1780" t="s">
        <v>321</v>
      </c>
      <c r="M1780">
        <f>IF(C1780&lt;&gt;"",C1780,_xlfn.XLOOKUP(B1780,AI_NAMES!D:D,AI_NAMES!E:E,"",0))</f>
        <v>0</v>
      </c>
    </row>
    <row r="1781" spans="1:13" x14ac:dyDescent="0.2">
      <c r="A1781" t="s">
        <v>2030</v>
      </c>
      <c r="B1781" t="s">
        <v>321</v>
      </c>
      <c r="L1781" t="s">
        <v>321</v>
      </c>
      <c r="M1781">
        <f>IF(C1781&lt;&gt;"",C1781,_xlfn.XLOOKUP(B1781,AI_NAMES!D:D,AI_NAMES!E:E,"",0))</f>
        <v>0</v>
      </c>
    </row>
    <row r="1782" spans="1:13" x14ac:dyDescent="0.2">
      <c r="A1782" t="s">
        <v>2031</v>
      </c>
      <c r="B1782" t="s">
        <v>2032</v>
      </c>
      <c r="L1782" t="s">
        <v>2032</v>
      </c>
      <c r="M1782" t="str">
        <f>IF(C1782&lt;&gt;"",C1782,_xlfn.XLOOKUP(B1782,AI_NAMES!D:D,AI_NAMES!E:E,"",0))</f>
        <v/>
      </c>
    </row>
    <row r="1783" spans="1:13" x14ac:dyDescent="0.2">
      <c r="A1783" t="s">
        <v>2033</v>
      </c>
      <c r="B1783" t="s">
        <v>321</v>
      </c>
      <c r="L1783" t="s">
        <v>321</v>
      </c>
      <c r="M1783">
        <f>IF(C1783&lt;&gt;"",C1783,_xlfn.XLOOKUP(B1783,AI_NAMES!D:D,AI_NAMES!E:E,"",0))</f>
        <v>0</v>
      </c>
    </row>
    <row r="1784" spans="1:13" x14ac:dyDescent="0.2">
      <c r="A1784" t="s">
        <v>2034</v>
      </c>
      <c r="B1784" t="s">
        <v>321</v>
      </c>
      <c r="L1784" t="s">
        <v>321</v>
      </c>
      <c r="M1784">
        <f>IF(C1784&lt;&gt;"",C1784,_xlfn.XLOOKUP(B1784,AI_NAMES!D:D,AI_NAMES!E:E,"",0))</f>
        <v>0</v>
      </c>
    </row>
    <row r="1785" spans="1:13" x14ac:dyDescent="0.2">
      <c r="A1785" t="s">
        <v>2035</v>
      </c>
      <c r="B1785" t="s">
        <v>321</v>
      </c>
      <c r="L1785" t="s">
        <v>321</v>
      </c>
      <c r="M1785">
        <f>IF(C1785&lt;&gt;"",C1785,_xlfn.XLOOKUP(B1785,AI_NAMES!D:D,AI_NAMES!E:E,"",0))</f>
        <v>0</v>
      </c>
    </row>
    <row r="1786" spans="1:13" x14ac:dyDescent="0.2">
      <c r="A1786" t="s">
        <v>2036</v>
      </c>
      <c r="B1786" t="s">
        <v>321</v>
      </c>
      <c r="L1786" t="s">
        <v>321</v>
      </c>
      <c r="M1786">
        <f>IF(C1786&lt;&gt;"",C1786,_xlfn.XLOOKUP(B1786,AI_NAMES!D:D,AI_NAMES!E:E,"",0))</f>
        <v>0</v>
      </c>
    </row>
    <row r="1787" spans="1:13" x14ac:dyDescent="0.2">
      <c r="A1787" t="s">
        <v>2037</v>
      </c>
      <c r="B1787" t="s">
        <v>321</v>
      </c>
      <c r="L1787" t="s">
        <v>321</v>
      </c>
      <c r="M1787">
        <f>IF(C1787&lt;&gt;"",C1787,_xlfn.XLOOKUP(B1787,AI_NAMES!D:D,AI_NAMES!E:E,"",0))</f>
        <v>0</v>
      </c>
    </row>
    <row r="1788" spans="1:13" x14ac:dyDescent="0.2">
      <c r="A1788" t="s">
        <v>2038</v>
      </c>
      <c r="B1788" t="s">
        <v>321</v>
      </c>
      <c r="L1788" t="s">
        <v>321</v>
      </c>
      <c r="M1788">
        <f>IF(C1788&lt;&gt;"",C1788,_xlfn.XLOOKUP(B1788,AI_NAMES!D:D,AI_NAMES!E:E,"",0))</f>
        <v>0</v>
      </c>
    </row>
    <row r="1789" spans="1:13" x14ac:dyDescent="0.2">
      <c r="A1789" t="s">
        <v>2039</v>
      </c>
      <c r="B1789" t="s">
        <v>321</v>
      </c>
      <c r="L1789" t="s">
        <v>321</v>
      </c>
      <c r="M1789">
        <f>IF(C1789&lt;&gt;"",C1789,_xlfn.XLOOKUP(B1789,AI_NAMES!D:D,AI_NAMES!E:E,"",0))</f>
        <v>0</v>
      </c>
    </row>
    <row r="1790" spans="1:13" x14ac:dyDescent="0.2">
      <c r="A1790" t="s">
        <v>2040</v>
      </c>
      <c r="B1790" t="s">
        <v>321</v>
      </c>
      <c r="L1790" t="s">
        <v>321</v>
      </c>
      <c r="M1790">
        <f>IF(C1790&lt;&gt;"",C1790,_xlfn.XLOOKUP(B1790,AI_NAMES!D:D,AI_NAMES!E:E,"",0))</f>
        <v>0</v>
      </c>
    </row>
    <row r="1791" spans="1:13" x14ac:dyDescent="0.2">
      <c r="A1791" t="s">
        <v>2041</v>
      </c>
      <c r="B1791" t="s">
        <v>321</v>
      </c>
      <c r="L1791" t="s">
        <v>321</v>
      </c>
      <c r="M1791">
        <f>IF(C1791&lt;&gt;"",C1791,_xlfn.XLOOKUP(B1791,AI_NAMES!D:D,AI_NAMES!E:E,"",0))</f>
        <v>0</v>
      </c>
    </row>
    <row r="1792" spans="1:13" x14ac:dyDescent="0.2">
      <c r="A1792" t="s">
        <v>2042</v>
      </c>
      <c r="B1792" t="s">
        <v>321</v>
      </c>
      <c r="L1792" t="s">
        <v>321</v>
      </c>
      <c r="M1792">
        <f>IF(C1792&lt;&gt;"",C1792,_xlfn.XLOOKUP(B1792,AI_NAMES!D:D,AI_NAMES!E:E,"",0))</f>
        <v>0</v>
      </c>
    </row>
    <row r="1793" spans="1:13" x14ac:dyDescent="0.2">
      <c r="A1793" t="s">
        <v>2043</v>
      </c>
      <c r="B1793" t="s">
        <v>2044</v>
      </c>
      <c r="L1793" t="s">
        <v>2044</v>
      </c>
      <c r="M1793" t="str">
        <f>IF(C1793&lt;&gt;"",C1793,_xlfn.XLOOKUP(B1793,AI_NAMES!D:D,AI_NAMES!E:E,"",0))</f>
        <v/>
      </c>
    </row>
    <row r="1794" spans="1:13" x14ac:dyDescent="0.2">
      <c r="A1794" t="s">
        <v>2045</v>
      </c>
      <c r="B1794" t="s">
        <v>321</v>
      </c>
      <c r="L1794" t="s">
        <v>321</v>
      </c>
      <c r="M1794">
        <f>IF(C1794&lt;&gt;"",C1794,_xlfn.XLOOKUP(B1794,AI_NAMES!D:D,AI_NAMES!E:E,"",0))</f>
        <v>0</v>
      </c>
    </row>
    <row r="1795" spans="1:13" x14ac:dyDescent="0.2">
      <c r="A1795" t="s">
        <v>2046</v>
      </c>
      <c r="B1795" t="s">
        <v>321</v>
      </c>
      <c r="L1795" t="s">
        <v>321</v>
      </c>
      <c r="M1795">
        <f>IF(C1795&lt;&gt;"",C1795,_xlfn.XLOOKUP(B1795,AI_NAMES!D:D,AI_NAMES!E:E,"",0))</f>
        <v>0</v>
      </c>
    </row>
    <row r="1796" spans="1:13" x14ac:dyDescent="0.2">
      <c r="A1796" t="s">
        <v>2047</v>
      </c>
      <c r="B1796" t="s">
        <v>321</v>
      </c>
      <c r="L1796" t="s">
        <v>321</v>
      </c>
      <c r="M1796">
        <f>IF(C1796&lt;&gt;"",C1796,_xlfn.XLOOKUP(B1796,AI_NAMES!D:D,AI_NAMES!E:E,"",0))</f>
        <v>0</v>
      </c>
    </row>
    <row r="1797" spans="1:13" x14ac:dyDescent="0.2">
      <c r="A1797" t="s">
        <v>2048</v>
      </c>
      <c r="B1797" t="s">
        <v>321</v>
      </c>
      <c r="L1797" t="s">
        <v>321</v>
      </c>
      <c r="M1797">
        <f>IF(C1797&lt;&gt;"",C1797,_xlfn.XLOOKUP(B1797,AI_NAMES!D:D,AI_NAMES!E:E,"",0))</f>
        <v>0</v>
      </c>
    </row>
    <row r="1798" spans="1:13" x14ac:dyDescent="0.2">
      <c r="A1798" t="s">
        <v>2049</v>
      </c>
      <c r="B1798" t="s">
        <v>321</v>
      </c>
      <c r="L1798" t="s">
        <v>321</v>
      </c>
      <c r="M1798">
        <f>IF(C1798&lt;&gt;"",C1798,_xlfn.XLOOKUP(B1798,AI_NAMES!D:D,AI_NAMES!E:E,"",0))</f>
        <v>0</v>
      </c>
    </row>
    <row r="1799" spans="1:13" x14ac:dyDescent="0.2">
      <c r="A1799" t="s">
        <v>2050</v>
      </c>
      <c r="B1799" t="s">
        <v>321</v>
      </c>
      <c r="L1799" t="s">
        <v>321</v>
      </c>
      <c r="M1799">
        <f>IF(C1799&lt;&gt;"",C1799,_xlfn.XLOOKUP(B1799,AI_NAMES!D:D,AI_NAMES!E:E,"",0))</f>
        <v>0</v>
      </c>
    </row>
    <row r="1800" spans="1:13" x14ac:dyDescent="0.2">
      <c r="A1800" t="s">
        <v>2051</v>
      </c>
      <c r="B1800" t="s">
        <v>321</v>
      </c>
      <c r="L1800" t="s">
        <v>321</v>
      </c>
      <c r="M1800">
        <f>IF(C1800&lt;&gt;"",C1800,_xlfn.XLOOKUP(B1800,AI_NAMES!D:D,AI_NAMES!E:E,"",0))</f>
        <v>0</v>
      </c>
    </row>
    <row r="1801" spans="1:13" x14ac:dyDescent="0.2">
      <c r="A1801" t="s">
        <v>2052</v>
      </c>
      <c r="B1801" t="s">
        <v>321</v>
      </c>
      <c r="L1801" t="s">
        <v>321</v>
      </c>
      <c r="M1801">
        <f>IF(C1801&lt;&gt;"",C1801,_xlfn.XLOOKUP(B1801,AI_NAMES!D:D,AI_NAMES!E:E,"",0))</f>
        <v>0</v>
      </c>
    </row>
    <row r="1802" spans="1:13" x14ac:dyDescent="0.2">
      <c r="A1802" t="s">
        <v>2053</v>
      </c>
      <c r="B1802" t="s">
        <v>321</v>
      </c>
      <c r="L1802" t="s">
        <v>321</v>
      </c>
      <c r="M1802">
        <f>IF(C1802&lt;&gt;"",C1802,_xlfn.XLOOKUP(B1802,AI_NAMES!D:D,AI_NAMES!E:E,"",0))</f>
        <v>0</v>
      </c>
    </row>
    <row r="1803" spans="1:13" x14ac:dyDescent="0.2">
      <c r="A1803" t="s">
        <v>2054</v>
      </c>
      <c r="B1803" t="s">
        <v>321</v>
      </c>
      <c r="L1803" t="s">
        <v>321</v>
      </c>
      <c r="M1803">
        <f>IF(C1803&lt;&gt;"",C1803,_xlfn.XLOOKUP(B1803,AI_NAMES!D:D,AI_NAMES!E:E,"",0))</f>
        <v>0</v>
      </c>
    </row>
    <row r="1804" spans="1:13" x14ac:dyDescent="0.2">
      <c r="A1804" t="s">
        <v>2055</v>
      </c>
      <c r="B1804" t="s">
        <v>321</v>
      </c>
      <c r="L1804" t="s">
        <v>321</v>
      </c>
      <c r="M1804">
        <f>IF(C1804&lt;&gt;"",C1804,_xlfn.XLOOKUP(B1804,AI_NAMES!D:D,AI_NAMES!E:E,"",0))</f>
        <v>0</v>
      </c>
    </row>
    <row r="1805" spans="1:13" x14ac:dyDescent="0.2">
      <c r="A1805" t="s">
        <v>2056</v>
      </c>
      <c r="B1805" t="s">
        <v>321</v>
      </c>
      <c r="L1805" t="s">
        <v>321</v>
      </c>
      <c r="M1805">
        <f>IF(C1805&lt;&gt;"",C1805,_xlfn.XLOOKUP(B1805,AI_NAMES!D:D,AI_NAMES!E:E,"",0))</f>
        <v>0</v>
      </c>
    </row>
    <row r="1806" spans="1:13" x14ac:dyDescent="0.2">
      <c r="A1806" t="s">
        <v>2057</v>
      </c>
      <c r="B1806" t="s">
        <v>2058</v>
      </c>
      <c r="L1806" t="s">
        <v>2058</v>
      </c>
      <c r="M1806" t="str">
        <f>IF(C1806&lt;&gt;"",C1806,_xlfn.XLOOKUP(B1806,AI_NAMES!D:D,AI_NAMES!E:E,"",0))</f>
        <v/>
      </c>
    </row>
    <row r="1807" spans="1:13" x14ac:dyDescent="0.2">
      <c r="A1807" t="s">
        <v>2059</v>
      </c>
      <c r="B1807" t="s">
        <v>2060</v>
      </c>
      <c r="L1807" t="s">
        <v>2060</v>
      </c>
      <c r="M1807" t="str">
        <f>IF(C1807&lt;&gt;"",C1807,_xlfn.XLOOKUP(B1807,AI_NAMES!D:D,AI_NAMES!E:E,"",0))</f>
        <v/>
      </c>
    </row>
    <row r="1808" spans="1:13" x14ac:dyDescent="0.2">
      <c r="A1808" t="s">
        <v>2061</v>
      </c>
      <c r="B1808" t="s">
        <v>3400</v>
      </c>
      <c r="L1808" t="s">
        <v>3400</v>
      </c>
      <c r="M1808" t="str">
        <f>IF(C1808&lt;&gt;"",C1808,_xlfn.XLOOKUP(B1808,AI_NAMES!D:D,AI_NAMES!E:E,"",0))</f>
        <v/>
      </c>
    </row>
    <row r="1809" spans="1:13" x14ac:dyDescent="0.2">
      <c r="A1809" t="s">
        <v>2062</v>
      </c>
      <c r="B1809" t="s">
        <v>3399</v>
      </c>
      <c r="L1809" t="s">
        <v>3399</v>
      </c>
      <c r="M1809" t="str">
        <f>IF(C1809&lt;&gt;"",C1809,_xlfn.XLOOKUP(B1809,AI_NAMES!D:D,AI_NAMES!E:E,"",0))</f>
        <v/>
      </c>
    </row>
    <row r="1810" spans="1:13" x14ac:dyDescent="0.2">
      <c r="A1810" t="s">
        <v>2063</v>
      </c>
      <c r="B1810" t="s">
        <v>2064</v>
      </c>
      <c r="L1810" t="s">
        <v>2064</v>
      </c>
      <c r="M1810" t="str">
        <f>IF(C1810&lt;&gt;"",C1810,_xlfn.XLOOKUP(B1810,AI_NAMES!D:D,AI_NAMES!E:E,"",0))</f>
        <v/>
      </c>
    </row>
    <row r="1811" spans="1:13" x14ac:dyDescent="0.2">
      <c r="A1811" t="s">
        <v>2065</v>
      </c>
      <c r="M1811">
        <f>IF(C1811&lt;&gt;"",C1811,_xlfn.XLOOKUP(B1811,AI_NAMES!D:D,AI_NAMES!E:E,"",0))</f>
        <v>0</v>
      </c>
    </row>
    <row r="1812" spans="1:13" x14ac:dyDescent="0.2">
      <c r="A1812" t="s">
        <v>2066</v>
      </c>
      <c r="B1812" t="s">
        <v>321</v>
      </c>
      <c r="L1812" t="s">
        <v>321</v>
      </c>
      <c r="M1812">
        <f>IF(C1812&lt;&gt;"",C1812,_xlfn.XLOOKUP(B1812,AI_NAMES!D:D,AI_NAMES!E:E,"",0))</f>
        <v>0</v>
      </c>
    </row>
    <row r="1813" spans="1:13" x14ac:dyDescent="0.2">
      <c r="A1813" t="s">
        <v>2067</v>
      </c>
      <c r="B1813" t="s">
        <v>321</v>
      </c>
      <c r="L1813" t="s">
        <v>321</v>
      </c>
      <c r="M1813">
        <f>IF(C1813&lt;&gt;"",C1813,_xlfn.XLOOKUP(B1813,AI_NAMES!D:D,AI_NAMES!E:E,"",0))</f>
        <v>0</v>
      </c>
    </row>
    <row r="1814" spans="1:13" x14ac:dyDescent="0.2">
      <c r="A1814" t="s">
        <v>2068</v>
      </c>
      <c r="B1814" t="s">
        <v>321</v>
      </c>
      <c r="L1814" t="s">
        <v>321</v>
      </c>
      <c r="M1814">
        <f>IF(C1814&lt;&gt;"",C1814,_xlfn.XLOOKUP(B1814,AI_NAMES!D:D,AI_NAMES!E:E,"",0))</f>
        <v>0</v>
      </c>
    </row>
    <row r="1815" spans="1:13" x14ac:dyDescent="0.2">
      <c r="A1815" t="s">
        <v>2069</v>
      </c>
      <c r="B1815" t="s">
        <v>321</v>
      </c>
      <c r="L1815" t="s">
        <v>321</v>
      </c>
      <c r="M1815">
        <f>IF(C1815&lt;&gt;"",C1815,_xlfn.XLOOKUP(B1815,AI_NAMES!D:D,AI_NAMES!E:E,"",0))</f>
        <v>0</v>
      </c>
    </row>
    <row r="1816" spans="1:13" x14ac:dyDescent="0.2">
      <c r="A1816" t="s">
        <v>2070</v>
      </c>
      <c r="B1816" t="s">
        <v>321</v>
      </c>
      <c r="L1816" t="s">
        <v>321</v>
      </c>
      <c r="M1816">
        <f>IF(C1816&lt;&gt;"",C1816,_xlfn.XLOOKUP(B1816,AI_NAMES!D:D,AI_NAMES!E:E,"",0))</f>
        <v>0</v>
      </c>
    </row>
    <row r="1817" spans="1:13" x14ac:dyDescent="0.2">
      <c r="A1817" t="s">
        <v>2071</v>
      </c>
      <c r="B1817" t="s">
        <v>321</v>
      </c>
      <c r="L1817" t="s">
        <v>321</v>
      </c>
      <c r="M1817">
        <f>IF(C1817&lt;&gt;"",C1817,_xlfn.XLOOKUP(B1817,AI_NAMES!D:D,AI_NAMES!E:E,"",0))</f>
        <v>0</v>
      </c>
    </row>
    <row r="1818" spans="1:13" x14ac:dyDescent="0.2">
      <c r="A1818" t="s">
        <v>2072</v>
      </c>
      <c r="B1818" t="s">
        <v>321</v>
      </c>
      <c r="L1818" t="s">
        <v>321</v>
      </c>
      <c r="M1818">
        <f>IF(C1818&lt;&gt;"",C1818,_xlfn.XLOOKUP(B1818,AI_NAMES!D:D,AI_NAMES!E:E,"",0))</f>
        <v>0</v>
      </c>
    </row>
    <row r="1819" spans="1:13" x14ac:dyDescent="0.2">
      <c r="A1819" t="s">
        <v>2073</v>
      </c>
      <c r="B1819" t="s">
        <v>321</v>
      </c>
      <c r="L1819" t="s">
        <v>321</v>
      </c>
      <c r="M1819">
        <f>IF(C1819&lt;&gt;"",C1819,_xlfn.XLOOKUP(B1819,AI_NAMES!D:D,AI_NAMES!E:E,"",0))</f>
        <v>0</v>
      </c>
    </row>
    <row r="1820" spans="1:13" x14ac:dyDescent="0.2">
      <c r="A1820" t="s">
        <v>2074</v>
      </c>
      <c r="B1820" t="s">
        <v>321</v>
      </c>
      <c r="L1820" t="s">
        <v>321</v>
      </c>
      <c r="M1820">
        <f>IF(C1820&lt;&gt;"",C1820,_xlfn.XLOOKUP(B1820,AI_NAMES!D:D,AI_NAMES!E:E,"",0))</f>
        <v>0</v>
      </c>
    </row>
    <row r="1821" spans="1:13" x14ac:dyDescent="0.2">
      <c r="A1821" t="s">
        <v>2075</v>
      </c>
      <c r="B1821" t="s">
        <v>321</v>
      </c>
      <c r="L1821" t="s">
        <v>321</v>
      </c>
      <c r="M1821">
        <f>IF(C1821&lt;&gt;"",C1821,_xlfn.XLOOKUP(B1821,AI_NAMES!D:D,AI_NAMES!E:E,"",0))</f>
        <v>0</v>
      </c>
    </row>
    <row r="1822" spans="1:13" x14ac:dyDescent="0.2">
      <c r="A1822" t="s">
        <v>2076</v>
      </c>
      <c r="B1822" t="s">
        <v>321</v>
      </c>
      <c r="L1822" t="s">
        <v>321</v>
      </c>
      <c r="M1822">
        <f>IF(C1822&lt;&gt;"",C1822,_xlfn.XLOOKUP(B1822,AI_NAMES!D:D,AI_NAMES!E:E,"",0))</f>
        <v>0</v>
      </c>
    </row>
    <row r="1823" spans="1:13" x14ac:dyDescent="0.2">
      <c r="A1823" t="s">
        <v>2077</v>
      </c>
      <c r="B1823" t="s">
        <v>321</v>
      </c>
      <c r="L1823" t="s">
        <v>321</v>
      </c>
      <c r="M1823">
        <f>IF(C1823&lt;&gt;"",C1823,_xlfn.XLOOKUP(B1823,AI_NAMES!D:D,AI_NAMES!E:E,"",0))</f>
        <v>0</v>
      </c>
    </row>
    <row r="1824" spans="1:13" x14ac:dyDescent="0.2">
      <c r="A1824" t="s">
        <v>2078</v>
      </c>
      <c r="B1824" t="s">
        <v>321</v>
      </c>
      <c r="L1824" t="s">
        <v>321</v>
      </c>
      <c r="M1824">
        <f>IF(C1824&lt;&gt;"",C1824,_xlfn.XLOOKUP(B1824,AI_NAMES!D:D,AI_NAMES!E:E,"",0))</f>
        <v>0</v>
      </c>
    </row>
    <row r="1825" spans="1:13" x14ac:dyDescent="0.2">
      <c r="A1825" t="s">
        <v>2079</v>
      </c>
      <c r="B1825" t="s">
        <v>2079</v>
      </c>
      <c r="L1825" t="s">
        <v>2079</v>
      </c>
      <c r="M1825" t="str">
        <f>IF(C1825&lt;&gt;"",C1825,_xlfn.XLOOKUP(B1825,AI_NAMES!D:D,AI_NAMES!E:E,"",0))</f>
        <v/>
      </c>
    </row>
    <row r="1826" spans="1:13" x14ac:dyDescent="0.2">
      <c r="A1826" t="s">
        <v>2080</v>
      </c>
      <c r="B1826" t="s">
        <v>2080</v>
      </c>
      <c r="L1826" t="s">
        <v>2080</v>
      </c>
      <c r="M1826" t="str">
        <f>IF(C1826&lt;&gt;"",C1826,_xlfn.XLOOKUP(B1826,AI_NAMES!D:D,AI_NAMES!E:E,"",0))</f>
        <v/>
      </c>
    </row>
    <row r="1827" spans="1:13" x14ac:dyDescent="0.2">
      <c r="A1827" t="s">
        <v>2081</v>
      </c>
      <c r="B1827" t="s">
        <v>321</v>
      </c>
      <c r="L1827" t="s">
        <v>321</v>
      </c>
      <c r="M1827">
        <f>IF(C1827&lt;&gt;"",C1827,_xlfn.XLOOKUP(B1827,AI_NAMES!D:D,AI_NAMES!E:E,"",0))</f>
        <v>0</v>
      </c>
    </row>
    <row r="1828" spans="1:13" x14ac:dyDescent="0.2">
      <c r="A1828" t="s">
        <v>2082</v>
      </c>
      <c r="B1828" t="s">
        <v>321</v>
      </c>
      <c r="L1828" t="s">
        <v>321</v>
      </c>
      <c r="M1828">
        <f>IF(C1828&lt;&gt;"",C1828,_xlfn.XLOOKUP(B1828,AI_NAMES!D:D,AI_NAMES!E:E,"",0))</f>
        <v>0</v>
      </c>
    </row>
    <row r="1829" spans="1:13" x14ac:dyDescent="0.2">
      <c r="A1829" t="s">
        <v>2083</v>
      </c>
      <c r="B1829" t="s">
        <v>321</v>
      </c>
      <c r="L1829" t="s">
        <v>321</v>
      </c>
      <c r="M1829">
        <f>IF(C1829&lt;&gt;"",C1829,_xlfn.XLOOKUP(B1829,AI_NAMES!D:D,AI_NAMES!E:E,"",0))</f>
        <v>0</v>
      </c>
    </row>
    <row r="1830" spans="1:13" x14ac:dyDescent="0.2">
      <c r="A1830" t="s">
        <v>2084</v>
      </c>
      <c r="B1830" t="s">
        <v>321</v>
      </c>
      <c r="L1830" t="s">
        <v>321</v>
      </c>
      <c r="M1830">
        <f>IF(C1830&lt;&gt;"",C1830,_xlfn.XLOOKUP(B1830,AI_NAMES!D:D,AI_NAMES!E:E,"",0))</f>
        <v>0</v>
      </c>
    </row>
    <row r="1831" spans="1:13" x14ac:dyDescent="0.2">
      <c r="A1831" t="s">
        <v>2085</v>
      </c>
      <c r="B1831" t="s">
        <v>321</v>
      </c>
      <c r="L1831" t="s">
        <v>321</v>
      </c>
      <c r="M1831">
        <f>IF(C1831&lt;&gt;"",C1831,_xlfn.XLOOKUP(B1831,AI_NAMES!D:D,AI_NAMES!E:E,"",0))</f>
        <v>0</v>
      </c>
    </row>
    <row r="1832" spans="1:13" x14ac:dyDescent="0.2">
      <c r="A1832" t="s">
        <v>2086</v>
      </c>
      <c r="B1832" t="s">
        <v>321</v>
      </c>
      <c r="L1832" t="s">
        <v>321</v>
      </c>
      <c r="M1832">
        <f>IF(C1832&lt;&gt;"",C1832,_xlfn.XLOOKUP(B1832,AI_NAMES!D:D,AI_NAMES!E:E,"",0))</f>
        <v>0</v>
      </c>
    </row>
    <row r="1833" spans="1:13" x14ac:dyDescent="0.2">
      <c r="A1833" t="s">
        <v>2087</v>
      </c>
      <c r="B1833" t="s">
        <v>321</v>
      </c>
      <c r="L1833" t="s">
        <v>321</v>
      </c>
      <c r="M1833">
        <f>IF(C1833&lt;&gt;"",C1833,_xlfn.XLOOKUP(B1833,AI_NAMES!D:D,AI_NAMES!E:E,"",0))</f>
        <v>0</v>
      </c>
    </row>
    <row r="1834" spans="1:13" x14ac:dyDescent="0.2">
      <c r="A1834" t="s">
        <v>2088</v>
      </c>
      <c r="B1834" t="s">
        <v>321</v>
      </c>
      <c r="L1834" t="s">
        <v>321</v>
      </c>
      <c r="M1834">
        <f>IF(C1834&lt;&gt;"",C1834,_xlfn.XLOOKUP(B1834,AI_NAMES!D:D,AI_NAMES!E:E,"",0))</f>
        <v>0</v>
      </c>
    </row>
    <row r="1835" spans="1:13" x14ac:dyDescent="0.2">
      <c r="A1835" t="s">
        <v>2089</v>
      </c>
      <c r="B1835" t="s">
        <v>321</v>
      </c>
      <c r="L1835" t="s">
        <v>321</v>
      </c>
      <c r="M1835">
        <f>IF(C1835&lt;&gt;"",C1835,_xlfn.XLOOKUP(B1835,AI_NAMES!D:D,AI_NAMES!E:E,"",0))</f>
        <v>0</v>
      </c>
    </row>
    <row r="1836" spans="1:13" x14ac:dyDescent="0.2">
      <c r="A1836" t="s">
        <v>2090</v>
      </c>
      <c r="B1836" t="s">
        <v>321</v>
      </c>
      <c r="L1836" t="s">
        <v>321</v>
      </c>
      <c r="M1836">
        <f>IF(C1836&lt;&gt;"",C1836,_xlfn.XLOOKUP(B1836,AI_NAMES!D:D,AI_NAMES!E:E,"",0))</f>
        <v>0</v>
      </c>
    </row>
    <row r="1837" spans="1:13" x14ac:dyDescent="0.2">
      <c r="A1837" t="s">
        <v>2091</v>
      </c>
      <c r="B1837" t="s">
        <v>2091</v>
      </c>
      <c r="L1837" t="s">
        <v>2091</v>
      </c>
      <c r="M1837" t="str">
        <f>IF(C1837&lt;&gt;"",C1837,_xlfn.XLOOKUP(B1837,AI_NAMES!D:D,AI_NAMES!E:E,"",0))</f>
        <v/>
      </c>
    </row>
    <row r="1838" spans="1:13" x14ac:dyDescent="0.2">
      <c r="A1838" t="s">
        <v>2092</v>
      </c>
      <c r="B1838" t="s">
        <v>2092</v>
      </c>
      <c r="L1838" t="s">
        <v>2092</v>
      </c>
      <c r="M1838" t="str">
        <f>IF(C1838&lt;&gt;"",C1838,_xlfn.XLOOKUP(B1838,AI_NAMES!D:D,AI_NAMES!E:E,"",0))</f>
        <v/>
      </c>
    </row>
    <row r="1839" spans="1:13" x14ac:dyDescent="0.2">
      <c r="A1839" t="s">
        <v>2093</v>
      </c>
      <c r="B1839" t="s">
        <v>2093</v>
      </c>
      <c r="L1839" t="s">
        <v>2093</v>
      </c>
      <c r="M1839" t="str">
        <f>IF(C1839&lt;&gt;"",C1839,_xlfn.XLOOKUP(B1839,AI_NAMES!D:D,AI_NAMES!E:E,"",0))</f>
        <v/>
      </c>
    </row>
    <row r="1840" spans="1:13" x14ac:dyDescent="0.2">
      <c r="A1840" t="s">
        <v>2094</v>
      </c>
      <c r="B1840" t="s">
        <v>2095</v>
      </c>
      <c r="L1840" t="s">
        <v>2095</v>
      </c>
      <c r="M1840" t="str">
        <f>IF(C1840&lt;&gt;"",C1840,_xlfn.XLOOKUP(B1840,AI_NAMES!D:D,AI_NAMES!E:E,"",0))</f>
        <v/>
      </c>
    </row>
    <row r="1841" spans="1:13" x14ac:dyDescent="0.2">
      <c r="A1841" t="s">
        <v>2096</v>
      </c>
      <c r="M1841">
        <f>IF(C1841&lt;&gt;"",C1841,_xlfn.XLOOKUP(B1841,AI_NAMES!D:D,AI_NAMES!E:E,"",0))</f>
        <v>0</v>
      </c>
    </row>
    <row r="1842" spans="1:13" x14ac:dyDescent="0.2">
      <c r="A1842" t="s">
        <v>2097</v>
      </c>
      <c r="B1842" t="s">
        <v>2098</v>
      </c>
      <c r="L1842" t="s">
        <v>2098</v>
      </c>
      <c r="M1842" t="str">
        <f>IF(C1842&lt;&gt;"",C1842,_xlfn.XLOOKUP(B1842,AI_NAMES!D:D,AI_NAMES!E:E,"",0))</f>
        <v/>
      </c>
    </row>
    <row r="1843" spans="1:13" x14ac:dyDescent="0.2">
      <c r="A1843" t="s">
        <v>2099</v>
      </c>
      <c r="B1843" t="s">
        <v>2100</v>
      </c>
      <c r="L1843" t="s">
        <v>2100</v>
      </c>
      <c r="M1843" t="str">
        <f>IF(C1843&lt;&gt;"",C1843,_xlfn.XLOOKUP(B1843,AI_NAMES!D:D,AI_NAMES!E:E,"",0))</f>
        <v/>
      </c>
    </row>
    <row r="1844" spans="1:13" x14ac:dyDescent="0.2">
      <c r="A1844" t="s">
        <v>2101</v>
      </c>
      <c r="B1844" t="s">
        <v>2102</v>
      </c>
      <c r="L1844" t="s">
        <v>2102</v>
      </c>
      <c r="M1844" t="str">
        <f>IF(C1844&lt;&gt;"",C1844,_xlfn.XLOOKUP(B1844,AI_NAMES!D:D,AI_NAMES!E:E,"",0))</f>
        <v/>
      </c>
    </row>
    <row r="1845" spans="1:13" x14ac:dyDescent="0.2">
      <c r="A1845" t="s">
        <v>2103</v>
      </c>
      <c r="B1845" t="s">
        <v>321</v>
      </c>
      <c r="L1845" t="s">
        <v>321</v>
      </c>
      <c r="M1845">
        <f>IF(C1845&lt;&gt;"",C1845,_xlfn.XLOOKUP(B1845,AI_NAMES!D:D,AI_NAMES!E:E,"",0))</f>
        <v>0</v>
      </c>
    </row>
    <row r="1846" spans="1:13" x14ac:dyDescent="0.2">
      <c r="A1846" t="s">
        <v>2104</v>
      </c>
      <c r="B1846" t="s">
        <v>321</v>
      </c>
      <c r="L1846" t="s">
        <v>321</v>
      </c>
      <c r="M1846">
        <f>IF(C1846&lt;&gt;"",C1846,_xlfn.XLOOKUP(B1846,AI_NAMES!D:D,AI_NAMES!E:E,"",0))</f>
        <v>0</v>
      </c>
    </row>
    <row r="1847" spans="1:13" x14ac:dyDescent="0.2">
      <c r="A1847" t="s">
        <v>2105</v>
      </c>
      <c r="B1847" t="s">
        <v>321</v>
      </c>
      <c r="L1847" t="s">
        <v>321</v>
      </c>
      <c r="M1847">
        <f>IF(C1847&lt;&gt;"",C1847,_xlfn.XLOOKUP(B1847,AI_NAMES!D:D,AI_NAMES!E:E,"",0))</f>
        <v>0</v>
      </c>
    </row>
    <row r="1848" spans="1:13" x14ac:dyDescent="0.2">
      <c r="A1848" t="s">
        <v>2106</v>
      </c>
      <c r="B1848" t="s">
        <v>321</v>
      </c>
      <c r="L1848" t="s">
        <v>321</v>
      </c>
      <c r="M1848">
        <f>IF(C1848&lt;&gt;"",C1848,_xlfn.XLOOKUP(B1848,AI_NAMES!D:D,AI_NAMES!E:E,"",0))</f>
        <v>0</v>
      </c>
    </row>
    <row r="1849" spans="1:13" x14ac:dyDescent="0.2">
      <c r="A1849" t="s">
        <v>2107</v>
      </c>
      <c r="B1849" t="s">
        <v>321</v>
      </c>
      <c r="L1849" t="s">
        <v>321</v>
      </c>
      <c r="M1849">
        <f>IF(C1849&lt;&gt;"",C1849,_xlfn.XLOOKUP(B1849,AI_NAMES!D:D,AI_NAMES!E:E,"",0))</f>
        <v>0</v>
      </c>
    </row>
    <row r="1850" spans="1:13" x14ac:dyDescent="0.2">
      <c r="A1850" t="s">
        <v>2108</v>
      </c>
      <c r="B1850" t="s">
        <v>321</v>
      </c>
      <c r="L1850" t="s">
        <v>321</v>
      </c>
      <c r="M1850">
        <f>IF(C1850&lt;&gt;"",C1850,_xlfn.XLOOKUP(B1850,AI_NAMES!D:D,AI_NAMES!E:E,"",0))</f>
        <v>0</v>
      </c>
    </row>
    <row r="1851" spans="1:13" x14ac:dyDescent="0.2">
      <c r="A1851" t="s">
        <v>2109</v>
      </c>
      <c r="B1851" t="s">
        <v>321</v>
      </c>
      <c r="L1851" t="s">
        <v>321</v>
      </c>
      <c r="M1851">
        <f>IF(C1851&lt;&gt;"",C1851,_xlfn.XLOOKUP(B1851,AI_NAMES!D:D,AI_NAMES!E:E,"",0))</f>
        <v>0</v>
      </c>
    </row>
    <row r="1852" spans="1:13" x14ac:dyDescent="0.2">
      <c r="A1852" t="s">
        <v>2110</v>
      </c>
      <c r="B1852" t="s">
        <v>321</v>
      </c>
      <c r="L1852" t="s">
        <v>321</v>
      </c>
      <c r="M1852">
        <f>IF(C1852&lt;&gt;"",C1852,_xlfn.XLOOKUP(B1852,AI_NAMES!D:D,AI_NAMES!E:E,"",0))</f>
        <v>0</v>
      </c>
    </row>
    <row r="1853" spans="1:13" x14ac:dyDescent="0.2">
      <c r="A1853" t="s">
        <v>2111</v>
      </c>
      <c r="B1853" t="s">
        <v>321</v>
      </c>
      <c r="L1853" t="s">
        <v>321</v>
      </c>
      <c r="M1853">
        <f>IF(C1853&lt;&gt;"",C1853,_xlfn.XLOOKUP(B1853,AI_NAMES!D:D,AI_NAMES!E:E,"",0))</f>
        <v>0</v>
      </c>
    </row>
    <row r="1854" spans="1:13" x14ac:dyDescent="0.2">
      <c r="A1854" t="s">
        <v>2112</v>
      </c>
      <c r="B1854" t="s">
        <v>321</v>
      </c>
      <c r="L1854" t="s">
        <v>321</v>
      </c>
      <c r="M1854">
        <f>IF(C1854&lt;&gt;"",C1854,_xlfn.XLOOKUP(B1854,AI_NAMES!D:D,AI_NAMES!E:E,"",0))</f>
        <v>0</v>
      </c>
    </row>
    <row r="1855" spans="1:13" x14ac:dyDescent="0.2">
      <c r="A1855" t="s">
        <v>2113</v>
      </c>
      <c r="B1855" t="s">
        <v>321</v>
      </c>
      <c r="L1855" t="s">
        <v>321</v>
      </c>
      <c r="M1855">
        <f>IF(C1855&lt;&gt;"",C1855,_xlfn.XLOOKUP(B1855,AI_NAMES!D:D,AI_NAMES!E:E,"",0))</f>
        <v>0</v>
      </c>
    </row>
    <row r="1856" spans="1:13" x14ac:dyDescent="0.2">
      <c r="A1856" t="s">
        <v>2114</v>
      </c>
      <c r="B1856" t="s">
        <v>321</v>
      </c>
      <c r="L1856" t="s">
        <v>321</v>
      </c>
      <c r="M1856">
        <f>IF(C1856&lt;&gt;"",C1856,_xlfn.XLOOKUP(B1856,AI_NAMES!D:D,AI_NAMES!E:E,"",0))</f>
        <v>0</v>
      </c>
    </row>
    <row r="1857" spans="1:13" x14ac:dyDescent="0.2">
      <c r="A1857" t="s">
        <v>2115</v>
      </c>
      <c r="B1857" t="s">
        <v>321</v>
      </c>
      <c r="L1857" t="s">
        <v>321</v>
      </c>
      <c r="M1857">
        <f>IF(C1857&lt;&gt;"",C1857,_xlfn.XLOOKUP(B1857,AI_NAMES!D:D,AI_NAMES!E:E,"",0))</f>
        <v>0</v>
      </c>
    </row>
    <row r="1858" spans="1:13" x14ac:dyDescent="0.2">
      <c r="A1858" t="s">
        <v>2116</v>
      </c>
      <c r="B1858" t="s">
        <v>321</v>
      </c>
      <c r="L1858" t="s">
        <v>321</v>
      </c>
      <c r="M1858">
        <f>IF(C1858&lt;&gt;"",C1858,_xlfn.XLOOKUP(B1858,AI_NAMES!D:D,AI_NAMES!E:E,"",0))</f>
        <v>0</v>
      </c>
    </row>
    <row r="1859" spans="1:13" x14ac:dyDescent="0.2">
      <c r="A1859" t="s">
        <v>2117</v>
      </c>
      <c r="B1859" t="s">
        <v>321</v>
      </c>
      <c r="L1859" t="s">
        <v>321</v>
      </c>
      <c r="M1859">
        <f>IF(C1859&lt;&gt;"",C1859,_xlfn.XLOOKUP(B1859,AI_NAMES!D:D,AI_NAMES!E:E,"",0))</f>
        <v>0</v>
      </c>
    </row>
    <row r="1860" spans="1:13" x14ac:dyDescent="0.2">
      <c r="A1860" t="s">
        <v>2118</v>
      </c>
      <c r="B1860" t="s">
        <v>321</v>
      </c>
      <c r="L1860" t="s">
        <v>321</v>
      </c>
      <c r="M1860">
        <f>IF(C1860&lt;&gt;"",C1860,_xlfn.XLOOKUP(B1860,AI_NAMES!D:D,AI_NAMES!E:E,"",0))</f>
        <v>0</v>
      </c>
    </row>
    <row r="1861" spans="1:13" x14ac:dyDescent="0.2">
      <c r="A1861" t="s">
        <v>2119</v>
      </c>
      <c r="B1861" t="s">
        <v>321</v>
      </c>
      <c r="L1861" t="s">
        <v>321</v>
      </c>
      <c r="M1861">
        <f>IF(C1861&lt;&gt;"",C1861,_xlfn.XLOOKUP(B1861,AI_NAMES!D:D,AI_NAMES!E:E,"",0))</f>
        <v>0</v>
      </c>
    </row>
    <row r="1862" spans="1:13" x14ac:dyDescent="0.2">
      <c r="A1862" t="s">
        <v>2120</v>
      </c>
      <c r="B1862" t="s">
        <v>321</v>
      </c>
      <c r="L1862" t="s">
        <v>321</v>
      </c>
      <c r="M1862">
        <f>IF(C1862&lt;&gt;"",C1862,_xlfn.XLOOKUP(B1862,AI_NAMES!D:D,AI_NAMES!E:E,"",0))</f>
        <v>0</v>
      </c>
    </row>
    <row r="1863" spans="1:13" x14ac:dyDescent="0.2">
      <c r="A1863" t="s">
        <v>2121</v>
      </c>
      <c r="B1863" t="s">
        <v>321</v>
      </c>
      <c r="L1863" t="s">
        <v>321</v>
      </c>
      <c r="M1863">
        <f>IF(C1863&lt;&gt;"",C1863,_xlfn.XLOOKUP(B1863,AI_NAMES!D:D,AI_NAMES!E:E,"",0))</f>
        <v>0</v>
      </c>
    </row>
    <row r="1864" spans="1:13" x14ac:dyDescent="0.2">
      <c r="A1864" t="s">
        <v>2122</v>
      </c>
      <c r="B1864" t="s">
        <v>321</v>
      </c>
      <c r="L1864" t="s">
        <v>321</v>
      </c>
      <c r="M1864">
        <f>IF(C1864&lt;&gt;"",C1864,_xlfn.XLOOKUP(B1864,AI_NAMES!D:D,AI_NAMES!E:E,"",0))</f>
        <v>0</v>
      </c>
    </row>
    <row r="1865" spans="1:13" x14ac:dyDescent="0.2">
      <c r="A1865" t="s">
        <v>2123</v>
      </c>
      <c r="B1865" t="s">
        <v>321</v>
      </c>
      <c r="L1865" t="s">
        <v>321</v>
      </c>
      <c r="M1865">
        <f>IF(C1865&lt;&gt;"",C1865,_xlfn.XLOOKUP(B1865,AI_NAMES!D:D,AI_NAMES!E:E,"",0))</f>
        <v>0</v>
      </c>
    </row>
    <row r="1866" spans="1:13" x14ac:dyDescent="0.2">
      <c r="A1866" t="s">
        <v>2124</v>
      </c>
      <c r="B1866" t="s">
        <v>321</v>
      </c>
      <c r="L1866" t="s">
        <v>321</v>
      </c>
      <c r="M1866">
        <f>IF(C1866&lt;&gt;"",C1866,_xlfn.XLOOKUP(B1866,AI_NAMES!D:D,AI_NAMES!E:E,"",0))</f>
        <v>0</v>
      </c>
    </row>
    <row r="1867" spans="1:13" x14ac:dyDescent="0.2">
      <c r="A1867" t="s">
        <v>2125</v>
      </c>
      <c r="B1867" t="s">
        <v>321</v>
      </c>
      <c r="L1867" t="s">
        <v>321</v>
      </c>
      <c r="M1867">
        <f>IF(C1867&lt;&gt;"",C1867,_xlfn.XLOOKUP(B1867,AI_NAMES!D:D,AI_NAMES!E:E,"",0))</f>
        <v>0</v>
      </c>
    </row>
    <row r="1868" spans="1:13" x14ac:dyDescent="0.2">
      <c r="A1868" t="s">
        <v>2126</v>
      </c>
      <c r="B1868" t="s">
        <v>321</v>
      </c>
      <c r="L1868" t="s">
        <v>321</v>
      </c>
      <c r="M1868">
        <f>IF(C1868&lt;&gt;"",C1868,_xlfn.XLOOKUP(B1868,AI_NAMES!D:D,AI_NAMES!E:E,"",0))</f>
        <v>0</v>
      </c>
    </row>
    <row r="1869" spans="1:13" x14ac:dyDescent="0.2">
      <c r="A1869" t="s">
        <v>2127</v>
      </c>
      <c r="B1869" t="s">
        <v>321</v>
      </c>
      <c r="L1869" t="s">
        <v>321</v>
      </c>
      <c r="M1869">
        <f>IF(C1869&lt;&gt;"",C1869,_xlfn.XLOOKUP(B1869,AI_NAMES!D:D,AI_NAMES!E:E,"",0))</f>
        <v>0</v>
      </c>
    </row>
    <row r="1870" spans="1:13" x14ac:dyDescent="0.2">
      <c r="A1870" t="s">
        <v>2128</v>
      </c>
      <c r="B1870" t="s">
        <v>321</v>
      </c>
      <c r="L1870" t="s">
        <v>321</v>
      </c>
      <c r="M1870">
        <f>IF(C1870&lt;&gt;"",C1870,_xlfn.XLOOKUP(B1870,AI_NAMES!D:D,AI_NAMES!E:E,"",0))</f>
        <v>0</v>
      </c>
    </row>
    <row r="1871" spans="1:13" x14ac:dyDescent="0.2">
      <c r="A1871" t="s">
        <v>2129</v>
      </c>
      <c r="B1871" t="s">
        <v>321</v>
      </c>
      <c r="L1871" t="s">
        <v>321</v>
      </c>
      <c r="M1871">
        <f>IF(C1871&lt;&gt;"",C1871,_xlfn.XLOOKUP(B1871,AI_NAMES!D:D,AI_NAMES!E:E,"",0))</f>
        <v>0</v>
      </c>
    </row>
    <row r="1872" spans="1:13" x14ac:dyDescent="0.2">
      <c r="A1872" t="s">
        <v>2130</v>
      </c>
      <c r="B1872" t="s">
        <v>321</v>
      </c>
      <c r="L1872" t="s">
        <v>321</v>
      </c>
      <c r="M1872">
        <f>IF(C1872&lt;&gt;"",C1872,_xlfn.XLOOKUP(B1872,AI_NAMES!D:D,AI_NAMES!E:E,"",0))</f>
        <v>0</v>
      </c>
    </row>
    <row r="1873" spans="1:13" x14ac:dyDescent="0.2">
      <c r="A1873" t="s">
        <v>2131</v>
      </c>
      <c r="B1873" t="s">
        <v>321</v>
      </c>
      <c r="L1873" t="s">
        <v>321</v>
      </c>
      <c r="M1873">
        <f>IF(C1873&lt;&gt;"",C1873,_xlfn.XLOOKUP(B1873,AI_NAMES!D:D,AI_NAMES!E:E,"",0))</f>
        <v>0</v>
      </c>
    </row>
    <row r="1874" spans="1:13" x14ac:dyDescent="0.2">
      <c r="A1874" t="s">
        <v>2132</v>
      </c>
      <c r="B1874" t="s">
        <v>321</v>
      </c>
      <c r="L1874" t="s">
        <v>321</v>
      </c>
      <c r="M1874">
        <f>IF(C1874&lt;&gt;"",C1874,_xlfn.XLOOKUP(B1874,AI_NAMES!D:D,AI_NAMES!E:E,"",0))</f>
        <v>0</v>
      </c>
    </row>
    <row r="1875" spans="1:13" x14ac:dyDescent="0.2">
      <c r="A1875" t="s">
        <v>2133</v>
      </c>
      <c r="B1875" t="s">
        <v>321</v>
      </c>
      <c r="L1875" t="s">
        <v>321</v>
      </c>
      <c r="M1875">
        <f>IF(C1875&lt;&gt;"",C1875,_xlfn.XLOOKUP(B1875,AI_NAMES!D:D,AI_NAMES!E:E,"",0))</f>
        <v>0</v>
      </c>
    </row>
    <row r="1876" spans="1:13" x14ac:dyDescent="0.2">
      <c r="A1876" t="s">
        <v>2134</v>
      </c>
      <c r="B1876" t="s">
        <v>321</v>
      </c>
      <c r="L1876" t="s">
        <v>321</v>
      </c>
      <c r="M1876">
        <f>IF(C1876&lt;&gt;"",C1876,_xlfn.XLOOKUP(B1876,AI_NAMES!D:D,AI_NAMES!E:E,"",0))</f>
        <v>0</v>
      </c>
    </row>
    <row r="1877" spans="1:13" x14ac:dyDescent="0.2">
      <c r="A1877" t="s">
        <v>2135</v>
      </c>
      <c r="B1877" t="s">
        <v>321</v>
      </c>
      <c r="L1877" t="s">
        <v>321</v>
      </c>
      <c r="M1877">
        <f>IF(C1877&lt;&gt;"",C1877,_xlfn.XLOOKUP(B1877,AI_NAMES!D:D,AI_NAMES!E:E,"",0))</f>
        <v>0</v>
      </c>
    </row>
    <row r="1878" spans="1:13" x14ac:dyDescent="0.2">
      <c r="A1878" t="s">
        <v>2136</v>
      </c>
      <c r="B1878" t="s">
        <v>321</v>
      </c>
      <c r="L1878" t="s">
        <v>321</v>
      </c>
      <c r="M1878">
        <f>IF(C1878&lt;&gt;"",C1878,_xlfn.XLOOKUP(B1878,AI_NAMES!D:D,AI_NAMES!E:E,"",0))</f>
        <v>0</v>
      </c>
    </row>
    <row r="1879" spans="1:13" x14ac:dyDescent="0.2">
      <c r="A1879" t="s">
        <v>2137</v>
      </c>
      <c r="B1879" t="s">
        <v>321</v>
      </c>
      <c r="L1879" t="s">
        <v>321</v>
      </c>
      <c r="M1879">
        <f>IF(C1879&lt;&gt;"",C1879,_xlfn.XLOOKUP(B1879,AI_NAMES!D:D,AI_NAMES!E:E,"",0))</f>
        <v>0</v>
      </c>
    </row>
    <row r="1880" spans="1:13" x14ac:dyDescent="0.2">
      <c r="A1880" t="s">
        <v>2138</v>
      </c>
      <c r="B1880" t="s">
        <v>321</v>
      </c>
      <c r="L1880" t="s">
        <v>321</v>
      </c>
      <c r="M1880">
        <f>IF(C1880&lt;&gt;"",C1880,_xlfn.XLOOKUP(B1880,AI_NAMES!D:D,AI_NAMES!E:E,"",0))</f>
        <v>0</v>
      </c>
    </row>
    <row r="1881" spans="1:13" x14ac:dyDescent="0.2">
      <c r="A1881" t="s">
        <v>2139</v>
      </c>
      <c r="B1881" t="s">
        <v>321</v>
      </c>
      <c r="L1881" t="s">
        <v>321</v>
      </c>
      <c r="M1881">
        <f>IF(C1881&lt;&gt;"",C1881,_xlfn.XLOOKUP(B1881,AI_NAMES!D:D,AI_NAMES!E:E,"",0))</f>
        <v>0</v>
      </c>
    </row>
    <row r="1882" spans="1:13" x14ac:dyDescent="0.2">
      <c r="A1882" t="s">
        <v>2140</v>
      </c>
      <c r="B1882" t="s">
        <v>321</v>
      </c>
      <c r="L1882" t="s">
        <v>321</v>
      </c>
      <c r="M1882">
        <f>IF(C1882&lt;&gt;"",C1882,_xlfn.XLOOKUP(B1882,AI_NAMES!D:D,AI_NAMES!E:E,"",0))</f>
        <v>0</v>
      </c>
    </row>
    <row r="1883" spans="1:13" x14ac:dyDescent="0.2">
      <c r="A1883" t="s">
        <v>2141</v>
      </c>
      <c r="B1883" t="s">
        <v>321</v>
      </c>
      <c r="L1883" t="s">
        <v>321</v>
      </c>
      <c r="M1883">
        <f>IF(C1883&lt;&gt;"",C1883,_xlfn.XLOOKUP(B1883,AI_NAMES!D:D,AI_NAMES!E:E,"",0))</f>
        <v>0</v>
      </c>
    </row>
    <row r="1884" spans="1:13" x14ac:dyDescent="0.2">
      <c r="A1884" t="s">
        <v>2142</v>
      </c>
      <c r="B1884" t="s">
        <v>321</v>
      </c>
      <c r="L1884" t="s">
        <v>321</v>
      </c>
      <c r="M1884">
        <f>IF(C1884&lt;&gt;"",C1884,_xlfn.XLOOKUP(B1884,AI_NAMES!D:D,AI_NAMES!E:E,"",0))</f>
        <v>0</v>
      </c>
    </row>
    <row r="1885" spans="1:13" x14ac:dyDescent="0.2">
      <c r="A1885" t="s">
        <v>2143</v>
      </c>
      <c r="B1885" t="s">
        <v>321</v>
      </c>
      <c r="L1885" t="s">
        <v>321</v>
      </c>
      <c r="M1885">
        <f>IF(C1885&lt;&gt;"",C1885,_xlfn.XLOOKUP(B1885,AI_NAMES!D:D,AI_NAMES!E:E,"",0))</f>
        <v>0</v>
      </c>
    </row>
    <row r="1886" spans="1:13" x14ac:dyDescent="0.2">
      <c r="A1886" t="s">
        <v>2144</v>
      </c>
      <c r="B1886" t="s">
        <v>321</v>
      </c>
      <c r="L1886" t="s">
        <v>321</v>
      </c>
      <c r="M1886">
        <f>IF(C1886&lt;&gt;"",C1886,_xlfn.XLOOKUP(B1886,AI_NAMES!D:D,AI_NAMES!E:E,"",0))</f>
        <v>0</v>
      </c>
    </row>
    <row r="1887" spans="1:13" x14ac:dyDescent="0.2">
      <c r="A1887" t="s">
        <v>2145</v>
      </c>
      <c r="B1887" t="s">
        <v>321</v>
      </c>
      <c r="L1887" t="s">
        <v>321</v>
      </c>
      <c r="M1887">
        <f>IF(C1887&lt;&gt;"",C1887,_xlfn.XLOOKUP(B1887,AI_NAMES!D:D,AI_NAMES!E:E,"",0))</f>
        <v>0</v>
      </c>
    </row>
    <row r="1888" spans="1:13" x14ac:dyDescent="0.2">
      <c r="A1888" t="s">
        <v>2146</v>
      </c>
      <c r="B1888" t="s">
        <v>321</v>
      </c>
      <c r="L1888" t="s">
        <v>321</v>
      </c>
      <c r="M1888">
        <f>IF(C1888&lt;&gt;"",C1888,_xlfn.XLOOKUP(B1888,AI_NAMES!D:D,AI_NAMES!E:E,"",0))</f>
        <v>0</v>
      </c>
    </row>
    <row r="1889" spans="1:13" x14ac:dyDescent="0.2">
      <c r="A1889" t="s">
        <v>2147</v>
      </c>
      <c r="B1889" t="s">
        <v>321</v>
      </c>
      <c r="L1889" t="s">
        <v>321</v>
      </c>
      <c r="M1889">
        <f>IF(C1889&lt;&gt;"",C1889,_xlfn.XLOOKUP(B1889,AI_NAMES!D:D,AI_NAMES!E:E,"",0))</f>
        <v>0</v>
      </c>
    </row>
    <row r="1890" spans="1:13" x14ac:dyDescent="0.2">
      <c r="A1890" t="s">
        <v>2148</v>
      </c>
      <c r="B1890" t="s">
        <v>321</v>
      </c>
      <c r="L1890" t="s">
        <v>321</v>
      </c>
      <c r="M1890">
        <f>IF(C1890&lt;&gt;"",C1890,_xlfn.XLOOKUP(B1890,AI_NAMES!D:D,AI_NAMES!E:E,"",0))</f>
        <v>0</v>
      </c>
    </row>
    <row r="1891" spans="1:13" x14ac:dyDescent="0.2">
      <c r="A1891" t="s">
        <v>2149</v>
      </c>
      <c r="B1891" t="s">
        <v>321</v>
      </c>
      <c r="L1891" t="s">
        <v>321</v>
      </c>
      <c r="M1891">
        <f>IF(C1891&lt;&gt;"",C1891,_xlfn.XLOOKUP(B1891,AI_NAMES!D:D,AI_NAMES!E:E,"",0))</f>
        <v>0</v>
      </c>
    </row>
    <row r="1892" spans="1:13" x14ac:dyDescent="0.2">
      <c r="A1892" t="s">
        <v>2150</v>
      </c>
      <c r="B1892" t="s">
        <v>321</v>
      </c>
      <c r="L1892" t="s">
        <v>321</v>
      </c>
      <c r="M1892">
        <f>IF(C1892&lt;&gt;"",C1892,_xlfn.XLOOKUP(B1892,AI_NAMES!D:D,AI_NAMES!E:E,"",0))</f>
        <v>0</v>
      </c>
    </row>
    <row r="1893" spans="1:13" x14ac:dyDescent="0.2">
      <c r="A1893" t="s">
        <v>2151</v>
      </c>
      <c r="B1893" t="s">
        <v>321</v>
      </c>
      <c r="L1893" t="s">
        <v>321</v>
      </c>
      <c r="M1893">
        <f>IF(C1893&lt;&gt;"",C1893,_xlfn.XLOOKUP(B1893,AI_NAMES!D:D,AI_NAMES!E:E,"",0))</f>
        <v>0</v>
      </c>
    </row>
    <row r="1894" spans="1:13" x14ac:dyDescent="0.2">
      <c r="A1894" t="s">
        <v>2152</v>
      </c>
      <c r="B1894" t="s">
        <v>321</v>
      </c>
      <c r="L1894" t="s">
        <v>321</v>
      </c>
      <c r="M1894">
        <f>IF(C1894&lt;&gt;"",C1894,_xlfn.XLOOKUP(B1894,AI_NAMES!D:D,AI_NAMES!E:E,"",0))</f>
        <v>0</v>
      </c>
    </row>
    <row r="1895" spans="1:13" x14ac:dyDescent="0.2">
      <c r="A1895" t="s">
        <v>2153</v>
      </c>
      <c r="B1895" t="s">
        <v>321</v>
      </c>
      <c r="L1895" t="s">
        <v>321</v>
      </c>
      <c r="M1895">
        <f>IF(C1895&lt;&gt;"",C1895,_xlfn.XLOOKUP(B1895,AI_NAMES!D:D,AI_NAMES!E:E,"",0))</f>
        <v>0</v>
      </c>
    </row>
    <row r="1896" spans="1:13" x14ac:dyDescent="0.2">
      <c r="A1896" t="s">
        <v>2154</v>
      </c>
      <c r="B1896" t="s">
        <v>321</v>
      </c>
      <c r="L1896" t="s">
        <v>321</v>
      </c>
      <c r="M1896">
        <f>IF(C1896&lt;&gt;"",C1896,_xlfn.XLOOKUP(B1896,AI_NAMES!D:D,AI_NAMES!E:E,"",0))</f>
        <v>0</v>
      </c>
    </row>
    <row r="1897" spans="1:13" x14ac:dyDescent="0.2">
      <c r="A1897" t="s">
        <v>2155</v>
      </c>
      <c r="B1897" t="s">
        <v>321</v>
      </c>
      <c r="L1897" t="s">
        <v>321</v>
      </c>
      <c r="M1897">
        <f>IF(C1897&lt;&gt;"",C1897,_xlfn.XLOOKUP(B1897,AI_NAMES!D:D,AI_NAMES!E:E,"",0))</f>
        <v>0</v>
      </c>
    </row>
    <row r="1898" spans="1:13" x14ac:dyDescent="0.2">
      <c r="A1898" t="s">
        <v>2156</v>
      </c>
      <c r="B1898" t="s">
        <v>321</v>
      </c>
      <c r="L1898" t="s">
        <v>321</v>
      </c>
      <c r="M1898">
        <f>IF(C1898&lt;&gt;"",C1898,_xlfn.XLOOKUP(B1898,AI_NAMES!D:D,AI_NAMES!E:E,"",0))</f>
        <v>0</v>
      </c>
    </row>
    <row r="1899" spans="1:13" x14ac:dyDescent="0.2">
      <c r="A1899" t="s">
        <v>2157</v>
      </c>
      <c r="B1899" t="s">
        <v>321</v>
      </c>
      <c r="L1899" t="s">
        <v>321</v>
      </c>
      <c r="M1899">
        <f>IF(C1899&lt;&gt;"",C1899,_xlfn.XLOOKUP(B1899,AI_NAMES!D:D,AI_NAMES!E:E,"",0))</f>
        <v>0</v>
      </c>
    </row>
    <row r="1900" spans="1:13" x14ac:dyDescent="0.2">
      <c r="A1900" t="s">
        <v>2158</v>
      </c>
      <c r="B1900" t="s">
        <v>321</v>
      </c>
      <c r="L1900" t="s">
        <v>321</v>
      </c>
      <c r="M1900">
        <f>IF(C1900&lt;&gt;"",C1900,_xlfn.XLOOKUP(B1900,AI_NAMES!D:D,AI_NAMES!E:E,"",0))</f>
        <v>0</v>
      </c>
    </row>
    <row r="1901" spans="1:13" x14ac:dyDescent="0.2">
      <c r="A1901" t="s">
        <v>2159</v>
      </c>
      <c r="B1901" t="s">
        <v>321</v>
      </c>
      <c r="L1901" t="s">
        <v>321</v>
      </c>
      <c r="M1901">
        <f>IF(C1901&lt;&gt;"",C1901,_xlfn.XLOOKUP(B1901,AI_NAMES!D:D,AI_NAMES!E:E,"",0))</f>
        <v>0</v>
      </c>
    </row>
    <row r="1902" spans="1:13" x14ac:dyDescent="0.2">
      <c r="A1902" t="s">
        <v>2160</v>
      </c>
      <c r="B1902" t="s">
        <v>321</v>
      </c>
      <c r="L1902" t="s">
        <v>321</v>
      </c>
      <c r="M1902">
        <f>IF(C1902&lt;&gt;"",C1902,_xlfn.XLOOKUP(B1902,AI_NAMES!D:D,AI_NAMES!E:E,"",0))</f>
        <v>0</v>
      </c>
    </row>
    <row r="1903" spans="1:13" x14ac:dyDescent="0.2">
      <c r="A1903" t="s">
        <v>2161</v>
      </c>
      <c r="B1903" t="s">
        <v>321</v>
      </c>
      <c r="L1903" t="s">
        <v>321</v>
      </c>
      <c r="M1903">
        <f>IF(C1903&lt;&gt;"",C1903,_xlfn.XLOOKUP(B1903,AI_NAMES!D:D,AI_NAMES!E:E,"",0))</f>
        <v>0</v>
      </c>
    </row>
    <row r="1904" spans="1:13" x14ac:dyDescent="0.2">
      <c r="A1904" t="s">
        <v>2162</v>
      </c>
      <c r="B1904" t="s">
        <v>321</v>
      </c>
      <c r="L1904" t="s">
        <v>321</v>
      </c>
      <c r="M1904">
        <f>IF(C1904&lt;&gt;"",C1904,_xlfn.XLOOKUP(B1904,AI_NAMES!D:D,AI_NAMES!E:E,"",0))</f>
        <v>0</v>
      </c>
    </row>
    <row r="1905" spans="1:13" x14ac:dyDescent="0.2">
      <c r="A1905" t="s">
        <v>2163</v>
      </c>
      <c r="B1905" t="s">
        <v>3360</v>
      </c>
      <c r="L1905" t="s">
        <v>3360</v>
      </c>
      <c r="M1905" t="str">
        <f>IF(C1905&lt;&gt;"",C1905,_xlfn.XLOOKUP(B1905,AI_NAMES!D:D,AI_NAMES!E:E,"",0))</f>
        <v/>
      </c>
    </row>
    <row r="1906" spans="1:13" x14ac:dyDescent="0.2">
      <c r="A1906" t="s">
        <v>2164</v>
      </c>
      <c r="B1906" t="s">
        <v>321</v>
      </c>
      <c r="L1906" t="s">
        <v>321</v>
      </c>
      <c r="M1906">
        <f>IF(C1906&lt;&gt;"",C1906,_xlfn.XLOOKUP(B1906,AI_NAMES!D:D,AI_NAMES!E:E,"",0))</f>
        <v>0</v>
      </c>
    </row>
    <row r="1907" spans="1:13" x14ac:dyDescent="0.2">
      <c r="A1907" t="s">
        <v>2165</v>
      </c>
      <c r="B1907" t="s">
        <v>3354</v>
      </c>
      <c r="L1907" t="s">
        <v>3354</v>
      </c>
      <c r="M1907" t="str">
        <f>IF(C1907&lt;&gt;"",C1907,_xlfn.XLOOKUP(B1907,AI_NAMES!D:D,AI_NAMES!E:E,"",0))</f>
        <v/>
      </c>
    </row>
    <row r="1908" spans="1:13" x14ac:dyDescent="0.2">
      <c r="A1908" t="s">
        <v>2166</v>
      </c>
      <c r="B1908" t="s">
        <v>321</v>
      </c>
      <c r="L1908" t="s">
        <v>321</v>
      </c>
      <c r="M1908">
        <f>IF(C1908&lt;&gt;"",C1908,_xlfn.XLOOKUP(B1908,AI_NAMES!D:D,AI_NAMES!E:E,"",0))</f>
        <v>0</v>
      </c>
    </row>
    <row r="1909" spans="1:13" x14ac:dyDescent="0.2">
      <c r="A1909" t="s">
        <v>2167</v>
      </c>
      <c r="B1909" t="s">
        <v>3361</v>
      </c>
      <c r="L1909" t="s">
        <v>3361</v>
      </c>
      <c r="M1909" t="str">
        <f>IF(C1909&lt;&gt;"",C1909,_xlfn.XLOOKUP(B1909,AI_NAMES!D:D,AI_NAMES!E:E,"",0))</f>
        <v/>
      </c>
    </row>
    <row r="1910" spans="1:13" x14ac:dyDescent="0.2">
      <c r="A1910" t="s">
        <v>2168</v>
      </c>
      <c r="B1910" t="s">
        <v>321</v>
      </c>
      <c r="L1910" t="s">
        <v>321</v>
      </c>
      <c r="M1910">
        <f>IF(C1910&lt;&gt;"",C1910,_xlfn.XLOOKUP(B1910,AI_NAMES!D:D,AI_NAMES!E:E,"",0))</f>
        <v>0</v>
      </c>
    </row>
    <row r="1911" spans="1:13" x14ac:dyDescent="0.2">
      <c r="A1911" t="s">
        <v>2169</v>
      </c>
      <c r="B1911" t="s">
        <v>321</v>
      </c>
      <c r="L1911" t="s">
        <v>321</v>
      </c>
      <c r="M1911">
        <f>IF(C1911&lt;&gt;"",C1911,_xlfn.XLOOKUP(B1911,AI_NAMES!D:D,AI_NAMES!E:E,"",0))</f>
        <v>0</v>
      </c>
    </row>
    <row r="1912" spans="1:13" x14ac:dyDescent="0.2">
      <c r="A1912" t="s">
        <v>2170</v>
      </c>
      <c r="B1912" t="s">
        <v>321</v>
      </c>
      <c r="L1912" t="s">
        <v>321</v>
      </c>
      <c r="M1912">
        <f>IF(C1912&lt;&gt;"",C1912,_xlfn.XLOOKUP(B1912,AI_NAMES!D:D,AI_NAMES!E:E,"",0))</f>
        <v>0</v>
      </c>
    </row>
    <row r="1913" spans="1:13" x14ac:dyDescent="0.2">
      <c r="A1913" t="s">
        <v>2171</v>
      </c>
      <c r="B1913" t="s">
        <v>321</v>
      </c>
      <c r="L1913" t="s">
        <v>321</v>
      </c>
      <c r="M1913">
        <f>IF(C1913&lt;&gt;"",C1913,_xlfn.XLOOKUP(B1913,AI_NAMES!D:D,AI_NAMES!E:E,"",0))</f>
        <v>0</v>
      </c>
    </row>
    <row r="1914" spans="1:13" x14ac:dyDescent="0.2">
      <c r="A1914" t="s">
        <v>2172</v>
      </c>
      <c r="B1914" t="s">
        <v>321</v>
      </c>
      <c r="L1914" t="s">
        <v>321</v>
      </c>
      <c r="M1914">
        <f>IF(C1914&lt;&gt;"",C1914,_xlfn.XLOOKUP(B1914,AI_NAMES!D:D,AI_NAMES!E:E,"",0))</f>
        <v>0</v>
      </c>
    </row>
    <row r="1915" spans="1:13" x14ac:dyDescent="0.2">
      <c r="A1915" t="s">
        <v>2173</v>
      </c>
      <c r="B1915" t="s">
        <v>321</v>
      </c>
      <c r="L1915" t="s">
        <v>321</v>
      </c>
      <c r="M1915">
        <f>IF(C1915&lt;&gt;"",C1915,_xlfn.XLOOKUP(B1915,AI_NAMES!D:D,AI_NAMES!E:E,"",0))</f>
        <v>0</v>
      </c>
    </row>
    <row r="1916" spans="1:13" x14ac:dyDescent="0.2">
      <c r="A1916" t="s">
        <v>2174</v>
      </c>
      <c r="B1916" t="s">
        <v>321</v>
      </c>
      <c r="L1916" t="s">
        <v>321</v>
      </c>
      <c r="M1916">
        <f>IF(C1916&lt;&gt;"",C1916,_xlfn.XLOOKUP(B1916,AI_NAMES!D:D,AI_NAMES!E:E,"",0))</f>
        <v>0</v>
      </c>
    </row>
    <row r="1917" spans="1:13" x14ac:dyDescent="0.2">
      <c r="A1917" t="s">
        <v>2175</v>
      </c>
      <c r="B1917" t="s">
        <v>321</v>
      </c>
      <c r="L1917" t="s">
        <v>321</v>
      </c>
      <c r="M1917">
        <f>IF(C1917&lt;&gt;"",C1917,_xlfn.XLOOKUP(B1917,AI_NAMES!D:D,AI_NAMES!E:E,"",0))</f>
        <v>0</v>
      </c>
    </row>
    <row r="1918" spans="1:13" x14ac:dyDescent="0.2">
      <c r="A1918" t="s">
        <v>2176</v>
      </c>
      <c r="B1918" t="s">
        <v>321</v>
      </c>
      <c r="L1918" t="s">
        <v>321</v>
      </c>
      <c r="M1918">
        <f>IF(C1918&lt;&gt;"",C1918,_xlfn.XLOOKUP(B1918,AI_NAMES!D:D,AI_NAMES!E:E,"",0))</f>
        <v>0</v>
      </c>
    </row>
    <row r="1919" spans="1:13" x14ac:dyDescent="0.2">
      <c r="A1919" t="s">
        <v>2177</v>
      </c>
      <c r="B1919" t="s">
        <v>321</v>
      </c>
      <c r="L1919" t="s">
        <v>321</v>
      </c>
      <c r="M1919">
        <f>IF(C1919&lt;&gt;"",C1919,_xlfn.XLOOKUP(B1919,AI_NAMES!D:D,AI_NAMES!E:E,"",0))</f>
        <v>0</v>
      </c>
    </row>
    <row r="1920" spans="1:13" x14ac:dyDescent="0.2">
      <c r="A1920" t="s">
        <v>2178</v>
      </c>
      <c r="B1920" t="s">
        <v>321</v>
      </c>
      <c r="L1920" t="s">
        <v>321</v>
      </c>
      <c r="M1920">
        <f>IF(C1920&lt;&gt;"",C1920,_xlfn.XLOOKUP(B1920,AI_NAMES!D:D,AI_NAMES!E:E,"",0))</f>
        <v>0</v>
      </c>
    </row>
    <row r="1921" spans="1:13" x14ac:dyDescent="0.2">
      <c r="A1921" t="s">
        <v>2179</v>
      </c>
      <c r="B1921" t="s">
        <v>321</v>
      </c>
      <c r="L1921" t="s">
        <v>321</v>
      </c>
      <c r="M1921">
        <f>IF(C1921&lt;&gt;"",C1921,_xlfn.XLOOKUP(B1921,AI_NAMES!D:D,AI_NAMES!E:E,"",0))</f>
        <v>0</v>
      </c>
    </row>
    <row r="1922" spans="1:13" x14ac:dyDescent="0.2">
      <c r="A1922" t="s">
        <v>2180</v>
      </c>
      <c r="B1922" t="s">
        <v>321</v>
      </c>
      <c r="L1922" t="s">
        <v>321</v>
      </c>
      <c r="M1922">
        <f>IF(C1922&lt;&gt;"",C1922,_xlfn.XLOOKUP(B1922,AI_NAMES!D:D,AI_NAMES!E:E,"",0))</f>
        <v>0</v>
      </c>
    </row>
    <row r="1923" spans="1:13" x14ac:dyDescent="0.2">
      <c r="A1923" t="s">
        <v>2181</v>
      </c>
      <c r="B1923" t="s">
        <v>321</v>
      </c>
      <c r="L1923" t="s">
        <v>321</v>
      </c>
      <c r="M1923">
        <f>IF(C1923&lt;&gt;"",C1923,_xlfn.XLOOKUP(B1923,AI_NAMES!D:D,AI_NAMES!E:E,"",0))</f>
        <v>0</v>
      </c>
    </row>
    <row r="1924" spans="1:13" x14ac:dyDescent="0.2">
      <c r="A1924" t="s">
        <v>2182</v>
      </c>
      <c r="B1924" t="s">
        <v>321</v>
      </c>
      <c r="L1924" t="s">
        <v>321</v>
      </c>
      <c r="M1924">
        <f>IF(C1924&lt;&gt;"",C1924,_xlfn.XLOOKUP(B1924,AI_NAMES!D:D,AI_NAMES!E:E,"",0))</f>
        <v>0</v>
      </c>
    </row>
    <row r="1925" spans="1:13" x14ac:dyDescent="0.2">
      <c r="A1925" t="s">
        <v>2183</v>
      </c>
      <c r="B1925" t="s">
        <v>321</v>
      </c>
      <c r="L1925" t="s">
        <v>321</v>
      </c>
      <c r="M1925">
        <f>IF(C1925&lt;&gt;"",C1925,_xlfn.XLOOKUP(B1925,AI_NAMES!D:D,AI_NAMES!E:E,"",0))</f>
        <v>0</v>
      </c>
    </row>
    <row r="1926" spans="1:13" x14ac:dyDescent="0.2">
      <c r="A1926" t="s">
        <v>2184</v>
      </c>
      <c r="B1926" t="s">
        <v>321</v>
      </c>
      <c r="L1926" t="s">
        <v>321</v>
      </c>
      <c r="M1926">
        <f>IF(C1926&lt;&gt;"",C1926,_xlfn.XLOOKUP(B1926,AI_NAMES!D:D,AI_NAMES!E:E,"",0))</f>
        <v>0</v>
      </c>
    </row>
    <row r="1927" spans="1:13" x14ac:dyDescent="0.2">
      <c r="A1927" t="s">
        <v>2185</v>
      </c>
      <c r="B1927" t="s">
        <v>321</v>
      </c>
      <c r="L1927" t="s">
        <v>321</v>
      </c>
      <c r="M1927">
        <f>IF(C1927&lt;&gt;"",C1927,_xlfn.XLOOKUP(B1927,AI_NAMES!D:D,AI_NAMES!E:E,"",0))</f>
        <v>0</v>
      </c>
    </row>
    <row r="1928" spans="1:13" x14ac:dyDescent="0.2">
      <c r="A1928" t="s">
        <v>2186</v>
      </c>
      <c r="B1928" t="s">
        <v>321</v>
      </c>
      <c r="L1928" t="s">
        <v>321</v>
      </c>
      <c r="M1928">
        <f>IF(C1928&lt;&gt;"",C1928,_xlfn.XLOOKUP(B1928,AI_NAMES!D:D,AI_NAMES!E:E,"",0))</f>
        <v>0</v>
      </c>
    </row>
    <row r="1929" spans="1:13" x14ac:dyDescent="0.2">
      <c r="A1929" t="s">
        <v>2187</v>
      </c>
      <c r="B1929" t="s">
        <v>321</v>
      </c>
      <c r="L1929" t="s">
        <v>321</v>
      </c>
      <c r="M1929">
        <f>IF(C1929&lt;&gt;"",C1929,_xlfn.XLOOKUP(B1929,AI_NAMES!D:D,AI_NAMES!E:E,"",0))</f>
        <v>0</v>
      </c>
    </row>
    <row r="1930" spans="1:13" x14ac:dyDescent="0.2">
      <c r="A1930" t="s">
        <v>2188</v>
      </c>
      <c r="B1930" t="s">
        <v>321</v>
      </c>
      <c r="L1930" t="s">
        <v>321</v>
      </c>
      <c r="M1930">
        <f>IF(C1930&lt;&gt;"",C1930,_xlfn.XLOOKUP(B1930,AI_NAMES!D:D,AI_NAMES!E:E,"",0))</f>
        <v>0</v>
      </c>
    </row>
    <row r="1931" spans="1:13" x14ac:dyDescent="0.2">
      <c r="A1931" t="s">
        <v>2189</v>
      </c>
      <c r="B1931" t="s">
        <v>321</v>
      </c>
      <c r="L1931" t="s">
        <v>321</v>
      </c>
      <c r="M1931">
        <f>IF(C1931&lt;&gt;"",C1931,_xlfn.XLOOKUP(B1931,AI_NAMES!D:D,AI_NAMES!E:E,"",0))</f>
        <v>0</v>
      </c>
    </row>
    <row r="1932" spans="1:13" x14ac:dyDescent="0.2">
      <c r="A1932" t="s">
        <v>2190</v>
      </c>
      <c r="B1932" t="s">
        <v>3323</v>
      </c>
      <c r="L1932" t="s">
        <v>3323</v>
      </c>
      <c r="M1932" t="str">
        <f>IF(C1932&lt;&gt;"",C1932,_xlfn.XLOOKUP(B1932,AI_NAMES!D:D,AI_NAMES!E:E,"",0))</f>
        <v/>
      </c>
    </row>
    <row r="1933" spans="1:13" x14ac:dyDescent="0.2">
      <c r="A1933" t="s">
        <v>2191</v>
      </c>
      <c r="B1933" t="s">
        <v>321</v>
      </c>
      <c r="L1933" t="s">
        <v>321</v>
      </c>
      <c r="M1933">
        <f>IF(C1933&lt;&gt;"",C1933,_xlfn.XLOOKUP(B1933,AI_NAMES!D:D,AI_NAMES!E:E,"",0))</f>
        <v>0</v>
      </c>
    </row>
    <row r="1934" spans="1:13" x14ac:dyDescent="0.2">
      <c r="A1934" t="s">
        <v>2192</v>
      </c>
      <c r="B1934" t="s">
        <v>321</v>
      </c>
      <c r="L1934" t="s">
        <v>321</v>
      </c>
      <c r="M1934">
        <f>IF(C1934&lt;&gt;"",C1934,_xlfn.XLOOKUP(B1934,AI_NAMES!D:D,AI_NAMES!E:E,"",0))</f>
        <v>0</v>
      </c>
    </row>
    <row r="1935" spans="1:13" x14ac:dyDescent="0.2">
      <c r="A1935" t="s">
        <v>2193</v>
      </c>
      <c r="C1935" s="5" t="s">
        <v>3331</v>
      </c>
      <c r="M1935" t="str">
        <f>IF(C1935&lt;&gt;"",C1935,_xlfn.XLOOKUP(B1935,AI_NAMES!D:D,AI_NAMES!E:E,"",0))</f>
        <v>Unknown Floor Object Data</v>
      </c>
    </row>
    <row r="1936" spans="1:13" x14ac:dyDescent="0.2">
      <c r="A1936" t="s">
        <v>2194</v>
      </c>
      <c r="B1936" t="s">
        <v>321</v>
      </c>
      <c r="L1936" t="s">
        <v>321</v>
      </c>
      <c r="M1936">
        <f>IF(C1936&lt;&gt;"",C1936,_xlfn.XLOOKUP(B1936,AI_NAMES!D:D,AI_NAMES!E:E,"",0))</f>
        <v>0</v>
      </c>
    </row>
    <row r="1937" spans="1:13" x14ac:dyDescent="0.2">
      <c r="A1937" t="s">
        <v>2195</v>
      </c>
      <c r="B1937" t="s">
        <v>321</v>
      </c>
      <c r="L1937" t="s">
        <v>321</v>
      </c>
      <c r="M1937">
        <f>IF(C1937&lt;&gt;"",C1937,_xlfn.XLOOKUP(B1937,AI_NAMES!D:D,AI_NAMES!E:E,"",0))</f>
        <v>0</v>
      </c>
    </row>
    <row r="1938" spans="1:13" x14ac:dyDescent="0.2">
      <c r="A1938" t="s">
        <v>2196</v>
      </c>
      <c r="B1938" t="s">
        <v>321</v>
      </c>
      <c r="L1938" t="s">
        <v>321</v>
      </c>
      <c r="M1938">
        <f>IF(C1938&lt;&gt;"",C1938,_xlfn.XLOOKUP(B1938,AI_NAMES!D:D,AI_NAMES!E:E,"",0))</f>
        <v>0</v>
      </c>
    </row>
    <row r="1939" spans="1:13" x14ac:dyDescent="0.2">
      <c r="A1939" t="s">
        <v>2197</v>
      </c>
      <c r="B1939" t="s">
        <v>321</v>
      </c>
      <c r="L1939" t="s">
        <v>321</v>
      </c>
      <c r="M1939">
        <f>IF(C1939&lt;&gt;"",C1939,_xlfn.XLOOKUP(B1939,AI_NAMES!D:D,AI_NAMES!E:E,"",0))</f>
        <v>0</v>
      </c>
    </row>
    <row r="1940" spans="1:13" x14ac:dyDescent="0.2">
      <c r="A1940" t="s">
        <v>2198</v>
      </c>
      <c r="B1940" t="s">
        <v>321</v>
      </c>
      <c r="L1940" t="s">
        <v>321</v>
      </c>
      <c r="M1940">
        <f>IF(C1940&lt;&gt;"",C1940,_xlfn.XLOOKUP(B1940,AI_NAMES!D:D,AI_NAMES!E:E,"",0))</f>
        <v>0</v>
      </c>
    </row>
    <row r="1941" spans="1:13" x14ac:dyDescent="0.2">
      <c r="A1941" t="s">
        <v>2199</v>
      </c>
      <c r="B1941" t="s">
        <v>321</v>
      </c>
      <c r="L1941" t="s">
        <v>321</v>
      </c>
      <c r="M1941">
        <f>IF(C1941&lt;&gt;"",C1941,_xlfn.XLOOKUP(B1941,AI_NAMES!D:D,AI_NAMES!E:E,"",0))</f>
        <v>0</v>
      </c>
    </row>
    <row r="1942" spans="1:13" x14ac:dyDescent="0.2">
      <c r="A1942" t="s">
        <v>2200</v>
      </c>
      <c r="B1942" t="s">
        <v>321</v>
      </c>
      <c r="L1942" t="s">
        <v>321</v>
      </c>
      <c r="M1942">
        <f>IF(C1942&lt;&gt;"",C1942,_xlfn.XLOOKUP(B1942,AI_NAMES!D:D,AI_NAMES!E:E,"",0))</f>
        <v>0</v>
      </c>
    </row>
    <row r="1943" spans="1:13" x14ac:dyDescent="0.2">
      <c r="A1943" t="s">
        <v>2201</v>
      </c>
      <c r="B1943" t="s">
        <v>321</v>
      </c>
      <c r="L1943" t="s">
        <v>321</v>
      </c>
      <c r="M1943">
        <f>IF(C1943&lt;&gt;"",C1943,_xlfn.XLOOKUP(B1943,AI_NAMES!D:D,AI_NAMES!E:E,"",0))</f>
        <v>0</v>
      </c>
    </row>
    <row r="1944" spans="1:13" x14ac:dyDescent="0.2">
      <c r="A1944" t="s">
        <v>2202</v>
      </c>
      <c r="B1944" t="s">
        <v>321</v>
      </c>
      <c r="L1944" t="s">
        <v>321</v>
      </c>
      <c r="M1944">
        <f>IF(C1944&lt;&gt;"",C1944,_xlfn.XLOOKUP(B1944,AI_NAMES!D:D,AI_NAMES!E:E,"",0))</f>
        <v>0</v>
      </c>
    </row>
    <row r="1945" spans="1:13" x14ac:dyDescent="0.2">
      <c r="A1945" t="s">
        <v>2203</v>
      </c>
      <c r="B1945" t="s">
        <v>321</v>
      </c>
      <c r="L1945" t="s">
        <v>321</v>
      </c>
      <c r="M1945">
        <f>IF(C1945&lt;&gt;"",C1945,_xlfn.XLOOKUP(B1945,AI_NAMES!D:D,AI_NAMES!E:E,"",0))</f>
        <v>0</v>
      </c>
    </row>
    <row r="1946" spans="1:13" x14ac:dyDescent="0.2">
      <c r="A1946" t="s">
        <v>2204</v>
      </c>
      <c r="B1946" t="s">
        <v>321</v>
      </c>
      <c r="L1946" t="s">
        <v>321</v>
      </c>
      <c r="M1946">
        <f>IF(C1946&lt;&gt;"",C1946,_xlfn.XLOOKUP(B1946,AI_NAMES!D:D,AI_NAMES!E:E,"",0))</f>
        <v>0</v>
      </c>
    </row>
    <row r="1947" spans="1:13" x14ac:dyDescent="0.2">
      <c r="A1947" t="s">
        <v>2205</v>
      </c>
      <c r="B1947" t="s">
        <v>321</v>
      </c>
      <c r="L1947" t="s">
        <v>321</v>
      </c>
      <c r="M1947">
        <f>IF(C1947&lt;&gt;"",C1947,_xlfn.XLOOKUP(B1947,AI_NAMES!D:D,AI_NAMES!E:E,"",0))</f>
        <v>0</v>
      </c>
    </row>
    <row r="1948" spans="1:13" x14ac:dyDescent="0.2">
      <c r="A1948" t="s">
        <v>2206</v>
      </c>
      <c r="B1948" t="s">
        <v>321</v>
      </c>
      <c r="L1948" t="s">
        <v>321</v>
      </c>
      <c r="M1948">
        <f>IF(C1948&lt;&gt;"",C1948,_xlfn.XLOOKUP(B1948,AI_NAMES!D:D,AI_NAMES!E:E,"",0))</f>
        <v>0</v>
      </c>
    </row>
    <row r="1949" spans="1:13" x14ac:dyDescent="0.2">
      <c r="A1949" t="s">
        <v>2207</v>
      </c>
      <c r="B1949" t="s">
        <v>321</v>
      </c>
      <c r="L1949" t="s">
        <v>321</v>
      </c>
      <c r="M1949">
        <f>IF(C1949&lt;&gt;"",C1949,_xlfn.XLOOKUP(B1949,AI_NAMES!D:D,AI_NAMES!E:E,"",0))</f>
        <v>0</v>
      </c>
    </row>
    <row r="1950" spans="1:13" x14ac:dyDescent="0.2">
      <c r="A1950" t="s">
        <v>2208</v>
      </c>
      <c r="B1950" t="s">
        <v>321</v>
      </c>
      <c r="L1950" t="s">
        <v>321</v>
      </c>
      <c r="M1950">
        <f>IF(C1950&lt;&gt;"",C1950,_xlfn.XLOOKUP(B1950,AI_NAMES!D:D,AI_NAMES!E:E,"",0))</f>
        <v>0</v>
      </c>
    </row>
    <row r="1951" spans="1:13" x14ac:dyDescent="0.2">
      <c r="A1951" t="s">
        <v>2209</v>
      </c>
      <c r="B1951" t="s">
        <v>321</v>
      </c>
      <c r="L1951" t="s">
        <v>321</v>
      </c>
      <c r="M1951">
        <f>IF(C1951&lt;&gt;"",C1951,_xlfn.XLOOKUP(B1951,AI_NAMES!D:D,AI_NAMES!E:E,"",0))</f>
        <v>0</v>
      </c>
    </row>
    <row r="1952" spans="1:13" x14ac:dyDescent="0.2">
      <c r="A1952" t="s">
        <v>2210</v>
      </c>
      <c r="B1952" t="s">
        <v>3622</v>
      </c>
      <c r="L1952" t="s">
        <v>321</v>
      </c>
      <c r="M1952" t="str">
        <f>IF(C1952&lt;&gt;"",C1952,_xlfn.XLOOKUP(B1952,AI_NAMES!D:D,AI_NAMES!E:E,"",0))</f>
        <v/>
      </c>
    </row>
    <row r="1953" spans="1:13" x14ac:dyDescent="0.2">
      <c r="A1953" t="s">
        <v>2211</v>
      </c>
      <c r="B1953" t="s">
        <v>321</v>
      </c>
      <c r="L1953" t="s">
        <v>321</v>
      </c>
      <c r="M1953">
        <f>IF(C1953&lt;&gt;"",C1953,_xlfn.XLOOKUP(B1953,AI_NAMES!D:D,AI_NAMES!E:E,"",0))</f>
        <v>0</v>
      </c>
    </row>
    <row r="1954" spans="1:13" x14ac:dyDescent="0.2">
      <c r="A1954" t="s">
        <v>2212</v>
      </c>
      <c r="B1954" t="s">
        <v>321</v>
      </c>
      <c r="L1954" t="s">
        <v>321</v>
      </c>
      <c r="M1954">
        <f>IF(C1954&lt;&gt;"",C1954,_xlfn.XLOOKUP(B1954,AI_NAMES!D:D,AI_NAMES!E:E,"",0))</f>
        <v>0</v>
      </c>
    </row>
    <row r="1955" spans="1:13" x14ac:dyDescent="0.2">
      <c r="A1955" t="s">
        <v>2213</v>
      </c>
      <c r="B1955" t="s">
        <v>321</v>
      </c>
      <c r="L1955" t="s">
        <v>321</v>
      </c>
      <c r="M1955">
        <f>IF(C1955&lt;&gt;"",C1955,_xlfn.XLOOKUP(B1955,AI_NAMES!D:D,AI_NAMES!E:E,"",0))</f>
        <v>0</v>
      </c>
    </row>
    <row r="1956" spans="1:13" x14ac:dyDescent="0.2">
      <c r="A1956" t="s">
        <v>2214</v>
      </c>
      <c r="B1956" t="s">
        <v>321</v>
      </c>
      <c r="L1956" t="s">
        <v>321</v>
      </c>
      <c r="M1956">
        <f>IF(C1956&lt;&gt;"",C1956,_xlfn.XLOOKUP(B1956,AI_NAMES!D:D,AI_NAMES!E:E,"",0))</f>
        <v>0</v>
      </c>
    </row>
    <row r="1957" spans="1:13" x14ac:dyDescent="0.2">
      <c r="A1957" t="s">
        <v>2215</v>
      </c>
      <c r="B1957" t="s">
        <v>321</v>
      </c>
      <c r="L1957" t="s">
        <v>321</v>
      </c>
      <c r="M1957">
        <f>IF(C1957&lt;&gt;"",C1957,_xlfn.XLOOKUP(B1957,AI_NAMES!D:D,AI_NAMES!E:E,"",0))</f>
        <v>0</v>
      </c>
    </row>
    <row r="1958" spans="1:13" x14ac:dyDescent="0.2">
      <c r="A1958" t="s">
        <v>2216</v>
      </c>
      <c r="B1958" t="s">
        <v>321</v>
      </c>
      <c r="L1958" t="s">
        <v>321</v>
      </c>
      <c r="M1958">
        <f>IF(C1958&lt;&gt;"",C1958,_xlfn.XLOOKUP(B1958,AI_NAMES!D:D,AI_NAMES!E:E,"",0))</f>
        <v>0</v>
      </c>
    </row>
    <row r="1959" spans="1:13" x14ac:dyDescent="0.2">
      <c r="A1959" t="s">
        <v>2217</v>
      </c>
      <c r="B1959" t="s">
        <v>321</v>
      </c>
      <c r="L1959" t="s">
        <v>321</v>
      </c>
      <c r="M1959">
        <f>IF(C1959&lt;&gt;"",C1959,_xlfn.XLOOKUP(B1959,AI_NAMES!D:D,AI_NAMES!E:E,"",0))</f>
        <v>0</v>
      </c>
    </row>
    <row r="1960" spans="1:13" x14ac:dyDescent="0.2">
      <c r="A1960" t="s">
        <v>2218</v>
      </c>
      <c r="B1960" t="s">
        <v>321</v>
      </c>
      <c r="L1960" t="s">
        <v>321</v>
      </c>
      <c r="M1960">
        <f>IF(C1960&lt;&gt;"",C1960,_xlfn.XLOOKUP(B1960,AI_NAMES!D:D,AI_NAMES!E:E,"",0))</f>
        <v>0</v>
      </c>
    </row>
    <row r="1961" spans="1:13" x14ac:dyDescent="0.2">
      <c r="A1961" t="s">
        <v>2219</v>
      </c>
      <c r="B1961" t="s">
        <v>321</v>
      </c>
      <c r="L1961" t="s">
        <v>321</v>
      </c>
      <c r="M1961">
        <f>IF(C1961&lt;&gt;"",C1961,_xlfn.XLOOKUP(B1961,AI_NAMES!D:D,AI_NAMES!E:E,"",0))</f>
        <v>0</v>
      </c>
    </row>
    <row r="1962" spans="1:13" x14ac:dyDescent="0.2">
      <c r="A1962" t="s">
        <v>2220</v>
      </c>
      <c r="B1962" t="s">
        <v>321</v>
      </c>
      <c r="L1962" t="s">
        <v>321</v>
      </c>
      <c r="M1962">
        <f>IF(C1962&lt;&gt;"",C1962,_xlfn.XLOOKUP(B1962,AI_NAMES!D:D,AI_NAMES!E:E,"",0))</f>
        <v>0</v>
      </c>
    </row>
    <row r="1963" spans="1:13" x14ac:dyDescent="0.2">
      <c r="A1963" t="s">
        <v>2221</v>
      </c>
      <c r="B1963" t="s">
        <v>321</v>
      </c>
      <c r="L1963" t="s">
        <v>321</v>
      </c>
      <c r="M1963">
        <f>IF(C1963&lt;&gt;"",C1963,_xlfn.XLOOKUP(B1963,AI_NAMES!D:D,AI_NAMES!E:E,"",0))</f>
        <v>0</v>
      </c>
    </row>
    <row r="1964" spans="1:13" x14ac:dyDescent="0.2">
      <c r="A1964" t="s">
        <v>2222</v>
      </c>
      <c r="B1964" t="s">
        <v>321</v>
      </c>
      <c r="L1964" t="s">
        <v>321</v>
      </c>
      <c r="M1964">
        <f>IF(C1964&lt;&gt;"",C1964,_xlfn.XLOOKUP(B1964,AI_NAMES!D:D,AI_NAMES!E:E,"",0))</f>
        <v>0</v>
      </c>
    </row>
    <row r="1965" spans="1:13" x14ac:dyDescent="0.2">
      <c r="A1965" t="s">
        <v>2223</v>
      </c>
      <c r="B1965" t="s">
        <v>321</v>
      </c>
      <c r="L1965" t="s">
        <v>321</v>
      </c>
      <c r="M1965">
        <f>IF(C1965&lt;&gt;"",C1965,_xlfn.XLOOKUP(B1965,AI_NAMES!D:D,AI_NAMES!E:E,"",0))</f>
        <v>0</v>
      </c>
    </row>
    <row r="1966" spans="1:13" x14ac:dyDescent="0.2">
      <c r="A1966" t="s">
        <v>2224</v>
      </c>
      <c r="B1966" t="s">
        <v>321</v>
      </c>
      <c r="L1966" t="s">
        <v>321</v>
      </c>
      <c r="M1966">
        <f>IF(C1966&lt;&gt;"",C1966,_xlfn.XLOOKUP(B1966,AI_NAMES!D:D,AI_NAMES!E:E,"",0))</f>
        <v>0</v>
      </c>
    </row>
    <row r="1967" spans="1:13" x14ac:dyDescent="0.2">
      <c r="A1967" t="s">
        <v>2225</v>
      </c>
      <c r="B1967" t="s">
        <v>321</v>
      </c>
      <c r="L1967" t="s">
        <v>321</v>
      </c>
      <c r="M1967">
        <f>IF(C1967&lt;&gt;"",C1967,_xlfn.XLOOKUP(B1967,AI_NAMES!D:D,AI_NAMES!E:E,"",0))</f>
        <v>0</v>
      </c>
    </row>
    <row r="1968" spans="1:13" x14ac:dyDescent="0.2">
      <c r="A1968" t="s">
        <v>2226</v>
      </c>
      <c r="B1968" t="s">
        <v>2227</v>
      </c>
      <c r="L1968" t="s">
        <v>2227</v>
      </c>
      <c r="M1968" t="str">
        <f>IF(C1968&lt;&gt;"",C1968,_xlfn.XLOOKUP(B1968,AI_NAMES!D:D,AI_NAMES!E:E,"",0))</f>
        <v/>
      </c>
    </row>
    <row r="1969" spans="1:13" x14ac:dyDescent="0.2">
      <c r="A1969" t="s">
        <v>2228</v>
      </c>
      <c r="B1969" t="s">
        <v>321</v>
      </c>
      <c r="L1969" t="s">
        <v>321</v>
      </c>
      <c r="M1969">
        <f>IF(C1969&lt;&gt;"",C1969,_xlfn.XLOOKUP(B1969,AI_NAMES!D:D,AI_NAMES!E:E,"",0))</f>
        <v>0</v>
      </c>
    </row>
    <row r="1970" spans="1:13" x14ac:dyDescent="0.2">
      <c r="A1970" t="s">
        <v>2229</v>
      </c>
      <c r="B1970" t="s">
        <v>321</v>
      </c>
      <c r="L1970" t="s">
        <v>321</v>
      </c>
      <c r="M1970">
        <f>IF(C1970&lt;&gt;"",C1970,_xlfn.XLOOKUP(B1970,AI_NAMES!D:D,AI_NAMES!E:E,"",0))</f>
        <v>0</v>
      </c>
    </row>
    <row r="1971" spans="1:13" x14ac:dyDescent="0.2">
      <c r="A1971" t="s">
        <v>2230</v>
      </c>
      <c r="B1971" t="s">
        <v>321</v>
      </c>
      <c r="L1971" t="s">
        <v>321</v>
      </c>
      <c r="M1971">
        <f>IF(C1971&lt;&gt;"",C1971,_xlfn.XLOOKUP(B1971,AI_NAMES!D:D,AI_NAMES!E:E,"",0))</f>
        <v>0</v>
      </c>
    </row>
    <row r="1972" spans="1:13" x14ac:dyDescent="0.2">
      <c r="A1972" t="s">
        <v>2231</v>
      </c>
      <c r="B1972" t="s">
        <v>321</v>
      </c>
      <c r="L1972" t="s">
        <v>321</v>
      </c>
      <c r="M1972">
        <f>IF(C1972&lt;&gt;"",C1972,_xlfn.XLOOKUP(B1972,AI_NAMES!D:D,AI_NAMES!E:E,"",0))</f>
        <v>0</v>
      </c>
    </row>
    <row r="1973" spans="1:13" x14ac:dyDescent="0.2">
      <c r="A1973" t="s">
        <v>2232</v>
      </c>
      <c r="B1973" t="s">
        <v>321</v>
      </c>
      <c r="L1973" t="s">
        <v>321</v>
      </c>
      <c r="M1973">
        <f>IF(C1973&lt;&gt;"",C1973,_xlfn.XLOOKUP(B1973,AI_NAMES!D:D,AI_NAMES!E:E,"",0))</f>
        <v>0</v>
      </c>
    </row>
    <row r="1974" spans="1:13" x14ac:dyDescent="0.2">
      <c r="A1974" t="s">
        <v>2233</v>
      </c>
      <c r="B1974" t="s">
        <v>321</v>
      </c>
      <c r="L1974" t="s">
        <v>321</v>
      </c>
      <c r="M1974">
        <f>IF(C1974&lt;&gt;"",C1974,_xlfn.XLOOKUP(B1974,AI_NAMES!D:D,AI_NAMES!E:E,"",0))</f>
        <v>0</v>
      </c>
    </row>
    <row r="1975" spans="1:13" x14ac:dyDescent="0.2">
      <c r="A1975" t="s">
        <v>2234</v>
      </c>
      <c r="B1975" t="s">
        <v>321</v>
      </c>
      <c r="L1975" t="s">
        <v>321</v>
      </c>
      <c r="M1975">
        <f>IF(C1975&lt;&gt;"",C1975,_xlfn.XLOOKUP(B1975,AI_NAMES!D:D,AI_NAMES!E:E,"",0))</f>
        <v>0</v>
      </c>
    </row>
    <row r="1976" spans="1:13" x14ac:dyDescent="0.2">
      <c r="A1976" t="s">
        <v>2235</v>
      </c>
      <c r="B1976" t="s">
        <v>2236</v>
      </c>
      <c r="L1976" t="s">
        <v>2236</v>
      </c>
      <c r="M1976" t="str">
        <f>IF(C1976&lt;&gt;"",C1976,_xlfn.XLOOKUP(B1976,AI_NAMES!D:D,AI_NAMES!E:E,"",0))</f>
        <v/>
      </c>
    </row>
    <row r="1977" spans="1:13" x14ac:dyDescent="0.2">
      <c r="A1977" t="s">
        <v>2237</v>
      </c>
      <c r="B1977" t="s">
        <v>3623</v>
      </c>
      <c r="M1977" t="str">
        <f>IF(C1977&lt;&gt;"",C1977,_xlfn.XLOOKUP(B1977,AI_NAMES!D:D,AI_NAMES!E:E,"",0))</f>
        <v/>
      </c>
    </row>
    <row r="1978" spans="1:13" x14ac:dyDescent="0.2">
      <c r="A1978" t="s">
        <v>2238</v>
      </c>
      <c r="B1978" t="s">
        <v>321</v>
      </c>
      <c r="L1978" t="s">
        <v>321</v>
      </c>
      <c r="M1978">
        <f>IF(C1978&lt;&gt;"",C1978,_xlfn.XLOOKUP(B1978,AI_NAMES!D:D,AI_NAMES!E:E,"",0))</f>
        <v>0</v>
      </c>
    </row>
    <row r="1979" spans="1:13" x14ac:dyDescent="0.2">
      <c r="A1979" t="s">
        <v>2239</v>
      </c>
      <c r="B1979" t="s">
        <v>2240</v>
      </c>
      <c r="L1979" t="s">
        <v>2240</v>
      </c>
      <c r="M1979" t="str">
        <f>IF(C1979&lt;&gt;"",C1979,_xlfn.XLOOKUP(B1979,AI_NAMES!D:D,AI_NAMES!E:E,"",0))</f>
        <v/>
      </c>
    </row>
    <row r="1980" spans="1:13" x14ac:dyDescent="0.2">
      <c r="A1980" t="s">
        <v>2241</v>
      </c>
      <c r="B1980" t="s">
        <v>321</v>
      </c>
      <c r="L1980" t="s">
        <v>321</v>
      </c>
      <c r="M1980">
        <f>IF(C1980&lt;&gt;"",C1980,_xlfn.XLOOKUP(B1980,AI_NAMES!D:D,AI_NAMES!E:E,"",0))</f>
        <v>0</v>
      </c>
    </row>
    <row r="1981" spans="1:13" x14ac:dyDescent="0.2">
      <c r="A1981" t="s">
        <v>2242</v>
      </c>
      <c r="B1981" t="s">
        <v>321</v>
      </c>
      <c r="C1981" s="5" t="s">
        <v>3168</v>
      </c>
      <c r="L1981" t="s">
        <v>321</v>
      </c>
      <c r="M1981" t="str">
        <f>IF(C1981&lt;&gt;"",C1981,_xlfn.XLOOKUP(B1981,AI_NAMES!D:D,AI_NAMES!E:E,"",0))</f>
        <v>gfx-data</v>
      </c>
    </row>
    <row r="1982" spans="1:13" x14ac:dyDescent="0.2">
      <c r="A1982" t="s">
        <v>2243</v>
      </c>
      <c r="B1982" t="s">
        <v>321</v>
      </c>
      <c r="C1982" s="5" t="s">
        <v>3168</v>
      </c>
      <c r="L1982" t="s">
        <v>321</v>
      </c>
      <c r="M1982" t="str">
        <f>IF(C1982&lt;&gt;"",C1982,_xlfn.XLOOKUP(B1982,AI_NAMES!D:D,AI_NAMES!E:E,"",0))</f>
        <v>gfx-data</v>
      </c>
    </row>
    <row r="1983" spans="1:13" x14ac:dyDescent="0.2">
      <c r="A1983" t="s">
        <v>2244</v>
      </c>
      <c r="B1983" t="s">
        <v>321</v>
      </c>
      <c r="C1983" s="5" t="s">
        <v>3168</v>
      </c>
      <c r="L1983" t="s">
        <v>321</v>
      </c>
      <c r="M1983" t="str">
        <f>IF(C1983&lt;&gt;"",C1983,_xlfn.XLOOKUP(B1983,AI_NAMES!D:D,AI_NAMES!E:E,"",0))</f>
        <v>gfx-data</v>
      </c>
    </row>
    <row r="1984" spans="1:13" x14ac:dyDescent="0.2">
      <c r="A1984" t="s">
        <v>2245</v>
      </c>
      <c r="B1984" t="s">
        <v>321</v>
      </c>
      <c r="C1984" s="5" t="s">
        <v>3168</v>
      </c>
      <c r="L1984" t="s">
        <v>321</v>
      </c>
      <c r="M1984" t="str">
        <f>IF(C1984&lt;&gt;"",C1984,_xlfn.XLOOKUP(B1984,AI_NAMES!D:D,AI_NAMES!E:E,"",0))</f>
        <v>gfx-data</v>
      </c>
    </row>
    <row r="1985" spans="1:13" x14ac:dyDescent="0.2">
      <c r="A1985" t="s">
        <v>2246</v>
      </c>
      <c r="M1985">
        <f>IF(C1985&lt;&gt;"",C1985,_xlfn.XLOOKUP(B1985,AI_NAMES!D:D,AI_NAMES!E:E,"",0))</f>
        <v>0</v>
      </c>
    </row>
    <row r="1986" spans="1:13" x14ac:dyDescent="0.2">
      <c r="A1986" t="s">
        <v>2247</v>
      </c>
      <c r="B1986" t="s">
        <v>321</v>
      </c>
      <c r="L1986" t="s">
        <v>321</v>
      </c>
      <c r="M1986">
        <f>IF(C1986&lt;&gt;"",C1986,_xlfn.XLOOKUP(B1986,AI_NAMES!D:D,AI_NAMES!E:E,"",0))</f>
        <v>0</v>
      </c>
    </row>
    <row r="1987" spans="1:13" x14ac:dyDescent="0.2">
      <c r="A1987" t="s">
        <v>2248</v>
      </c>
      <c r="B1987" t="s">
        <v>2249</v>
      </c>
      <c r="L1987" t="s">
        <v>2249</v>
      </c>
      <c r="M1987" t="str">
        <f>IF(C1987&lt;&gt;"",C1987,_xlfn.XLOOKUP(B1987,AI_NAMES!D:D,AI_NAMES!E:E,"",0))</f>
        <v/>
      </c>
    </row>
    <row r="1988" spans="1:13" x14ac:dyDescent="0.2">
      <c r="A1988" t="s">
        <v>2250</v>
      </c>
      <c r="B1988" t="s">
        <v>2251</v>
      </c>
      <c r="L1988" t="s">
        <v>2251</v>
      </c>
      <c r="M1988" t="str">
        <f>IF(C1988&lt;&gt;"",C1988,_xlfn.XLOOKUP(B1988,AI_NAMES!D:D,AI_NAMES!E:E,"",0))</f>
        <v/>
      </c>
    </row>
    <row r="1989" spans="1:13" x14ac:dyDescent="0.2">
      <c r="A1989" t="s">
        <v>2252</v>
      </c>
      <c r="B1989" t="s">
        <v>321</v>
      </c>
      <c r="C1989" s="5" t="s">
        <v>3169</v>
      </c>
      <c r="L1989" t="s">
        <v>321</v>
      </c>
      <c r="M1989" t="str">
        <f>IF(C1989&lt;&gt;"",C1989,_xlfn.XLOOKUP(B1989,AI_NAMES!D:D,AI_NAMES!E:E,"",0))</f>
        <v>code-label</v>
      </c>
    </row>
    <row r="1990" spans="1:13" x14ac:dyDescent="0.2">
      <c r="A1990" t="s">
        <v>2253</v>
      </c>
      <c r="B1990" t="s">
        <v>321</v>
      </c>
      <c r="L1990" t="s">
        <v>321</v>
      </c>
      <c r="M1990">
        <f>IF(C1990&lt;&gt;"",C1990,_xlfn.XLOOKUP(B1990,AI_NAMES!D:D,AI_NAMES!E:E,"",0))</f>
        <v>0</v>
      </c>
    </row>
    <row r="1991" spans="1:13" x14ac:dyDescent="0.2">
      <c r="A1991" t="s">
        <v>2254</v>
      </c>
      <c r="B1991" t="s">
        <v>321</v>
      </c>
      <c r="L1991" t="s">
        <v>321</v>
      </c>
      <c r="M1991">
        <f>IF(C1991&lt;&gt;"",C1991,_xlfn.XLOOKUP(B1991,AI_NAMES!D:D,AI_NAMES!E:E,"",0))</f>
        <v>0</v>
      </c>
    </row>
    <row r="1992" spans="1:13" x14ac:dyDescent="0.2">
      <c r="A1992" t="s">
        <v>2255</v>
      </c>
      <c r="B1992" t="s">
        <v>321</v>
      </c>
      <c r="L1992" t="s">
        <v>321</v>
      </c>
      <c r="M1992">
        <f>IF(C1992&lt;&gt;"",C1992,_xlfn.XLOOKUP(B1992,AI_NAMES!D:D,AI_NAMES!E:E,"",0))</f>
        <v>0</v>
      </c>
    </row>
    <row r="1993" spans="1:13" x14ac:dyDescent="0.2">
      <c r="A1993" t="s">
        <v>2256</v>
      </c>
      <c r="B1993" t="s">
        <v>321</v>
      </c>
      <c r="L1993" t="s">
        <v>321</v>
      </c>
      <c r="M1993">
        <f>IF(C1993&lt;&gt;"",C1993,_xlfn.XLOOKUP(B1993,AI_NAMES!D:D,AI_NAMES!E:E,"",0))</f>
        <v>0</v>
      </c>
    </row>
    <row r="1994" spans="1:13" x14ac:dyDescent="0.2">
      <c r="A1994" t="s">
        <v>2257</v>
      </c>
      <c r="B1994" t="s">
        <v>321</v>
      </c>
      <c r="C1994" s="5" t="s">
        <v>3169</v>
      </c>
      <c r="L1994" t="s">
        <v>321</v>
      </c>
      <c r="M1994" t="str">
        <f>IF(C1994&lt;&gt;"",C1994,_xlfn.XLOOKUP(B1994,AI_NAMES!D:D,AI_NAMES!E:E,"",0))</f>
        <v>code-label</v>
      </c>
    </row>
    <row r="1995" spans="1:13" x14ac:dyDescent="0.2">
      <c r="A1995" t="s">
        <v>2258</v>
      </c>
      <c r="B1995" t="s">
        <v>321</v>
      </c>
      <c r="C1995" s="5" t="s">
        <v>3168</v>
      </c>
      <c r="L1995" t="s">
        <v>321</v>
      </c>
      <c r="M1995" t="str">
        <f>IF(C1995&lt;&gt;"",C1995,_xlfn.XLOOKUP(B1995,AI_NAMES!D:D,AI_NAMES!E:E,"",0))</f>
        <v>gfx-data</v>
      </c>
    </row>
    <row r="1996" spans="1:13" x14ac:dyDescent="0.2">
      <c r="A1996" t="s">
        <v>2259</v>
      </c>
      <c r="B1996" t="s">
        <v>321</v>
      </c>
      <c r="C1996" s="5" t="s">
        <v>3168</v>
      </c>
      <c r="L1996" t="s">
        <v>321</v>
      </c>
      <c r="M1996" t="str">
        <f>IF(C1996&lt;&gt;"",C1996,_xlfn.XLOOKUP(B1996,AI_NAMES!D:D,AI_NAMES!E:E,"",0))</f>
        <v>gfx-data</v>
      </c>
    </row>
    <row r="1997" spans="1:13" x14ac:dyDescent="0.2">
      <c r="A1997" t="s">
        <v>2260</v>
      </c>
      <c r="B1997" t="s">
        <v>321</v>
      </c>
      <c r="C1997" s="5" t="s">
        <v>3168</v>
      </c>
      <c r="L1997" t="s">
        <v>321</v>
      </c>
      <c r="M1997" t="str">
        <f>IF(C1997&lt;&gt;"",C1997,_xlfn.XLOOKUP(B1997,AI_NAMES!D:D,AI_NAMES!E:E,"",0))</f>
        <v>gfx-data</v>
      </c>
    </row>
    <row r="1998" spans="1:13" x14ac:dyDescent="0.2">
      <c r="A1998" t="s">
        <v>2261</v>
      </c>
      <c r="B1998" t="s">
        <v>321</v>
      </c>
      <c r="C1998" s="5" t="s">
        <v>3168</v>
      </c>
      <c r="L1998" t="s">
        <v>321</v>
      </c>
      <c r="M1998" t="str">
        <f>IF(C1998&lt;&gt;"",C1998,_xlfn.XLOOKUP(B1998,AI_NAMES!D:D,AI_NAMES!E:E,"",0))</f>
        <v>gfx-data</v>
      </c>
    </row>
    <row r="1999" spans="1:13" x14ac:dyDescent="0.2">
      <c r="A1999" t="s">
        <v>2262</v>
      </c>
      <c r="B1999" t="s">
        <v>321</v>
      </c>
      <c r="C1999" s="5" t="s">
        <v>3168</v>
      </c>
      <c r="L1999" t="s">
        <v>321</v>
      </c>
      <c r="M1999" t="str">
        <f>IF(C1999&lt;&gt;"",C1999,_xlfn.XLOOKUP(B1999,AI_NAMES!D:D,AI_NAMES!E:E,"",0))</f>
        <v>gfx-data</v>
      </c>
    </row>
    <row r="2000" spans="1:13" x14ac:dyDescent="0.2">
      <c r="A2000" t="s">
        <v>2265</v>
      </c>
      <c r="B2000" t="s">
        <v>2266</v>
      </c>
      <c r="L2000" t="s">
        <v>2266</v>
      </c>
      <c r="M2000" t="str">
        <f>IF(C2000&lt;&gt;"",C2000,_xlfn.XLOOKUP(B2000,AI_NAMES!D:D,AI_NAMES!E:E,"",0))</f>
        <v/>
      </c>
    </row>
    <row r="2001" spans="1:13" x14ac:dyDescent="0.2">
      <c r="A2001" t="s">
        <v>2267</v>
      </c>
      <c r="B2001" t="s">
        <v>2268</v>
      </c>
      <c r="L2001" t="s">
        <v>2268</v>
      </c>
      <c r="M2001" t="str">
        <f>IF(C2001&lt;&gt;"",C2001,_xlfn.XLOOKUP(B2001,AI_NAMES!D:D,AI_NAMES!E:E,"",0))</f>
        <v/>
      </c>
    </row>
    <row r="2002" spans="1:13" x14ac:dyDescent="0.2">
      <c r="A2002" t="s">
        <v>2269</v>
      </c>
      <c r="B2002" t="s">
        <v>2270</v>
      </c>
      <c r="L2002" t="s">
        <v>2270</v>
      </c>
      <c r="M2002" t="str">
        <f>IF(C2002&lt;&gt;"",C2002,_xlfn.XLOOKUP(B2002,AI_NAMES!D:D,AI_NAMES!E:E,"",0))</f>
        <v/>
      </c>
    </row>
    <row r="2003" spans="1:13" x14ac:dyDescent="0.2">
      <c r="A2003" t="s">
        <v>2271</v>
      </c>
      <c r="B2003" t="s">
        <v>3345</v>
      </c>
      <c r="L2003" t="s">
        <v>3345</v>
      </c>
      <c r="M2003" t="str">
        <f>IF(C2003&lt;&gt;"",C2003,_xlfn.XLOOKUP(B2003,AI_NAMES!D:D,AI_NAMES!E:E,"",0))</f>
        <v/>
      </c>
    </row>
    <row r="2004" spans="1:13" x14ac:dyDescent="0.2">
      <c r="A2004" t="s">
        <v>2272</v>
      </c>
      <c r="B2004" t="s">
        <v>3346</v>
      </c>
      <c r="L2004" t="s">
        <v>3346</v>
      </c>
      <c r="M2004" t="str">
        <f>IF(C2004&lt;&gt;"",C2004,_xlfn.XLOOKUP(B2004,AI_NAMES!D:D,AI_NAMES!E:E,"",0))</f>
        <v/>
      </c>
    </row>
    <row r="2005" spans="1:13" x14ac:dyDescent="0.2">
      <c r="A2005" t="s">
        <v>2273</v>
      </c>
      <c r="B2005" t="s">
        <v>2274</v>
      </c>
      <c r="L2005" t="s">
        <v>2274</v>
      </c>
      <c r="M2005" t="str">
        <f>IF(C2005&lt;&gt;"",C2005,_xlfn.XLOOKUP(B2005,AI_NAMES!D:D,AI_NAMES!E:E,"",0))</f>
        <v/>
      </c>
    </row>
    <row r="2006" spans="1:13" x14ac:dyDescent="0.2">
      <c r="A2006" t="s">
        <v>2276</v>
      </c>
      <c r="B2006" t="s">
        <v>321</v>
      </c>
      <c r="L2006" t="s">
        <v>321</v>
      </c>
      <c r="M2006">
        <f>IF(C2006&lt;&gt;"",C2006,_xlfn.XLOOKUP(B2006,AI_NAMES!D:D,AI_NAMES!E:E,"",0))</f>
        <v>0</v>
      </c>
    </row>
    <row r="2007" spans="1:13" x14ac:dyDescent="0.2">
      <c r="A2007" t="s">
        <v>2277</v>
      </c>
      <c r="B2007" t="s">
        <v>321</v>
      </c>
      <c r="L2007" t="s">
        <v>321</v>
      </c>
      <c r="M2007">
        <f>IF(C2007&lt;&gt;"",C2007,_xlfn.XLOOKUP(B2007,AI_NAMES!D:D,AI_NAMES!E:E,"",0))</f>
        <v>0</v>
      </c>
    </row>
    <row r="2008" spans="1:13" x14ac:dyDescent="0.2">
      <c r="A2008" t="s">
        <v>2278</v>
      </c>
      <c r="B2008" t="s">
        <v>321</v>
      </c>
      <c r="L2008" t="s">
        <v>321</v>
      </c>
      <c r="M2008">
        <f>IF(C2008&lt;&gt;"",C2008,_xlfn.XLOOKUP(B2008,AI_NAMES!D:D,AI_NAMES!E:E,"",0))</f>
        <v>0</v>
      </c>
    </row>
    <row r="2009" spans="1:13" x14ac:dyDescent="0.2">
      <c r="A2009" t="s">
        <v>2279</v>
      </c>
      <c r="B2009" t="s">
        <v>321</v>
      </c>
      <c r="L2009" t="s">
        <v>321</v>
      </c>
      <c r="M2009">
        <f>IF(C2009&lt;&gt;"",C2009,_xlfn.XLOOKUP(B2009,AI_NAMES!D:D,AI_NAMES!E:E,"",0))</f>
        <v>0</v>
      </c>
    </row>
    <row r="2010" spans="1:13" x14ac:dyDescent="0.2">
      <c r="A2010" t="s">
        <v>2280</v>
      </c>
      <c r="B2010" t="s">
        <v>321</v>
      </c>
      <c r="L2010" t="s">
        <v>321</v>
      </c>
      <c r="M2010">
        <f>IF(C2010&lt;&gt;"",C2010,_xlfn.XLOOKUP(B2010,AI_NAMES!D:D,AI_NAMES!E:E,"",0))</f>
        <v>0</v>
      </c>
    </row>
    <row r="2011" spans="1:13" x14ac:dyDescent="0.2">
      <c r="A2011" t="s">
        <v>2281</v>
      </c>
      <c r="B2011" t="s">
        <v>321</v>
      </c>
      <c r="L2011" t="s">
        <v>321</v>
      </c>
      <c r="M2011">
        <f>IF(C2011&lt;&gt;"",C2011,_xlfn.XLOOKUP(B2011,AI_NAMES!D:D,AI_NAMES!E:E,"",0))</f>
        <v>0</v>
      </c>
    </row>
    <row r="2012" spans="1:13" x14ac:dyDescent="0.2">
      <c r="A2012" t="s">
        <v>2282</v>
      </c>
      <c r="B2012" t="s">
        <v>321</v>
      </c>
      <c r="L2012" t="s">
        <v>321</v>
      </c>
      <c r="M2012">
        <f>IF(C2012&lt;&gt;"",C2012,_xlfn.XLOOKUP(B2012,AI_NAMES!D:D,AI_NAMES!E:E,"",0))</f>
        <v>0</v>
      </c>
    </row>
    <row r="2013" spans="1:13" x14ac:dyDescent="0.2">
      <c r="A2013" t="s">
        <v>2283</v>
      </c>
      <c r="B2013" t="s">
        <v>321</v>
      </c>
      <c r="L2013" t="s">
        <v>321</v>
      </c>
      <c r="M2013">
        <f>IF(C2013&lt;&gt;"",C2013,_xlfn.XLOOKUP(B2013,AI_NAMES!D:D,AI_NAMES!E:E,"",0))</f>
        <v>0</v>
      </c>
    </row>
    <row r="2014" spans="1:13" x14ac:dyDescent="0.2">
      <c r="A2014" t="s">
        <v>2284</v>
      </c>
      <c r="B2014" t="s">
        <v>321</v>
      </c>
      <c r="L2014" t="s">
        <v>321</v>
      </c>
      <c r="M2014">
        <f>IF(C2014&lt;&gt;"",C2014,_xlfn.XLOOKUP(B2014,AI_NAMES!D:D,AI_NAMES!E:E,"",0))</f>
        <v>0</v>
      </c>
    </row>
    <row r="2015" spans="1:13" x14ac:dyDescent="0.2">
      <c r="A2015" t="s">
        <v>2285</v>
      </c>
      <c r="B2015" t="s">
        <v>321</v>
      </c>
      <c r="L2015" t="s">
        <v>321</v>
      </c>
      <c r="M2015">
        <f>IF(C2015&lt;&gt;"",C2015,_xlfn.XLOOKUP(B2015,AI_NAMES!D:D,AI_NAMES!E:E,"",0))</f>
        <v>0</v>
      </c>
    </row>
    <row r="2016" spans="1:13" x14ac:dyDescent="0.2">
      <c r="A2016" t="s">
        <v>2286</v>
      </c>
      <c r="B2016" t="s">
        <v>321</v>
      </c>
      <c r="L2016" t="s">
        <v>321</v>
      </c>
      <c r="M2016">
        <f>IF(C2016&lt;&gt;"",C2016,_xlfn.XLOOKUP(B2016,AI_NAMES!D:D,AI_NAMES!E:E,"",0))</f>
        <v>0</v>
      </c>
    </row>
    <row r="2017" spans="1:13" x14ac:dyDescent="0.2">
      <c r="A2017" t="s">
        <v>2287</v>
      </c>
      <c r="B2017" t="s">
        <v>321</v>
      </c>
      <c r="L2017" t="s">
        <v>321</v>
      </c>
      <c r="M2017">
        <f>IF(C2017&lt;&gt;"",C2017,_xlfn.XLOOKUP(B2017,AI_NAMES!D:D,AI_NAMES!E:E,"",0))</f>
        <v>0</v>
      </c>
    </row>
    <row r="2018" spans="1:13" x14ac:dyDescent="0.2">
      <c r="A2018" t="s">
        <v>2288</v>
      </c>
      <c r="B2018" t="s">
        <v>321</v>
      </c>
      <c r="L2018" t="s">
        <v>321</v>
      </c>
      <c r="M2018">
        <f>IF(C2018&lt;&gt;"",C2018,_xlfn.XLOOKUP(B2018,AI_NAMES!D:D,AI_NAMES!E:E,"",0))</f>
        <v>0</v>
      </c>
    </row>
    <row r="2019" spans="1:13" x14ac:dyDescent="0.2">
      <c r="A2019" t="s">
        <v>2289</v>
      </c>
      <c r="B2019" t="s">
        <v>321</v>
      </c>
      <c r="L2019" t="s">
        <v>321</v>
      </c>
      <c r="M2019">
        <f>IF(C2019&lt;&gt;"",C2019,_xlfn.XLOOKUP(B2019,AI_NAMES!D:D,AI_NAMES!E:E,"",0))</f>
        <v>0</v>
      </c>
    </row>
    <row r="2020" spans="1:13" x14ac:dyDescent="0.2">
      <c r="A2020" t="s">
        <v>2290</v>
      </c>
      <c r="B2020" t="s">
        <v>321</v>
      </c>
      <c r="L2020" t="s">
        <v>321</v>
      </c>
      <c r="M2020">
        <f>IF(C2020&lt;&gt;"",C2020,_xlfn.XLOOKUP(B2020,AI_NAMES!D:D,AI_NAMES!E:E,"",0))</f>
        <v>0</v>
      </c>
    </row>
    <row r="2021" spans="1:13" x14ac:dyDescent="0.2">
      <c r="A2021" t="s">
        <v>2291</v>
      </c>
      <c r="B2021" t="s">
        <v>321</v>
      </c>
      <c r="L2021" t="s">
        <v>321</v>
      </c>
      <c r="M2021">
        <f>IF(C2021&lt;&gt;"",C2021,_xlfn.XLOOKUP(B2021,AI_NAMES!D:D,AI_NAMES!E:E,"",0))</f>
        <v>0</v>
      </c>
    </row>
    <row r="2022" spans="1:13" x14ac:dyDescent="0.2">
      <c r="A2022" t="s">
        <v>2292</v>
      </c>
      <c r="B2022" t="s">
        <v>321</v>
      </c>
      <c r="L2022" t="s">
        <v>321</v>
      </c>
      <c r="M2022">
        <f>IF(C2022&lt;&gt;"",C2022,_xlfn.XLOOKUP(B2022,AI_NAMES!D:D,AI_NAMES!E:E,"",0))</f>
        <v>0</v>
      </c>
    </row>
    <row r="2023" spans="1:13" x14ac:dyDescent="0.2">
      <c r="A2023" t="s">
        <v>2293</v>
      </c>
      <c r="B2023" t="s">
        <v>321</v>
      </c>
      <c r="L2023" t="s">
        <v>321</v>
      </c>
      <c r="M2023">
        <f>IF(C2023&lt;&gt;"",C2023,_xlfn.XLOOKUP(B2023,AI_NAMES!D:D,AI_NAMES!E:E,"",0))</f>
        <v>0</v>
      </c>
    </row>
    <row r="2024" spans="1:13" x14ac:dyDescent="0.2">
      <c r="A2024" t="s">
        <v>2294</v>
      </c>
      <c r="B2024" t="s">
        <v>321</v>
      </c>
      <c r="L2024" t="s">
        <v>321</v>
      </c>
      <c r="M2024">
        <f>IF(C2024&lt;&gt;"",C2024,_xlfn.XLOOKUP(B2024,AI_NAMES!D:D,AI_NAMES!E:E,"",0))</f>
        <v>0</v>
      </c>
    </row>
    <row r="2025" spans="1:13" x14ac:dyDescent="0.2">
      <c r="A2025" t="s">
        <v>2295</v>
      </c>
      <c r="B2025" t="s">
        <v>321</v>
      </c>
      <c r="L2025" t="s">
        <v>321</v>
      </c>
      <c r="M2025">
        <f>IF(C2025&lt;&gt;"",C2025,_xlfn.XLOOKUP(B2025,AI_NAMES!D:D,AI_NAMES!E:E,"",0))</f>
        <v>0</v>
      </c>
    </row>
    <row r="2026" spans="1:13" x14ac:dyDescent="0.2">
      <c r="A2026" t="s">
        <v>2296</v>
      </c>
      <c r="B2026" t="s">
        <v>321</v>
      </c>
      <c r="L2026" t="s">
        <v>321</v>
      </c>
      <c r="M2026">
        <f>IF(C2026&lt;&gt;"",C2026,_xlfn.XLOOKUP(B2026,AI_NAMES!D:D,AI_NAMES!E:E,"",0))</f>
        <v>0</v>
      </c>
    </row>
    <row r="2027" spans="1:13" x14ac:dyDescent="0.2">
      <c r="A2027" t="s">
        <v>2297</v>
      </c>
      <c r="B2027" t="s">
        <v>321</v>
      </c>
      <c r="L2027" t="s">
        <v>321</v>
      </c>
      <c r="M2027">
        <f>IF(C2027&lt;&gt;"",C2027,_xlfn.XLOOKUP(B2027,AI_NAMES!D:D,AI_NAMES!E:E,"",0))</f>
        <v>0</v>
      </c>
    </row>
    <row r="2028" spans="1:13" x14ac:dyDescent="0.2">
      <c r="A2028" t="s">
        <v>2298</v>
      </c>
      <c r="B2028" t="s">
        <v>321</v>
      </c>
      <c r="L2028" t="s">
        <v>321</v>
      </c>
      <c r="M2028">
        <f>IF(C2028&lt;&gt;"",C2028,_xlfn.XLOOKUP(B2028,AI_NAMES!D:D,AI_NAMES!E:E,"",0))</f>
        <v>0</v>
      </c>
    </row>
    <row r="2029" spans="1:13" x14ac:dyDescent="0.2">
      <c r="A2029" t="s">
        <v>2299</v>
      </c>
      <c r="B2029" t="s">
        <v>321</v>
      </c>
      <c r="L2029" t="s">
        <v>321</v>
      </c>
      <c r="M2029">
        <f>IF(C2029&lt;&gt;"",C2029,_xlfn.XLOOKUP(B2029,AI_NAMES!D:D,AI_NAMES!E:E,"",0))</f>
        <v>0</v>
      </c>
    </row>
    <row r="2030" spans="1:13" x14ac:dyDescent="0.2">
      <c r="A2030" t="s">
        <v>2300</v>
      </c>
      <c r="B2030" t="s">
        <v>3352</v>
      </c>
      <c r="L2030" t="s">
        <v>3352</v>
      </c>
      <c r="M2030" t="str">
        <f>IF(C2030&lt;&gt;"",C2030,_xlfn.XLOOKUP(B2030,AI_NAMES!D:D,AI_NAMES!E:E,"",0))</f>
        <v/>
      </c>
    </row>
    <row r="2031" spans="1:13" x14ac:dyDescent="0.2">
      <c r="A2031" t="s">
        <v>2301</v>
      </c>
      <c r="B2031" t="s">
        <v>3353</v>
      </c>
      <c r="L2031" t="s">
        <v>3353</v>
      </c>
      <c r="M2031" t="str">
        <f>IF(C2031&lt;&gt;"",C2031,_xlfn.XLOOKUP(B2031,AI_NAMES!D:D,AI_NAMES!E:E,"",0))</f>
        <v/>
      </c>
    </row>
    <row r="2032" spans="1:13" x14ac:dyDescent="0.2">
      <c r="A2032" t="s">
        <v>2302</v>
      </c>
      <c r="B2032" t="s">
        <v>321</v>
      </c>
      <c r="L2032" t="s">
        <v>321</v>
      </c>
      <c r="M2032">
        <f>IF(C2032&lt;&gt;"",C2032,_xlfn.XLOOKUP(B2032,AI_NAMES!D:D,AI_NAMES!E:E,"",0))</f>
        <v>0</v>
      </c>
    </row>
    <row r="2033" spans="1:13" x14ac:dyDescent="0.2">
      <c r="A2033" t="s">
        <v>2303</v>
      </c>
      <c r="B2033" t="s">
        <v>321</v>
      </c>
      <c r="L2033" t="s">
        <v>321</v>
      </c>
      <c r="M2033">
        <f>IF(C2033&lt;&gt;"",C2033,_xlfn.XLOOKUP(B2033,AI_NAMES!D:D,AI_NAMES!E:E,"",0))</f>
        <v>0</v>
      </c>
    </row>
    <row r="2034" spans="1:13" x14ac:dyDescent="0.2">
      <c r="A2034" t="s">
        <v>2304</v>
      </c>
      <c r="B2034" t="s">
        <v>321</v>
      </c>
      <c r="L2034" t="s">
        <v>321</v>
      </c>
      <c r="M2034">
        <f>IF(C2034&lt;&gt;"",C2034,_xlfn.XLOOKUP(B2034,AI_NAMES!D:D,AI_NAMES!E:E,"",0))</f>
        <v>0</v>
      </c>
    </row>
    <row r="2035" spans="1:13" x14ac:dyDescent="0.2">
      <c r="A2035" t="s">
        <v>2305</v>
      </c>
      <c r="B2035" t="s">
        <v>321</v>
      </c>
      <c r="L2035" t="s">
        <v>321</v>
      </c>
      <c r="M2035">
        <f>IF(C2035&lt;&gt;"",C2035,_xlfn.XLOOKUP(B2035,AI_NAMES!D:D,AI_NAMES!E:E,"",0))</f>
        <v>0</v>
      </c>
    </row>
    <row r="2036" spans="1:13" x14ac:dyDescent="0.2">
      <c r="A2036" t="s">
        <v>2306</v>
      </c>
      <c r="B2036" t="s">
        <v>321</v>
      </c>
      <c r="L2036" t="s">
        <v>321</v>
      </c>
      <c r="M2036">
        <f>IF(C2036&lt;&gt;"",C2036,_xlfn.XLOOKUP(B2036,AI_NAMES!D:D,AI_NAMES!E:E,"",0))</f>
        <v>0</v>
      </c>
    </row>
    <row r="2037" spans="1:13" x14ac:dyDescent="0.2">
      <c r="A2037" t="s">
        <v>2307</v>
      </c>
      <c r="B2037" t="s">
        <v>321</v>
      </c>
      <c r="L2037" t="s">
        <v>321</v>
      </c>
      <c r="M2037">
        <f>IF(C2037&lt;&gt;"",C2037,_xlfn.XLOOKUP(B2037,AI_NAMES!D:D,AI_NAMES!E:E,"",0))</f>
        <v>0</v>
      </c>
    </row>
    <row r="2038" spans="1:13" x14ac:dyDescent="0.2">
      <c r="A2038" t="s">
        <v>2308</v>
      </c>
      <c r="B2038" t="s">
        <v>321</v>
      </c>
      <c r="L2038" t="s">
        <v>321</v>
      </c>
      <c r="M2038">
        <f>IF(C2038&lt;&gt;"",C2038,_xlfn.XLOOKUP(B2038,AI_NAMES!D:D,AI_NAMES!E:E,"",0))</f>
        <v>0</v>
      </c>
    </row>
    <row r="2039" spans="1:13" x14ac:dyDescent="0.2">
      <c r="A2039" t="s">
        <v>2309</v>
      </c>
      <c r="B2039" t="s">
        <v>321</v>
      </c>
      <c r="L2039" t="s">
        <v>321</v>
      </c>
      <c r="M2039">
        <f>IF(C2039&lt;&gt;"",C2039,_xlfn.XLOOKUP(B2039,AI_NAMES!D:D,AI_NAMES!E:E,"",0))</f>
        <v>0</v>
      </c>
    </row>
    <row r="2040" spans="1:13" x14ac:dyDescent="0.2">
      <c r="A2040" t="s">
        <v>2310</v>
      </c>
      <c r="B2040" t="s">
        <v>321</v>
      </c>
      <c r="L2040" t="s">
        <v>321</v>
      </c>
      <c r="M2040">
        <f>IF(C2040&lt;&gt;"",C2040,_xlfn.XLOOKUP(B2040,AI_NAMES!D:D,AI_NAMES!E:E,"",0))</f>
        <v>0</v>
      </c>
    </row>
    <row r="2041" spans="1:13" x14ac:dyDescent="0.2">
      <c r="A2041" t="s">
        <v>2311</v>
      </c>
      <c r="B2041" t="s">
        <v>321</v>
      </c>
      <c r="L2041" t="s">
        <v>321</v>
      </c>
      <c r="M2041">
        <f>IF(C2041&lt;&gt;"",C2041,_xlfn.XLOOKUP(B2041,AI_NAMES!D:D,AI_NAMES!E:E,"",0))</f>
        <v>0</v>
      </c>
    </row>
    <row r="2042" spans="1:13" x14ac:dyDescent="0.2">
      <c r="A2042" t="s">
        <v>2312</v>
      </c>
      <c r="B2042" t="s">
        <v>3626</v>
      </c>
      <c r="L2042" t="s">
        <v>321</v>
      </c>
      <c r="M2042" t="str">
        <f>IF(C2042&lt;&gt;"",C2042,_xlfn.XLOOKUP(B2042,AI_NAMES!D:D,AI_NAMES!E:E,"",0))</f>
        <v/>
      </c>
    </row>
    <row r="2043" spans="1:13" x14ac:dyDescent="0.2">
      <c r="A2043" t="s">
        <v>2313</v>
      </c>
      <c r="B2043" t="s">
        <v>321</v>
      </c>
      <c r="L2043" t="s">
        <v>321</v>
      </c>
      <c r="M2043">
        <f>IF(C2043&lt;&gt;"",C2043,_xlfn.XLOOKUP(B2043,AI_NAMES!D:D,AI_NAMES!E:E,"",0))</f>
        <v>0</v>
      </c>
    </row>
    <row r="2044" spans="1:13" x14ac:dyDescent="0.2">
      <c r="A2044" t="s">
        <v>2314</v>
      </c>
      <c r="B2044" t="s">
        <v>321</v>
      </c>
      <c r="L2044" t="s">
        <v>321</v>
      </c>
      <c r="M2044">
        <f>IF(C2044&lt;&gt;"",C2044,_xlfn.XLOOKUP(B2044,AI_NAMES!D:D,AI_NAMES!E:E,"",0))</f>
        <v>0</v>
      </c>
    </row>
    <row r="2045" spans="1:13" x14ac:dyDescent="0.2">
      <c r="A2045" t="s">
        <v>2315</v>
      </c>
      <c r="B2045" t="s">
        <v>321</v>
      </c>
      <c r="L2045" t="s">
        <v>321</v>
      </c>
      <c r="M2045">
        <f>IF(C2045&lt;&gt;"",C2045,_xlfn.XLOOKUP(B2045,AI_NAMES!D:D,AI_NAMES!E:E,"",0))</f>
        <v>0</v>
      </c>
    </row>
    <row r="2046" spans="1:13" x14ac:dyDescent="0.2">
      <c r="A2046" t="s">
        <v>2316</v>
      </c>
      <c r="B2046" t="s">
        <v>321</v>
      </c>
      <c r="L2046" t="s">
        <v>321</v>
      </c>
      <c r="M2046">
        <f>IF(C2046&lt;&gt;"",C2046,_xlfn.XLOOKUP(B2046,AI_NAMES!D:D,AI_NAMES!E:E,"",0))</f>
        <v>0</v>
      </c>
    </row>
    <row r="2047" spans="1:13" x14ac:dyDescent="0.2">
      <c r="A2047" t="s">
        <v>2317</v>
      </c>
      <c r="B2047" t="s">
        <v>321</v>
      </c>
      <c r="L2047" t="s">
        <v>321</v>
      </c>
      <c r="M2047">
        <f>IF(C2047&lt;&gt;"",C2047,_xlfn.XLOOKUP(B2047,AI_NAMES!D:D,AI_NAMES!E:E,"",0))</f>
        <v>0</v>
      </c>
    </row>
    <row r="2048" spans="1:13" x14ac:dyDescent="0.2">
      <c r="A2048" t="s">
        <v>2318</v>
      </c>
      <c r="B2048" t="s">
        <v>321</v>
      </c>
      <c r="L2048" t="s">
        <v>321</v>
      </c>
      <c r="M2048">
        <f>IF(C2048&lt;&gt;"",C2048,_xlfn.XLOOKUP(B2048,AI_NAMES!D:D,AI_NAMES!E:E,"",0))</f>
        <v>0</v>
      </c>
    </row>
    <row r="2049" spans="1:13" x14ac:dyDescent="0.2">
      <c r="A2049" t="s">
        <v>2319</v>
      </c>
      <c r="B2049" t="s">
        <v>321</v>
      </c>
      <c r="L2049" t="s">
        <v>321</v>
      </c>
      <c r="M2049">
        <f>IF(C2049&lt;&gt;"",C2049,_xlfn.XLOOKUP(B2049,AI_NAMES!D:D,AI_NAMES!E:E,"",0))</f>
        <v>0</v>
      </c>
    </row>
    <row r="2050" spans="1:13" x14ac:dyDescent="0.2">
      <c r="A2050" t="s">
        <v>2320</v>
      </c>
      <c r="B2050" t="s">
        <v>321</v>
      </c>
      <c r="L2050" t="s">
        <v>321</v>
      </c>
      <c r="M2050">
        <f>IF(C2050&lt;&gt;"",C2050,_xlfn.XLOOKUP(B2050,AI_NAMES!D:D,AI_NAMES!E:E,"",0))</f>
        <v>0</v>
      </c>
    </row>
    <row r="2051" spans="1:13" x14ac:dyDescent="0.2">
      <c r="A2051" t="s">
        <v>2321</v>
      </c>
      <c r="B2051" t="s">
        <v>321</v>
      </c>
      <c r="L2051" t="s">
        <v>321</v>
      </c>
      <c r="M2051">
        <f>IF(C2051&lt;&gt;"",C2051,_xlfn.XLOOKUP(B2051,AI_NAMES!D:D,AI_NAMES!E:E,"",0))</f>
        <v>0</v>
      </c>
    </row>
    <row r="2052" spans="1:13" x14ac:dyDescent="0.2">
      <c r="A2052" t="s">
        <v>2322</v>
      </c>
      <c r="B2052" t="s">
        <v>321</v>
      </c>
      <c r="L2052" t="s">
        <v>321</v>
      </c>
      <c r="M2052">
        <f>IF(C2052&lt;&gt;"",C2052,_xlfn.XLOOKUP(B2052,AI_NAMES!D:D,AI_NAMES!E:E,"",0))</f>
        <v>0</v>
      </c>
    </row>
    <row r="2053" spans="1:13" x14ac:dyDescent="0.2">
      <c r="A2053" t="s">
        <v>2323</v>
      </c>
      <c r="B2053" t="s">
        <v>321</v>
      </c>
      <c r="L2053" t="s">
        <v>321</v>
      </c>
      <c r="M2053">
        <f>IF(C2053&lt;&gt;"",C2053,_xlfn.XLOOKUP(B2053,AI_NAMES!D:D,AI_NAMES!E:E,"",0))</f>
        <v>0</v>
      </c>
    </row>
    <row r="2054" spans="1:13" x14ac:dyDescent="0.2">
      <c r="A2054" t="s">
        <v>2324</v>
      </c>
      <c r="B2054" t="s">
        <v>321</v>
      </c>
      <c r="L2054" t="s">
        <v>321</v>
      </c>
      <c r="M2054">
        <f>IF(C2054&lt;&gt;"",C2054,_xlfn.XLOOKUP(B2054,AI_NAMES!D:D,AI_NAMES!E:E,"",0))</f>
        <v>0</v>
      </c>
    </row>
    <row r="2055" spans="1:13" x14ac:dyDescent="0.2">
      <c r="A2055" t="s">
        <v>2325</v>
      </c>
      <c r="B2055" t="s">
        <v>2326</v>
      </c>
      <c r="L2055" t="s">
        <v>2326</v>
      </c>
      <c r="M2055" t="str">
        <f>IF(C2055&lt;&gt;"",C2055,_xlfn.XLOOKUP(B2055,AI_NAMES!D:D,AI_NAMES!E:E,"",0))</f>
        <v/>
      </c>
    </row>
    <row r="2056" spans="1:13" x14ac:dyDescent="0.2">
      <c r="A2056" t="s">
        <v>2327</v>
      </c>
      <c r="M2056">
        <f>IF(C2056&lt;&gt;"",C2056,_xlfn.XLOOKUP(B2056,AI_NAMES!D:D,AI_NAMES!E:E,"",0))</f>
        <v>0</v>
      </c>
    </row>
    <row r="2057" spans="1:13" x14ac:dyDescent="0.2">
      <c r="A2057" t="s">
        <v>2331</v>
      </c>
      <c r="B2057" t="s">
        <v>3616</v>
      </c>
      <c r="L2057" t="s">
        <v>321</v>
      </c>
      <c r="M2057" t="str">
        <f>IF(C2057&lt;&gt;"",C2057,_xlfn.XLOOKUP(B2057,AI_NAMES!D:D,AI_NAMES!E:E,"",0))</f>
        <v/>
      </c>
    </row>
    <row r="2058" spans="1:13" x14ac:dyDescent="0.2">
      <c r="A2058" t="s">
        <v>2332</v>
      </c>
      <c r="L2058" t="s">
        <v>321</v>
      </c>
      <c r="M2058">
        <f>IF(C2058&lt;&gt;"",C2058,_xlfn.XLOOKUP(B2058,AI_NAMES!D:D,AI_NAMES!E:E,"",0))</f>
        <v>0</v>
      </c>
    </row>
    <row r="2059" spans="1:13" x14ac:dyDescent="0.2">
      <c r="A2059" t="s">
        <v>2336</v>
      </c>
      <c r="B2059" t="s">
        <v>3617</v>
      </c>
      <c r="L2059" t="s">
        <v>321</v>
      </c>
      <c r="M2059" t="str">
        <f>IF(C2059&lt;&gt;"",C2059,_xlfn.XLOOKUP(B2059,AI_NAMES!D:D,AI_NAMES!E:E,"",0))</f>
        <v/>
      </c>
    </row>
    <row r="2060" spans="1:13" x14ac:dyDescent="0.2">
      <c r="A2060" t="s">
        <v>2339</v>
      </c>
      <c r="B2060" t="s">
        <v>3618</v>
      </c>
      <c r="L2060" t="s">
        <v>321</v>
      </c>
    </row>
    <row r="2061" spans="1:13" x14ac:dyDescent="0.2">
      <c r="A2061" t="s">
        <v>2340</v>
      </c>
      <c r="L2061" t="s">
        <v>321</v>
      </c>
    </row>
    <row r="2062" spans="1:13" x14ac:dyDescent="0.2">
      <c r="A2062" t="s">
        <v>2345</v>
      </c>
      <c r="B2062" t="s">
        <v>3619</v>
      </c>
      <c r="L2062" t="s">
        <v>321</v>
      </c>
    </row>
    <row r="2063" spans="1:13" x14ac:dyDescent="0.2">
      <c r="A2063" t="s">
        <v>2346</v>
      </c>
      <c r="L2063" t="s">
        <v>321</v>
      </c>
    </row>
    <row r="2064" spans="1:13" x14ac:dyDescent="0.2">
      <c r="A2064" t="s">
        <v>2347</v>
      </c>
      <c r="B2064" t="s">
        <v>3620</v>
      </c>
      <c r="L2064" t="s">
        <v>321</v>
      </c>
    </row>
    <row r="2065" spans="1:12" x14ac:dyDescent="0.2">
      <c r="A2065" t="s">
        <v>2349</v>
      </c>
      <c r="B2065" t="s">
        <v>3621</v>
      </c>
      <c r="L2065" t="s">
        <v>321</v>
      </c>
    </row>
    <row r="2066" spans="1:12" x14ac:dyDescent="0.2">
      <c r="A2066" t="s">
        <v>2354</v>
      </c>
      <c r="B2066" t="s">
        <v>2355</v>
      </c>
      <c r="L2066" t="s">
        <v>2355</v>
      </c>
    </row>
    <row r="2067" spans="1:12" x14ac:dyDescent="0.2">
      <c r="A2067" t="s">
        <v>2356</v>
      </c>
      <c r="B2067" t="s">
        <v>3321</v>
      </c>
      <c r="L2067" t="s">
        <v>3321</v>
      </c>
    </row>
    <row r="2068" spans="1:12" x14ac:dyDescent="0.2">
      <c r="A2068" t="s">
        <v>2357</v>
      </c>
      <c r="B2068" t="s">
        <v>3322</v>
      </c>
      <c r="L2068" t="s">
        <v>3322</v>
      </c>
    </row>
    <row r="2069" spans="1:12" x14ac:dyDescent="0.2">
      <c r="A2069" t="s">
        <v>2358</v>
      </c>
      <c r="B2069" t="s">
        <v>2359</v>
      </c>
      <c r="L2069" t="s">
        <v>2359</v>
      </c>
    </row>
    <row r="2070" spans="1:12" x14ac:dyDescent="0.2">
      <c r="A2070" t="s">
        <v>2360</v>
      </c>
      <c r="B2070" t="s">
        <v>321</v>
      </c>
      <c r="L2070" t="s">
        <v>321</v>
      </c>
    </row>
    <row r="2071" spans="1:12" x14ac:dyDescent="0.2">
      <c r="A2071" t="s">
        <v>2361</v>
      </c>
      <c r="B2071" t="s">
        <v>321</v>
      </c>
      <c r="L2071" t="s">
        <v>321</v>
      </c>
    </row>
    <row r="2072" spans="1:12" x14ac:dyDescent="0.2">
      <c r="A2072" t="s">
        <v>2362</v>
      </c>
      <c r="B2072" t="s">
        <v>321</v>
      </c>
      <c r="L2072" t="s">
        <v>321</v>
      </c>
    </row>
    <row r="2073" spans="1:12" x14ac:dyDescent="0.2">
      <c r="A2073" t="s">
        <v>2363</v>
      </c>
      <c r="B2073" t="s">
        <v>321</v>
      </c>
      <c r="L2073" t="s">
        <v>321</v>
      </c>
    </row>
    <row r="2074" spans="1:12" x14ac:dyDescent="0.2">
      <c r="A2074" t="s">
        <v>2365</v>
      </c>
      <c r="B2074" t="s">
        <v>321</v>
      </c>
      <c r="L2074" t="s">
        <v>321</v>
      </c>
    </row>
    <row r="2075" spans="1:12" x14ac:dyDescent="0.2">
      <c r="A2075" t="s">
        <v>2366</v>
      </c>
      <c r="B2075" t="s">
        <v>321</v>
      </c>
      <c r="L2075" t="s">
        <v>321</v>
      </c>
    </row>
    <row r="2076" spans="1:12" x14ac:dyDescent="0.2">
      <c r="A2076" t="s">
        <v>2367</v>
      </c>
      <c r="B2076" t="s">
        <v>321</v>
      </c>
      <c r="L2076" t="s">
        <v>321</v>
      </c>
    </row>
    <row r="2077" spans="1:12" x14ac:dyDescent="0.2">
      <c r="A2077" t="s">
        <v>2368</v>
      </c>
      <c r="B2077" t="s">
        <v>321</v>
      </c>
      <c r="L2077" t="s">
        <v>321</v>
      </c>
    </row>
    <row r="2078" spans="1:12" x14ac:dyDescent="0.2">
      <c r="A2078" t="s">
        <v>2369</v>
      </c>
      <c r="B2078" t="s">
        <v>321</v>
      </c>
      <c r="L2078" t="s">
        <v>321</v>
      </c>
    </row>
    <row r="2079" spans="1:12" x14ac:dyDescent="0.2">
      <c r="A2079" t="s">
        <v>2370</v>
      </c>
      <c r="B2079" t="s">
        <v>321</v>
      </c>
      <c r="L2079" t="s">
        <v>321</v>
      </c>
    </row>
    <row r="2080" spans="1:12" x14ac:dyDescent="0.2">
      <c r="A2080" t="s">
        <v>2371</v>
      </c>
      <c r="B2080" t="s">
        <v>321</v>
      </c>
      <c r="L2080" t="s">
        <v>321</v>
      </c>
    </row>
    <row r="2081" spans="1:12" x14ac:dyDescent="0.2">
      <c r="A2081" t="s">
        <v>2372</v>
      </c>
      <c r="B2081" t="s">
        <v>321</v>
      </c>
      <c r="L2081" t="s">
        <v>321</v>
      </c>
    </row>
    <row r="2082" spans="1:12" x14ac:dyDescent="0.2">
      <c r="A2082" t="s">
        <v>2373</v>
      </c>
      <c r="B2082" t="s">
        <v>321</v>
      </c>
      <c r="L2082" t="s">
        <v>321</v>
      </c>
    </row>
    <row r="2083" spans="1:12" x14ac:dyDescent="0.2">
      <c r="A2083" t="s">
        <v>2374</v>
      </c>
      <c r="B2083" t="s">
        <v>321</v>
      </c>
      <c r="L2083" t="s">
        <v>321</v>
      </c>
    </row>
    <row r="2084" spans="1:12" x14ac:dyDescent="0.2">
      <c r="A2084" t="s">
        <v>2375</v>
      </c>
      <c r="B2084" t="s">
        <v>321</v>
      </c>
      <c r="L2084" t="s">
        <v>321</v>
      </c>
    </row>
    <row r="2085" spans="1:12" x14ac:dyDescent="0.2">
      <c r="A2085" t="s">
        <v>2376</v>
      </c>
      <c r="B2085" t="s">
        <v>321</v>
      </c>
      <c r="L2085" t="s">
        <v>321</v>
      </c>
    </row>
    <row r="2086" spans="1:12" x14ac:dyDescent="0.2">
      <c r="A2086" t="s">
        <v>2377</v>
      </c>
      <c r="B2086" t="s">
        <v>321</v>
      </c>
      <c r="L2086" t="s">
        <v>321</v>
      </c>
    </row>
    <row r="2087" spans="1:12" x14ac:dyDescent="0.2">
      <c r="A2087" t="s">
        <v>2378</v>
      </c>
      <c r="B2087" t="s">
        <v>321</v>
      </c>
      <c r="L2087" t="s">
        <v>321</v>
      </c>
    </row>
    <row r="2088" spans="1:12" x14ac:dyDescent="0.2">
      <c r="A2088" t="s">
        <v>2379</v>
      </c>
      <c r="B2088" t="s">
        <v>321</v>
      </c>
      <c r="L2088" t="s">
        <v>321</v>
      </c>
    </row>
    <row r="2089" spans="1:12" x14ac:dyDescent="0.2">
      <c r="A2089" t="s">
        <v>2380</v>
      </c>
      <c r="B2089" t="s">
        <v>321</v>
      </c>
      <c r="L2089" t="s">
        <v>321</v>
      </c>
    </row>
    <row r="2090" spans="1:12" x14ac:dyDescent="0.2">
      <c r="A2090" t="s">
        <v>2381</v>
      </c>
      <c r="B2090" t="s">
        <v>321</v>
      </c>
      <c r="L2090" t="s">
        <v>321</v>
      </c>
    </row>
    <row r="2091" spans="1:12" x14ac:dyDescent="0.2">
      <c r="A2091" t="s">
        <v>2382</v>
      </c>
      <c r="B2091" t="s">
        <v>321</v>
      </c>
      <c r="L2091" t="s">
        <v>321</v>
      </c>
    </row>
    <row r="2092" spans="1:12" x14ac:dyDescent="0.2">
      <c r="A2092" t="s">
        <v>2383</v>
      </c>
      <c r="B2092" t="s">
        <v>2384</v>
      </c>
      <c r="L2092" t="s">
        <v>2384</v>
      </c>
    </row>
    <row r="2093" spans="1:12" x14ac:dyDescent="0.2">
      <c r="A2093" t="s">
        <v>2386</v>
      </c>
      <c r="B2093" t="s">
        <v>321</v>
      </c>
      <c r="L2093" t="s">
        <v>321</v>
      </c>
    </row>
    <row r="2094" spans="1:12" x14ac:dyDescent="0.2">
      <c r="A2094" t="s">
        <v>2387</v>
      </c>
      <c r="B2094" t="s">
        <v>2388</v>
      </c>
      <c r="L2094" t="s">
        <v>2388</v>
      </c>
    </row>
    <row r="2095" spans="1:12" x14ac:dyDescent="0.2">
      <c r="A2095" t="s">
        <v>2389</v>
      </c>
      <c r="B2095" t="s">
        <v>321</v>
      </c>
      <c r="L2095" t="s">
        <v>321</v>
      </c>
    </row>
    <row r="2096" spans="1:12" x14ac:dyDescent="0.2">
      <c r="A2096" t="s">
        <v>2390</v>
      </c>
      <c r="B2096" t="s">
        <v>321</v>
      </c>
      <c r="L2096" t="s">
        <v>321</v>
      </c>
    </row>
    <row r="2097" spans="1:12" x14ac:dyDescent="0.2">
      <c r="A2097" t="s">
        <v>2391</v>
      </c>
      <c r="B2097" t="s">
        <v>321</v>
      </c>
      <c r="L2097" t="s">
        <v>321</v>
      </c>
    </row>
    <row r="2098" spans="1:12" x14ac:dyDescent="0.2">
      <c r="A2098" t="s">
        <v>2392</v>
      </c>
      <c r="B2098" t="s">
        <v>321</v>
      </c>
      <c r="L2098" t="s">
        <v>321</v>
      </c>
    </row>
    <row r="2099" spans="1:12" x14ac:dyDescent="0.2">
      <c r="A2099" t="s">
        <v>2393</v>
      </c>
      <c r="B2099" t="s">
        <v>321</v>
      </c>
      <c r="L2099" t="s">
        <v>321</v>
      </c>
    </row>
    <row r="2100" spans="1:12" x14ac:dyDescent="0.2">
      <c r="A2100" t="s">
        <v>2394</v>
      </c>
      <c r="B2100" t="s">
        <v>321</v>
      </c>
      <c r="L2100" t="s">
        <v>321</v>
      </c>
    </row>
    <row r="2101" spans="1:12" x14ac:dyDescent="0.2">
      <c r="A2101" t="s">
        <v>2395</v>
      </c>
      <c r="B2101" t="s">
        <v>321</v>
      </c>
      <c r="L2101" t="s">
        <v>321</v>
      </c>
    </row>
    <row r="2102" spans="1:12" x14ac:dyDescent="0.2">
      <c r="A2102" t="s">
        <v>2396</v>
      </c>
      <c r="B2102" t="s">
        <v>321</v>
      </c>
      <c r="L2102" t="s">
        <v>321</v>
      </c>
    </row>
    <row r="2103" spans="1:12" x14ac:dyDescent="0.2">
      <c r="A2103" t="s">
        <v>2397</v>
      </c>
      <c r="B2103" t="s">
        <v>321</v>
      </c>
      <c r="L2103" t="s">
        <v>321</v>
      </c>
    </row>
    <row r="2104" spans="1:12" x14ac:dyDescent="0.2">
      <c r="A2104" t="s">
        <v>2398</v>
      </c>
      <c r="B2104" t="s">
        <v>321</v>
      </c>
      <c r="L2104" t="s">
        <v>321</v>
      </c>
    </row>
    <row r="2105" spans="1:12" x14ac:dyDescent="0.2">
      <c r="A2105" t="s">
        <v>3349</v>
      </c>
      <c r="B2105" t="s">
        <v>3350</v>
      </c>
      <c r="H2105" s="5">
        <v>24</v>
      </c>
      <c r="I2105" s="6" t="str">
        <f t="shared" ref="I2105" si="38">IFERROR(DEC2HEX(H2105),"")</f>
        <v>18</v>
      </c>
      <c r="L2105" t="s">
        <v>3350</v>
      </c>
    </row>
    <row r="2106" spans="1:12" x14ac:dyDescent="0.2">
      <c r="A2106" t="s">
        <v>2399</v>
      </c>
      <c r="B2106" t="s">
        <v>3348</v>
      </c>
      <c r="L2106" t="s">
        <v>3348</v>
      </c>
    </row>
    <row r="2107" spans="1:12" x14ac:dyDescent="0.2">
      <c r="A2107" t="s">
        <v>2400</v>
      </c>
      <c r="B2107" t="s">
        <v>3351</v>
      </c>
      <c r="L2107" t="s">
        <v>3351</v>
      </c>
    </row>
    <row r="2108" spans="1:12" x14ac:dyDescent="0.2">
      <c r="A2108" t="s">
        <v>2401</v>
      </c>
      <c r="B2108" t="s">
        <v>3624</v>
      </c>
      <c r="L2108" t="s">
        <v>321</v>
      </c>
    </row>
    <row r="2109" spans="1:12" x14ac:dyDescent="0.2">
      <c r="A2109" t="s">
        <v>2402</v>
      </c>
      <c r="B2109" t="s">
        <v>321</v>
      </c>
      <c r="L2109" t="s">
        <v>321</v>
      </c>
    </row>
    <row r="2110" spans="1:12" x14ac:dyDescent="0.2">
      <c r="A2110" t="s">
        <v>2403</v>
      </c>
      <c r="B2110" t="s">
        <v>321</v>
      </c>
      <c r="L2110" t="s">
        <v>321</v>
      </c>
    </row>
    <row r="2111" spans="1:12" x14ac:dyDescent="0.2">
      <c r="A2111" t="s">
        <v>2404</v>
      </c>
      <c r="B2111" t="s">
        <v>321</v>
      </c>
      <c r="L2111" t="s">
        <v>321</v>
      </c>
    </row>
    <row r="2112" spans="1:12" x14ac:dyDescent="0.2">
      <c r="A2112" t="s">
        <v>2405</v>
      </c>
      <c r="B2112" t="s">
        <v>321</v>
      </c>
      <c r="L2112" t="s">
        <v>321</v>
      </c>
    </row>
    <row r="2113" spans="1:12" x14ac:dyDescent="0.2">
      <c r="A2113" t="s">
        <v>2406</v>
      </c>
      <c r="B2113" t="s">
        <v>321</v>
      </c>
      <c r="L2113" t="s">
        <v>321</v>
      </c>
    </row>
    <row r="2114" spans="1:12" x14ac:dyDescent="0.2">
      <c r="A2114" t="s">
        <v>2407</v>
      </c>
      <c r="B2114" t="s">
        <v>2408</v>
      </c>
      <c r="L2114" t="s">
        <v>2408</v>
      </c>
    </row>
    <row r="2115" spans="1:12" x14ac:dyDescent="0.2">
      <c r="A2115" t="s">
        <v>2409</v>
      </c>
      <c r="B2115" t="s">
        <v>2410</v>
      </c>
      <c r="D2115" t="s">
        <v>2407</v>
      </c>
      <c r="L2115" t="s">
        <v>2410</v>
      </c>
    </row>
    <row r="2116" spans="1:12" x14ac:dyDescent="0.2">
      <c r="A2116" t="s">
        <v>2411</v>
      </c>
      <c r="B2116" t="s">
        <v>3167</v>
      </c>
      <c r="L2116" t="s">
        <v>3167</v>
      </c>
    </row>
    <row r="2117" spans="1:12" x14ac:dyDescent="0.2">
      <c r="A2117" t="s">
        <v>2413</v>
      </c>
      <c r="B2117" t="s">
        <v>321</v>
      </c>
      <c r="L2117" t="s">
        <v>321</v>
      </c>
    </row>
    <row r="2118" spans="1:12" x14ac:dyDescent="0.2">
      <c r="A2118" t="s">
        <v>2414</v>
      </c>
      <c r="B2118" t="s">
        <v>321</v>
      </c>
      <c r="L2118" t="s">
        <v>321</v>
      </c>
    </row>
    <row r="2119" spans="1:12" x14ac:dyDescent="0.2">
      <c r="A2119" t="s">
        <v>2415</v>
      </c>
      <c r="B2119" t="s">
        <v>321</v>
      </c>
      <c r="L2119" t="s">
        <v>321</v>
      </c>
    </row>
    <row r="2120" spans="1:12" x14ac:dyDescent="0.2">
      <c r="A2120" t="s">
        <v>2416</v>
      </c>
      <c r="B2120" t="s">
        <v>321</v>
      </c>
      <c r="L2120" t="s">
        <v>321</v>
      </c>
    </row>
    <row r="2121" spans="1:12" x14ac:dyDescent="0.2">
      <c r="A2121" t="s">
        <v>2417</v>
      </c>
      <c r="B2121" t="s">
        <v>321</v>
      </c>
      <c r="L2121" t="s">
        <v>321</v>
      </c>
    </row>
    <row r="2122" spans="1:12" x14ac:dyDescent="0.2">
      <c r="A2122" t="s">
        <v>2418</v>
      </c>
      <c r="B2122" t="s">
        <v>321</v>
      </c>
      <c r="L2122" t="s">
        <v>321</v>
      </c>
    </row>
    <row r="2123" spans="1:12" x14ac:dyDescent="0.2">
      <c r="A2123" t="s">
        <v>2419</v>
      </c>
      <c r="B2123" t="s">
        <v>321</v>
      </c>
      <c r="L2123" t="s">
        <v>321</v>
      </c>
    </row>
    <row r="2124" spans="1:12" x14ac:dyDescent="0.2">
      <c r="A2124" t="s">
        <v>2421</v>
      </c>
      <c r="B2124" t="s">
        <v>321</v>
      </c>
      <c r="L2124" t="s">
        <v>321</v>
      </c>
    </row>
    <row r="2125" spans="1:12" x14ac:dyDescent="0.2">
      <c r="A2125" t="s">
        <v>2422</v>
      </c>
      <c r="B2125" t="s">
        <v>321</v>
      </c>
      <c r="L2125" t="s">
        <v>321</v>
      </c>
    </row>
    <row r="2126" spans="1:12" x14ac:dyDescent="0.2">
      <c r="A2126" t="s">
        <v>2423</v>
      </c>
      <c r="B2126" t="s">
        <v>321</v>
      </c>
      <c r="L2126" t="s">
        <v>321</v>
      </c>
    </row>
    <row r="2127" spans="1:12" x14ac:dyDescent="0.2">
      <c r="A2127" t="s">
        <v>2424</v>
      </c>
      <c r="B2127" t="s">
        <v>321</v>
      </c>
      <c r="L2127" t="s">
        <v>321</v>
      </c>
    </row>
    <row r="2128" spans="1:12" x14ac:dyDescent="0.2">
      <c r="A2128" t="s">
        <v>2425</v>
      </c>
      <c r="B2128" t="s">
        <v>321</v>
      </c>
      <c r="L2128" t="s">
        <v>321</v>
      </c>
    </row>
    <row r="2129" spans="1:12" x14ac:dyDescent="0.2">
      <c r="A2129" t="s">
        <v>2426</v>
      </c>
      <c r="B2129" t="s">
        <v>321</v>
      </c>
      <c r="L2129" t="s">
        <v>321</v>
      </c>
    </row>
    <row r="2130" spans="1:12" x14ac:dyDescent="0.2">
      <c r="A2130" t="s">
        <v>2427</v>
      </c>
      <c r="B2130" t="s">
        <v>321</v>
      </c>
      <c r="L2130" t="s">
        <v>321</v>
      </c>
    </row>
    <row r="2131" spans="1:12" x14ac:dyDescent="0.2">
      <c r="A2131" t="s">
        <v>2428</v>
      </c>
      <c r="B2131" t="s">
        <v>321</v>
      </c>
      <c r="L2131" t="s">
        <v>321</v>
      </c>
    </row>
    <row r="2132" spans="1:12" x14ac:dyDescent="0.2">
      <c r="A2132" t="s">
        <v>2429</v>
      </c>
      <c r="B2132" t="s">
        <v>321</v>
      </c>
      <c r="L2132" t="s">
        <v>321</v>
      </c>
    </row>
    <row r="2133" spans="1:12" x14ac:dyDescent="0.2">
      <c r="A2133" t="s">
        <v>2430</v>
      </c>
      <c r="B2133" t="s">
        <v>321</v>
      </c>
      <c r="L2133" t="s">
        <v>321</v>
      </c>
    </row>
    <row r="2134" spans="1:12" x14ac:dyDescent="0.2">
      <c r="A2134" t="s">
        <v>2431</v>
      </c>
      <c r="B2134" t="s">
        <v>321</v>
      </c>
      <c r="L2134" t="s">
        <v>321</v>
      </c>
    </row>
    <row r="2135" spans="1:12" x14ac:dyDescent="0.2">
      <c r="A2135" t="s">
        <v>2432</v>
      </c>
      <c r="B2135" t="s">
        <v>321</v>
      </c>
      <c r="L2135" t="s">
        <v>321</v>
      </c>
    </row>
    <row r="2136" spans="1:12" x14ac:dyDescent="0.2">
      <c r="A2136" t="s">
        <v>2433</v>
      </c>
      <c r="B2136" t="s">
        <v>321</v>
      </c>
      <c r="L2136" t="s">
        <v>321</v>
      </c>
    </row>
    <row r="2137" spans="1:12" x14ac:dyDescent="0.2">
      <c r="A2137" t="s">
        <v>2434</v>
      </c>
      <c r="B2137" t="s">
        <v>321</v>
      </c>
      <c r="L2137" t="s">
        <v>321</v>
      </c>
    </row>
    <row r="2138" spans="1:12" x14ac:dyDescent="0.2">
      <c r="A2138" t="s">
        <v>2435</v>
      </c>
      <c r="B2138" t="s">
        <v>321</v>
      </c>
      <c r="L2138" t="s">
        <v>321</v>
      </c>
    </row>
    <row r="2139" spans="1:12" x14ac:dyDescent="0.2">
      <c r="A2139" t="s">
        <v>2436</v>
      </c>
      <c r="B2139" t="s">
        <v>321</v>
      </c>
      <c r="L2139" t="s">
        <v>321</v>
      </c>
    </row>
    <row r="2140" spans="1:12" x14ac:dyDescent="0.2">
      <c r="A2140" t="s">
        <v>2437</v>
      </c>
      <c r="B2140" t="s">
        <v>321</v>
      </c>
      <c r="L2140" t="s">
        <v>321</v>
      </c>
    </row>
    <row r="2141" spans="1:12" x14ac:dyDescent="0.2">
      <c r="A2141" t="s">
        <v>2438</v>
      </c>
      <c r="B2141" t="s">
        <v>321</v>
      </c>
      <c r="L2141" t="s">
        <v>321</v>
      </c>
    </row>
    <row r="2142" spans="1:12" x14ac:dyDescent="0.2">
      <c r="A2142" t="s">
        <v>2439</v>
      </c>
      <c r="B2142" t="s">
        <v>321</v>
      </c>
      <c r="L2142" t="s">
        <v>321</v>
      </c>
    </row>
    <row r="2143" spans="1:12" x14ac:dyDescent="0.2">
      <c r="A2143" t="s">
        <v>2440</v>
      </c>
      <c r="B2143" t="s">
        <v>321</v>
      </c>
      <c r="L2143" t="s">
        <v>321</v>
      </c>
    </row>
    <row r="2144" spans="1:12" x14ac:dyDescent="0.2">
      <c r="A2144" t="s">
        <v>2441</v>
      </c>
      <c r="B2144" t="s">
        <v>321</v>
      </c>
      <c r="L2144" t="s">
        <v>321</v>
      </c>
    </row>
    <row r="2145" spans="1:12" x14ac:dyDescent="0.2">
      <c r="A2145" t="s">
        <v>2442</v>
      </c>
      <c r="B2145" t="s">
        <v>321</v>
      </c>
      <c r="L2145" t="s">
        <v>321</v>
      </c>
    </row>
    <row r="2146" spans="1:12" x14ac:dyDescent="0.2">
      <c r="A2146" t="s">
        <v>2443</v>
      </c>
      <c r="B2146" t="s">
        <v>321</v>
      </c>
      <c r="L2146" t="s">
        <v>321</v>
      </c>
    </row>
    <row r="2147" spans="1:12" x14ac:dyDescent="0.2">
      <c r="A2147" t="s">
        <v>2444</v>
      </c>
      <c r="B2147" t="s">
        <v>321</v>
      </c>
      <c r="L2147" t="s">
        <v>321</v>
      </c>
    </row>
    <row r="2148" spans="1:12" x14ac:dyDescent="0.2">
      <c r="A2148" t="s">
        <v>2445</v>
      </c>
      <c r="B2148" t="s">
        <v>321</v>
      </c>
      <c r="L2148" t="s">
        <v>321</v>
      </c>
    </row>
    <row r="2149" spans="1:12" x14ac:dyDescent="0.2">
      <c r="A2149" t="s">
        <v>2446</v>
      </c>
      <c r="B2149" t="s">
        <v>321</v>
      </c>
      <c r="L2149" t="s">
        <v>321</v>
      </c>
    </row>
    <row r="2150" spans="1:12" x14ac:dyDescent="0.2">
      <c r="A2150" t="s">
        <v>2447</v>
      </c>
      <c r="B2150" t="s">
        <v>321</v>
      </c>
      <c r="L2150" t="s">
        <v>321</v>
      </c>
    </row>
    <row r="2151" spans="1:12" x14ac:dyDescent="0.2">
      <c r="A2151" t="s">
        <v>2448</v>
      </c>
      <c r="B2151" t="s">
        <v>321</v>
      </c>
      <c r="L2151" t="s">
        <v>321</v>
      </c>
    </row>
    <row r="2152" spans="1:12" x14ac:dyDescent="0.2">
      <c r="A2152" t="s">
        <v>2449</v>
      </c>
      <c r="B2152" t="s">
        <v>321</v>
      </c>
      <c r="L2152" t="s">
        <v>321</v>
      </c>
    </row>
    <row r="2153" spans="1:12" x14ac:dyDescent="0.2">
      <c r="A2153" t="s">
        <v>2450</v>
      </c>
      <c r="B2153" t="s">
        <v>321</v>
      </c>
      <c r="L2153" t="s">
        <v>321</v>
      </c>
    </row>
    <row r="2154" spans="1:12" x14ac:dyDescent="0.2">
      <c r="A2154" t="s">
        <v>2451</v>
      </c>
      <c r="B2154" t="s">
        <v>321</v>
      </c>
      <c r="L2154" t="s">
        <v>321</v>
      </c>
    </row>
    <row r="2155" spans="1:12" x14ac:dyDescent="0.2">
      <c r="A2155" t="s">
        <v>2452</v>
      </c>
      <c r="B2155" t="s">
        <v>321</v>
      </c>
      <c r="L2155" t="s">
        <v>321</v>
      </c>
    </row>
    <row r="2156" spans="1:12" x14ac:dyDescent="0.2">
      <c r="A2156" t="s">
        <v>2453</v>
      </c>
      <c r="B2156" t="s">
        <v>321</v>
      </c>
      <c r="L2156" t="s">
        <v>321</v>
      </c>
    </row>
    <row r="2157" spans="1:12" x14ac:dyDescent="0.2">
      <c r="A2157" t="s">
        <v>2454</v>
      </c>
      <c r="B2157" t="s">
        <v>321</v>
      </c>
      <c r="L2157" t="s">
        <v>321</v>
      </c>
    </row>
    <row r="2158" spans="1:12" x14ac:dyDescent="0.2">
      <c r="A2158" t="s">
        <v>2455</v>
      </c>
      <c r="B2158" t="s">
        <v>321</v>
      </c>
      <c r="L2158" t="s">
        <v>321</v>
      </c>
    </row>
    <row r="2159" spans="1:12" x14ac:dyDescent="0.2">
      <c r="A2159" t="s">
        <v>2456</v>
      </c>
      <c r="B2159" t="s">
        <v>321</v>
      </c>
      <c r="L2159" t="s">
        <v>321</v>
      </c>
    </row>
    <row r="2160" spans="1:12" x14ac:dyDescent="0.2">
      <c r="A2160" t="s">
        <v>2457</v>
      </c>
      <c r="B2160" t="s">
        <v>321</v>
      </c>
      <c r="L2160" t="s">
        <v>321</v>
      </c>
    </row>
    <row r="2161" spans="1:12" x14ac:dyDescent="0.2">
      <c r="A2161" t="s">
        <v>2458</v>
      </c>
      <c r="B2161" t="s">
        <v>321</v>
      </c>
      <c r="L2161" t="s">
        <v>321</v>
      </c>
    </row>
    <row r="2162" spans="1:12" x14ac:dyDescent="0.2">
      <c r="A2162" t="s">
        <v>2459</v>
      </c>
      <c r="B2162" t="s">
        <v>321</v>
      </c>
      <c r="L2162" t="s">
        <v>321</v>
      </c>
    </row>
    <row r="2163" spans="1:12" x14ac:dyDescent="0.2">
      <c r="A2163" t="s">
        <v>2460</v>
      </c>
      <c r="B2163" t="s">
        <v>321</v>
      </c>
      <c r="L2163" t="s">
        <v>321</v>
      </c>
    </row>
    <row r="2164" spans="1:12" x14ac:dyDescent="0.2">
      <c r="A2164" t="s">
        <v>2461</v>
      </c>
      <c r="B2164" t="s">
        <v>321</v>
      </c>
      <c r="L2164" t="s">
        <v>321</v>
      </c>
    </row>
    <row r="2165" spans="1:12" x14ac:dyDescent="0.2">
      <c r="A2165" t="s">
        <v>2462</v>
      </c>
      <c r="B2165" t="s">
        <v>321</v>
      </c>
      <c r="L2165" t="s">
        <v>321</v>
      </c>
    </row>
    <row r="2166" spans="1:12" x14ac:dyDescent="0.2">
      <c r="A2166" t="s">
        <v>2463</v>
      </c>
      <c r="B2166" t="s">
        <v>3625</v>
      </c>
      <c r="L2166" t="s">
        <v>321</v>
      </c>
    </row>
    <row r="2167" spans="1:12" x14ac:dyDescent="0.2">
      <c r="A2167" t="s">
        <v>2464</v>
      </c>
      <c r="B2167" t="s">
        <v>321</v>
      </c>
      <c r="L2167" t="s">
        <v>321</v>
      </c>
    </row>
    <row r="2168" spans="1:12" x14ac:dyDescent="0.2">
      <c r="A2168" t="s">
        <v>2465</v>
      </c>
      <c r="B2168" t="s">
        <v>321</v>
      </c>
      <c r="L2168" t="s">
        <v>321</v>
      </c>
    </row>
    <row r="2169" spans="1:12" x14ac:dyDescent="0.2">
      <c r="A2169" t="s">
        <v>2466</v>
      </c>
      <c r="B2169" t="s">
        <v>321</v>
      </c>
      <c r="L2169" t="s">
        <v>321</v>
      </c>
    </row>
    <row r="2170" spans="1:12" x14ac:dyDescent="0.2">
      <c r="A2170" t="s">
        <v>2467</v>
      </c>
      <c r="B2170" t="s">
        <v>321</v>
      </c>
      <c r="L2170" t="s">
        <v>321</v>
      </c>
    </row>
    <row r="2171" spans="1:12" x14ac:dyDescent="0.2">
      <c r="A2171" t="s">
        <v>2468</v>
      </c>
      <c r="B2171" t="s">
        <v>321</v>
      </c>
      <c r="L2171" t="s">
        <v>321</v>
      </c>
    </row>
    <row r="2172" spans="1:12" x14ac:dyDescent="0.2">
      <c r="A2172" t="s">
        <v>2469</v>
      </c>
      <c r="B2172" t="s">
        <v>321</v>
      </c>
      <c r="L2172" t="s">
        <v>321</v>
      </c>
    </row>
    <row r="2173" spans="1:12" x14ac:dyDescent="0.2">
      <c r="A2173" t="s">
        <v>2470</v>
      </c>
      <c r="B2173" t="s">
        <v>321</v>
      </c>
      <c r="L2173" t="s">
        <v>321</v>
      </c>
    </row>
    <row r="2174" spans="1:12" x14ac:dyDescent="0.2">
      <c r="A2174" t="s">
        <v>2471</v>
      </c>
      <c r="B2174" t="s">
        <v>321</v>
      </c>
      <c r="L2174" t="s">
        <v>321</v>
      </c>
    </row>
    <row r="2175" spans="1:12" x14ac:dyDescent="0.2">
      <c r="A2175" t="s">
        <v>2472</v>
      </c>
      <c r="B2175" t="s">
        <v>321</v>
      </c>
      <c r="L2175" t="s">
        <v>321</v>
      </c>
    </row>
    <row r="2176" spans="1:12" x14ac:dyDescent="0.2">
      <c r="A2176" t="s">
        <v>2473</v>
      </c>
      <c r="B2176" t="s">
        <v>321</v>
      </c>
      <c r="L2176" t="s">
        <v>321</v>
      </c>
    </row>
    <row r="2177" spans="1:12" x14ac:dyDescent="0.2">
      <c r="A2177" t="s">
        <v>2474</v>
      </c>
      <c r="B2177" t="s">
        <v>321</v>
      </c>
      <c r="L2177" t="s">
        <v>321</v>
      </c>
    </row>
    <row r="2178" spans="1:12" x14ac:dyDescent="0.2">
      <c r="A2178" t="s">
        <v>2475</v>
      </c>
      <c r="B2178" t="s">
        <v>321</v>
      </c>
      <c r="L2178" t="s">
        <v>321</v>
      </c>
    </row>
    <row r="2179" spans="1:12" x14ac:dyDescent="0.2">
      <c r="A2179" t="s">
        <v>2476</v>
      </c>
      <c r="B2179" t="s">
        <v>321</v>
      </c>
      <c r="L2179" t="s">
        <v>321</v>
      </c>
    </row>
    <row r="2180" spans="1:12" x14ac:dyDescent="0.2">
      <c r="A2180" t="s">
        <v>2477</v>
      </c>
      <c r="B2180" t="s">
        <v>321</v>
      </c>
      <c r="L2180" t="s">
        <v>321</v>
      </c>
    </row>
    <row r="2181" spans="1:12" x14ac:dyDescent="0.2">
      <c r="A2181" t="s">
        <v>2478</v>
      </c>
      <c r="B2181" t="s">
        <v>321</v>
      </c>
      <c r="L2181" t="s">
        <v>321</v>
      </c>
    </row>
    <row r="2182" spans="1:12" x14ac:dyDescent="0.2">
      <c r="A2182" t="s">
        <v>2479</v>
      </c>
      <c r="B2182" t="s">
        <v>321</v>
      </c>
      <c r="L2182" t="s">
        <v>321</v>
      </c>
    </row>
    <row r="2183" spans="1:12" x14ac:dyDescent="0.2">
      <c r="A2183" t="s">
        <v>2480</v>
      </c>
      <c r="B2183" t="s">
        <v>321</v>
      </c>
      <c r="L2183" t="s">
        <v>321</v>
      </c>
    </row>
    <row r="2184" spans="1:12" x14ac:dyDescent="0.2">
      <c r="A2184" t="s">
        <v>2481</v>
      </c>
      <c r="B2184" t="s">
        <v>321</v>
      </c>
      <c r="L2184" t="s">
        <v>321</v>
      </c>
    </row>
    <row r="2185" spans="1:12" x14ac:dyDescent="0.2">
      <c r="A2185" t="s">
        <v>2482</v>
      </c>
      <c r="B2185" t="s">
        <v>321</v>
      </c>
      <c r="L2185" t="s">
        <v>321</v>
      </c>
    </row>
    <row r="2186" spans="1:12" x14ac:dyDescent="0.2">
      <c r="A2186" t="s">
        <v>2483</v>
      </c>
      <c r="B2186" t="s">
        <v>321</v>
      </c>
      <c r="L2186" t="s">
        <v>321</v>
      </c>
    </row>
    <row r="2187" spans="1:12" x14ac:dyDescent="0.2">
      <c r="A2187" t="s">
        <v>2484</v>
      </c>
      <c r="B2187" t="s">
        <v>321</v>
      </c>
      <c r="L2187" t="s">
        <v>321</v>
      </c>
    </row>
    <row r="2188" spans="1:12" x14ac:dyDescent="0.2">
      <c r="A2188" t="s">
        <v>2485</v>
      </c>
      <c r="B2188" t="s">
        <v>321</v>
      </c>
      <c r="L2188" t="s">
        <v>321</v>
      </c>
    </row>
    <row r="2189" spans="1:12" x14ac:dyDescent="0.2">
      <c r="A2189" t="s">
        <v>2486</v>
      </c>
      <c r="B2189" t="s">
        <v>321</v>
      </c>
      <c r="L2189" t="s">
        <v>321</v>
      </c>
    </row>
    <row r="2190" spans="1:12" x14ac:dyDescent="0.2">
      <c r="A2190" t="s">
        <v>2487</v>
      </c>
      <c r="B2190" t="s">
        <v>321</v>
      </c>
      <c r="L2190" t="s">
        <v>321</v>
      </c>
    </row>
    <row r="2191" spans="1:12" x14ac:dyDescent="0.2">
      <c r="A2191" t="s">
        <v>2488</v>
      </c>
      <c r="B2191" t="s">
        <v>321</v>
      </c>
      <c r="L2191" t="s">
        <v>321</v>
      </c>
    </row>
    <row r="2192" spans="1:12" x14ac:dyDescent="0.2">
      <c r="A2192" t="s">
        <v>2489</v>
      </c>
      <c r="B2192" t="s">
        <v>321</v>
      </c>
      <c r="L2192" t="s">
        <v>321</v>
      </c>
    </row>
    <row r="2193" spans="1:12" x14ac:dyDescent="0.2">
      <c r="A2193" t="s">
        <v>2490</v>
      </c>
      <c r="B2193" t="s">
        <v>321</v>
      </c>
      <c r="L2193" t="s">
        <v>321</v>
      </c>
    </row>
    <row r="2194" spans="1:12" x14ac:dyDescent="0.2">
      <c r="A2194" t="s">
        <v>2491</v>
      </c>
      <c r="B2194" t="s">
        <v>321</v>
      </c>
      <c r="L2194" t="s">
        <v>321</v>
      </c>
    </row>
    <row r="2195" spans="1:12" x14ac:dyDescent="0.2">
      <c r="A2195" t="s">
        <v>2492</v>
      </c>
      <c r="B2195" t="s">
        <v>321</v>
      </c>
      <c r="L2195" t="s">
        <v>321</v>
      </c>
    </row>
    <row r="2196" spans="1:12" x14ac:dyDescent="0.2">
      <c r="A2196" t="s">
        <v>2493</v>
      </c>
      <c r="B2196" t="s">
        <v>321</v>
      </c>
      <c r="L2196" t="s">
        <v>321</v>
      </c>
    </row>
    <row r="2197" spans="1:12" x14ac:dyDescent="0.2">
      <c r="A2197" t="s">
        <v>2494</v>
      </c>
      <c r="B2197" t="s">
        <v>321</v>
      </c>
      <c r="L2197" t="s">
        <v>321</v>
      </c>
    </row>
    <row r="2198" spans="1:12" x14ac:dyDescent="0.2">
      <c r="A2198" t="s">
        <v>2495</v>
      </c>
      <c r="B2198" t="s">
        <v>321</v>
      </c>
      <c r="L2198" t="s">
        <v>321</v>
      </c>
    </row>
    <row r="2199" spans="1:12" x14ac:dyDescent="0.2">
      <c r="A2199" t="s">
        <v>2496</v>
      </c>
      <c r="B2199" t="s">
        <v>321</v>
      </c>
      <c r="L2199" t="s">
        <v>321</v>
      </c>
    </row>
    <row r="2200" spans="1:12" x14ac:dyDescent="0.2">
      <c r="A2200" t="s">
        <v>2497</v>
      </c>
      <c r="B2200" t="s">
        <v>321</v>
      </c>
      <c r="L2200" t="s">
        <v>321</v>
      </c>
    </row>
    <row r="2201" spans="1:12" x14ac:dyDescent="0.2">
      <c r="A2201" t="s">
        <v>2498</v>
      </c>
      <c r="B2201" t="s">
        <v>321</v>
      </c>
      <c r="L2201" t="s">
        <v>321</v>
      </c>
    </row>
    <row r="2202" spans="1:12" x14ac:dyDescent="0.2">
      <c r="A2202" t="s">
        <v>2499</v>
      </c>
      <c r="B2202" t="s">
        <v>321</v>
      </c>
      <c r="L2202" t="s">
        <v>321</v>
      </c>
    </row>
    <row r="2203" spans="1:12" x14ac:dyDescent="0.2">
      <c r="A2203" t="s">
        <v>2500</v>
      </c>
      <c r="B2203" t="s">
        <v>3363</v>
      </c>
      <c r="L2203" t="s">
        <v>3363</v>
      </c>
    </row>
    <row r="2204" spans="1:12" x14ac:dyDescent="0.2">
      <c r="A2204" t="s">
        <v>2501</v>
      </c>
      <c r="B2204" t="s">
        <v>321</v>
      </c>
      <c r="L2204" t="s">
        <v>321</v>
      </c>
    </row>
    <row r="2205" spans="1:12" x14ac:dyDescent="0.2">
      <c r="A2205" t="s">
        <v>2502</v>
      </c>
      <c r="B2205" t="s">
        <v>3365</v>
      </c>
      <c r="L2205" t="s">
        <v>3365</v>
      </c>
    </row>
    <row r="2206" spans="1:12" x14ac:dyDescent="0.2">
      <c r="A2206" t="s">
        <v>2503</v>
      </c>
      <c r="B2206" t="s">
        <v>321</v>
      </c>
      <c r="L2206" t="s">
        <v>321</v>
      </c>
    </row>
    <row r="2207" spans="1:12" x14ac:dyDescent="0.2">
      <c r="A2207" t="s">
        <v>2504</v>
      </c>
      <c r="B2207" t="s">
        <v>3367</v>
      </c>
      <c r="L2207" t="s">
        <v>3367</v>
      </c>
    </row>
    <row r="2208" spans="1:12" x14ac:dyDescent="0.2">
      <c r="A2208" t="s">
        <v>2505</v>
      </c>
      <c r="B2208" t="s">
        <v>321</v>
      </c>
      <c r="L2208" t="s">
        <v>321</v>
      </c>
    </row>
    <row r="2209" spans="1:12" x14ac:dyDescent="0.2">
      <c r="A2209" t="s">
        <v>2506</v>
      </c>
      <c r="B2209" t="s">
        <v>3366</v>
      </c>
      <c r="L2209" t="s">
        <v>3366</v>
      </c>
    </row>
    <row r="2210" spans="1:12" x14ac:dyDescent="0.2">
      <c r="A2210" t="s">
        <v>2507</v>
      </c>
      <c r="B2210" t="s">
        <v>321</v>
      </c>
      <c r="L2210" t="s">
        <v>321</v>
      </c>
    </row>
    <row r="2211" spans="1:12" x14ac:dyDescent="0.2">
      <c r="A2211" t="s">
        <v>2508</v>
      </c>
      <c r="B2211" t="s">
        <v>321</v>
      </c>
      <c r="L2211" t="s">
        <v>321</v>
      </c>
    </row>
    <row r="2212" spans="1:12" x14ac:dyDescent="0.2">
      <c r="A2212" t="s">
        <v>2509</v>
      </c>
      <c r="B2212" t="s">
        <v>321</v>
      </c>
      <c r="L2212" t="s">
        <v>321</v>
      </c>
    </row>
    <row r="2213" spans="1:12" x14ac:dyDescent="0.2">
      <c r="A2213" t="s">
        <v>2510</v>
      </c>
      <c r="B2213" t="s">
        <v>321</v>
      </c>
      <c r="L2213" t="s">
        <v>321</v>
      </c>
    </row>
    <row r="2214" spans="1:12" x14ac:dyDescent="0.2">
      <c r="A2214" t="s">
        <v>2511</v>
      </c>
      <c r="B2214" t="s">
        <v>321</v>
      </c>
      <c r="L2214" t="s">
        <v>321</v>
      </c>
    </row>
    <row r="2215" spans="1:12" x14ac:dyDescent="0.2">
      <c r="A2215" t="s">
        <v>2512</v>
      </c>
      <c r="B2215" t="s">
        <v>321</v>
      </c>
      <c r="L2215" t="s">
        <v>321</v>
      </c>
    </row>
    <row r="2216" spans="1:12" x14ac:dyDescent="0.2">
      <c r="A2216" t="s">
        <v>2513</v>
      </c>
      <c r="B2216" t="s">
        <v>321</v>
      </c>
      <c r="L2216" t="s">
        <v>321</v>
      </c>
    </row>
    <row r="2217" spans="1:12" x14ac:dyDescent="0.2">
      <c r="A2217" t="s">
        <v>2514</v>
      </c>
      <c r="B2217" t="s">
        <v>321</v>
      </c>
      <c r="L2217" t="s">
        <v>321</v>
      </c>
    </row>
    <row r="2218" spans="1:12" x14ac:dyDescent="0.2">
      <c r="A2218" t="s">
        <v>2515</v>
      </c>
      <c r="B2218" t="s">
        <v>3364</v>
      </c>
      <c r="L2218" t="s">
        <v>3364</v>
      </c>
    </row>
    <row r="2219" spans="1:12" x14ac:dyDescent="0.2">
      <c r="A2219" t="s">
        <v>2516</v>
      </c>
      <c r="B2219" t="s">
        <v>321</v>
      </c>
      <c r="L2219" t="s">
        <v>321</v>
      </c>
    </row>
    <row r="2220" spans="1:12" x14ac:dyDescent="0.2">
      <c r="A2220" t="s">
        <v>2517</v>
      </c>
      <c r="B2220" t="s">
        <v>3311</v>
      </c>
      <c r="C2220" s="5" t="s">
        <v>124</v>
      </c>
      <c r="D2220" t="s">
        <v>3104</v>
      </c>
      <c r="E2220" t="str">
        <f t="shared" ref="E2220" si="39">C2220&amp;"/"&amp;D2220</f>
        <v>gfx/Main_Slots.colours</v>
      </c>
      <c r="F2220" t="s">
        <v>3310</v>
      </c>
      <c r="G2220" s="5">
        <f t="shared" ref="G2220" si="40">IF(F2220&lt;&gt;"",HEX2DEC(SUBSTITUTE(SUBSTITUTE(F2220,"adrEA",""),"$","")),"")</f>
        <v>44672</v>
      </c>
      <c r="H2220" s="5">
        <v>32</v>
      </c>
      <c r="I2220" s="6" t="str">
        <f t="shared" ref="I2220" si="41">IFERROR(DEC2HEX(H2220),"")</f>
        <v>20</v>
      </c>
      <c r="L2220" t="s">
        <v>3311</v>
      </c>
    </row>
    <row r="2221" spans="1:12" x14ac:dyDescent="0.2">
      <c r="A2221" t="s">
        <v>2518</v>
      </c>
      <c r="B2221" t="s">
        <v>321</v>
      </c>
      <c r="L2221" t="s">
        <v>321</v>
      </c>
    </row>
    <row r="2222" spans="1:12" x14ac:dyDescent="0.2">
      <c r="A2222" t="s">
        <v>2519</v>
      </c>
      <c r="B2222" t="s">
        <v>3362</v>
      </c>
      <c r="L2222" t="s">
        <v>3362</v>
      </c>
    </row>
    <row r="2223" spans="1:12" x14ac:dyDescent="0.2">
      <c r="A2223" t="s">
        <v>2520</v>
      </c>
      <c r="B2223" t="s">
        <v>3333</v>
      </c>
      <c r="C2223" s="5" t="s">
        <v>48</v>
      </c>
      <c r="D2223" t="s">
        <v>3334</v>
      </c>
      <c r="E2223" t="str">
        <f t="shared" ref="E2223" si="42">C2223&amp;"/"&amp;D2223</f>
        <v>data/Door_Lock.colours</v>
      </c>
      <c r="F2223" t="s">
        <v>3335</v>
      </c>
      <c r="G2223" s="5">
        <f t="shared" ref="G2223" si="43">IF(F2223&lt;&gt;"",HEX2DEC(SUBSTITUTE(SUBSTITUTE(F2223,"adrEA",""),"$","")),"")</f>
        <v>44882</v>
      </c>
      <c r="H2223" s="5">
        <v>8</v>
      </c>
      <c r="I2223" s="6" t="str">
        <f t="shared" ref="I2223" si="44">IFERROR(DEC2HEX(H2223),"")</f>
        <v>8</v>
      </c>
      <c r="L2223" t="s">
        <v>3333</v>
      </c>
    </row>
    <row r="2224" spans="1:12" x14ac:dyDescent="0.2">
      <c r="A2224" t="s">
        <v>2521</v>
      </c>
      <c r="B2224" t="s">
        <v>321</v>
      </c>
      <c r="L2224" t="s">
        <v>321</v>
      </c>
    </row>
    <row r="2225" spans="1:12" x14ac:dyDescent="0.2">
      <c r="A2225" t="s">
        <v>2522</v>
      </c>
      <c r="B2225" t="s">
        <v>321</v>
      </c>
      <c r="L2225" t="s">
        <v>321</v>
      </c>
    </row>
    <row r="2226" spans="1:12" x14ac:dyDescent="0.2">
      <c r="A2226" t="s">
        <v>2523</v>
      </c>
      <c r="B2226" t="s">
        <v>321</v>
      </c>
      <c r="L2226" t="s">
        <v>321</v>
      </c>
    </row>
    <row r="2227" spans="1:12" x14ac:dyDescent="0.2">
      <c r="A2227" t="s">
        <v>2524</v>
      </c>
      <c r="B2227" t="s">
        <v>321</v>
      </c>
      <c r="L2227" t="s">
        <v>321</v>
      </c>
    </row>
    <row r="2228" spans="1:12" x14ac:dyDescent="0.2">
      <c r="A2228" t="s">
        <v>2525</v>
      </c>
      <c r="B2228" t="s">
        <v>321</v>
      </c>
      <c r="L2228" t="s">
        <v>321</v>
      </c>
    </row>
    <row r="2229" spans="1:12" x14ac:dyDescent="0.2">
      <c r="A2229" t="s">
        <v>2526</v>
      </c>
      <c r="B2229" t="s">
        <v>321</v>
      </c>
      <c r="L2229" t="s">
        <v>321</v>
      </c>
    </row>
    <row r="2230" spans="1:12" x14ac:dyDescent="0.2">
      <c r="A2230" t="s">
        <v>2527</v>
      </c>
      <c r="B2230" t="s">
        <v>321</v>
      </c>
      <c r="L2230" t="s">
        <v>321</v>
      </c>
    </row>
    <row r="2231" spans="1:12" x14ac:dyDescent="0.2">
      <c r="A2231" t="s">
        <v>2528</v>
      </c>
      <c r="B2231" t="s">
        <v>321</v>
      </c>
      <c r="L2231" t="s">
        <v>321</v>
      </c>
    </row>
    <row r="2232" spans="1:12" x14ac:dyDescent="0.2">
      <c r="A2232" t="s">
        <v>2529</v>
      </c>
      <c r="B2232" t="s">
        <v>321</v>
      </c>
      <c r="L2232" t="s">
        <v>321</v>
      </c>
    </row>
    <row r="2233" spans="1:12" x14ac:dyDescent="0.2">
      <c r="A2233" t="s">
        <v>2530</v>
      </c>
      <c r="B2233" t="s">
        <v>321</v>
      </c>
      <c r="L2233" t="s">
        <v>321</v>
      </c>
    </row>
    <row r="2234" spans="1:12" x14ac:dyDescent="0.2">
      <c r="A2234" t="s">
        <v>2531</v>
      </c>
      <c r="B2234" t="s">
        <v>321</v>
      </c>
      <c r="L2234" t="s">
        <v>321</v>
      </c>
    </row>
    <row r="2235" spans="1:12" x14ac:dyDescent="0.2">
      <c r="A2235" t="s">
        <v>2532</v>
      </c>
      <c r="B2235" t="s">
        <v>321</v>
      </c>
      <c r="L2235" t="s">
        <v>321</v>
      </c>
    </row>
    <row r="2236" spans="1:12" x14ac:dyDescent="0.2">
      <c r="A2236" t="s">
        <v>2533</v>
      </c>
      <c r="B2236" t="s">
        <v>321</v>
      </c>
      <c r="L2236" t="s">
        <v>321</v>
      </c>
    </row>
    <row r="2237" spans="1:12" x14ac:dyDescent="0.2">
      <c r="A2237" t="s">
        <v>2534</v>
      </c>
      <c r="B2237" t="s">
        <v>321</v>
      </c>
      <c r="L2237" t="s">
        <v>321</v>
      </c>
    </row>
    <row r="2238" spans="1:12" x14ac:dyDescent="0.2">
      <c r="A2238" t="s">
        <v>2535</v>
      </c>
      <c r="B2238" t="s">
        <v>3359</v>
      </c>
      <c r="L2238" t="s">
        <v>3359</v>
      </c>
    </row>
    <row r="2239" spans="1:12" x14ac:dyDescent="0.2">
      <c r="A2239" t="s">
        <v>2536</v>
      </c>
      <c r="B2239" t="s">
        <v>3382</v>
      </c>
      <c r="L2239" t="s">
        <v>3382</v>
      </c>
    </row>
    <row r="2240" spans="1:12" x14ac:dyDescent="0.2">
      <c r="A2240" t="s">
        <v>2537</v>
      </c>
      <c r="B2240" t="s">
        <v>321</v>
      </c>
      <c r="L2240" t="s">
        <v>321</v>
      </c>
    </row>
    <row r="2241" spans="1:12" x14ac:dyDescent="0.2">
      <c r="A2241" t="s">
        <v>2538</v>
      </c>
      <c r="B2241" t="s">
        <v>321</v>
      </c>
      <c r="L2241" t="s">
        <v>321</v>
      </c>
    </row>
    <row r="2242" spans="1:12" x14ac:dyDescent="0.2">
      <c r="A2242" t="s">
        <v>2539</v>
      </c>
      <c r="B2242" t="s">
        <v>321</v>
      </c>
      <c r="L2242" t="s">
        <v>321</v>
      </c>
    </row>
    <row r="2243" spans="1:12" x14ac:dyDescent="0.2">
      <c r="A2243" t="s">
        <v>2540</v>
      </c>
      <c r="B2243" t="s">
        <v>3325</v>
      </c>
      <c r="L2243" t="s">
        <v>3325</v>
      </c>
    </row>
    <row r="2244" spans="1:12" x14ac:dyDescent="0.2">
      <c r="A2244" t="s">
        <v>2541</v>
      </c>
      <c r="B2244" t="s">
        <v>3324</v>
      </c>
      <c r="L2244" t="s">
        <v>3324</v>
      </c>
    </row>
    <row r="2245" spans="1:12" x14ac:dyDescent="0.2">
      <c r="A2245" t="s">
        <v>2542</v>
      </c>
      <c r="B2245" t="s">
        <v>3336</v>
      </c>
      <c r="L2245" t="s">
        <v>3336</v>
      </c>
    </row>
    <row r="2246" spans="1:12" x14ac:dyDescent="0.2">
      <c r="A2246" t="s">
        <v>2543</v>
      </c>
      <c r="B2246" t="s">
        <v>321</v>
      </c>
      <c r="L2246" t="s">
        <v>321</v>
      </c>
    </row>
    <row r="2247" spans="1:12" x14ac:dyDescent="0.2">
      <c r="A2247" t="s">
        <v>2544</v>
      </c>
      <c r="B2247" t="s">
        <v>321</v>
      </c>
      <c r="L2247" t="s">
        <v>321</v>
      </c>
    </row>
    <row r="2248" spans="1:12" x14ac:dyDescent="0.2">
      <c r="A2248" t="s">
        <v>2545</v>
      </c>
      <c r="B2248" t="s">
        <v>321</v>
      </c>
      <c r="L2248" t="s">
        <v>321</v>
      </c>
    </row>
    <row r="2249" spans="1:12" x14ac:dyDescent="0.2">
      <c r="A2249" t="s">
        <v>2546</v>
      </c>
      <c r="B2249" t="s">
        <v>321</v>
      </c>
      <c r="L2249" t="s">
        <v>321</v>
      </c>
    </row>
    <row r="2250" spans="1:12" x14ac:dyDescent="0.2">
      <c r="A2250" t="s">
        <v>2547</v>
      </c>
      <c r="B2250" t="s">
        <v>321</v>
      </c>
      <c r="L2250" t="s">
        <v>321</v>
      </c>
    </row>
    <row r="2251" spans="1:12" x14ac:dyDescent="0.2">
      <c r="A2251" t="s">
        <v>2548</v>
      </c>
      <c r="B2251" t="s">
        <v>321</v>
      </c>
      <c r="L2251" t="s">
        <v>321</v>
      </c>
    </row>
    <row r="2252" spans="1:12" x14ac:dyDescent="0.2">
      <c r="A2252" t="s">
        <v>2549</v>
      </c>
      <c r="B2252" t="s">
        <v>321</v>
      </c>
      <c r="L2252" t="s">
        <v>321</v>
      </c>
    </row>
    <row r="2253" spans="1:12" x14ac:dyDescent="0.2">
      <c r="A2253" t="s">
        <v>2550</v>
      </c>
      <c r="B2253" t="s">
        <v>321</v>
      </c>
      <c r="L2253" t="s">
        <v>321</v>
      </c>
    </row>
    <row r="2254" spans="1:12" x14ac:dyDescent="0.2">
      <c r="A2254" t="s">
        <v>2551</v>
      </c>
      <c r="B2254" t="s">
        <v>321</v>
      </c>
      <c r="L2254" t="s">
        <v>321</v>
      </c>
    </row>
    <row r="2255" spans="1:12" x14ac:dyDescent="0.2">
      <c r="A2255" t="s">
        <v>2552</v>
      </c>
      <c r="B2255" t="s">
        <v>321</v>
      </c>
      <c r="L2255" t="s">
        <v>321</v>
      </c>
    </row>
    <row r="2256" spans="1:12" x14ac:dyDescent="0.2">
      <c r="A2256" t="s">
        <v>2553</v>
      </c>
      <c r="B2256" t="s">
        <v>321</v>
      </c>
      <c r="L2256" t="s">
        <v>321</v>
      </c>
    </row>
    <row r="2257" spans="1:12" x14ac:dyDescent="0.2">
      <c r="A2257" t="s">
        <v>2554</v>
      </c>
      <c r="B2257" t="s">
        <v>321</v>
      </c>
      <c r="L2257" t="s">
        <v>321</v>
      </c>
    </row>
    <row r="2258" spans="1:12" x14ac:dyDescent="0.2">
      <c r="A2258" t="s">
        <v>2555</v>
      </c>
      <c r="B2258" t="s">
        <v>321</v>
      </c>
      <c r="L2258" t="s">
        <v>321</v>
      </c>
    </row>
    <row r="2259" spans="1:12" x14ac:dyDescent="0.2">
      <c r="A2259" t="s">
        <v>2556</v>
      </c>
      <c r="B2259" t="s">
        <v>321</v>
      </c>
      <c r="L2259" t="s">
        <v>321</v>
      </c>
    </row>
    <row r="2260" spans="1:12" x14ac:dyDescent="0.2">
      <c r="A2260" t="s">
        <v>2557</v>
      </c>
      <c r="B2260" t="s">
        <v>321</v>
      </c>
      <c r="L2260" t="s">
        <v>321</v>
      </c>
    </row>
    <row r="2261" spans="1:12" x14ac:dyDescent="0.2">
      <c r="A2261" t="s">
        <v>2558</v>
      </c>
      <c r="B2261" t="s">
        <v>321</v>
      </c>
      <c r="L2261" t="s">
        <v>321</v>
      </c>
    </row>
    <row r="2262" spans="1:12" x14ac:dyDescent="0.2">
      <c r="A2262" t="s">
        <v>2559</v>
      </c>
      <c r="B2262" t="s">
        <v>321</v>
      </c>
      <c r="L2262" t="s">
        <v>321</v>
      </c>
    </row>
    <row r="2263" spans="1:12" x14ac:dyDescent="0.2">
      <c r="A2263" t="s">
        <v>2560</v>
      </c>
      <c r="B2263" t="s">
        <v>321</v>
      </c>
      <c r="L2263" t="s">
        <v>321</v>
      </c>
    </row>
    <row r="2264" spans="1:12" x14ac:dyDescent="0.2">
      <c r="A2264" t="s">
        <v>2561</v>
      </c>
      <c r="B2264" t="s">
        <v>321</v>
      </c>
      <c r="L2264" t="s">
        <v>321</v>
      </c>
    </row>
    <row r="2265" spans="1:12" x14ac:dyDescent="0.2">
      <c r="A2265" t="s">
        <v>2562</v>
      </c>
      <c r="B2265" t="s">
        <v>321</v>
      </c>
      <c r="L2265" t="s">
        <v>321</v>
      </c>
    </row>
    <row r="2266" spans="1:12" x14ac:dyDescent="0.2">
      <c r="A2266" t="s">
        <v>2563</v>
      </c>
      <c r="B2266" t="s">
        <v>321</v>
      </c>
      <c r="L2266" t="s">
        <v>321</v>
      </c>
    </row>
    <row r="2267" spans="1:12" x14ac:dyDescent="0.2">
      <c r="A2267" t="s">
        <v>2564</v>
      </c>
      <c r="B2267" t="s">
        <v>321</v>
      </c>
      <c r="L2267" t="s">
        <v>321</v>
      </c>
    </row>
    <row r="2268" spans="1:12" x14ac:dyDescent="0.2">
      <c r="A2268" t="s">
        <v>2565</v>
      </c>
      <c r="B2268" t="s">
        <v>321</v>
      </c>
      <c r="L2268" t="s">
        <v>321</v>
      </c>
    </row>
    <row r="2269" spans="1:12" x14ac:dyDescent="0.2">
      <c r="A2269" t="s">
        <v>2566</v>
      </c>
      <c r="B2269" t="s">
        <v>321</v>
      </c>
      <c r="L2269" t="s">
        <v>321</v>
      </c>
    </row>
    <row r="2270" spans="1:12" x14ac:dyDescent="0.2">
      <c r="A2270" t="s">
        <v>2567</v>
      </c>
      <c r="B2270" t="s">
        <v>321</v>
      </c>
      <c r="L2270" t="s">
        <v>321</v>
      </c>
    </row>
    <row r="2271" spans="1:12" x14ac:dyDescent="0.2">
      <c r="A2271" t="s">
        <v>2568</v>
      </c>
      <c r="B2271" t="s">
        <v>321</v>
      </c>
      <c r="L2271" t="s">
        <v>321</v>
      </c>
    </row>
    <row r="2272" spans="1:12" x14ac:dyDescent="0.2">
      <c r="A2272" t="s">
        <v>2569</v>
      </c>
      <c r="B2272" t="s">
        <v>321</v>
      </c>
      <c r="L2272" t="s">
        <v>321</v>
      </c>
    </row>
    <row r="2273" spans="1:12" x14ac:dyDescent="0.2">
      <c r="A2273" t="s">
        <v>2570</v>
      </c>
      <c r="B2273" t="s">
        <v>321</v>
      </c>
      <c r="L2273" t="s">
        <v>321</v>
      </c>
    </row>
    <row r="2274" spans="1:12" x14ac:dyDescent="0.2">
      <c r="A2274" t="s">
        <v>2571</v>
      </c>
      <c r="B2274" t="s">
        <v>321</v>
      </c>
      <c r="L2274" t="s">
        <v>321</v>
      </c>
    </row>
    <row r="2275" spans="1:12" x14ac:dyDescent="0.2">
      <c r="A2275" t="s">
        <v>2572</v>
      </c>
      <c r="B2275" t="s">
        <v>321</v>
      </c>
      <c r="L2275" t="s">
        <v>321</v>
      </c>
    </row>
    <row r="2276" spans="1:12" x14ac:dyDescent="0.2">
      <c r="A2276" t="s">
        <v>2573</v>
      </c>
      <c r="B2276" t="s">
        <v>321</v>
      </c>
      <c r="L2276" t="s">
        <v>321</v>
      </c>
    </row>
    <row r="2277" spans="1:12" x14ac:dyDescent="0.2">
      <c r="A2277" t="s">
        <v>2574</v>
      </c>
      <c r="B2277" t="s">
        <v>321</v>
      </c>
      <c r="L2277" t="s">
        <v>321</v>
      </c>
    </row>
    <row r="2278" spans="1:12" x14ac:dyDescent="0.2">
      <c r="A2278" t="s">
        <v>2575</v>
      </c>
      <c r="B2278" t="s">
        <v>321</v>
      </c>
      <c r="L2278" t="s">
        <v>321</v>
      </c>
    </row>
    <row r="2279" spans="1:12" x14ac:dyDescent="0.2">
      <c r="A2279" t="s">
        <v>2576</v>
      </c>
      <c r="B2279" t="s">
        <v>321</v>
      </c>
      <c r="L2279" t="s">
        <v>321</v>
      </c>
    </row>
    <row r="2280" spans="1:12" x14ac:dyDescent="0.2">
      <c r="A2280" t="s">
        <v>2577</v>
      </c>
      <c r="B2280" t="s">
        <v>321</v>
      </c>
      <c r="L2280" t="s">
        <v>321</v>
      </c>
    </row>
    <row r="2281" spans="1:12" x14ac:dyDescent="0.2">
      <c r="A2281" t="s">
        <v>2578</v>
      </c>
      <c r="B2281" t="s">
        <v>321</v>
      </c>
      <c r="L2281" t="s">
        <v>321</v>
      </c>
    </row>
    <row r="2282" spans="1:12" x14ac:dyDescent="0.2">
      <c r="A2282" t="s">
        <v>2579</v>
      </c>
      <c r="B2282" t="s">
        <v>321</v>
      </c>
      <c r="L2282" t="s">
        <v>321</v>
      </c>
    </row>
    <row r="2283" spans="1:12" x14ac:dyDescent="0.2">
      <c r="A2283" t="s">
        <v>2580</v>
      </c>
      <c r="B2283" t="s">
        <v>321</v>
      </c>
      <c r="L2283" t="s">
        <v>321</v>
      </c>
    </row>
    <row r="2284" spans="1:12" x14ac:dyDescent="0.2">
      <c r="A2284" t="s">
        <v>2581</v>
      </c>
      <c r="B2284" t="s">
        <v>321</v>
      </c>
      <c r="L2284" t="s">
        <v>321</v>
      </c>
    </row>
    <row r="2285" spans="1:12" x14ac:dyDescent="0.2">
      <c r="A2285" t="s">
        <v>2582</v>
      </c>
      <c r="B2285" t="s">
        <v>321</v>
      </c>
      <c r="L2285" t="s">
        <v>321</v>
      </c>
    </row>
    <row r="2286" spans="1:12" x14ac:dyDescent="0.2">
      <c r="A2286" t="s">
        <v>2583</v>
      </c>
      <c r="B2286" t="s">
        <v>321</v>
      </c>
      <c r="L2286" t="s">
        <v>321</v>
      </c>
    </row>
    <row r="2287" spans="1:12" x14ac:dyDescent="0.2">
      <c r="A2287" t="s">
        <v>2584</v>
      </c>
      <c r="B2287" t="s">
        <v>321</v>
      </c>
      <c r="L2287" t="s">
        <v>321</v>
      </c>
    </row>
    <row r="2288" spans="1:12" x14ac:dyDescent="0.2">
      <c r="A2288" t="s">
        <v>2585</v>
      </c>
      <c r="B2288" t="s">
        <v>321</v>
      </c>
      <c r="L2288" t="s">
        <v>321</v>
      </c>
    </row>
    <row r="2289" spans="1:12" x14ac:dyDescent="0.2">
      <c r="A2289" t="s">
        <v>2586</v>
      </c>
      <c r="B2289" t="s">
        <v>321</v>
      </c>
      <c r="L2289" t="s">
        <v>321</v>
      </c>
    </row>
    <row r="2290" spans="1:12" x14ac:dyDescent="0.2">
      <c r="A2290" t="s">
        <v>2587</v>
      </c>
      <c r="B2290" t="s">
        <v>321</v>
      </c>
      <c r="L2290" t="s">
        <v>321</v>
      </c>
    </row>
    <row r="2291" spans="1:12" x14ac:dyDescent="0.2">
      <c r="A2291" t="s">
        <v>2588</v>
      </c>
      <c r="B2291" t="s">
        <v>321</v>
      </c>
      <c r="L2291" t="s">
        <v>321</v>
      </c>
    </row>
    <row r="2292" spans="1:12" x14ac:dyDescent="0.2">
      <c r="A2292" t="s">
        <v>2589</v>
      </c>
      <c r="B2292" t="s">
        <v>321</v>
      </c>
      <c r="L2292" t="s">
        <v>321</v>
      </c>
    </row>
    <row r="2293" spans="1:12" x14ac:dyDescent="0.2">
      <c r="A2293" t="s">
        <v>2590</v>
      </c>
      <c r="B2293" t="s">
        <v>321</v>
      </c>
      <c r="L2293" t="s">
        <v>321</v>
      </c>
    </row>
    <row r="2294" spans="1:12" x14ac:dyDescent="0.2">
      <c r="A2294" t="s">
        <v>2591</v>
      </c>
      <c r="B2294" t="s">
        <v>321</v>
      </c>
      <c r="L2294" t="s">
        <v>321</v>
      </c>
    </row>
    <row r="2295" spans="1:12" x14ac:dyDescent="0.2">
      <c r="A2295" t="s">
        <v>2592</v>
      </c>
      <c r="B2295" t="s">
        <v>2593</v>
      </c>
      <c r="L2295" t="s">
        <v>2593</v>
      </c>
    </row>
    <row r="2296" spans="1:12" x14ac:dyDescent="0.2">
      <c r="A2296" t="s">
        <v>2594</v>
      </c>
      <c r="B2296" t="s">
        <v>321</v>
      </c>
      <c r="L2296" t="s">
        <v>321</v>
      </c>
    </row>
    <row r="2297" spans="1:12" x14ac:dyDescent="0.2">
      <c r="A2297" t="s">
        <v>2595</v>
      </c>
      <c r="B2297" t="s">
        <v>321</v>
      </c>
      <c r="L2297" t="s">
        <v>321</v>
      </c>
    </row>
    <row r="2298" spans="1:12" x14ac:dyDescent="0.2">
      <c r="A2298" t="s">
        <v>2596</v>
      </c>
      <c r="B2298" t="s">
        <v>321</v>
      </c>
      <c r="L2298" t="s">
        <v>321</v>
      </c>
    </row>
    <row r="2299" spans="1:12" x14ac:dyDescent="0.2">
      <c r="A2299" t="s">
        <v>2597</v>
      </c>
      <c r="B2299" t="s">
        <v>2598</v>
      </c>
      <c r="L2299" t="s">
        <v>2598</v>
      </c>
    </row>
    <row r="2300" spans="1:12" x14ac:dyDescent="0.2">
      <c r="A2300" t="s">
        <v>2599</v>
      </c>
      <c r="B2300" t="s">
        <v>321</v>
      </c>
      <c r="L2300" t="s">
        <v>321</v>
      </c>
    </row>
    <row r="2301" spans="1:12" x14ac:dyDescent="0.2">
      <c r="A2301" t="s">
        <v>2600</v>
      </c>
      <c r="B2301" t="s">
        <v>321</v>
      </c>
      <c r="L2301" t="s">
        <v>321</v>
      </c>
    </row>
    <row r="2302" spans="1:12" x14ac:dyDescent="0.2">
      <c r="A2302" t="s">
        <v>2601</v>
      </c>
      <c r="B2302" t="s">
        <v>321</v>
      </c>
      <c r="L2302" t="s">
        <v>321</v>
      </c>
    </row>
    <row r="2303" spans="1:12" x14ac:dyDescent="0.2">
      <c r="A2303" t="s">
        <v>2602</v>
      </c>
      <c r="B2303" t="s">
        <v>321</v>
      </c>
      <c r="L2303" t="s">
        <v>321</v>
      </c>
    </row>
    <row r="2304" spans="1:12" x14ac:dyDescent="0.2">
      <c r="A2304" t="s">
        <v>2603</v>
      </c>
      <c r="B2304" t="s">
        <v>321</v>
      </c>
      <c r="L2304" t="s">
        <v>321</v>
      </c>
    </row>
    <row r="2305" spans="1:12" x14ac:dyDescent="0.2">
      <c r="A2305" t="s">
        <v>2604</v>
      </c>
      <c r="B2305" t="s">
        <v>2605</v>
      </c>
      <c r="L2305" t="s">
        <v>2605</v>
      </c>
    </row>
    <row r="2306" spans="1:12" x14ac:dyDescent="0.2">
      <c r="A2306" t="s">
        <v>2606</v>
      </c>
      <c r="B2306" t="s">
        <v>2607</v>
      </c>
      <c r="L2306" t="s">
        <v>2607</v>
      </c>
    </row>
    <row r="2307" spans="1:12" x14ac:dyDescent="0.2">
      <c r="A2307" t="s">
        <v>2608</v>
      </c>
      <c r="B2307" t="s">
        <v>321</v>
      </c>
      <c r="L2307" t="s">
        <v>321</v>
      </c>
    </row>
    <row r="2308" spans="1:12" x14ac:dyDescent="0.2">
      <c r="A2308" t="s">
        <v>2609</v>
      </c>
      <c r="B2308" t="s">
        <v>321</v>
      </c>
      <c r="L2308" t="s">
        <v>321</v>
      </c>
    </row>
    <row r="2309" spans="1:12" x14ac:dyDescent="0.2">
      <c r="A2309" t="s">
        <v>2610</v>
      </c>
      <c r="B2309" t="s">
        <v>321</v>
      </c>
      <c r="L2309" t="s">
        <v>321</v>
      </c>
    </row>
    <row r="2310" spans="1:12" x14ac:dyDescent="0.2">
      <c r="A2310" t="s">
        <v>2611</v>
      </c>
      <c r="B2310" t="s">
        <v>321</v>
      </c>
      <c r="L2310" t="s">
        <v>321</v>
      </c>
    </row>
    <row r="2311" spans="1:12" x14ac:dyDescent="0.2">
      <c r="A2311" t="s">
        <v>2612</v>
      </c>
      <c r="B2311" t="s">
        <v>321</v>
      </c>
      <c r="L2311" t="s">
        <v>321</v>
      </c>
    </row>
    <row r="2312" spans="1:12" x14ac:dyDescent="0.2">
      <c r="A2312" t="s">
        <v>2613</v>
      </c>
      <c r="B2312" t="s">
        <v>2614</v>
      </c>
      <c r="L2312" t="s">
        <v>2614</v>
      </c>
    </row>
    <row r="2313" spans="1:12" x14ac:dyDescent="0.2">
      <c r="A2313" t="s">
        <v>2615</v>
      </c>
      <c r="B2313" t="s">
        <v>321</v>
      </c>
      <c r="L2313" t="s">
        <v>321</v>
      </c>
    </row>
    <row r="2314" spans="1:12" x14ac:dyDescent="0.2">
      <c r="A2314" t="s">
        <v>2616</v>
      </c>
      <c r="B2314" t="s">
        <v>321</v>
      </c>
      <c r="L2314" t="s">
        <v>321</v>
      </c>
    </row>
    <row r="2315" spans="1:12" x14ac:dyDescent="0.2">
      <c r="A2315" t="s">
        <v>2617</v>
      </c>
      <c r="B2315" t="s">
        <v>321</v>
      </c>
      <c r="L2315" t="s">
        <v>321</v>
      </c>
    </row>
    <row r="2316" spans="1:12" x14ac:dyDescent="0.2">
      <c r="A2316" t="s">
        <v>2618</v>
      </c>
      <c r="B2316" t="s">
        <v>321</v>
      </c>
      <c r="L2316" t="s">
        <v>321</v>
      </c>
    </row>
    <row r="2317" spans="1:12" x14ac:dyDescent="0.2">
      <c r="A2317" t="s">
        <v>2619</v>
      </c>
      <c r="B2317" t="s">
        <v>321</v>
      </c>
      <c r="L2317" t="s">
        <v>321</v>
      </c>
    </row>
    <row r="2318" spans="1:12" x14ac:dyDescent="0.2">
      <c r="A2318" t="s">
        <v>2620</v>
      </c>
      <c r="B2318" t="s">
        <v>321</v>
      </c>
      <c r="L2318" t="s">
        <v>321</v>
      </c>
    </row>
    <row r="2319" spans="1:12" x14ac:dyDescent="0.2">
      <c r="A2319" t="s">
        <v>2621</v>
      </c>
      <c r="B2319" t="s">
        <v>321</v>
      </c>
      <c r="L2319" t="s">
        <v>321</v>
      </c>
    </row>
    <row r="2320" spans="1:12" x14ac:dyDescent="0.2">
      <c r="A2320" t="s">
        <v>2622</v>
      </c>
      <c r="B2320" t="s">
        <v>321</v>
      </c>
      <c r="L2320" t="s">
        <v>321</v>
      </c>
    </row>
    <row r="2321" spans="1:12" x14ac:dyDescent="0.2">
      <c r="A2321" t="s">
        <v>2623</v>
      </c>
      <c r="B2321" t="s">
        <v>321</v>
      </c>
      <c r="L2321" t="s">
        <v>321</v>
      </c>
    </row>
    <row r="2322" spans="1:12" x14ac:dyDescent="0.2">
      <c r="A2322" t="s">
        <v>2624</v>
      </c>
      <c r="B2322" t="s">
        <v>321</v>
      </c>
      <c r="L2322" t="s">
        <v>321</v>
      </c>
    </row>
    <row r="2323" spans="1:12" x14ac:dyDescent="0.2">
      <c r="A2323" t="s">
        <v>2625</v>
      </c>
      <c r="B2323" t="s">
        <v>2626</v>
      </c>
      <c r="L2323" t="s">
        <v>2626</v>
      </c>
    </row>
    <row r="2324" spans="1:12" x14ac:dyDescent="0.2">
      <c r="A2324" t="s">
        <v>2627</v>
      </c>
      <c r="B2324" t="s">
        <v>321</v>
      </c>
      <c r="L2324" t="s">
        <v>321</v>
      </c>
    </row>
    <row r="2325" spans="1:12" x14ac:dyDescent="0.2">
      <c r="A2325" t="s">
        <v>2628</v>
      </c>
      <c r="B2325" t="s">
        <v>321</v>
      </c>
      <c r="L2325" t="s">
        <v>321</v>
      </c>
    </row>
    <row r="2326" spans="1:12" x14ac:dyDescent="0.2">
      <c r="A2326" t="s">
        <v>2629</v>
      </c>
      <c r="B2326" t="s">
        <v>321</v>
      </c>
      <c r="L2326" t="s">
        <v>321</v>
      </c>
    </row>
    <row r="2327" spans="1:12" x14ac:dyDescent="0.2">
      <c r="A2327" t="s">
        <v>2630</v>
      </c>
      <c r="B2327" t="s">
        <v>2631</v>
      </c>
      <c r="L2327" t="s">
        <v>2631</v>
      </c>
    </row>
    <row r="2328" spans="1:12" x14ac:dyDescent="0.2">
      <c r="A2328" t="s">
        <v>2632</v>
      </c>
      <c r="B2328" t="s">
        <v>321</v>
      </c>
      <c r="L2328" t="s">
        <v>321</v>
      </c>
    </row>
    <row r="2329" spans="1:12" x14ac:dyDescent="0.2">
      <c r="A2329" t="s">
        <v>2633</v>
      </c>
      <c r="B2329" t="s">
        <v>321</v>
      </c>
      <c r="L2329" t="s">
        <v>321</v>
      </c>
    </row>
    <row r="2330" spans="1:12" x14ac:dyDescent="0.2">
      <c r="A2330" t="s">
        <v>2634</v>
      </c>
      <c r="B2330" t="s">
        <v>321</v>
      </c>
      <c r="L2330" t="s">
        <v>321</v>
      </c>
    </row>
    <row r="2331" spans="1:12" x14ac:dyDescent="0.2">
      <c r="A2331" t="s">
        <v>2635</v>
      </c>
      <c r="B2331" t="s">
        <v>321</v>
      </c>
      <c r="L2331" t="s">
        <v>321</v>
      </c>
    </row>
    <row r="2332" spans="1:12" x14ac:dyDescent="0.2">
      <c r="A2332" t="s">
        <v>2636</v>
      </c>
      <c r="B2332" t="s">
        <v>2637</v>
      </c>
      <c r="L2332" t="s">
        <v>2637</v>
      </c>
    </row>
    <row r="2333" spans="1:12" x14ac:dyDescent="0.2">
      <c r="A2333" t="s">
        <v>2638</v>
      </c>
      <c r="B2333" t="s">
        <v>2639</v>
      </c>
      <c r="L2333" t="s">
        <v>2639</v>
      </c>
    </row>
    <row r="2334" spans="1:12" x14ac:dyDescent="0.2">
      <c r="A2334" t="s">
        <v>2640</v>
      </c>
      <c r="B2334" t="s">
        <v>321</v>
      </c>
      <c r="L2334" t="s">
        <v>321</v>
      </c>
    </row>
    <row r="2335" spans="1:12" x14ac:dyDescent="0.2">
      <c r="A2335" t="s">
        <v>2641</v>
      </c>
      <c r="B2335" t="s">
        <v>321</v>
      </c>
      <c r="L2335" t="s">
        <v>321</v>
      </c>
    </row>
    <row r="2336" spans="1:12" x14ac:dyDescent="0.2">
      <c r="A2336" t="s">
        <v>2642</v>
      </c>
      <c r="B2336" t="s">
        <v>321</v>
      </c>
      <c r="L2336" t="s">
        <v>321</v>
      </c>
    </row>
    <row r="2337" spans="1:12" x14ac:dyDescent="0.2">
      <c r="A2337" t="s">
        <v>2643</v>
      </c>
      <c r="B2337" t="s">
        <v>321</v>
      </c>
      <c r="L2337" t="s">
        <v>321</v>
      </c>
    </row>
    <row r="2338" spans="1:12" x14ac:dyDescent="0.2">
      <c r="A2338" t="s">
        <v>2644</v>
      </c>
      <c r="B2338" t="s">
        <v>321</v>
      </c>
      <c r="L2338" t="s">
        <v>321</v>
      </c>
    </row>
    <row r="2339" spans="1:12" x14ac:dyDescent="0.2">
      <c r="A2339" t="s">
        <v>2645</v>
      </c>
      <c r="B2339" t="s">
        <v>321</v>
      </c>
      <c r="L2339" t="s">
        <v>321</v>
      </c>
    </row>
    <row r="2340" spans="1:12" x14ac:dyDescent="0.2">
      <c r="A2340" t="s">
        <v>2646</v>
      </c>
      <c r="B2340" t="s">
        <v>321</v>
      </c>
      <c r="L2340" t="s">
        <v>321</v>
      </c>
    </row>
    <row r="2341" spans="1:12" x14ac:dyDescent="0.2">
      <c r="A2341" t="s">
        <v>2647</v>
      </c>
      <c r="B2341" t="s">
        <v>321</v>
      </c>
      <c r="L2341" t="s">
        <v>321</v>
      </c>
    </row>
    <row r="2342" spans="1:12" x14ac:dyDescent="0.2">
      <c r="A2342" t="s">
        <v>2648</v>
      </c>
      <c r="B2342" t="s">
        <v>321</v>
      </c>
      <c r="L2342" t="s">
        <v>321</v>
      </c>
    </row>
    <row r="2343" spans="1:12" x14ac:dyDescent="0.2">
      <c r="A2343" t="s">
        <v>2649</v>
      </c>
      <c r="B2343" t="s">
        <v>321</v>
      </c>
      <c r="L2343" t="s">
        <v>321</v>
      </c>
    </row>
    <row r="2344" spans="1:12" x14ac:dyDescent="0.2">
      <c r="A2344" t="s">
        <v>2650</v>
      </c>
      <c r="B2344" t="s">
        <v>321</v>
      </c>
      <c r="L2344" t="s">
        <v>321</v>
      </c>
    </row>
    <row r="2345" spans="1:12" x14ac:dyDescent="0.2">
      <c r="A2345" t="s">
        <v>2651</v>
      </c>
      <c r="B2345" t="s">
        <v>321</v>
      </c>
      <c r="L2345" t="s">
        <v>321</v>
      </c>
    </row>
    <row r="2346" spans="1:12" x14ac:dyDescent="0.2">
      <c r="A2346" t="s">
        <v>2652</v>
      </c>
      <c r="B2346" t="s">
        <v>321</v>
      </c>
      <c r="L2346" t="s">
        <v>321</v>
      </c>
    </row>
    <row r="2347" spans="1:12" x14ac:dyDescent="0.2">
      <c r="A2347" t="s">
        <v>2653</v>
      </c>
      <c r="B2347" t="s">
        <v>321</v>
      </c>
      <c r="L2347" t="s">
        <v>321</v>
      </c>
    </row>
    <row r="2348" spans="1:12" x14ac:dyDescent="0.2">
      <c r="A2348" t="s">
        <v>2654</v>
      </c>
      <c r="B2348" t="s">
        <v>321</v>
      </c>
      <c r="L2348" t="s">
        <v>321</v>
      </c>
    </row>
    <row r="2349" spans="1:12" x14ac:dyDescent="0.2">
      <c r="A2349" t="s">
        <v>2655</v>
      </c>
      <c r="B2349" t="s">
        <v>321</v>
      </c>
      <c r="L2349" t="s">
        <v>321</v>
      </c>
    </row>
    <row r="2350" spans="1:12" x14ac:dyDescent="0.2">
      <c r="A2350" t="s">
        <v>2656</v>
      </c>
      <c r="B2350" t="s">
        <v>321</v>
      </c>
      <c r="L2350" t="s">
        <v>321</v>
      </c>
    </row>
    <row r="2351" spans="1:12" x14ac:dyDescent="0.2">
      <c r="A2351" t="s">
        <v>2657</v>
      </c>
      <c r="B2351" t="s">
        <v>321</v>
      </c>
      <c r="L2351" t="s">
        <v>321</v>
      </c>
    </row>
    <row r="2352" spans="1:12" x14ac:dyDescent="0.2">
      <c r="A2352" t="s">
        <v>2658</v>
      </c>
      <c r="B2352" t="s">
        <v>321</v>
      </c>
      <c r="L2352" t="s">
        <v>321</v>
      </c>
    </row>
    <row r="2353" spans="1:12" x14ac:dyDescent="0.2">
      <c r="A2353" t="s">
        <v>2659</v>
      </c>
      <c r="B2353" t="s">
        <v>321</v>
      </c>
      <c r="L2353" t="s">
        <v>321</v>
      </c>
    </row>
    <row r="2354" spans="1:12" x14ac:dyDescent="0.2">
      <c r="A2354" t="s">
        <v>2660</v>
      </c>
      <c r="B2354" t="s">
        <v>321</v>
      </c>
      <c r="L2354" t="s">
        <v>321</v>
      </c>
    </row>
    <row r="2355" spans="1:12" x14ac:dyDescent="0.2">
      <c r="A2355" t="s">
        <v>2661</v>
      </c>
      <c r="B2355" t="s">
        <v>321</v>
      </c>
      <c r="L2355" t="s">
        <v>321</v>
      </c>
    </row>
    <row r="2356" spans="1:12" x14ac:dyDescent="0.2">
      <c r="A2356" t="s">
        <v>2662</v>
      </c>
      <c r="B2356" t="s">
        <v>321</v>
      </c>
      <c r="L2356" t="s">
        <v>321</v>
      </c>
    </row>
    <row r="2357" spans="1:12" x14ac:dyDescent="0.2">
      <c r="A2357" t="s">
        <v>2663</v>
      </c>
      <c r="B2357" t="s">
        <v>321</v>
      </c>
      <c r="L2357" t="s">
        <v>321</v>
      </c>
    </row>
    <row r="2358" spans="1:12" x14ac:dyDescent="0.2">
      <c r="A2358" t="s">
        <v>2664</v>
      </c>
      <c r="B2358" t="s">
        <v>321</v>
      </c>
      <c r="L2358" t="s">
        <v>321</v>
      </c>
    </row>
    <row r="2359" spans="1:12" x14ac:dyDescent="0.2">
      <c r="A2359" t="s">
        <v>2665</v>
      </c>
      <c r="B2359" t="s">
        <v>321</v>
      </c>
      <c r="L2359" t="s">
        <v>321</v>
      </c>
    </row>
    <row r="2360" spans="1:12" x14ac:dyDescent="0.2">
      <c r="A2360" t="s">
        <v>2666</v>
      </c>
      <c r="B2360" t="s">
        <v>321</v>
      </c>
      <c r="L2360" t="s">
        <v>321</v>
      </c>
    </row>
    <row r="2361" spans="1:12" x14ac:dyDescent="0.2">
      <c r="A2361" t="s">
        <v>2667</v>
      </c>
      <c r="B2361" t="s">
        <v>321</v>
      </c>
      <c r="L2361" t="s">
        <v>321</v>
      </c>
    </row>
    <row r="2362" spans="1:12" x14ac:dyDescent="0.2">
      <c r="A2362" t="s">
        <v>2668</v>
      </c>
      <c r="B2362" t="s">
        <v>321</v>
      </c>
      <c r="L2362" t="s">
        <v>321</v>
      </c>
    </row>
    <row r="2363" spans="1:12" x14ac:dyDescent="0.2">
      <c r="A2363" t="s">
        <v>2669</v>
      </c>
      <c r="B2363" t="s">
        <v>321</v>
      </c>
      <c r="L2363" t="s">
        <v>321</v>
      </c>
    </row>
    <row r="2364" spans="1:12" x14ac:dyDescent="0.2">
      <c r="A2364" t="s">
        <v>2670</v>
      </c>
      <c r="B2364" t="s">
        <v>321</v>
      </c>
      <c r="L2364" t="s">
        <v>321</v>
      </c>
    </row>
    <row r="2365" spans="1:12" x14ac:dyDescent="0.2">
      <c r="A2365" t="s">
        <v>2671</v>
      </c>
      <c r="B2365" t="s">
        <v>321</v>
      </c>
      <c r="L2365" t="s">
        <v>321</v>
      </c>
    </row>
    <row r="2366" spans="1:12" x14ac:dyDescent="0.2">
      <c r="A2366" t="s">
        <v>2672</v>
      </c>
      <c r="B2366" t="s">
        <v>321</v>
      </c>
      <c r="L2366" t="s">
        <v>321</v>
      </c>
    </row>
    <row r="2367" spans="1:12" x14ac:dyDescent="0.2">
      <c r="A2367" t="s">
        <v>2673</v>
      </c>
      <c r="B2367" t="s">
        <v>321</v>
      </c>
      <c r="L2367" t="s">
        <v>321</v>
      </c>
    </row>
    <row r="2368" spans="1:12" x14ac:dyDescent="0.2">
      <c r="A2368" t="s">
        <v>2674</v>
      </c>
      <c r="B2368" t="s">
        <v>321</v>
      </c>
      <c r="L2368" t="s">
        <v>321</v>
      </c>
    </row>
    <row r="2369" spans="1:12" x14ac:dyDescent="0.2">
      <c r="A2369" t="s">
        <v>2675</v>
      </c>
      <c r="B2369" t="s">
        <v>321</v>
      </c>
      <c r="L2369" t="s">
        <v>321</v>
      </c>
    </row>
    <row r="2370" spans="1:12" x14ac:dyDescent="0.2">
      <c r="A2370" t="s">
        <v>2676</v>
      </c>
      <c r="B2370" t="s">
        <v>321</v>
      </c>
      <c r="L2370" t="s">
        <v>321</v>
      </c>
    </row>
    <row r="2371" spans="1:12" x14ac:dyDescent="0.2">
      <c r="A2371" t="s">
        <v>2677</v>
      </c>
      <c r="B2371" t="s">
        <v>321</v>
      </c>
      <c r="L2371" t="s">
        <v>321</v>
      </c>
    </row>
    <row r="2372" spans="1:12" x14ac:dyDescent="0.2">
      <c r="A2372" t="s">
        <v>2678</v>
      </c>
      <c r="B2372" t="s">
        <v>321</v>
      </c>
      <c r="L2372" t="s">
        <v>321</v>
      </c>
    </row>
    <row r="2373" spans="1:12" x14ac:dyDescent="0.2">
      <c r="A2373" t="s">
        <v>2679</v>
      </c>
      <c r="B2373" t="s">
        <v>321</v>
      </c>
      <c r="L2373" t="s">
        <v>321</v>
      </c>
    </row>
    <row r="2374" spans="1:12" x14ac:dyDescent="0.2">
      <c r="A2374" t="s">
        <v>2680</v>
      </c>
      <c r="B2374" t="s">
        <v>321</v>
      </c>
      <c r="L2374" t="s">
        <v>321</v>
      </c>
    </row>
    <row r="2375" spans="1:12" x14ac:dyDescent="0.2">
      <c r="A2375" t="s">
        <v>2681</v>
      </c>
      <c r="B2375" t="s">
        <v>321</v>
      </c>
      <c r="L2375" t="s">
        <v>321</v>
      </c>
    </row>
    <row r="2376" spans="1:12" x14ac:dyDescent="0.2">
      <c r="A2376" t="s">
        <v>2682</v>
      </c>
      <c r="B2376" t="s">
        <v>321</v>
      </c>
      <c r="L2376" t="s">
        <v>321</v>
      </c>
    </row>
    <row r="2377" spans="1:12" x14ac:dyDescent="0.2">
      <c r="A2377" t="s">
        <v>2683</v>
      </c>
      <c r="B2377" t="s">
        <v>321</v>
      </c>
      <c r="L2377" t="s">
        <v>321</v>
      </c>
    </row>
    <row r="2378" spans="1:12" x14ac:dyDescent="0.2">
      <c r="A2378" t="s">
        <v>2684</v>
      </c>
      <c r="B2378" t="s">
        <v>321</v>
      </c>
      <c r="L2378" t="s">
        <v>321</v>
      </c>
    </row>
    <row r="2379" spans="1:12" x14ac:dyDescent="0.2">
      <c r="A2379" t="s">
        <v>2685</v>
      </c>
      <c r="B2379" t="s">
        <v>321</v>
      </c>
      <c r="L2379" t="s">
        <v>321</v>
      </c>
    </row>
    <row r="2380" spans="1:12" x14ac:dyDescent="0.2">
      <c r="A2380" t="s">
        <v>2686</v>
      </c>
      <c r="B2380" t="s">
        <v>321</v>
      </c>
      <c r="L2380" t="s">
        <v>321</v>
      </c>
    </row>
    <row r="2381" spans="1:12" x14ac:dyDescent="0.2">
      <c r="A2381" t="s">
        <v>2687</v>
      </c>
      <c r="B2381" t="s">
        <v>321</v>
      </c>
      <c r="L2381" t="s">
        <v>321</v>
      </c>
    </row>
    <row r="2382" spans="1:12" x14ac:dyDescent="0.2">
      <c r="A2382" t="s">
        <v>2688</v>
      </c>
      <c r="B2382" t="s">
        <v>321</v>
      </c>
      <c r="L2382" t="s">
        <v>321</v>
      </c>
    </row>
    <row r="2383" spans="1:12" x14ac:dyDescent="0.2">
      <c r="A2383" t="s">
        <v>2689</v>
      </c>
      <c r="B2383" t="s">
        <v>321</v>
      </c>
      <c r="L2383" t="s">
        <v>321</v>
      </c>
    </row>
    <row r="2384" spans="1:12" x14ac:dyDescent="0.2">
      <c r="A2384" t="s">
        <v>2690</v>
      </c>
      <c r="B2384" t="s">
        <v>321</v>
      </c>
      <c r="L2384" t="s">
        <v>321</v>
      </c>
    </row>
    <row r="2385" spans="1:12" x14ac:dyDescent="0.2">
      <c r="A2385" t="s">
        <v>2691</v>
      </c>
      <c r="B2385" t="s">
        <v>321</v>
      </c>
      <c r="L2385" t="s">
        <v>321</v>
      </c>
    </row>
    <row r="2386" spans="1:12" x14ac:dyDescent="0.2">
      <c r="A2386" t="s">
        <v>2692</v>
      </c>
      <c r="B2386" t="s">
        <v>321</v>
      </c>
      <c r="L2386" t="s">
        <v>321</v>
      </c>
    </row>
    <row r="2387" spans="1:12" x14ac:dyDescent="0.2">
      <c r="A2387" t="s">
        <v>2693</v>
      </c>
      <c r="B2387" t="s">
        <v>321</v>
      </c>
      <c r="L2387" t="s">
        <v>321</v>
      </c>
    </row>
    <row r="2388" spans="1:12" x14ac:dyDescent="0.2">
      <c r="A2388" t="s">
        <v>2694</v>
      </c>
      <c r="B2388" t="s">
        <v>2695</v>
      </c>
      <c r="L2388" t="s">
        <v>2695</v>
      </c>
    </row>
    <row r="2389" spans="1:12" x14ac:dyDescent="0.2">
      <c r="A2389" t="s">
        <v>2696</v>
      </c>
      <c r="B2389" t="s">
        <v>2697</v>
      </c>
      <c r="L2389" t="s">
        <v>2697</v>
      </c>
    </row>
    <row r="2390" spans="1:12" x14ac:dyDescent="0.2">
      <c r="A2390" t="s">
        <v>2698</v>
      </c>
      <c r="B2390" t="s">
        <v>2699</v>
      </c>
      <c r="L2390" t="s">
        <v>2699</v>
      </c>
    </row>
    <row r="2391" spans="1:12" x14ac:dyDescent="0.2">
      <c r="A2391" t="s">
        <v>2700</v>
      </c>
      <c r="B2391" t="s">
        <v>321</v>
      </c>
      <c r="L2391" t="s">
        <v>321</v>
      </c>
    </row>
    <row r="2392" spans="1:12" x14ac:dyDescent="0.2">
      <c r="A2392" t="s">
        <v>2701</v>
      </c>
      <c r="B2392" t="s">
        <v>321</v>
      </c>
      <c r="L2392" t="s">
        <v>321</v>
      </c>
    </row>
    <row r="2393" spans="1:12" x14ac:dyDescent="0.2">
      <c r="A2393" t="s">
        <v>2702</v>
      </c>
      <c r="B2393" t="s">
        <v>2702</v>
      </c>
      <c r="L2393" t="s">
        <v>2702</v>
      </c>
    </row>
    <row r="2394" spans="1:12" x14ac:dyDescent="0.2">
      <c r="A2394" t="s">
        <v>2703</v>
      </c>
      <c r="B2394" t="s">
        <v>321</v>
      </c>
      <c r="L2394" t="s">
        <v>321</v>
      </c>
    </row>
    <row r="2395" spans="1:12" x14ac:dyDescent="0.2">
      <c r="A2395" t="s">
        <v>2704</v>
      </c>
      <c r="B2395" t="s">
        <v>321</v>
      </c>
      <c r="L2395" t="s">
        <v>321</v>
      </c>
    </row>
    <row r="2396" spans="1:12" x14ac:dyDescent="0.2">
      <c r="A2396" t="s">
        <v>2705</v>
      </c>
      <c r="B2396" t="s">
        <v>321</v>
      </c>
      <c r="L2396" t="s">
        <v>321</v>
      </c>
    </row>
    <row r="2397" spans="1:12" x14ac:dyDescent="0.2">
      <c r="A2397" t="s">
        <v>2706</v>
      </c>
      <c r="B2397" t="s">
        <v>321</v>
      </c>
      <c r="L2397" t="s">
        <v>321</v>
      </c>
    </row>
    <row r="2398" spans="1:12" x14ac:dyDescent="0.2">
      <c r="A2398" t="s">
        <v>2707</v>
      </c>
      <c r="B2398" t="s">
        <v>321</v>
      </c>
      <c r="L2398" t="s">
        <v>321</v>
      </c>
    </row>
    <row r="2399" spans="1:12" x14ac:dyDescent="0.2">
      <c r="A2399" t="s">
        <v>2708</v>
      </c>
      <c r="B2399" t="s">
        <v>321</v>
      </c>
      <c r="L2399" t="s">
        <v>321</v>
      </c>
    </row>
    <row r="2400" spans="1:12" x14ac:dyDescent="0.2">
      <c r="A2400" t="s">
        <v>2709</v>
      </c>
      <c r="B2400" t="s">
        <v>321</v>
      </c>
      <c r="L2400" t="s">
        <v>321</v>
      </c>
    </row>
    <row r="2401" spans="1:12" x14ac:dyDescent="0.2">
      <c r="A2401" t="s">
        <v>2710</v>
      </c>
      <c r="B2401" t="s">
        <v>321</v>
      </c>
      <c r="L2401" t="s">
        <v>321</v>
      </c>
    </row>
    <row r="2402" spans="1:12" x14ac:dyDescent="0.2">
      <c r="A2402" t="s">
        <v>2711</v>
      </c>
      <c r="B2402" t="s">
        <v>321</v>
      </c>
      <c r="L2402" t="s">
        <v>321</v>
      </c>
    </row>
    <row r="2403" spans="1:12" x14ac:dyDescent="0.2">
      <c r="A2403" t="s">
        <v>2712</v>
      </c>
      <c r="B2403" t="s">
        <v>321</v>
      </c>
      <c r="L2403" t="s">
        <v>321</v>
      </c>
    </row>
    <row r="2404" spans="1:12" x14ac:dyDescent="0.2">
      <c r="A2404" t="s">
        <v>2713</v>
      </c>
      <c r="B2404" t="s">
        <v>321</v>
      </c>
      <c r="L2404" t="s">
        <v>321</v>
      </c>
    </row>
    <row r="2405" spans="1:12" x14ac:dyDescent="0.2">
      <c r="A2405" t="s">
        <v>2714</v>
      </c>
      <c r="B2405" t="s">
        <v>321</v>
      </c>
      <c r="L2405" t="s">
        <v>321</v>
      </c>
    </row>
    <row r="2406" spans="1:12" x14ac:dyDescent="0.2">
      <c r="A2406" t="s">
        <v>2715</v>
      </c>
      <c r="B2406" t="s">
        <v>321</v>
      </c>
      <c r="L2406" t="s">
        <v>321</v>
      </c>
    </row>
    <row r="2407" spans="1:12" x14ac:dyDescent="0.2">
      <c r="A2407" t="s">
        <v>2716</v>
      </c>
      <c r="B2407" t="s">
        <v>321</v>
      </c>
      <c r="L2407" t="s">
        <v>321</v>
      </c>
    </row>
    <row r="2408" spans="1:12" x14ac:dyDescent="0.2">
      <c r="A2408" t="s">
        <v>2717</v>
      </c>
      <c r="B2408" t="s">
        <v>321</v>
      </c>
      <c r="L2408" t="s">
        <v>321</v>
      </c>
    </row>
    <row r="2409" spans="1:12" x14ac:dyDescent="0.2">
      <c r="A2409" t="s">
        <v>2718</v>
      </c>
      <c r="B2409" t="s">
        <v>321</v>
      </c>
      <c r="L2409" t="s">
        <v>321</v>
      </c>
    </row>
    <row r="2410" spans="1:12" x14ac:dyDescent="0.2">
      <c r="A2410" t="s">
        <v>2719</v>
      </c>
      <c r="B2410" t="s">
        <v>321</v>
      </c>
      <c r="L2410" t="s">
        <v>321</v>
      </c>
    </row>
    <row r="2411" spans="1:12" x14ac:dyDescent="0.2">
      <c r="A2411" t="s">
        <v>2720</v>
      </c>
      <c r="B2411" t="s">
        <v>321</v>
      </c>
      <c r="L2411" t="s">
        <v>321</v>
      </c>
    </row>
    <row r="2412" spans="1:12" x14ac:dyDescent="0.2">
      <c r="A2412" t="s">
        <v>2721</v>
      </c>
      <c r="B2412" t="s">
        <v>321</v>
      </c>
      <c r="L2412" t="s">
        <v>321</v>
      </c>
    </row>
    <row r="2413" spans="1:12" x14ac:dyDescent="0.2">
      <c r="A2413" t="s">
        <v>2722</v>
      </c>
      <c r="B2413" t="s">
        <v>321</v>
      </c>
      <c r="L2413" t="s">
        <v>321</v>
      </c>
    </row>
    <row r="2414" spans="1:12" x14ac:dyDescent="0.2">
      <c r="A2414" t="s">
        <v>2723</v>
      </c>
      <c r="B2414" t="s">
        <v>321</v>
      </c>
      <c r="L2414" t="s">
        <v>321</v>
      </c>
    </row>
    <row r="2415" spans="1:12" x14ac:dyDescent="0.2">
      <c r="A2415" t="s">
        <v>2724</v>
      </c>
      <c r="B2415" t="s">
        <v>2725</v>
      </c>
      <c r="L2415" t="s">
        <v>2725</v>
      </c>
    </row>
    <row r="2416" spans="1:12" x14ac:dyDescent="0.2">
      <c r="A2416" t="s">
        <v>2726</v>
      </c>
      <c r="B2416" t="s">
        <v>2727</v>
      </c>
      <c r="L2416" t="s">
        <v>2727</v>
      </c>
    </row>
    <row r="2417" spans="1:12" x14ac:dyDescent="0.2">
      <c r="A2417" t="s">
        <v>2728</v>
      </c>
      <c r="B2417" t="s">
        <v>2729</v>
      </c>
      <c r="L2417" t="s">
        <v>2729</v>
      </c>
    </row>
    <row r="2418" spans="1:12" x14ac:dyDescent="0.2">
      <c r="A2418" t="s">
        <v>2730</v>
      </c>
      <c r="B2418" t="s">
        <v>2730</v>
      </c>
      <c r="L2418" t="s">
        <v>2730</v>
      </c>
    </row>
    <row r="2419" spans="1:12" x14ac:dyDescent="0.2">
      <c r="A2419" t="s">
        <v>2731</v>
      </c>
      <c r="B2419" t="s">
        <v>2732</v>
      </c>
      <c r="L2419" t="s">
        <v>2732</v>
      </c>
    </row>
    <row r="2420" spans="1:12" x14ac:dyDescent="0.2">
      <c r="A2420" t="s">
        <v>2733</v>
      </c>
    </row>
    <row r="2421" spans="1:12" x14ac:dyDescent="0.2">
      <c r="A2421" t="s">
        <v>2734</v>
      </c>
    </row>
    <row r="2422" spans="1:12" x14ac:dyDescent="0.2">
      <c r="A2422" t="s">
        <v>2735</v>
      </c>
    </row>
    <row r="2423" spans="1:12" x14ac:dyDescent="0.2">
      <c r="A2423" t="s">
        <v>2736</v>
      </c>
    </row>
    <row r="2424" spans="1:12" x14ac:dyDescent="0.2">
      <c r="A2424" t="s">
        <v>2737</v>
      </c>
      <c r="B2424" t="s">
        <v>321</v>
      </c>
      <c r="L2424" t="s">
        <v>321</v>
      </c>
    </row>
    <row r="2425" spans="1:12" x14ac:dyDescent="0.2">
      <c r="A2425" t="s">
        <v>2738</v>
      </c>
      <c r="B2425" t="s">
        <v>321</v>
      </c>
      <c r="L2425" t="s">
        <v>321</v>
      </c>
    </row>
    <row r="2426" spans="1:12" x14ac:dyDescent="0.2">
      <c r="A2426" t="s">
        <v>2739</v>
      </c>
      <c r="B2426" t="s">
        <v>321</v>
      </c>
      <c r="L2426" t="s">
        <v>321</v>
      </c>
    </row>
    <row r="2427" spans="1:12" x14ac:dyDescent="0.2">
      <c r="A2427" t="s">
        <v>2740</v>
      </c>
      <c r="B2427" t="s">
        <v>321</v>
      </c>
      <c r="L2427" t="s">
        <v>321</v>
      </c>
    </row>
    <row r="2428" spans="1:12" x14ac:dyDescent="0.2">
      <c r="A2428" t="s">
        <v>2741</v>
      </c>
      <c r="B2428" t="s">
        <v>321</v>
      </c>
      <c r="L2428" t="s">
        <v>321</v>
      </c>
    </row>
    <row r="2429" spans="1:12" x14ac:dyDescent="0.2">
      <c r="A2429" t="s">
        <v>2742</v>
      </c>
      <c r="B2429" t="s">
        <v>321</v>
      </c>
      <c r="L2429" t="s">
        <v>321</v>
      </c>
    </row>
    <row r="2430" spans="1:12" x14ac:dyDescent="0.2">
      <c r="A2430" t="s">
        <v>2743</v>
      </c>
      <c r="B2430" t="s">
        <v>321</v>
      </c>
      <c r="L2430" t="s">
        <v>321</v>
      </c>
    </row>
    <row r="2431" spans="1:12" x14ac:dyDescent="0.2">
      <c r="A2431" t="s">
        <v>2744</v>
      </c>
      <c r="B2431" t="s">
        <v>321</v>
      </c>
      <c r="L2431" t="s">
        <v>321</v>
      </c>
    </row>
    <row r="2432" spans="1:12" x14ac:dyDescent="0.2">
      <c r="A2432" t="s">
        <v>2745</v>
      </c>
      <c r="B2432" t="s">
        <v>321</v>
      </c>
      <c r="L2432" t="s">
        <v>321</v>
      </c>
    </row>
    <row r="2433" spans="1:12" x14ac:dyDescent="0.2">
      <c r="A2433" t="s">
        <v>2746</v>
      </c>
      <c r="B2433" t="s">
        <v>321</v>
      </c>
      <c r="L2433" t="s">
        <v>321</v>
      </c>
    </row>
    <row r="2434" spans="1:12" x14ac:dyDescent="0.2">
      <c r="A2434" t="s">
        <v>2747</v>
      </c>
      <c r="B2434" t="s">
        <v>321</v>
      </c>
      <c r="L2434" t="s">
        <v>321</v>
      </c>
    </row>
    <row r="2435" spans="1:12" x14ac:dyDescent="0.2">
      <c r="A2435" t="s">
        <v>2748</v>
      </c>
      <c r="B2435" t="s">
        <v>2748</v>
      </c>
      <c r="L2435" t="s">
        <v>2748</v>
      </c>
    </row>
    <row r="2436" spans="1:12" x14ac:dyDescent="0.2">
      <c r="A2436" t="s">
        <v>2749</v>
      </c>
      <c r="B2436" t="s">
        <v>321</v>
      </c>
      <c r="L2436" t="s">
        <v>321</v>
      </c>
    </row>
    <row r="2437" spans="1:12" x14ac:dyDescent="0.2">
      <c r="A2437" t="s">
        <v>2750</v>
      </c>
      <c r="B2437" t="s">
        <v>321</v>
      </c>
      <c r="L2437" t="s">
        <v>321</v>
      </c>
    </row>
    <row r="2438" spans="1:12" x14ac:dyDescent="0.2">
      <c r="A2438" t="s">
        <v>2751</v>
      </c>
      <c r="B2438" t="s">
        <v>321</v>
      </c>
      <c r="L2438" t="s">
        <v>321</v>
      </c>
    </row>
    <row r="2439" spans="1:12" x14ac:dyDescent="0.2">
      <c r="A2439" t="s">
        <v>2752</v>
      </c>
      <c r="B2439" t="s">
        <v>321</v>
      </c>
      <c r="L2439" t="s">
        <v>321</v>
      </c>
    </row>
    <row r="2440" spans="1:12" x14ac:dyDescent="0.2">
      <c r="A2440" t="s">
        <v>2753</v>
      </c>
      <c r="B2440" t="s">
        <v>2754</v>
      </c>
      <c r="L2440" t="s">
        <v>2754</v>
      </c>
    </row>
    <row r="2441" spans="1:12" x14ac:dyDescent="0.2">
      <c r="A2441" t="s">
        <v>2755</v>
      </c>
      <c r="B2441" t="s">
        <v>321</v>
      </c>
      <c r="L2441" t="s">
        <v>321</v>
      </c>
    </row>
    <row r="2442" spans="1:12" x14ac:dyDescent="0.2">
      <c r="A2442" t="s">
        <v>2756</v>
      </c>
      <c r="B2442" t="s">
        <v>321</v>
      </c>
      <c r="L2442" t="s">
        <v>321</v>
      </c>
    </row>
    <row r="2443" spans="1:12" x14ac:dyDescent="0.2">
      <c r="A2443" t="s">
        <v>2757</v>
      </c>
      <c r="B2443" t="s">
        <v>321</v>
      </c>
      <c r="L2443" t="s">
        <v>321</v>
      </c>
    </row>
    <row r="2444" spans="1:12" x14ac:dyDescent="0.2">
      <c r="A2444" t="s">
        <v>2758</v>
      </c>
    </row>
    <row r="2445" spans="1:12" x14ac:dyDescent="0.2">
      <c r="A2445" t="s">
        <v>2759</v>
      </c>
      <c r="B2445" t="s">
        <v>2760</v>
      </c>
      <c r="L2445" t="s">
        <v>2760</v>
      </c>
    </row>
    <row r="2446" spans="1:12" x14ac:dyDescent="0.2">
      <c r="A2446" t="s">
        <v>2761</v>
      </c>
    </row>
    <row r="2447" spans="1:12" x14ac:dyDescent="0.2">
      <c r="A2447" t="s">
        <v>2762</v>
      </c>
      <c r="B2447" t="s">
        <v>2763</v>
      </c>
      <c r="L2447" t="s">
        <v>2763</v>
      </c>
    </row>
    <row r="2448" spans="1:12" x14ac:dyDescent="0.2">
      <c r="A2448" t="s">
        <v>2764</v>
      </c>
      <c r="B2448" t="s">
        <v>321</v>
      </c>
      <c r="L2448" t="s">
        <v>321</v>
      </c>
    </row>
    <row r="2449" spans="1:12" x14ac:dyDescent="0.2">
      <c r="A2449" t="s">
        <v>2765</v>
      </c>
      <c r="B2449" t="s">
        <v>2766</v>
      </c>
      <c r="L2449" t="s">
        <v>2766</v>
      </c>
    </row>
    <row r="2450" spans="1:12" x14ac:dyDescent="0.2">
      <c r="A2450" t="s">
        <v>2767</v>
      </c>
      <c r="B2450" t="s">
        <v>2767</v>
      </c>
      <c r="L2450" t="s">
        <v>2767</v>
      </c>
    </row>
    <row r="2451" spans="1:12" x14ac:dyDescent="0.2">
      <c r="A2451" t="s">
        <v>2768</v>
      </c>
      <c r="B2451" t="s">
        <v>2769</v>
      </c>
      <c r="L2451" t="s">
        <v>2769</v>
      </c>
    </row>
    <row r="2452" spans="1:12" x14ac:dyDescent="0.2">
      <c r="A2452" t="s">
        <v>2770</v>
      </c>
      <c r="B2452" t="s">
        <v>2771</v>
      </c>
      <c r="L2452" t="s">
        <v>2771</v>
      </c>
    </row>
    <row r="2453" spans="1:12" x14ac:dyDescent="0.2">
      <c r="A2453" t="s">
        <v>2772</v>
      </c>
      <c r="B2453" t="s">
        <v>2773</v>
      </c>
      <c r="L2453" t="s">
        <v>2773</v>
      </c>
    </row>
    <row r="2454" spans="1:12" x14ac:dyDescent="0.2">
      <c r="A2454" t="s">
        <v>2774</v>
      </c>
      <c r="B2454" t="s">
        <v>2775</v>
      </c>
      <c r="L2454" t="s">
        <v>2775</v>
      </c>
    </row>
    <row r="2455" spans="1:12" x14ac:dyDescent="0.2">
      <c r="A2455" t="s">
        <v>2776</v>
      </c>
      <c r="B2455" t="s">
        <v>2777</v>
      </c>
      <c r="L2455" t="s">
        <v>2777</v>
      </c>
    </row>
    <row r="2456" spans="1:12" x14ac:dyDescent="0.2">
      <c r="A2456" t="s">
        <v>2778</v>
      </c>
      <c r="B2456" t="s">
        <v>2779</v>
      </c>
      <c r="L2456" t="s">
        <v>2779</v>
      </c>
    </row>
    <row r="2457" spans="1:12" x14ac:dyDescent="0.2">
      <c r="A2457" t="s">
        <v>2780</v>
      </c>
      <c r="B2457" t="s">
        <v>2781</v>
      </c>
      <c r="L2457" t="s">
        <v>2781</v>
      </c>
    </row>
    <row r="2458" spans="1:12" x14ac:dyDescent="0.2">
      <c r="A2458" t="s">
        <v>2782</v>
      </c>
      <c r="B2458" t="s">
        <v>2783</v>
      </c>
      <c r="L2458" t="s">
        <v>2783</v>
      </c>
    </row>
    <row r="2459" spans="1:12" x14ac:dyDescent="0.2">
      <c r="A2459" t="s">
        <v>2784</v>
      </c>
      <c r="B2459" t="s">
        <v>2785</v>
      </c>
      <c r="L2459" t="s">
        <v>2785</v>
      </c>
    </row>
    <row r="2460" spans="1:12" x14ac:dyDescent="0.2">
      <c r="A2460" t="s">
        <v>2786</v>
      </c>
      <c r="B2460" t="s">
        <v>2787</v>
      </c>
      <c r="L2460" t="s">
        <v>2787</v>
      </c>
    </row>
    <row r="2461" spans="1:12" x14ac:dyDescent="0.2">
      <c r="A2461" t="s">
        <v>2788</v>
      </c>
      <c r="B2461" t="s">
        <v>2788</v>
      </c>
      <c r="L2461" t="s">
        <v>2788</v>
      </c>
    </row>
    <row r="2462" spans="1:12" x14ac:dyDescent="0.2">
      <c r="A2462" t="s">
        <v>2789</v>
      </c>
      <c r="B2462" t="s">
        <v>321</v>
      </c>
      <c r="L2462" t="s">
        <v>321</v>
      </c>
    </row>
    <row r="2463" spans="1:12" x14ac:dyDescent="0.2">
      <c r="A2463" t="s">
        <v>2790</v>
      </c>
    </row>
    <row r="2464" spans="1:12" x14ac:dyDescent="0.2">
      <c r="A2464" t="s">
        <v>2791</v>
      </c>
      <c r="B2464" t="s">
        <v>321</v>
      </c>
      <c r="L2464" t="s">
        <v>321</v>
      </c>
    </row>
    <row r="2465" spans="1:12" x14ac:dyDescent="0.2">
      <c r="A2465" t="s">
        <v>2792</v>
      </c>
      <c r="B2465" t="s">
        <v>321</v>
      </c>
      <c r="L2465" t="s">
        <v>321</v>
      </c>
    </row>
    <row r="2466" spans="1:12" x14ac:dyDescent="0.2">
      <c r="A2466" t="s">
        <v>2793</v>
      </c>
      <c r="B2466" t="s">
        <v>321</v>
      </c>
      <c r="L2466" t="s">
        <v>321</v>
      </c>
    </row>
    <row r="2467" spans="1:12" x14ac:dyDescent="0.2">
      <c r="A2467" t="s">
        <v>2794</v>
      </c>
      <c r="B2467" t="s">
        <v>321</v>
      </c>
      <c r="L2467" t="s">
        <v>321</v>
      </c>
    </row>
    <row r="2468" spans="1:12" x14ac:dyDescent="0.2">
      <c r="A2468" t="s">
        <v>2795</v>
      </c>
      <c r="B2468" t="s">
        <v>321</v>
      </c>
      <c r="L2468" t="s">
        <v>321</v>
      </c>
    </row>
    <row r="2469" spans="1:12" x14ac:dyDescent="0.2">
      <c r="A2469" t="s">
        <v>2796</v>
      </c>
      <c r="B2469" t="s">
        <v>321</v>
      </c>
      <c r="L2469" t="s">
        <v>321</v>
      </c>
    </row>
    <row r="2470" spans="1:12" x14ac:dyDescent="0.2">
      <c r="A2470" t="s">
        <v>2797</v>
      </c>
      <c r="B2470" t="s">
        <v>321</v>
      </c>
      <c r="L2470" t="s">
        <v>321</v>
      </c>
    </row>
    <row r="2471" spans="1:12" x14ac:dyDescent="0.2">
      <c r="A2471" t="s">
        <v>2798</v>
      </c>
      <c r="B2471" t="s">
        <v>321</v>
      </c>
      <c r="L2471" t="s">
        <v>321</v>
      </c>
    </row>
    <row r="2472" spans="1:12" x14ac:dyDescent="0.2">
      <c r="A2472" t="s">
        <v>2799</v>
      </c>
      <c r="B2472" t="s">
        <v>321</v>
      </c>
      <c r="L2472" t="s">
        <v>321</v>
      </c>
    </row>
    <row r="2473" spans="1:12" x14ac:dyDescent="0.2">
      <c r="A2473" t="s">
        <v>2800</v>
      </c>
      <c r="B2473" t="s">
        <v>321</v>
      </c>
      <c r="L2473" t="s">
        <v>321</v>
      </c>
    </row>
    <row r="2474" spans="1:12" x14ac:dyDescent="0.2">
      <c r="A2474" t="s">
        <v>2801</v>
      </c>
      <c r="B2474" t="s">
        <v>321</v>
      </c>
      <c r="L2474" t="s">
        <v>321</v>
      </c>
    </row>
    <row r="2475" spans="1:12" x14ac:dyDescent="0.2">
      <c r="A2475" t="s">
        <v>2802</v>
      </c>
      <c r="B2475" t="s">
        <v>321</v>
      </c>
      <c r="L2475" t="s">
        <v>321</v>
      </c>
    </row>
    <row r="2476" spans="1:12" x14ac:dyDescent="0.2">
      <c r="A2476" t="s">
        <v>2803</v>
      </c>
      <c r="B2476" t="s">
        <v>321</v>
      </c>
      <c r="L2476" t="s">
        <v>321</v>
      </c>
    </row>
    <row r="2477" spans="1:12" x14ac:dyDescent="0.2">
      <c r="A2477" t="s">
        <v>2804</v>
      </c>
      <c r="B2477" t="s">
        <v>321</v>
      </c>
      <c r="L2477" t="s">
        <v>321</v>
      </c>
    </row>
    <row r="2478" spans="1:12" x14ac:dyDescent="0.2">
      <c r="A2478" t="s">
        <v>2805</v>
      </c>
      <c r="B2478" t="s">
        <v>321</v>
      </c>
      <c r="L2478" t="s">
        <v>321</v>
      </c>
    </row>
    <row r="2479" spans="1:12" x14ac:dyDescent="0.2">
      <c r="A2479" t="s">
        <v>2806</v>
      </c>
      <c r="B2479" t="s">
        <v>321</v>
      </c>
      <c r="L2479" t="s">
        <v>321</v>
      </c>
    </row>
    <row r="2480" spans="1:12" x14ac:dyDescent="0.2">
      <c r="A2480" t="s">
        <v>2807</v>
      </c>
      <c r="B2480" t="s">
        <v>2808</v>
      </c>
      <c r="L2480" t="s">
        <v>2808</v>
      </c>
    </row>
    <row r="2481" spans="1:12" x14ac:dyDescent="0.2">
      <c r="A2481" t="s">
        <v>2809</v>
      </c>
      <c r="B2481" t="s">
        <v>2810</v>
      </c>
      <c r="L2481" t="s">
        <v>2810</v>
      </c>
    </row>
    <row r="2482" spans="1:12" x14ac:dyDescent="0.2">
      <c r="A2482" t="s">
        <v>2811</v>
      </c>
      <c r="B2482" t="s">
        <v>2812</v>
      </c>
      <c r="L2482" t="s">
        <v>2812</v>
      </c>
    </row>
    <row r="2483" spans="1:12" x14ac:dyDescent="0.2">
      <c r="A2483" t="s">
        <v>2813</v>
      </c>
      <c r="B2483" t="s">
        <v>2814</v>
      </c>
      <c r="L2483" t="s">
        <v>2814</v>
      </c>
    </row>
    <row r="2484" spans="1:12" x14ac:dyDescent="0.2">
      <c r="A2484" t="s">
        <v>2815</v>
      </c>
    </row>
    <row r="2485" spans="1:12" x14ac:dyDescent="0.2">
      <c r="A2485" t="s">
        <v>2816</v>
      </c>
      <c r="B2485" t="s">
        <v>2817</v>
      </c>
      <c r="L2485" t="s">
        <v>2817</v>
      </c>
    </row>
    <row r="2486" spans="1:12" x14ac:dyDescent="0.2">
      <c r="A2486" t="s">
        <v>2818</v>
      </c>
      <c r="B2486" t="s">
        <v>2819</v>
      </c>
      <c r="L2486" t="s">
        <v>2819</v>
      </c>
    </row>
    <row r="2487" spans="1:12" x14ac:dyDescent="0.2">
      <c r="A2487" t="s">
        <v>2820</v>
      </c>
      <c r="B2487" t="s">
        <v>2821</v>
      </c>
      <c r="L2487" t="s">
        <v>2821</v>
      </c>
    </row>
    <row r="2488" spans="1:12" x14ac:dyDescent="0.2">
      <c r="A2488" t="s">
        <v>2822</v>
      </c>
      <c r="B2488" t="s">
        <v>2823</v>
      </c>
      <c r="L2488" t="s">
        <v>2823</v>
      </c>
    </row>
    <row r="2489" spans="1:12" x14ac:dyDescent="0.2">
      <c r="A2489" t="s">
        <v>2824</v>
      </c>
      <c r="B2489" t="s">
        <v>2825</v>
      </c>
      <c r="L2489" t="s">
        <v>2825</v>
      </c>
    </row>
    <row r="2490" spans="1:12" x14ac:dyDescent="0.2">
      <c r="A2490" t="s">
        <v>2826</v>
      </c>
      <c r="B2490" t="s">
        <v>2827</v>
      </c>
      <c r="L2490" t="s">
        <v>2827</v>
      </c>
    </row>
    <row r="2491" spans="1:12" x14ac:dyDescent="0.2">
      <c r="A2491" t="s">
        <v>2828</v>
      </c>
      <c r="B2491" t="s">
        <v>2829</v>
      </c>
      <c r="L2491" t="s">
        <v>2829</v>
      </c>
    </row>
    <row r="2492" spans="1:12" x14ac:dyDescent="0.2">
      <c r="A2492" t="s">
        <v>2830</v>
      </c>
      <c r="B2492" t="s">
        <v>2831</v>
      </c>
      <c r="L2492" t="s">
        <v>2831</v>
      </c>
    </row>
    <row r="2493" spans="1:12" x14ac:dyDescent="0.2">
      <c r="A2493" t="s">
        <v>2832</v>
      </c>
      <c r="B2493" t="s">
        <v>2833</v>
      </c>
      <c r="L2493" t="s">
        <v>2833</v>
      </c>
    </row>
    <row r="2494" spans="1:12" x14ac:dyDescent="0.2">
      <c r="A2494" t="s">
        <v>2834</v>
      </c>
      <c r="B2494" t="s">
        <v>2835</v>
      </c>
      <c r="L2494" t="s">
        <v>2835</v>
      </c>
    </row>
    <row r="2495" spans="1:12" x14ac:dyDescent="0.2">
      <c r="A2495" t="s">
        <v>2836</v>
      </c>
      <c r="B2495" t="s">
        <v>2837</v>
      </c>
      <c r="L2495" t="s">
        <v>2837</v>
      </c>
    </row>
    <row r="2496" spans="1:12" x14ac:dyDescent="0.2">
      <c r="A2496" t="s">
        <v>2838</v>
      </c>
      <c r="B2496" t="s">
        <v>2839</v>
      </c>
      <c r="L2496" t="s">
        <v>2839</v>
      </c>
    </row>
    <row r="2497" spans="1:12" x14ac:dyDescent="0.2">
      <c r="A2497" t="s">
        <v>2840</v>
      </c>
      <c r="B2497" t="s">
        <v>2841</v>
      </c>
      <c r="L2497" t="s">
        <v>2841</v>
      </c>
    </row>
    <row r="2498" spans="1:12" x14ac:dyDescent="0.2">
      <c r="A2498" t="s">
        <v>2842</v>
      </c>
      <c r="B2498" t="s">
        <v>2843</v>
      </c>
      <c r="L2498" t="s">
        <v>2843</v>
      </c>
    </row>
    <row r="2499" spans="1:12" x14ac:dyDescent="0.2">
      <c r="A2499" t="s">
        <v>2844</v>
      </c>
      <c r="B2499" t="s">
        <v>321</v>
      </c>
      <c r="L2499" t="s">
        <v>321</v>
      </c>
    </row>
    <row r="2500" spans="1:12" x14ac:dyDescent="0.2">
      <c r="A2500" t="s">
        <v>2845</v>
      </c>
      <c r="B2500" t="s">
        <v>321</v>
      </c>
      <c r="L2500" t="s">
        <v>321</v>
      </c>
    </row>
    <row r="2501" spans="1:12" x14ac:dyDescent="0.2">
      <c r="A2501" t="s">
        <v>2846</v>
      </c>
      <c r="B2501" t="s">
        <v>2847</v>
      </c>
      <c r="L2501" t="s">
        <v>2847</v>
      </c>
    </row>
    <row r="2502" spans="1:12" x14ac:dyDescent="0.2">
      <c r="A2502" t="s">
        <v>2848</v>
      </c>
      <c r="B2502" t="s">
        <v>2849</v>
      </c>
      <c r="L2502" t="s">
        <v>2849</v>
      </c>
    </row>
    <row r="2503" spans="1:12" x14ac:dyDescent="0.2">
      <c r="A2503" t="s">
        <v>2850</v>
      </c>
      <c r="B2503" t="s">
        <v>2851</v>
      </c>
      <c r="L2503" t="s">
        <v>2851</v>
      </c>
    </row>
    <row r="2504" spans="1:12" x14ac:dyDescent="0.2">
      <c r="A2504" t="s">
        <v>2852</v>
      </c>
      <c r="B2504" t="s">
        <v>2853</v>
      </c>
      <c r="L2504" t="s">
        <v>2853</v>
      </c>
    </row>
    <row r="2505" spans="1:12" x14ac:dyDescent="0.2">
      <c r="A2505" t="s">
        <v>2854</v>
      </c>
      <c r="B2505" t="s">
        <v>321</v>
      </c>
      <c r="L2505" t="s">
        <v>321</v>
      </c>
    </row>
    <row r="2506" spans="1:12" x14ac:dyDescent="0.2">
      <c r="A2506" t="s">
        <v>2855</v>
      </c>
      <c r="B2506" t="s">
        <v>321</v>
      </c>
      <c r="L2506" t="s">
        <v>321</v>
      </c>
    </row>
    <row r="2507" spans="1:12" x14ac:dyDescent="0.2">
      <c r="A2507" t="s">
        <v>2856</v>
      </c>
      <c r="B2507" t="s">
        <v>2857</v>
      </c>
      <c r="L2507" t="s">
        <v>2857</v>
      </c>
    </row>
    <row r="2508" spans="1:12" x14ac:dyDescent="0.2">
      <c r="A2508" t="s">
        <v>2858</v>
      </c>
    </row>
    <row r="2509" spans="1:12" x14ac:dyDescent="0.2">
      <c r="A2509" t="s">
        <v>2859</v>
      </c>
      <c r="B2509" t="s">
        <v>321</v>
      </c>
      <c r="L2509" t="s">
        <v>321</v>
      </c>
    </row>
    <row r="2510" spans="1:12" x14ac:dyDescent="0.2">
      <c r="A2510" t="s">
        <v>2860</v>
      </c>
      <c r="B2510" t="s">
        <v>321</v>
      </c>
      <c r="L2510" t="s">
        <v>321</v>
      </c>
    </row>
    <row r="2511" spans="1:12" x14ac:dyDescent="0.2">
      <c r="A2511" t="s">
        <v>2861</v>
      </c>
      <c r="B2511" t="s">
        <v>321</v>
      </c>
      <c r="L2511" t="s">
        <v>321</v>
      </c>
    </row>
    <row r="2512" spans="1:12" x14ac:dyDescent="0.2">
      <c r="A2512" t="s">
        <v>2862</v>
      </c>
      <c r="B2512" t="s">
        <v>321</v>
      </c>
      <c r="L2512" t="s">
        <v>321</v>
      </c>
    </row>
    <row r="2513" spans="1:12" x14ac:dyDescent="0.2">
      <c r="A2513" t="s">
        <v>2863</v>
      </c>
      <c r="B2513" t="s">
        <v>321</v>
      </c>
      <c r="L2513" t="s">
        <v>321</v>
      </c>
    </row>
    <row r="2514" spans="1:12" x14ac:dyDescent="0.2">
      <c r="A2514" t="s">
        <v>2864</v>
      </c>
      <c r="B2514" t="s">
        <v>321</v>
      </c>
      <c r="L2514" t="s">
        <v>321</v>
      </c>
    </row>
    <row r="2515" spans="1:12" x14ac:dyDescent="0.2">
      <c r="A2515" t="s">
        <v>2865</v>
      </c>
      <c r="B2515" t="s">
        <v>321</v>
      </c>
      <c r="L2515" t="s">
        <v>321</v>
      </c>
    </row>
    <row r="2516" spans="1:12" x14ac:dyDescent="0.2">
      <c r="A2516" t="s">
        <v>2866</v>
      </c>
    </row>
    <row r="2517" spans="1:12" x14ac:dyDescent="0.2">
      <c r="A2517" t="s">
        <v>2867</v>
      </c>
    </row>
    <row r="2518" spans="1:12" x14ac:dyDescent="0.2">
      <c r="A2518" t="s">
        <v>2868</v>
      </c>
    </row>
    <row r="2519" spans="1:12" x14ac:dyDescent="0.2">
      <c r="A2519" t="s">
        <v>2869</v>
      </c>
      <c r="B2519" t="s">
        <v>2870</v>
      </c>
      <c r="L2519" t="s">
        <v>2870</v>
      </c>
    </row>
    <row r="2520" spans="1:12" x14ac:dyDescent="0.2">
      <c r="A2520" t="s">
        <v>2871</v>
      </c>
      <c r="B2520" t="s">
        <v>2872</v>
      </c>
      <c r="L2520" t="s">
        <v>2872</v>
      </c>
    </row>
    <row r="2521" spans="1:12" x14ac:dyDescent="0.2">
      <c r="A2521" t="s">
        <v>2873</v>
      </c>
      <c r="B2521" t="s">
        <v>2874</v>
      </c>
      <c r="L2521" t="s">
        <v>2874</v>
      </c>
    </row>
    <row r="2522" spans="1:12" x14ac:dyDescent="0.2">
      <c r="A2522" t="s">
        <v>2875</v>
      </c>
      <c r="B2522" t="s">
        <v>2875</v>
      </c>
      <c r="L2522" t="s">
        <v>2875</v>
      </c>
    </row>
    <row r="2523" spans="1:12" x14ac:dyDescent="0.2">
      <c r="A2523" t="s">
        <v>2876</v>
      </c>
      <c r="B2523" t="s">
        <v>317</v>
      </c>
      <c r="L2523" t="s">
        <v>317</v>
      </c>
    </row>
    <row r="2524" spans="1:12" x14ac:dyDescent="0.2">
      <c r="A2524" t="s">
        <v>2877</v>
      </c>
      <c r="B2524" t="s">
        <v>2877</v>
      </c>
      <c r="L2524" t="s">
        <v>2877</v>
      </c>
    </row>
    <row r="2525" spans="1:12" x14ac:dyDescent="0.2">
      <c r="A2525" t="s">
        <v>2878</v>
      </c>
      <c r="B2525" t="s">
        <v>2878</v>
      </c>
      <c r="L2525" t="s">
        <v>2878</v>
      </c>
    </row>
    <row r="2526" spans="1:12" x14ac:dyDescent="0.2">
      <c r="A2526" t="s">
        <v>2879</v>
      </c>
      <c r="B2526" t="s">
        <v>2879</v>
      </c>
      <c r="L2526" t="s">
        <v>2879</v>
      </c>
    </row>
    <row r="2527" spans="1:12" x14ac:dyDescent="0.2">
      <c r="A2527" t="s">
        <v>2880</v>
      </c>
      <c r="B2527" t="s">
        <v>2880</v>
      </c>
      <c r="L2527" t="s">
        <v>2880</v>
      </c>
    </row>
    <row r="2528" spans="1:12" x14ac:dyDescent="0.2">
      <c r="A2528" t="s">
        <v>2881</v>
      </c>
      <c r="B2528" t="s">
        <v>2881</v>
      </c>
      <c r="L2528" t="s">
        <v>2881</v>
      </c>
    </row>
    <row r="2529" spans="1:12" x14ac:dyDescent="0.2">
      <c r="A2529" t="s">
        <v>2882</v>
      </c>
      <c r="B2529" t="s">
        <v>2883</v>
      </c>
      <c r="L2529" t="s">
        <v>2883</v>
      </c>
    </row>
    <row r="2530" spans="1:12" x14ac:dyDescent="0.2">
      <c r="A2530" t="s">
        <v>2884</v>
      </c>
      <c r="B2530" t="s">
        <v>2884</v>
      </c>
      <c r="L2530" t="s">
        <v>2884</v>
      </c>
    </row>
    <row r="2531" spans="1:12" x14ac:dyDescent="0.2">
      <c r="A2531" t="s">
        <v>2885</v>
      </c>
      <c r="B2531" t="s">
        <v>2885</v>
      </c>
      <c r="L2531" t="s">
        <v>2885</v>
      </c>
    </row>
    <row r="2532" spans="1:12" x14ac:dyDescent="0.2">
      <c r="A2532" t="s">
        <v>2886</v>
      </c>
      <c r="B2532" t="s">
        <v>2886</v>
      </c>
      <c r="L2532" t="s">
        <v>2886</v>
      </c>
    </row>
    <row r="2533" spans="1:12" x14ac:dyDescent="0.2">
      <c r="A2533" t="s">
        <v>2887</v>
      </c>
      <c r="B2533" t="s">
        <v>321</v>
      </c>
      <c r="L2533" t="s">
        <v>321</v>
      </c>
    </row>
    <row r="2534" spans="1:12" x14ac:dyDescent="0.2">
      <c r="A2534" t="s">
        <v>2888</v>
      </c>
      <c r="B2534" t="s">
        <v>2888</v>
      </c>
      <c r="L2534" t="s">
        <v>2888</v>
      </c>
    </row>
    <row r="2535" spans="1:12" x14ac:dyDescent="0.2">
      <c r="A2535" t="s">
        <v>2889</v>
      </c>
    </row>
    <row r="2536" spans="1:12" x14ac:dyDescent="0.2">
      <c r="A2536" t="s">
        <v>2890</v>
      </c>
      <c r="B2536" t="s">
        <v>321</v>
      </c>
      <c r="L2536" t="s">
        <v>321</v>
      </c>
    </row>
    <row r="2537" spans="1:12" x14ac:dyDescent="0.2">
      <c r="A2537" t="s">
        <v>2891</v>
      </c>
      <c r="B2537" t="s">
        <v>321</v>
      </c>
      <c r="L2537" t="s">
        <v>321</v>
      </c>
    </row>
    <row r="2538" spans="1:12" x14ac:dyDescent="0.2">
      <c r="A2538" t="s">
        <v>2892</v>
      </c>
      <c r="B2538" t="s">
        <v>321</v>
      </c>
      <c r="L2538" t="s">
        <v>321</v>
      </c>
    </row>
    <row r="2539" spans="1:12" x14ac:dyDescent="0.2">
      <c r="A2539" t="s">
        <v>2893</v>
      </c>
      <c r="B2539" t="s">
        <v>321</v>
      </c>
      <c r="L2539" t="s">
        <v>321</v>
      </c>
    </row>
    <row r="2540" spans="1:12" x14ac:dyDescent="0.2">
      <c r="A2540" t="s">
        <v>2894</v>
      </c>
      <c r="B2540" t="s">
        <v>321</v>
      </c>
      <c r="L2540" t="s">
        <v>321</v>
      </c>
    </row>
    <row r="2541" spans="1:12" x14ac:dyDescent="0.2">
      <c r="A2541" t="s">
        <v>2895</v>
      </c>
      <c r="B2541" t="s">
        <v>2895</v>
      </c>
      <c r="L2541" t="s">
        <v>2895</v>
      </c>
    </row>
    <row r="2542" spans="1:12" x14ac:dyDescent="0.2">
      <c r="A2542" t="s">
        <v>2896</v>
      </c>
      <c r="B2542" t="s">
        <v>2896</v>
      </c>
      <c r="L2542" t="s">
        <v>2896</v>
      </c>
    </row>
    <row r="2543" spans="1:12" x14ac:dyDescent="0.2">
      <c r="A2543" t="s">
        <v>2898</v>
      </c>
      <c r="B2543" t="s">
        <v>3202</v>
      </c>
      <c r="L2543" t="s">
        <v>3202</v>
      </c>
    </row>
    <row r="2544" spans="1:12" x14ac:dyDescent="0.2">
      <c r="A2544" t="s">
        <v>2899</v>
      </c>
      <c r="B2544" t="s">
        <v>3203</v>
      </c>
      <c r="L2544" t="s">
        <v>3203</v>
      </c>
    </row>
    <row r="2545" spans="1:12" x14ac:dyDescent="0.2">
      <c r="A2545" t="s">
        <v>2900</v>
      </c>
      <c r="B2545" t="s">
        <v>321</v>
      </c>
      <c r="L2545" t="s">
        <v>321</v>
      </c>
    </row>
    <row r="2546" spans="1:12" x14ac:dyDescent="0.2">
      <c r="A2546" t="s">
        <v>2901</v>
      </c>
      <c r="B2546" t="s">
        <v>321</v>
      </c>
      <c r="L2546" t="s">
        <v>321</v>
      </c>
    </row>
    <row r="2547" spans="1:12" x14ac:dyDescent="0.2">
      <c r="A2547" t="s">
        <v>2908</v>
      </c>
      <c r="B2547" t="s">
        <v>321</v>
      </c>
      <c r="L2547" t="s">
        <v>321</v>
      </c>
    </row>
    <row r="2548" spans="1:12" x14ac:dyDescent="0.2">
      <c r="A2548" t="s">
        <v>2909</v>
      </c>
      <c r="B2548" t="s">
        <v>2910</v>
      </c>
      <c r="L2548" t="s">
        <v>2910</v>
      </c>
    </row>
    <row r="2549" spans="1:12" x14ac:dyDescent="0.2">
      <c r="A2549" t="s">
        <v>2911</v>
      </c>
      <c r="B2549" t="s">
        <v>321</v>
      </c>
      <c r="L2549" t="s">
        <v>321</v>
      </c>
    </row>
    <row r="2550" spans="1:12" x14ac:dyDescent="0.2">
      <c r="A2550" t="s">
        <v>2912</v>
      </c>
    </row>
    <row r="2551" spans="1:12" x14ac:dyDescent="0.2">
      <c r="A2551" t="s">
        <v>2913</v>
      </c>
      <c r="B2551" t="s">
        <v>321</v>
      </c>
      <c r="L2551" t="s">
        <v>321</v>
      </c>
    </row>
    <row r="2552" spans="1:12" x14ac:dyDescent="0.2">
      <c r="A2552" t="s">
        <v>2914</v>
      </c>
      <c r="B2552" t="s">
        <v>321</v>
      </c>
      <c r="L2552" t="s">
        <v>321</v>
      </c>
    </row>
    <row r="2553" spans="1:12" x14ac:dyDescent="0.2">
      <c r="A2553" t="s">
        <v>2915</v>
      </c>
      <c r="B2553" t="s">
        <v>321</v>
      </c>
      <c r="L2553" t="s">
        <v>321</v>
      </c>
    </row>
    <row r="2554" spans="1:12" x14ac:dyDescent="0.2">
      <c r="A2554" t="s">
        <v>2916</v>
      </c>
      <c r="B2554" t="s">
        <v>321</v>
      </c>
      <c r="L2554" t="s">
        <v>321</v>
      </c>
    </row>
    <row r="2555" spans="1:12" x14ac:dyDescent="0.2">
      <c r="A2555" t="s">
        <v>2917</v>
      </c>
      <c r="B2555" t="s">
        <v>3197</v>
      </c>
      <c r="L2555" t="s">
        <v>3197</v>
      </c>
    </row>
    <row r="2556" spans="1:12" x14ac:dyDescent="0.2">
      <c r="A2556" t="s">
        <v>2918</v>
      </c>
      <c r="B2556" t="s">
        <v>321</v>
      </c>
      <c r="L2556" t="s">
        <v>321</v>
      </c>
    </row>
    <row r="2557" spans="1:12" x14ac:dyDescent="0.2">
      <c r="A2557" t="s">
        <v>2919</v>
      </c>
      <c r="B2557" t="s">
        <v>321</v>
      </c>
      <c r="L2557" t="s">
        <v>321</v>
      </c>
    </row>
    <row r="2558" spans="1:12" x14ac:dyDescent="0.2">
      <c r="A2558" t="s">
        <v>2922</v>
      </c>
      <c r="B2558" s="9" t="s">
        <v>3355</v>
      </c>
      <c r="L2558" t="s">
        <v>3355</v>
      </c>
    </row>
    <row r="2559" spans="1:12" x14ac:dyDescent="0.2">
      <c r="A2559" t="s">
        <v>2923</v>
      </c>
      <c r="B2559" s="9" t="s">
        <v>3356</v>
      </c>
      <c r="L2559" t="s">
        <v>3356</v>
      </c>
    </row>
    <row r="2560" spans="1:12" x14ac:dyDescent="0.2">
      <c r="A2560" t="s">
        <v>2924</v>
      </c>
      <c r="B2560" s="9" t="s">
        <v>3357</v>
      </c>
      <c r="L2560" t="s">
        <v>3357</v>
      </c>
    </row>
    <row r="2561" spans="1:12" x14ac:dyDescent="0.2">
      <c r="A2561" t="s">
        <v>2926</v>
      </c>
      <c r="B2561" t="s">
        <v>3358</v>
      </c>
      <c r="L2561" t="s">
        <v>3358</v>
      </c>
    </row>
    <row r="2562" spans="1:12" x14ac:dyDescent="0.2">
      <c r="A2562" t="s">
        <v>2927</v>
      </c>
      <c r="B2562" t="s">
        <v>321</v>
      </c>
      <c r="L2562" t="s">
        <v>321</v>
      </c>
    </row>
    <row r="2563" spans="1:12" x14ac:dyDescent="0.2">
      <c r="A2563" t="s">
        <v>2928</v>
      </c>
      <c r="B2563" t="s">
        <v>321</v>
      </c>
      <c r="L2563" t="s">
        <v>321</v>
      </c>
    </row>
    <row r="2564" spans="1:12" x14ac:dyDescent="0.2">
      <c r="A2564" t="s">
        <v>2929</v>
      </c>
      <c r="B2564" t="s">
        <v>3401</v>
      </c>
      <c r="L2564" t="s">
        <v>3401</v>
      </c>
    </row>
    <row r="2565" spans="1:12" x14ac:dyDescent="0.2">
      <c r="A2565" t="s">
        <v>2930</v>
      </c>
      <c r="B2565" t="s">
        <v>2930</v>
      </c>
      <c r="L2565" t="s">
        <v>2930</v>
      </c>
    </row>
    <row r="2566" spans="1:12" x14ac:dyDescent="0.2">
      <c r="A2566" t="s">
        <v>2931</v>
      </c>
      <c r="B2566" t="s">
        <v>3196</v>
      </c>
      <c r="L2566" t="s">
        <v>3196</v>
      </c>
    </row>
    <row r="2567" spans="1:12" x14ac:dyDescent="0.2">
      <c r="A2567" t="s">
        <v>2932</v>
      </c>
      <c r="B2567" t="s">
        <v>2932</v>
      </c>
      <c r="L2567" t="s">
        <v>2932</v>
      </c>
    </row>
    <row r="2568" spans="1:12" x14ac:dyDescent="0.2">
      <c r="A2568" t="s">
        <v>2933</v>
      </c>
      <c r="B2568" t="s">
        <v>2934</v>
      </c>
      <c r="L2568" t="s">
        <v>2934</v>
      </c>
    </row>
    <row r="2569" spans="1:12" x14ac:dyDescent="0.2">
      <c r="A2569" t="s">
        <v>2935</v>
      </c>
      <c r="B2569" t="s">
        <v>321</v>
      </c>
      <c r="L2569" t="s">
        <v>321</v>
      </c>
    </row>
    <row r="2570" spans="1:12" x14ac:dyDescent="0.2">
      <c r="A2570" t="s">
        <v>2936</v>
      </c>
    </row>
    <row r="2571" spans="1:12" x14ac:dyDescent="0.2">
      <c r="A2571" t="s">
        <v>2937</v>
      </c>
      <c r="B2571" t="s">
        <v>321</v>
      </c>
      <c r="L2571" t="s">
        <v>321</v>
      </c>
    </row>
    <row r="2572" spans="1:12" x14ac:dyDescent="0.2">
      <c r="A2572" t="s">
        <v>2938</v>
      </c>
      <c r="B2572" t="s">
        <v>321</v>
      </c>
      <c r="L2572" t="s">
        <v>321</v>
      </c>
    </row>
    <row r="2573" spans="1:12" x14ac:dyDescent="0.2">
      <c r="A2573" t="s">
        <v>2939</v>
      </c>
      <c r="B2573" t="s">
        <v>321</v>
      </c>
      <c r="L2573" t="s">
        <v>321</v>
      </c>
    </row>
    <row r="2574" spans="1:12" x14ac:dyDescent="0.2">
      <c r="A2574" t="s">
        <v>2940</v>
      </c>
      <c r="B2574" t="s">
        <v>321</v>
      </c>
      <c r="L2574" t="s">
        <v>321</v>
      </c>
    </row>
    <row r="2575" spans="1:12" x14ac:dyDescent="0.2">
      <c r="A2575" t="s">
        <v>2941</v>
      </c>
      <c r="B2575" t="s">
        <v>321</v>
      </c>
      <c r="L2575" t="s">
        <v>321</v>
      </c>
    </row>
    <row r="2576" spans="1:12" x14ac:dyDescent="0.2">
      <c r="A2576" t="s">
        <v>2942</v>
      </c>
      <c r="B2576" t="s">
        <v>321</v>
      </c>
      <c r="L2576" t="s">
        <v>321</v>
      </c>
    </row>
    <row r="2577" spans="1:12" x14ac:dyDescent="0.2">
      <c r="A2577" t="s">
        <v>2943</v>
      </c>
      <c r="B2577" t="s">
        <v>321</v>
      </c>
      <c r="L2577" t="s">
        <v>321</v>
      </c>
    </row>
    <row r="2578" spans="1:12" x14ac:dyDescent="0.2">
      <c r="A2578" t="s">
        <v>2944</v>
      </c>
      <c r="B2578" t="s">
        <v>321</v>
      </c>
      <c r="L2578" t="s">
        <v>321</v>
      </c>
    </row>
    <row r="2579" spans="1:12" x14ac:dyDescent="0.2">
      <c r="A2579" t="s">
        <v>2945</v>
      </c>
      <c r="B2579" t="s">
        <v>321</v>
      </c>
      <c r="L2579" t="s">
        <v>321</v>
      </c>
    </row>
    <row r="2580" spans="1:12" x14ac:dyDescent="0.2">
      <c r="A2580" t="s">
        <v>2946</v>
      </c>
      <c r="B2580" t="s">
        <v>321</v>
      </c>
      <c r="L2580" t="s">
        <v>321</v>
      </c>
    </row>
    <row r="2581" spans="1:12" x14ac:dyDescent="0.2">
      <c r="A2581" t="s">
        <v>2947</v>
      </c>
      <c r="B2581" t="s">
        <v>321</v>
      </c>
      <c r="L2581" t="s">
        <v>321</v>
      </c>
    </row>
    <row r="2582" spans="1:12" x14ac:dyDescent="0.2">
      <c r="A2582" t="s">
        <v>2948</v>
      </c>
      <c r="B2582" t="s">
        <v>321</v>
      </c>
      <c r="L2582" t="s">
        <v>321</v>
      </c>
    </row>
    <row r="2583" spans="1:12" x14ac:dyDescent="0.2">
      <c r="A2583" t="s">
        <v>2949</v>
      </c>
      <c r="B2583" t="s">
        <v>321</v>
      </c>
      <c r="L2583" t="s">
        <v>321</v>
      </c>
    </row>
    <row r="2584" spans="1:12" x14ac:dyDescent="0.2">
      <c r="A2584" t="s">
        <v>2950</v>
      </c>
      <c r="B2584" t="s">
        <v>2950</v>
      </c>
      <c r="L2584" t="s">
        <v>2950</v>
      </c>
    </row>
    <row r="2585" spans="1:12" x14ac:dyDescent="0.2">
      <c r="A2585" t="s">
        <v>2951</v>
      </c>
      <c r="B2585" t="s">
        <v>321</v>
      </c>
      <c r="L2585" t="s">
        <v>321</v>
      </c>
    </row>
    <row r="2586" spans="1:12" x14ac:dyDescent="0.2">
      <c r="A2586" t="s">
        <v>2952</v>
      </c>
      <c r="B2586" t="s">
        <v>321</v>
      </c>
      <c r="L2586" t="s">
        <v>321</v>
      </c>
    </row>
    <row r="2587" spans="1:12" x14ac:dyDescent="0.2">
      <c r="A2587" t="s">
        <v>2953</v>
      </c>
      <c r="B2587" t="s">
        <v>321</v>
      </c>
      <c r="L2587" t="s">
        <v>321</v>
      </c>
    </row>
    <row r="2588" spans="1:12" x14ac:dyDescent="0.2">
      <c r="A2588" t="s">
        <v>2954</v>
      </c>
      <c r="B2588" t="s">
        <v>321</v>
      </c>
      <c r="L2588" t="s">
        <v>321</v>
      </c>
    </row>
    <row r="2589" spans="1:12" x14ac:dyDescent="0.2">
      <c r="A2589" t="s">
        <v>2955</v>
      </c>
      <c r="B2589" t="s">
        <v>321</v>
      </c>
      <c r="L2589" t="s">
        <v>321</v>
      </c>
    </row>
    <row r="2590" spans="1:12" x14ac:dyDescent="0.2">
      <c r="A2590" t="s">
        <v>2956</v>
      </c>
      <c r="B2590" t="s">
        <v>321</v>
      </c>
      <c r="L2590" t="s">
        <v>321</v>
      </c>
    </row>
    <row r="2591" spans="1:12" x14ac:dyDescent="0.2">
      <c r="A2591" t="s">
        <v>2957</v>
      </c>
      <c r="B2591" t="s">
        <v>3258</v>
      </c>
      <c r="L2591" t="s">
        <v>3258</v>
      </c>
    </row>
    <row r="2592" spans="1:12" x14ac:dyDescent="0.2">
      <c r="A2592" t="s">
        <v>2958</v>
      </c>
      <c r="B2592" t="s">
        <v>321</v>
      </c>
      <c r="L2592" t="s">
        <v>321</v>
      </c>
    </row>
    <row r="2593" spans="1:12" x14ac:dyDescent="0.2">
      <c r="A2593" t="s">
        <v>2959</v>
      </c>
      <c r="B2593" t="s">
        <v>321</v>
      </c>
      <c r="L2593" t="s">
        <v>321</v>
      </c>
    </row>
    <row r="2594" spans="1:12" x14ac:dyDescent="0.2">
      <c r="A2594" t="s">
        <v>2960</v>
      </c>
      <c r="B2594" t="s">
        <v>3260</v>
      </c>
      <c r="L2594" t="s">
        <v>3260</v>
      </c>
    </row>
    <row r="2595" spans="1:12" x14ac:dyDescent="0.2">
      <c r="A2595" t="s">
        <v>2961</v>
      </c>
      <c r="B2595" t="s">
        <v>321</v>
      </c>
      <c r="L2595" t="s">
        <v>321</v>
      </c>
    </row>
    <row r="2596" spans="1:12" x14ac:dyDescent="0.2">
      <c r="A2596" t="s">
        <v>2962</v>
      </c>
      <c r="B2596" t="s">
        <v>321</v>
      </c>
      <c r="L2596" t="s">
        <v>321</v>
      </c>
    </row>
    <row r="2597" spans="1:12" x14ac:dyDescent="0.2">
      <c r="A2597" t="s">
        <v>2963</v>
      </c>
      <c r="B2597" t="s">
        <v>321</v>
      </c>
      <c r="L2597" t="s">
        <v>321</v>
      </c>
    </row>
    <row r="2598" spans="1:12" x14ac:dyDescent="0.2">
      <c r="A2598" t="s">
        <v>2964</v>
      </c>
      <c r="B2598" t="s">
        <v>321</v>
      </c>
      <c r="L2598" t="s">
        <v>321</v>
      </c>
    </row>
    <row r="2599" spans="1:12" x14ac:dyDescent="0.2">
      <c r="A2599" t="s">
        <v>2965</v>
      </c>
      <c r="B2599" t="s">
        <v>321</v>
      </c>
      <c r="L2599" t="s">
        <v>321</v>
      </c>
    </row>
    <row r="2600" spans="1:12" x14ac:dyDescent="0.2">
      <c r="A2600" t="s">
        <v>2966</v>
      </c>
      <c r="B2600" t="s">
        <v>321</v>
      </c>
      <c r="L2600" t="s">
        <v>321</v>
      </c>
    </row>
    <row r="2601" spans="1:12" x14ac:dyDescent="0.2">
      <c r="A2601" t="s">
        <v>2967</v>
      </c>
      <c r="B2601" t="s">
        <v>321</v>
      </c>
      <c r="L2601" t="s">
        <v>321</v>
      </c>
    </row>
    <row r="2602" spans="1:12" x14ac:dyDescent="0.2">
      <c r="A2602" t="s">
        <v>2968</v>
      </c>
      <c r="B2602" t="s">
        <v>321</v>
      </c>
      <c r="L2602" t="s">
        <v>321</v>
      </c>
    </row>
    <row r="2603" spans="1:12" x14ac:dyDescent="0.2">
      <c r="A2603" t="s">
        <v>2969</v>
      </c>
      <c r="B2603" t="s">
        <v>2969</v>
      </c>
      <c r="L2603" t="s">
        <v>2969</v>
      </c>
    </row>
    <row r="2604" spans="1:12" x14ac:dyDescent="0.2">
      <c r="A2604" t="s">
        <v>2970</v>
      </c>
      <c r="B2604" t="s">
        <v>321</v>
      </c>
      <c r="L2604" t="s">
        <v>321</v>
      </c>
    </row>
    <row r="2605" spans="1:12" x14ac:dyDescent="0.2">
      <c r="A2605" t="s">
        <v>2971</v>
      </c>
      <c r="B2605" t="s">
        <v>321</v>
      </c>
      <c r="L2605" t="s">
        <v>321</v>
      </c>
    </row>
    <row r="2606" spans="1:12" x14ac:dyDescent="0.2">
      <c r="A2606" t="s">
        <v>2972</v>
      </c>
      <c r="B2606" t="s">
        <v>321</v>
      </c>
      <c r="L2606" t="s">
        <v>321</v>
      </c>
    </row>
    <row r="2607" spans="1:12" x14ac:dyDescent="0.2">
      <c r="A2607" t="s">
        <v>2973</v>
      </c>
      <c r="B2607" t="s">
        <v>3259</v>
      </c>
      <c r="L2607" t="s">
        <v>3259</v>
      </c>
    </row>
    <row r="2608" spans="1:12" x14ac:dyDescent="0.2">
      <c r="A2608" t="s">
        <v>2974</v>
      </c>
      <c r="B2608" t="s">
        <v>321</v>
      </c>
      <c r="L2608" t="s">
        <v>321</v>
      </c>
    </row>
    <row r="2609" spans="1:12" x14ac:dyDescent="0.2">
      <c r="A2609" t="s">
        <v>2975</v>
      </c>
      <c r="B2609" t="s">
        <v>3261</v>
      </c>
      <c r="L2609" t="s">
        <v>3261</v>
      </c>
    </row>
    <row r="2610" spans="1:12" x14ac:dyDescent="0.2">
      <c r="A2610" t="s">
        <v>2976</v>
      </c>
      <c r="B2610" t="s">
        <v>321</v>
      </c>
      <c r="L2610" t="s">
        <v>321</v>
      </c>
    </row>
    <row r="2611" spans="1:12" x14ac:dyDescent="0.2">
      <c r="A2611" t="s">
        <v>2977</v>
      </c>
      <c r="B2611" t="s">
        <v>321</v>
      </c>
      <c r="L2611" t="s">
        <v>321</v>
      </c>
    </row>
    <row r="2612" spans="1:12" x14ac:dyDescent="0.2">
      <c r="A2612" t="s">
        <v>2978</v>
      </c>
      <c r="B2612" t="s">
        <v>321</v>
      </c>
      <c r="L2612" t="s">
        <v>321</v>
      </c>
    </row>
    <row r="2613" spans="1:12" x14ac:dyDescent="0.2">
      <c r="A2613" t="s">
        <v>2979</v>
      </c>
      <c r="B2613" t="s">
        <v>321</v>
      </c>
      <c r="L2613" t="s">
        <v>321</v>
      </c>
    </row>
    <row r="2614" spans="1:12" x14ac:dyDescent="0.2">
      <c r="A2614" t="s">
        <v>2980</v>
      </c>
      <c r="B2614" t="s">
        <v>321</v>
      </c>
      <c r="L2614" t="s">
        <v>321</v>
      </c>
    </row>
    <row r="2615" spans="1:12" x14ac:dyDescent="0.2">
      <c r="A2615" t="s">
        <v>2981</v>
      </c>
      <c r="B2615" t="s">
        <v>321</v>
      </c>
      <c r="L2615" t="s">
        <v>321</v>
      </c>
    </row>
    <row r="2616" spans="1:12" x14ac:dyDescent="0.2">
      <c r="A2616" t="s">
        <v>2982</v>
      </c>
      <c r="B2616" t="s">
        <v>321</v>
      </c>
      <c r="L2616" t="s">
        <v>321</v>
      </c>
    </row>
    <row r="2617" spans="1:12" x14ac:dyDescent="0.2">
      <c r="A2617" t="s">
        <v>2983</v>
      </c>
      <c r="B2617" t="s">
        <v>321</v>
      </c>
      <c r="L2617" t="s">
        <v>321</v>
      </c>
    </row>
    <row r="2618" spans="1:12" s="12" customFormat="1" x14ac:dyDescent="0.2">
      <c r="A2618" s="12" t="s">
        <v>2986</v>
      </c>
      <c r="B2618" s="12" t="s">
        <v>3107</v>
      </c>
      <c r="C2618" s="5"/>
      <c r="G2618" s="13"/>
      <c r="H2618" s="13"/>
      <c r="I2618" s="14"/>
      <c r="J2618" s="14"/>
      <c r="L2618" s="12" t="s">
        <v>3107</v>
      </c>
    </row>
    <row r="2619" spans="1:12" s="12" customFormat="1" x14ac:dyDescent="0.2">
      <c r="A2619" t="s">
        <v>2987</v>
      </c>
      <c r="B2619" s="12" t="s">
        <v>3108</v>
      </c>
      <c r="C2619" s="5"/>
      <c r="G2619" s="13"/>
      <c r="H2619" s="13"/>
      <c r="I2619" s="14"/>
      <c r="J2619" s="14"/>
      <c r="L2619" s="12" t="s">
        <v>3108</v>
      </c>
    </row>
    <row r="2620" spans="1:12" x14ac:dyDescent="0.2">
      <c r="A2620" t="s">
        <v>2997</v>
      </c>
    </row>
    <row r="2621" spans="1:12" x14ac:dyDescent="0.2">
      <c r="A2621" t="s">
        <v>2998</v>
      </c>
      <c r="B2621" t="s">
        <v>321</v>
      </c>
      <c r="L2621" t="s">
        <v>321</v>
      </c>
    </row>
    <row r="2622" spans="1:12" x14ac:dyDescent="0.2">
      <c r="A2622" t="s">
        <v>2999</v>
      </c>
      <c r="B2622" t="s">
        <v>321</v>
      </c>
      <c r="L2622" t="s">
        <v>321</v>
      </c>
    </row>
    <row r="2623" spans="1:12" x14ac:dyDescent="0.2">
      <c r="A2623" t="s">
        <v>3000</v>
      </c>
      <c r="B2623" t="s">
        <v>3347</v>
      </c>
      <c r="H2623" s="5">
        <f>16*8*4</f>
        <v>512</v>
      </c>
      <c r="I2623" s="6" t="str">
        <f t="shared" ref="I2623" si="45">IFERROR(DEC2HEX(H2623),"")</f>
        <v>200</v>
      </c>
      <c r="L2623" t="s">
        <v>3347</v>
      </c>
    </row>
    <row r="2624" spans="1:12" x14ac:dyDescent="0.2">
      <c r="A2624" t="s">
        <v>3001</v>
      </c>
      <c r="B2624" t="s">
        <v>3001</v>
      </c>
      <c r="L2624" t="s">
        <v>3001</v>
      </c>
    </row>
    <row r="2625" spans="1:12" x14ac:dyDescent="0.2">
      <c r="A2625" t="s">
        <v>3002</v>
      </c>
      <c r="B2625" t="s">
        <v>321</v>
      </c>
      <c r="L2625" t="s">
        <v>321</v>
      </c>
    </row>
    <row r="2626" spans="1:12" x14ac:dyDescent="0.2">
      <c r="A2626" t="s">
        <v>3003</v>
      </c>
    </row>
    <row r="2627" spans="1:12" x14ac:dyDescent="0.2">
      <c r="A2627" t="s">
        <v>3004</v>
      </c>
      <c r="B2627" t="s">
        <v>3004</v>
      </c>
      <c r="L2627" t="s">
        <v>3004</v>
      </c>
    </row>
    <row r="2628" spans="1:12" x14ac:dyDescent="0.2">
      <c r="A2628" t="s">
        <v>3005</v>
      </c>
      <c r="B2628" t="s">
        <v>321</v>
      </c>
      <c r="L2628" t="s">
        <v>321</v>
      </c>
    </row>
    <row r="2629" spans="1:12" x14ac:dyDescent="0.2">
      <c r="A2629" t="s">
        <v>3006</v>
      </c>
      <c r="B2629" t="s">
        <v>321</v>
      </c>
      <c r="L2629" t="s">
        <v>321</v>
      </c>
    </row>
    <row r="2630" spans="1:12" x14ac:dyDescent="0.2">
      <c r="A2630" t="s">
        <v>3007</v>
      </c>
    </row>
    <row r="2631" spans="1:12" x14ac:dyDescent="0.2">
      <c r="A2631" t="s">
        <v>3008</v>
      </c>
      <c r="B2631" t="s">
        <v>321</v>
      </c>
      <c r="L2631" t="s">
        <v>321</v>
      </c>
    </row>
    <row r="2632" spans="1:12" x14ac:dyDescent="0.2">
      <c r="A2632" t="s">
        <v>3009</v>
      </c>
      <c r="B2632" t="s">
        <v>321</v>
      </c>
      <c r="L2632" t="s">
        <v>321</v>
      </c>
    </row>
    <row r="2633" spans="1:12" x14ac:dyDescent="0.2">
      <c r="A2633" t="s">
        <v>3010</v>
      </c>
      <c r="B2633" t="s">
        <v>321</v>
      </c>
      <c r="L2633" t="s">
        <v>321</v>
      </c>
    </row>
    <row r="2634" spans="1:12" x14ac:dyDescent="0.2">
      <c r="A2634" t="s">
        <v>3013</v>
      </c>
      <c r="B2634" t="s">
        <v>321</v>
      </c>
      <c r="L2634" t="s">
        <v>321</v>
      </c>
    </row>
    <row r="2635" spans="1:12" x14ac:dyDescent="0.2">
      <c r="A2635" t="s">
        <v>3014</v>
      </c>
      <c r="B2635" t="s">
        <v>3015</v>
      </c>
      <c r="L2635" t="s">
        <v>3015</v>
      </c>
    </row>
    <row r="2636" spans="1:12" x14ac:dyDescent="0.2">
      <c r="A2636" t="s">
        <v>3016</v>
      </c>
      <c r="B2636" t="s">
        <v>3198</v>
      </c>
      <c r="L2636" t="s">
        <v>3198</v>
      </c>
    </row>
    <row r="2637" spans="1:12" x14ac:dyDescent="0.2">
      <c r="A2637" t="s">
        <v>3017</v>
      </c>
      <c r="B2637" t="s">
        <v>321</v>
      </c>
      <c r="L2637" t="s">
        <v>321</v>
      </c>
    </row>
    <row r="2638" spans="1:12" x14ac:dyDescent="0.2">
      <c r="A2638" t="s">
        <v>3018</v>
      </c>
      <c r="B2638" t="s">
        <v>321</v>
      </c>
      <c r="L2638" t="s">
        <v>321</v>
      </c>
    </row>
    <row r="2639" spans="1:12" x14ac:dyDescent="0.2">
      <c r="A2639" t="s">
        <v>3019</v>
      </c>
      <c r="B2639" t="s">
        <v>321</v>
      </c>
      <c r="L2639" t="s">
        <v>321</v>
      </c>
    </row>
    <row r="2640" spans="1:12" x14ac:dyDescent="0.2">
      <c r="A2640" t="s">
        <v>3020</v>
      </c>
      <c r="B2640" t="s">
        <v>321</v>
      </c>
      <c r="L2640" t="s">
        <v>321</v>
      </c>
    </row>
    <row r="2641" spans="1:12" x14ac:dyDescent="0.2">
      <c r="A2641" t="s">
        <v>3021</v>
      </c>
      <c r="B2641" t="s">
        <v>321</v>
      </c>
      <c r="L2641" t="s">
        <v>321</v>
      </c>
    </row>
    <row r="2642" spans="1:12" x14ac:dyDescent="0.2">
      <c r="A2642" t="s">
        <v>3022</v>
      </c>
      <c r="B2642" t="s">
        <v>321</v>
      </c>
      <c r="L2642" t="s">
        <v>321</v>
      </c>
    </row>
    <row r="2643" spans="1:12" x14ac:dyDescent="0.2">
      <c r="A2643" t="s">
        <v>3023</v>
      </c>
      <c r="B2643" t="s">
        <v>321</v>
      </c>
      <c r="L2643" t="s">
        <v>321</v>
      </c>
    </row>
    <row r="2644" spans="1:12" x14ac:dyDescent="0.2">
      <c r="A2644" t="s">
        <v>3024</v>
      </c>
      <c r="B2644" t="s">
        <v>3126</v>
      </c>
      <c r="L2644" t="s">
        <v>3126</v>
      </c>
    </row>
    <row r="2645" spans="1:12" x14ac:dyDescent="0.2">
      <c r="A2645" t="s">
        <v>3031</v>
      </c>
      <c r="B2645" t="s">
        <v>3032</v>
      </c>
      <c r="L2645" t="s">
        <v>3032</v>
      </c>
    </row>
    <row r="2646" spans="1:12" x14ac:dyDescent="0.2">
      <c r="A2646" t="s">
        <v>3033</v>
      </c>
      <c r="B2646" t="s">
        <v>3034</v>
      </c>
      <c r="L2646" t="s">
        <v>3034</v>
      </c>
    </row>
    <row r="2647" spans="1:12" s="12" customFormat="1" x14ac:dyDescent="0.2">
      <c r="C2647" s="13" t="s">
        <v>48</v>
      </c>
      <c r="D2647" s="12" t="s">
        <v>136</v>
      </c>
      <c r="E2647" s="12" t="str">
        <f>C2647&amp;"/"&amp;D2647</f>
        <v>data/scrolls.block</v>
      </c>
      <c r="G2647" s="13" t="str">
        <f>IF(F2647&lt;&gt;"",HEX2DEC(SUBSTITUTE(SUBSTITUTE(F2647,"adrEA",""),"$","")),"")</f>
        <v/>
      </c>
      <c r="H2647" s="13">
        <v>3380</v>
      </c>
      <c r="I2647" s="14" t="str">
        <f>IFERROR(DEC2HEX(H2647),"")</f>
        <v>D34</v>
      </c>
      <c r="J2647" s="14"/>
    </row>
  </sheetData>
  <autoFilter ref="A1:O2647" xr:uid="{00000000-0001-0000-0000-000000000000}"/>
  <phoneticPr fontId="4" type="noConversion"/>
  <conditionalFormatting sqref="A2:A1048576">
    <cfRule type="expression" dxfId="5" priority="13">
      <formula>AND(MATCH(A2,A:A,0)=ROW(A2),COUNTIF(A:A,A2)=1)</formula>
    </cfRule>
    <cfRule type="expression" dxfId="4" priority="14">
      <formula>AND(MATCH(A2,A:A,0)=ROW(A2),COUNTIF(A:A,A2)&gt;1)</formula>
    </cfRule>
    <cfRule type="expression" dxfId="3" priority="17">
      <formula>MATCH(A2,A:A,0)&lt;&gt;ROW(A2)</formula>
    </cfRule>
  </conditionalFormatting>
  <conditionalFormatting sqref="B2:B1048576">
    <cfRule type="expression" dxfId="2" priority="5">
      <formula>AND(B2&lt;&gt;"",_xlfn.ISFORMULA(B2)=TRUE)</formula>
    </cfRule>
  </conditionalFormatting>
  <conditionalFormatting sqref="B2:L54 B55:I60 B61:L1048576 K55:L60">
    <cfRule type="expression" dxfId="1" priority="6">
      <formula>LEFT(LOWER($B2),7)="_delete"</formula>
    </cfRule>
  </conditionalFormatting>
  <conditionalFormatting sqref="B2:L54 B55:I60 K55:L60 B61:L1048576">
    <cfRule type="expression" dxfId="0" priority="12">
      <formula>LEFT(LOWER($B2),7)="_offset"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topLeftCell="A73" workbookViewId="0">
      <selection activeCell="A102" sqref="A102:XFD102"/>
    </sheetView>
  </sheetViews>
  <sheetFormatPr baseColWidth="10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3445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3446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3447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3448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3449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3450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3451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3452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3453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3454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3455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3456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3457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3458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3459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3460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3461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3462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3463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3464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3465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3466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3467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3468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3469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3470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3471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3472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3473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3474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3475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3476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3477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3478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3479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3480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3481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3482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3483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3484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3485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3486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3487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3488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3489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3490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3491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3492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3493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3494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3495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3496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3497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3498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3499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3500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3501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3502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3529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3530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3531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3532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3533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3534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3535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3536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3537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3538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3503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3504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3505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3506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3507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3508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3509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3510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3511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3512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3513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3514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3515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3516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3517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3518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3519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3520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3521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3522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3523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3524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3525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3526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3527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3528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3539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3540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3541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3542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3558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3557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3543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3559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3560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3561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3562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3563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3564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3565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3566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3567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3568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3569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3570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3571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3572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3573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3574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3575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BLOODWYCH439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2026-07-20T21:42:33Z</dcterms:modified>
</cp:coreProperties>
</file>