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codeName="ThisWorkbook" defaultThemeVersion="202300"/>
  <mc:AlternateContent xmlns:mc="http://schemas.openxmlformats.org/markup-compatibility/2006">
    <mc:Choice Requires="x15">
      <x15ac:absPath xmlns:x15ac="http://schemas.microsoft.com/office/spreadsheetml/2010/11/ac" url="/Users/dom.cresswell/Dropbox/Geek/Gaming Projects/Bloodwych 68k/"/>
    </mc:Choice>
  </mc:AlternateContent>
  <xr:revisionPtr revIDLastSave="0" documentId="13_ncr:1_{EB1BCCB6-E43F-FA49-A714-B6311B966D41}" xr6:coauthVersionLast="47" xr6:coauthVersionMax="47" xr10:uidLastSave="{00000000-0000-0000-0000-000000000000}"/>
  <bookViews>
    <workbookView xWindow="0" yWindow="880" windowWidth="31100" windowHeight="20900" xr2:uid="{00000000-000D-0000-FFFF-FFFF00000000}"/>
  </bookViews>
  <sheets>
    <sheet name="BLOODWYCH439" sheetId="1" r:id="rId1"/>
    <sheet name="Sheet2" sheetId="3" r:id="rId2"/>
  </sheets>
  <definedNames>
    <definedName name="_xlnm._FilterDatabase" localSheetId="0" hidden="1">BLOODWYCH439!$A$1:$M$2670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668" i="1" l="1"/>
  <c r="E2667" i="1"/>
  <c r="E2666" i="1"/>
  <c r="E2665" i="1"/>
  <c r="E2662" i="1"/>
  <c r="E2358" i="1"/>
  <c r="E2354" i="1"/>
  <c r="E2353" i="1"/>
  <c r="E2352" i="1"/>
  <c r="E2351" i="1"/>
  <c r="E2350" i="1"/>
  <c r="E2349" i="1"/>
  <c r="E2278" i="1"/>
  <c r="E2277" i="1"/>
  <c r="E2270" i="1"/>
  <c r="E2265" i="1"/>
  <c r="E2183" i="1"/>
  <c r="E2125" i="1"/>
  <c r="E2124" i="1"/>
  <c r="E2111" i="1"/>
  <c r="E2011" i="1"/>
  <c r="E2010" i="1"/>
  <c r="E2007" i="1"/>
  <c r="E2006" i="1"/>
  <c r="E2005" i="1"/>
  <c r="E1995" i="1"/>
  <c r="E1989" i="1"/>
  <c r="E1983" i="1"/>
  <c r="E1977" i="1"/>
  <c r="E1970" i="1"/>
  <c r="E1962" i="1"/>
  <c r="E1961" i="1"/>
  <c r="E1959" i="1"/>
  <c r="E1949" i="1"/>
  <c r="E1907" i="1"/>
  <c r="E1899" i="1"/>
  <c r="E1883" i="1"/>
  <c r="E1881" i="1"/>
  <c r="E1880" i="1"/>
  <c r="E1873" i="1"/>
  <c r="E1765" i="1"/>
  <c r="E1764" i="1"/>
  <c r="E1763" i="1"/>
  <c r="E1759" i="1"/>
  <c r="E1742" i="1"/>
  <c r="E1741" i="1"/>
  <c r="E1726" i="1"/>
  <c r="E1725" i="1"/>
  <c r="E1724" i="1"/>
  <c r="E1723" i="1"/>
  <c r="E1713" i="1"/>
  <c r="E1703" i="1"/>
  <c r="E1695" i="1"/>
  <c r="E1678" i="1"/>
  <c r="E1677" i="1"/>
  <c r="E1676" i="1"/>
  <c r="E1640" i="1"/>
  <c r="E1515" i="1"/>
  <c r="E1483" i="1"/>
  <c r="E1401" i="1"/>
  <c r="E1226" i="1"/>
  <c r="E1225" i="1"/>
  <c r="E1224" i="1"/>
  <c r="E1219" i="1"/>
  <c r="E1213" i="1"/>
  <c r="E1180" i="1"/>
  <c r="E1069" i="1"/>
  <c r="E1066" i="1"/>
  <c r="E666" i="1"/>
  <c r="E665" i="1"/>
  <c r="E414" i="1"/>
  <c r="E239" i="1"/>
  <c r="E238" i="1"/>
  <c r="E237" i="1"/>
  <c r="E236" i="1"/>
  <c r="E235" i="1"/>
  <c r="E234" i="1"/>
  <c r="E229" i="1"/>
  <c r="E223" i="1"/>
  <c r="E220" i="1"/>
  <c r="E217" i="1"/>
  <c r="E215" i="1"/>
  <c r="E214" i="1"/>
  <c r="E213" i="1"/>
  <c r="E212" i="1"/>
  <c r="E211" i="1"/>
  <c r="E210" i="1"/>
  <c r="E209" i="1"/>
  <c r="E208" i="1"/>
  <c r="E207" i="1"/>
  <c r="E206" i="1"/>
  <c r="E205" i="1"/>
  <c r="E204" i="1"/>
  <c r="E203" i="1"/>
  <c r="E202" i="1"/>
  <c r="E201" i="1"/>
  <c r="E200" i="1"/>
  <c r="E199" i="1"/>
  <c r="E191" i="1"/>
  <c r="E190" i="1"/>
  <c r="E189" i="1"/>
  <c r="E188" i="1"/>
  <c r="E187" i="1"/>
  <c r="E186" i="1"/>
  <c r="E185" i="1"/>
  <c r="E184" i="1"/>
  <c r="E174" i="1"/>
  <c r="E173" i="1"/>
  <c r="E172" i="1"/>
  <c r="E171" i="1"/>
  <c r="E170" i="1"/>
  <c r="E169" i="1"/>
  <c r="E168" i="1"/>
  <c r="E167" i="1"/>
  <c r="E166" i="1"/>
  <c r="E165" i="1"/>
  <c r="E164" i="1"/>
  <c r="E163" i="1"/>
  <c r="E162" i="1"/>
  <c r="E161" i="1"/>
  <c r="E160" i="1"/>
  <c r="E159" i="1"/>
  <c r="E158" i="1"/>
  <c r="E157" i="1"/>
  <c r="E156" i="1"/>
  <c r="E155" i="1"/>
  <c r="E154" i="1"/>
  <c r="E153" i="1"/>
  <c r="E152" i="1"/>
  <c r="E151"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7" i="1"/>
  <c r="I220"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7" i="1"/>
  <c r="G220"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3" i="1" l="1"/>
  <c r="G4" i="1"/>
  <c r="G5" i="1"/>
  <c r="G6" i="1"/>
  <c r="G7" i="1"/>
  <c r="I3" i="1"/>
  <c r="I4" i="1"/>
  <c r="I5" i="1"/>
  <c r="C10" i="3" l="1"/>
  <c r="C9" i="3"/>
  <c r="C11" i="3" s="1"/>
  <c r="D11" i="3" l="1"/>
  <c r="D10" i="3"/>
  <c r="E1971" i="1" l="1"/>
  <c r="E1972" i="1"/>
  <c r="E1973" i="1"/>
  <c r="E1974" i="1"/>
  <c r="E1975" i="1"/>
  <c r="E1976" i="1"/>
  <c r="E1978" i="1"/>
  <c r="E1984" i="1"/>
  <c r="E1990" i="1"/>
  <c r="E1996" i="1"/>
  <c r="E1998" i="1"/>
  <c r="E2008" i="1"/>
  <c r="E2009" i="1"/>
  <c r="E2023" i="1"/>
  <c r="E2026" i="1"/>
  <c r="E2027" i="1"/>
  <c r="E2033" i="1"/>
  <c r="E2053" i="1"/>
  <c r="E2054" i="1"/>
  <c r="E2110" i="1"/>
  <c r="E2114" i="1"/>
  <c r="E2137" i="1"/>
  <c r="E2138" i="1"/>
  <c r="E2166" i="1"/>
  <c r="E2168" i="1"/>
  <c r="E2175" i="1"/>
  <c r="E2177" i="1"/>
  <c r="E2178" i="1"/>
  <c r="E2179" i="1"/>
  <c r="E2180" i="1"/>
  <c r="E2181" i="1"/>
  <c r="E2201" i="1"/>
  <c r="E2206" i="1"/>
  <c r="E2207" i="1"/>
  <c r="E2209" i="1"/>
  <c r="E2212" i="1"/>
  <c r="E2213" i="1"/>
  <c r="E2214" i="1"/>
  <c r="E2215" i="1"/>
  <c r="E2216" i="1"/>
  <c r="E2217" i="1"/>
  <c r="E2218" i="1"/>
  <c r="E2222" i="1"/>
  <c r="E2224" i="1"/>
  <c r="E2227" i="1"/>
  <c r="E2239" i="1"/>
  <c r="E2240" i="1"/>
  <c r="E2241" i="1"/>
  <c r="E2243" i="1"/>
  <c r="E2244" i="1"/>
  <c r="E2246" i="1"/>
  <c r="E2250" i="1"/>
  <c r="E2251" i="1"/>
  <c r="E2254" i="1"/>
  <c r="E2262" i="1"/>
  <c r="E2263" i="1"/>
  <c r="E2264" i="1"/>
  <c r="E2269" i="1"/>
  <c r="E2276" i="1"/>
  <c r="E2279" i="1"/>
  <c r="E2280" i="1"/>
  <c r="E2281" i="1"/>
  <c r="E2282" i="1"/>
  <c r="E2286" i="1"/>
  <c r="E2287" i="1"/>
  <c r="E2288" i="1"/>
  <c r="E2289" i="1"/>
  <c r="E2305" i="1"/>
  <c r="E2312" i="1"/>
  <c r="E2315" i="1"/>
  <c r="E2323" i="1"/>
  <c r="E2327" i="1"/>
  <c r="E2329" i="1"/>
  <c r="E2337" i="1"/>
  <c r="E2338" i="1"/>
  <c r="E2341" i="1"/>
  <c r="E2342" i="1"/>
  <c r="E2347" i="1"/>
  <c r="E2348" i="1"/>
  <c r="E2355" i="1"/>
  <c r="E2356" i="1"/>
  <c r="E2357" i="1"/>
  <c r="E1967" i="1"/>
  <c r="E1966" i="1"/>
  <c r="E1963" i="1"/>
  <c r="E1960" i="1"/>
  <c r="E1751" i="1"/>
  <c r="E1761" i="1"/>
  <c r="E1762" i="1"/>
  <c r="E1769" i="1"/>
  <c r="E1777" i="1"/>
  <c r="E1778" i="1"/>
  <c r="E1826" i="1"/>
  <c r="E1833" i="1"/>
  <c r="E1834" i="1"/>
  <c r="E1835" i="1"/>
  <c r="E1864" i="1"/>
  <c r="E1871" i="1"/>
  <c r="E1882" i="1"/>
  <c r="E1884" i="1"/>
  <c r="E1950" i="1"/>
  <c r="E1955" i="1"/>
  <c r="E1956" i="1"/>
  <c r="E1957" i="1"/>
  <c r="E1704" i="1"/>
  <c r="E1696" i="1"/>
  <c r="E1679" i="1"/>
  <c r="E1680" i="1"/>
  <c r="E1681" i="1"/>
  <c r="E1683" i="1"/>
  <c r="E1669" i="1"/>
  <c r="E1657" i="1"/>
  <c r="E104" i="1"/>
  <c r="E105" i="1"/>
  <c r="E106" i="1"/>
  <c r="E107" i="1"/>
  <c r="E108" i="1"/>
  <c r="E109" i="1"/>
  <c r="E110" i="1"/>
  <c r="E111" i="1"/>
  <c r="E112" i="1"/>
  <c r="E113" i="1"/>
  <c r="E114" i="1"/>
  <c r="E115" i="1"/>
  <c r="E116" i="1"/>
  <c r="E149" i="1"/>
  <c r="E150" i="1"/>
  <c r="E175" i="1"/>
  <c r="E176" i="1"/>
  <c r="E177" i="1"/>
  <c r="E178" i="1"/>
  <c r="E179" i="1"/>
  <c r="E180" i="1"/>
  <c r="E181" i="1"/>
  <c r="E182" i="1"/>
  <c r="E183" i="1"/>
  <c r="E192" i="1"/>
  <c r="E193" i="1"/>
  <c r="E194" i="1"/>
  <c r="E195" i="1"/>
  <c r="E196" i="1"/>
  <c r="E197" i="1"/>
  <c r="E198" i="1"/>
  <c r="E230" i="1"/>
  <c r="E231" i="1"/>
  <c r="E232" i="1"/>
  <c r="E233" i="1"/>
  <c r="E240" i="1"/>
  <c r="E241" i="1"/>
  <c r="E242" i="1"/>
  <c r="E243" i="1"/>
  <c r="E244" i="1"/>
  <c r="E246" i="1"/>
  <c r="E247" i="1"/>
  <c r="E248" i="1"/>
  <c r="E249" i="1"/>
  <c r="E250" i="1"/>
  <c r="E252" i="1"/>
  <c r="E260" i="1"/>
  <c r="E261" i="1"/>
  <c r="E262" i="1"/>
  <c r="E264" i="1"/>
  <c r="E265" i="1"/>
  <c r="E267" i="1"/>
  <c r="E268" i="1"/>
  <c r="E269" i="1"/>
  <c r="E270" i="1"/>
  <c r="E272" i="1"/>
  <c r="E273" i="1"/>
  <c r="E274" i="1"/>
  <c r="E275" i="1"/>
  <c r="E276" i="1"/>
  <c r="E277" i="1"/>
  <c r="E279" i="1"/>
  <c r="E298" i="1"/>
  <c r="E299" i="1"/>
  <c r="E572" i="1"/>
  <c r="E573" i="1"/>
  <c r="E610" i="1"/>
  <c r="E688" i="1"/>
  <c r="E689" i="1"/>
  <c r="E703" i="1"/>
  <c r="E717" i="1"/>
  <c r="E718" i="1"/>
  <c r="E720" i="1"/>
  <c r="E721" i="1"/>
  <c r="E819" i="1"/>
  <c r="E821" i="1"/>
  <c r="E822" i="1"/>
  <c r="E824" i="1"/>
  <c r="E834" i="1"/>
  <c r="E835" i="1"/>
  <c r="E836" i="1"/>
  <c r="E842" i="1"/>
  <c r="E870" i="1"/>
  <c r="E871" i="1"/>
  <c r="E872" i="1"/>
  <c r="E873" i="1"/>
  <c r="E916" i="1"/>
  <c r="E933" i="1"/>
  <c r="E934" i="1"/>
  <c r="E935" i="1"/>
  <c r="E938" i="1"/>
  <c r="E941" i="1"/>
  <c r="E942" i="1"/>
  <c r="E944" i="1"/>
  <c r="E950" i="1"/>
  <c r="E952" i="1"/>
  <c r="E953" i="1"/>
  <c r="E954" i="1"/>
  <c r="E955" i="1"/>
  <c r="E956" i="1"/>
  <c r="E963" i="1"/>
  <c r="E964" i="1"/>
  <c r="E965" i="1"/>
  <c r="E966" i="1"/>
  <c r="E970" i="1"/>
  <c r="E971" i="1"/>
  <c r="E979" i="1"/>
  <c r="E982" i="1"/>
  <c r="E987" i="1"/>
  <c r="E988" i="1"/>
  <c r="E989" i="1"/>
  <c r="E990" i="1"/>
  <c r="E991" i="1"/>
  <c r="E993" i="1"/>
  <c r="E1006" i="1"/>
  <c r="E1011" i="1"/>
  <c r="E1012" i="1"/>
  <c r="E1019" i="1"/>
  <c r="E1020" i="1"/>
  <c r="E1021" i="1"/>
  <c r="E1034" i="1"/>
  <c r="E1039" i="1"/>
  <c r="E1063" i="1"/>
  <c r="E1074" i="1"/>
  <c r="E1076" i="1"/>
  <c r="E1077" i="1"/>
  <c r="E1079" i="1"/>
  <c r="E1080" i="1"/>
  <c r="E1081" i="1"/>
  <c r="E1082" i="1"/>
  <c r="E1083" i="1"/>
  <c r="E1087" i="1"/>
  <c r="E1088" i="1"/>
  <c r="E1089" i="1"/>
  <c r="E1159" i="1"/>
  <c r="E1160" i="1"/>
  <c r="E1161" i="1"/>
  <c r="E1162" i="1"/>
  <c r="E1163" i="1"/>
  <c r="E1164" i="1"/>
  <c r="E1165" i="1"/>
  <c r="E1166" i="1"/>
  <c r="E1192" i="1"/>
  <c r="E1193" i="1"/>
  <c r="E1234" i="1"/>
  <c r="E1235" i="1"/>
  <c r="E1236" i="1"/>
  <c r="E1237" i="1"/>
  <c r="E1238" i="1"/>
  <c r="E1239" i="1"/>
  <c r="E1240" i="1"/>
  <c r="E1241" i="1"/>
  <c r="E1242"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3" i="1"/>
  <c r="E1274" i="1"/>
  <c r="E1276" i="1"/>
  <c r="E1278" i="1"/>
  <c r="E1279" i="1"/>
  <c r="E1281" i="1"/>
  <c r="E1282" i="1"/>
  <c r="E1287" i="1"/>
  <c r="E1288" i="1"/>
  <c r="E1289" i="1"/>
  <c r="E1290" i="1"/>
  <c r="E1292" i="1"/>
  <c r="E1293" i="1"/>
  <c r="E1294" i="1"/>
  <c r="E1295" i="1"/>
  <c r="E1308" i="1"/>
  <c r="E1309" i="1"/>
  <c r="E1310" i="1"/>
  <c r="E1335" i="1"/>
  <c r="E1336" i="1"/>
  <c r="E1339" i="1"/>
  <c r="E1340" i="1"/>
  <c r="E1568" i="1"/>
  <c r="E1569" i="1"/>
  <c r="E1571" i="1"/>
  <c r="E1573" i="1"/>
  <c r="E1609" i="1"/>
  <c r="E1610" i="1"/>
  <c r="E1613" i="1"/>
  <c r="E1628" i="1"/>
  <c r="E1629" i="1"/>
  <c r="E1641" i="1"/>
  <c r="E1642" i="1"/>
  <c r="E1643" i="1"/>
  <c r="E1645" i="1"/>
  <c r="E1646" i="1"/>
  <c r="E1647" i="1"/>
  <c r="E59" i="1"/>
  <c r="N175" i="1"/>
  <c r="H2341" i="1"/>
  <c r="I2341" i="1" s="1"/>
  <c r="U105" i="1"/>
  <c r="U106" i="1"/>
  <c r="U107" i="1"/>
  <c r="U108" i="1"/>
  <c r="U109" i="1"/>
  <c r="U110" i="1"/>
  <c r="U111" i="1"/>
  <c r="U112" i="1"/>
  <c r="U113" i="1"/>
  <c r="U114" i="1"/>
  <c r="U115" i="1"/>
  <c r="U116" i="1"/>
  <c r="U104" i="1"/>
  <c r="O113" i="1"/>
  <c r="O112" i="1"/>
  <c r="O111" i="1"/>
  <c r="O110" i="1"/>
  <c r="O109" i="1"/>
  <c r="O108" i="1"/>
  <c r="O107" i="1"/>
  <c r="O106" i="1"/>
  <c r="O105" i="1"/>
  <c r="O104" i="1"/>
  <c r="N73" i="1"/>
  <c r="F104" i="1"/>
  <c r="G104" i="1" s="1"/>
  <c r="F105" i="1"/>
  <c r="G105" i="1" s="1"/>
  <c r="F106" i="1"/>
  <c r="G106" i="1" s="1"/>
  <c r="F107" i="1"/>
  <c r="G107" i="1" s="1"/>
  <c r="F108" i="1"/>
  <c r="G108" i="1" s="1"/>
  <c r="F109" i="1"/>
  <c r="G109" i="1" s="1"/>
  <c r="F110" i="1"/>
  <c r="G110" i="1" s="1"/>
  <c r="F111" i="1"/>
  <c r="G111" i="1" s="1"/>
  <c r="F112" i="1"/>
  <c r="G112" i="1" s="1"/>
  <c r="F113" i="1"/>
  <c r="G113" i="1" s="1"/>
  <c r="F114" i="1"/>
  <c r="G114" i="1" s="1"/>
  <c r="F115" i="1"/>
  <c r="G115" i="1" s="1"/>
  <c r="F116" i="1"/>
  <c r="G116" i="1" s="1"/>
  <c r="N68" i="1"/>
  <c r="N69" i="1"/>
  <c r="N67" i="1"/>
  <c r="N15" i="1"/>
  <c r="N14" i="1"/>
  <c r="N13" i="1"/>
  <c r="N12" i="1"/>
  <c r="N11" i="1"/>
  <c r="N10" i="1"/>
  <c r="N9" i="1"/>
  <c r="N8" i="1"/>
  <c r="N7" i="1"/>
  <c r="N6" i="1"/>
  <c r="G2" i="1"/>
  <c r="N70" i="1"/>
  <c r="N72" i="1"/>
  <c r="N155" i="1"/>
  <c r="N154" i="1"/>
  <c r="I2" i="1"/>
  <c r="O114" i="1" l="1"/>
  <c r="O115" i="1"/>
  <c r="O116" i="1"/>
  <c r="N113" i="1"/>
  <c r="N110" i="1"/>
  <c r="N115" i="1"/>
  <c r="N108" i="1"/>
  <c r="N116" i="1"/>
  <c r="O68" i="1"/>
  <c r="N109" i="1"/>
  <c r="N104" i="1"/>
  <c r="N106" i="1"/>
  <c r="N112" i="1"/>
  <c r="N111" i="1"/>
  <c r="N105" i="1"/>
  <c r="N176" i="1"/>
  <c r="N177" i="1" s="1"/>
  <c r="O84" i="1"/>
  <c r="N114" i="1"/>
  <c r="O70" i="1"/>
  <c r="N107" i="1"/>
  <c r="O72" i="1"/>
  <c r="O69" i="1"/>
  <c r="O67" i="1"/>
  <c r="N178" i="1" l="1"/>
  <c r="N179" i="1" l="1"/>
  <c r="N180" i="1" l="1"/>
  <c r="N181" i="1" l="1"/>
  <c r="N182" i="1" l="1"/>
  <c r="N183" i="1" l="1"/>
</calcChain>
</file>

<file path=xl/sharedStrings.xml><?xml version="1.0" encoding="utf-8"?>
<sst xmlns="http://schemas.openxmlformats.org/spreadsheetml/2006/main" count="8144" uniqueCount="7456">
  <si>
    <t>Type</t>
  </si>
  <si>
    <t>DATA BLOCK FILE</t>
  </si>
  <si>
    <t>name</t>
  </si>
  <si>
    <t>BW439 Position</t>
  </si>
  <si>
    <t>offset</t>
  </si>
  <si>
    <t>size</t>
  </si>
  <si>
    <t>Length (Hexidecimal)</t>
  </si>
  <si>
    <t>label</t>
  </si>
  <si>
    <t>maps</t>
  </si>
  <si>
    <t>gem-tan.locations</t>
  </si>
  <si>
    <t>$5776</t>
  </si>
  <si>
    <t>TanGemLocs</t>
  </si>
  <si>
    <t>gem-blu.locations</t>
  </si>
  <si>
    <t>BlueGemLocs</t>
  </si>
  <si>
    <t>mod0.switches</t>
  </si>
  <si>
    <t>$57F4</t>
  </si>
  <si>
    <t>SwitchData_1</t>
  </si>
  <si>
    <t>serp.switches</t>
  </si>
  <si>
    <t>$5834</t>
  </si>
  <si>
    <t>SwitchData_2</t>
  </si>
  <si>
    <t>moon.switches</t>
  </si>
  <si>
    <t>SwitchData_3</t>
  </si>
  <si>
    <t>drag.switches</t>
  </si>
  <si>
    <t>SwitchData_4</t>
  </si>
  <si>
    <t>chaos.switches</t>
  </si>
  <si>
    <t>SwitchData_5</t>
  </si>
  <si>
    <t>zendik.switches</t>
  </si>
  <si>
    <t>SwitchData_6</t>
  </si>
  <si>
    <t>mod0.triggers</t>
  </si>
  <si>
    <t>$6CD2</t>
  </si>
  <si>
    <t>TriggersData_1</t>
  </si>
  <si>
    <t>serp.triggers</t>
  </si>
  <si>
    <t>$6D52</t>
  </si>
  <si>
    <t>TriggersData_2</t>
  </si>
  <si>
    <t>moon.triggers</t>
  </si>
  <si>
    <t>$6DD2</t>
  </si>
  <si>
    <t>TriggersData_3</t>
  </si>
  <si>
    <t>drag.triggers</t>
  </si>
  <si>
    <t>$6E52</t>
  </si>
  <si>
    <t>TriggersData_4</t>
  </si>
  <si>
    <t>chaos.triggers</t>
  </si>
  <si>
    <t>$6ED2</t>
  </si>
  <si>
    <t>TriggersData_5</t>
  </si>
  <si>
    <t>zendik.triggers</t>
  </si>
  <si>
    <t>$6F52</t>
  </si>
  <si>
    <t>TriggersData_6</t>
  </si>
  <si>
    <t>keep.entrances</t>
  </si>
  <si>
    <t>$7048</t>
  </si>
  <si>
    <t>data</t>
  </si>
  <si>
    <t>tower.entrances</t>
  </si>
  <si>
    <t>$7166</t>
  </si>
  <si>
    <t>monsters</t>
  </si>
  <si>
    <t>$9AD8</t>
  </si>
  <si>
    <t>$9ADC</t>
  </si>
  <si>
    <t>crab.colours</t>
  </si>
  <si>
    <t>$9B9C</t>
  </si>
  <si>
    <t>beholder.colours</t>
  </si>
  <si>
    <t>$9E28</t>
  </si>
  <si>
    <t>characters.bodies</t>
  </si>
  <si>
    <t>$a418</t>
  </si>
  <si>
    <t>characters.heads</t>
  </si>
  <si>
    <t>objectflooricons.block</t>
  </si>
  <si>
    <t>$E2F6</t>
  </si>
  <si>
    <t>objecttext.block</t>
  </si>
  <si>
    <t>$DE9A</t>
  </si>
  <si>
    <t>champions.stats</t>
  </si>
  <si>
    <t>$E7A6</t>
  </si>
  <si>
    <t>champions.pockets</t>
  </si>
  <si>
    <t>$E9A6</t>
  </si>
  <si>
    <t>scrolls.text</t>
  </si>
  <si>
    <t>$19F98</t>
  </si>
  <si>
    <t>scrolls.offsets</t>
  </si>
  <si>
    <t>$1A02A</t>
  </si>
  <si>
    <t>mod0.map</t>
  </si>
  <si>
    <t>$EBBC</t>
  </si>
  <si>
    <t>mod0.obj</t>
  </si>
  <si>
    <t>$FBBC</t>
  </si>
  <si>
    <t>serp.map</t>
  </si>
  <si>
    <t>$FFBE</t>
  </si>
  <si>
    <t>serp.obj</t>
  </si>
  <si>
    <t>$10FBE</t>
  </si>
  <si>
    <t>moon.map</t>
  </si>
  <si>
    <t>$113C0</t>
  </si>
  <si>
    <t>moon.obj</t>
  </si>
  <si>
    <t>$123C0</t>
  </si>
  <si>
    <t>drag.map</t>
  </si>
  <si>
    <t>$127C2</t>
  </si>
  <si>
    <t>drag.obj</t>
  </si>
  <si>
    <t>$137C2</t>
  </si>
  <si>
    <t>chaos.map</t>
  </si>
  <si>
    <t>$13BC4</t>
  </si>
  <si>
    <t>chaos.obj</t>
  </si>
  <si>
    <t>$14BC4</t>
  </si>
  <si>
    <t>zendik.map</t>
  </si>
  <si>
    <t>$14FC6</t>
  </si>
  <si>
    <t>zendik.obj</t>
  </si>
  <si>
    <t>$15FC6</t>
  </si>
  <si>
    <t>monsters.totals</t>
  </si>
  <si>
    <t>$171F4</t>
  </si>
  <si>
    <t>mod0.monstercount</t>
  </si>
  <si>
    <t>serp.monstercount</t>
  </si>
  <si>
    <t>$171F6</t>
  </si>
  <si>
    <t>moon.monstercount</t>
  </si>
  <si>
    <t>$171F8</t>
  </si>
  <si>
    <t>drag.monstercount</t>
  </si>
  <si>
    <t>$171FA</t>
  </si>
  <si>
    <t>chaos.monstercount</t>
  </si>
  <si>
    <t>$171FC</t>
  </si>
  <si>
    <t>zendik.monstercount</t>
  </si>
  <si>
    <t>$171FE</t>
  </si>
  <si>
    <t>mod0.monsters</t>
  </si>
  <si>
    <t>$17200</t>
  </si>
  <si>
    <t>serp.monsters</t>
  </si>
  <si>
    <t>$17500</t>
  </si>
  <si>
    <t>moon.monsters</t>
  </si>
  <si>
    <t>$17800</t>
  </si>
  <si>
    <t>drag.monsters</t>
  </si>
  <si>
    <t>$17B00</t>
  </si>
  <si>
    <t>chaos.monsters</t>
  </si>
  <si>
    <t>$17E00</t>
  </si>
  <si>
    <t>zendik.monsters</t>
  </si>
  <si>
    <t>gfx</t>
  </si>
  <si>
    <t>GameFont</t>
  </si>
  <si>
    <t>ButtonHighlights.gfx</t>
  </si>
  <si>
    <t>704</t>
  </si>
  <si>
    <t>Scroll_Edge_Top.gfx</t>
  </si>
  <si>
    <t>720</t>
  </si>
  <si>
    <t>Scroll_Edge_Bottom.gfx</t>
  </si>
  <si>
    <t>Scroll_Edge_Left.gfx</t>
  </si>
  <si>
    <t>464</t>
  </si>
  <si>
    <t>Scroll_Edge_Right.gfx</t>
  </si>
  <si>
    <t>Shield_Clicked.gfx</t>
  </si>
  <si>
    <t>656</t>
  </si>
  <si>
    <t>Main_Walls.gfx</t>
  </si>
  <si>
    <t>$1ACCC</t>
  </si>
  <si>
    <t>Wooden_Wall.gfx</t>
  </si>
  <si>
    <t>$1F5FC</t>
  </si>
  <si>
    <t>Wooden_Doors.gfx</t>
  </si>
  <si>
    <t>$23F2C</t>
  </si>
  <si>
    <t>Main_Shelf.gfx</t>
  </si>
  <si>
    <t>$2510C</t>
  </si>
  <si>
    <t>Main_Sign.gfx</t>
  </si>
  <si>
    <t>$25954</t>
  </si>
  <si>
    <t>Main_SignOverlay.gfx</t>
  </si>
  <si>
    <t>$26924</t>
  </si>
  <si>
    <t>Main_Switches.gfx</t>
  </si>
  <si>
    <t>$28164</t>
  </si>
  <si>
    <t>Main_Slots.gfx</t>
  </si>
  <si>
    <t>$2841C</t>
  </si>
  <si>
    <t>Misc_Bed.gfx</t>
  </si>
  <si>
    <t>$288A4</t>
  </si>
  <si>
    <t>Misc_Pillar.gfx</t>
  </si>
  <si>
    <t>$2931C</t>
  </si>
  <si>
    <t>Stairs_Up.gfx</t>
  </si>
  <si>
    <t>Stairs_Down.gfx</t>
  </si>
  <si>
    <t>$2C65C</t>
  </si>
  <si>
    <t>Door_Open.gfx</t>
  </si>
  <si>
    <t>$2D2DC</t>
  </si>
  <si>
    <t>Door_Metal.gfx</t>
  </si>
  <si>
    <t>$2EE44</t>
  </si>
  <si>
    <t>Door_PortCullis.gfx</t>
  </si>
  <si>
    <t>$302CC</t>
  </si>
  <si>
    <t>FloorCeiling.gfx</t>
  </si>
  <si>
    <t>ObjectsOnFloor.gfx</t>
  </si>
  <si>
    <t>ObjectsOnFloor.offsets</t>
  </si>
  <si>
    <t>ObjectsOnFloor.heights</t>
  </si>
  <si>
    <t>AirbourneFireball.gfx</t>
  </si>
  <si>
    <t>AirbourneSpells.gfx</t>
  </si>
  <si>
    <t>characters.colours</t>
  </si>
  <si>
    <t>HeadParts.gfx</t>
  </si>
  <si>
    <t>BodyParts.gfx</t>
  </si>
  <si>
    <t>Shield_Avatars.gfx</t>
  </si>
  <si>
    <t>ShieldTop.gfx</t>
  </si>
  <si>
    <t>80</t>
  </si>
  <si>
    <t>ShieldBottom.gfx</t>
  </si>
  <si>
    <t>144</t>
  </si>
  <si>
    <t>ShieldClasses.gfx</t>
  </si>
  <si>
    <t>Fairy.gfx</t>
  </si>
  <si>
    <t>328</t>
  </si>
  <si>
    <t>Summon.gfx</t>
  </si>
  <si>
    <t>Behemoth.gfx</t>
  </si>
  <si>
    <t>Crab.gfx</t>
  </si>
  <si>
    <t>CrabClaw.gfx</t>
  </si>
  <si>
    <t>848</t>
  </si>
  <si>
    <t>Dragon.gfx</t>
  </si>
  <si>
    <t>Entropy.gfx</t>
  </si>
  <si>
    <t>Pockets.gfx</t>
  </si>
  <si>
    <t>sfx</t>
  </si>
  <si>
    <t>sample1.sound</t>
  </si>
  <si>
    <t>$5409E</t>
  </si>
  <si>
    <t>sample2.sound</t>
  </si>
  <si>
    <t>$54122</t>
  </si>
  <si>
    <t>sample3.sound</t>
  </si>
  <si>
    <t>$546E4</t>
  </si>
  <si>
    <t>sample4.sound</t>
  </si>
  <si>
    <t>$55F6C</t>
  </si>
  <si>
    <t>sample5.sound</t>
  </si>
  <si>
    <t>$57722</t>
  </si>
  <si>
    <t>reservespace1.block</t>
  </si>
  <si>
    <t>$5888C</t>
  </si>
  <si>
    <t>reservespace2.block</t>
  </si>
  <si>
    <t>$584A4</t>
  </si>
  <si>
    <t>Main_Walls.offsets</t>
  </si>
  <si>
    <t>$1875A</t>
  </si>
  <si>
    <t>adrEA018ADE</t>
  </si>
  <si>
    <t>Misc_Pillar.offsets</t>
  </si>
  <si>
    <t>$18792</t>
  </si>
  <si>
    <t>adrEA018B16</t>
  </si>
  <si>
    <t>Misc_Bed.offsets</t>
  </si>
  <si>
    <t>$187A8</t>
  </si>
  <si>
    <t>adrEA018B2C</t>
  </si>
  <si>
    <t>Wooden_Doors.offsets</t>
  </si>
  <si>
    <t>$187CC</t>
  </si>
  <si>
    <t>adrEA018B50</t>
  </si>
  <si>
    <t>Wooden_Wall.offsets</t>
  </si>
  <si>
    <t>$187EC</t>
  </si>
  <si>
    <t>adrEA018B70</t>
  </si>
  <si>
    <t>Main_Shelf.offsets</t>
  </si>
  <si>
    <t>$1880C</t>
  </si>
  <si>
    <t>adrEA018B90</t>
  </si>
  <si>
    <t>Main_Sign.offsets</t>
  </si>
  <si>
    <t>$1882C</t>
  </si>
  <si>
    <t>adrEA018BB0</t>
  </si>
  <si>
    <t>Stairs_Up.offsets</t>
  </si>
  <si>
    <t>$1884C</t>
  </si>
  <si>
    <t>adrEA018BD0</t>
  </si>
  <si>
    <t>Stairs_Down.offsets</t>
  </si>
  <si>
    <t>$1886E</t>
  </si>
  <si>
    <t>adrEA018BF2</t>
  </si>
  <si>
    <t>Door.offsets</t>
  </si>
  <si>
    <t>$18890</t>
  </si>
  <si>
    <t>adrEA018C14</t>
  </si>
  <si>
    <t>Main_Switches.offsets</t>
  </si>
  <si>
    <t>$188AA</t>
  </si>
  <si>
    <t>adrEA018C2E</t>
  </si>
  <si>
    <t>$188CA</t>
  </si>
  <si>
    <t>adrEA018C4E</t>
  </si>
  <si>
    <t>$188E2</t>
  </si>
  <si>
    <t>adrEA018C66</t>
  </si>
  <si>
    <t>Main_Walls.positions</t>
  </si>
  <si>
    <t>$B6BA</t>
  </si>
  <si>
    <t>adrEA00BA3E</t>
  </si>
  <si>
    <t>Wooden_Wall.positions</t>
  </si>
  <si>
    <t>$B72A</t>
  </si>
  <si>
    <t>adrEA00BAAE</t>
  </si>
  <si>
    <t>Stairs_Up.positions</t>
  </si>
  <si>
    <t>$B79A</t>
  </si>
  <si>
    <t>adrEA00BB1E</t>
  </si>
  <si>
    <t>Stairs_Down.positions</t>
  </si>
  <si>
    <t>$B80E</t>
  </si>
  <si>
    <t>adrEA00BB92</t>
  </si>
  <si>
    <t>Misc_Pillar.positions</t>
  </si>
  <si>
    <t>$B882</t>
  </si>
  <si>
    <t>adrEA00BC06</t>
  </si>
  <si>
    <t>Door.Positions</t>
  </si>
  <si>
    <t>$B8CA</t>
  </si>
  <si>
    <t>adrEA00BC4E</t>
  </si>
  <si>
    <t>Misc_Bed.positions</t>
  </si>
  <si>
    <t>$B91A</t>
  </si>
  <si>
    <t>adrEA00BC9E</t>
  </si>
  <si>
    <t>Main_Shelf.positions</t>
  </si>
  <si>
    <t>$B962</t>
  </si>
  <si>
    <t>adrEA00BCE6</t>
  </si>
  <si>
    <t>Main_Sign.positions</t>
  </si>
  <si>
    <t>$B9D2</t>
  </si>
  <si>
    <t>adrEA00BD56</t>
  </si>
  <si>
    <t>Main_SignOverlay.positions</t>
  </si>
  <si>
    <t>$BA42</t>
  </si>
  <si>
    <t>adrEA00BDC6</t>
  </si>
  <si>
    <t>Main_SignOverlay.offsets</t>
  </si>
  <si>
    <t>$AF00</t>
  </si>
  <si>
    <t>adrEA00B284</t>
  </si>
  <si>
    <t>Main_Slots.positions</t>
  </si>
  <si>
    <t>$BAB2</t>
  </si>
  <si>
    <t>adrEA00BE36</t>
  </si>
  <si>
    <t>Main_Switches.positions</t>
  </si>
  <si>
    <t>$BB22</t>
  </si>
  <si>
    <t>adrEA00BEA6</t>
  </si>
  <si>
    <t>$BB92</t>
  </si>
  <si>
    <t>adrEA00BF16</t>
  </si>
  <si>
    <t>$BBDE</t>
  </si>
  <si>
    <t>adrEA00BF62</t>
  </si>
  <si>
    <t>Wooden_Doors.positions</t>
  </si>
  <si>
    <t>$BC2A</t>
  </si>
  <si>
    <t>adrEA00BFAE</t>
  </si>
  <si>
    <t>Main_Slots.offsets</t>
  </si>
  <si>
    <t>adrEA00B224</t>
  </si>
  <si>
    <t>adrEA00B244</t>
  </si>
  <si>
    <t>adrEA00B264</t>
  </si>
  <si>
    <t>behemoth.gradeoffset</t>
  </si>
  <si>
    <t>$578E</t>
  </si>
  <si>
    <t>relabel</t>
  </si>
  <si>
    <t>adrCd002F2C</t>
  </si>
  <si>
    <t>MonsterCommsType</t>
  </si>
  <si>
    <t>adrCd002F4C</t>
  </si>
  <si>
    <t>adrCd00327C</t>
  </si>
  <si>
    <t>MonsterCommsTraderMaybe</t>
  </si>
  <si>
    <t>MonsterCommsNotTraderTBC</t>
  </si>
  <si>
    <t>adrJA002DA6</t>
  </si>
  <si>
    <t>adrCd002F78</t>
  </si>
  <si>
    <t>Comms_ObjectTrade</t>
  </si>
  <si>
    <t>adrCd002F90</t>
  </si>
  <si>
    <t>adrEA018C7E</t>
  </si>
  <si>
    <t>$188FA</t>
  </si>
  <si>
    <t>ProgStart</t>
  </si>
  <si>
    <t>.loop</t>
  </si>
  <si>
    <t>CodeMover</t>
  </si>
  <si>
    <t>GameStart</t>
  </si>
  <si>
    <t>adrCd000456</t>
  </si>
  <si>
    <t>adrLp000486</t>
  </si>
  <si>
    <t>DBFWait1a</t>
  </si>
  <si>
    <t>adrCd00048E</t>
  </si>
  <si>
    <t>adrCd000492</t>
  </si>
  <si>
    <t>adrLp00050E</t>
  </si>
  <si>
    <t>adrLp000538</t>
  </si>
  <si>
    <t>adrEA0005AA</t>
  </si>
  <si>
    <t>adrEA0005B2</t>
  </si>
  <si>
    <t>adrEA0005C8</t>
  </si>
  <si>
    <t>adrEA0005C9</t>
  </si>
  <si>
    <t>KeyboardKeyCode</t>
  </si>
  <si>
    <t>adrL_0005CE</t>
  </si>
  <si>
    <t>Level_2_Interrupt</t>
  </si>
  <si>
    <t>adrLp0005F6</t>
  </si>
  <si>
    <t>.L2InteruptLoop</t>
  </si>
  <si>
    <t>adrCd00061C</t>
  </si>
  <si>
    <t>CheckKeyboard</t>
  </si>
  <si>
    <t>adrLp000624</t>
  </si>
  <si>
    <t>.keyboardloop</t>
  </si>
  <si>
    <t>adrCd00062E</t>
  </si>
  <si>
    <t>KeyboardAction</t>
  </si>
  <si>
    <t>adrCd000640</t>
  </si>
  <si>
    <t>RawKeyCodes</t>
  </si>
  <si>
    <t>MainMenuText</t>
  </si>
  <si>
    <t>MainMenuBuffer</t>
  </si>
  <si>
    <t>adrEA000658</t>
  </si>
  <si>
    <t>MainMenuInitColours</t>
  </si>
  <si>
    <t>adrEA00065D</t>
  </si>
  <si>
    <t>adrCd000746</t>
  </si>
  <si>
    <t>MainMenu</t>
  </si>
  <si>
    <t>adrCd000768</t>
  </si>
  <si>
    <t>.menuscreen</t>
  </si>
  <si>
    <t>MenuKeyboard</t>
  </si>
  <si>
    <t>MenuKeyboardLoop</t>
  </si>
  <si>
    <t>.menukeyboardloop</t>
  </si>
  <si>
    <t>LoadGameFromMenu</t>
  </si>
  <si>
    <t>Ply1_Start</t>
  </si>
  <si>
    <t>Ply2_Start</t>
  </si>
  <si>
    <t>QkPly1_Start</t>
  </si>
  <si>
    <t>QkPly2_Start</t>
  </si>
  <si>
    <t>adrCd0008C4</t>
  </si>
  <si>
    <t>adrLp0008CE</t>
  </si>
  <si>
    <t>adrLp0008D2</t>
  </si>
  <si>
    <t>adrLp0008EA</t>
  </si>
  <si>
    <t>adrEA0008F2</t>
  </si>
  <si>
    <t>adrLp0008F4</t>
  </si>
  <si>
    <t>adrCd000904</t>
  </si>
  <si>
    <t>adrCd00091E</t>
  </si>
  <si>
    <t>adrCd000924</t>
  </si>
  <si>
    <t>adrB_00093A</t>
  </si>
  <si>
    <t>adrCd00093E</t>
  </si>
  <si>
    <t>adrB_000948</t>
  </si>
  <si>
    <t>adrCd00094C</t>
  </si>
  <si>
    <t>adrCd000954</t>
  </si>
  <si>
    <t>adrB_00095C</t>
  </si>
  <si>
    <t>adrCd000960</t>
  </si>
  <si>
    <t>adrCd00096E</t>
  </si>
  <si>
    <t>adrCd000994</t>
  </si>
  <si>
    <t>PrepareCharacters</t>
  </si>
  <si>
    <t>CharacterFillLoop</t>
  </si>
  <si>
    <t>adrCd0009EE</t>
  </si>
  <si>
    <t>adrCd0009F6</t>
  </si>
  <si>
    <t>adrLp000A08</t>
  </si>
  <si>
    <t>ClearMonstersLoop</t>
  </si>
  <si>
    <t>FillMonstersLoop</t>
  </si>
  <si>
    <t>adrCd000A8E</t>
  </si>
  <si>
    <t>adrCd000AA6</t>
  </si>
  <si>
    <t>adrCd000AA8</t>
  </si>
  <si>
    <t>adrCd000AC6</t>
  </si>
  <si>
    <t>SpecialObjects</t>
  </si>
  <si>
    <t>adrCd000AEC</t>
  </si>
  <si>
    <t>adrCd000B16</t>
  </si>
  <si>
    <t>adrB_000B22</t>
  </si>
  <si>
    <t>adrCd000B32</t>
  </si>
  <si>
    <t>adrCd000B66</t>
  </si>
  <si>
    <t>adrCd000B68</t>
  </si>
  <si>
    <t>adrLp000B88</t>
  </si>
  <si>
    <t>LevelDataOffsets</t>
  </si>
  <si>
    <t>adrCd000BA2</t>
  </si>
  <si>
    <t>adrCd000BA6</t>
  </si>
  <si>
    <t>adrCd000BF6</t>
  </si>
  <si>
    <t>adrLp000C18</t>
  </si>
  <si>
    <t>adrCd000C48</t>
  </si>
  <si>
    <t>adrCd000C50</t>
  </si>
  <si>
    <t>adrCd000C88</t>
  </si>
  <si>
    <t>adrCd000C96</t>
  </si>
  <si>
    <t>adrCd000CB4</t>
  </si>
  <si>
    <t>adrCd000CC2</t>
  </si>
  <si>
    <t>adrLp000CCA</t>
  </si>
  <si>
    <t>DBFWait1b</t>
  </si>
  <si>
    <t>adrLp000CF8</t>
  </si>
  <si>
    <t>DBFWait1c</t>
  </si>
  <si>
    <t>adrCd000D04</t>
  </si>
  <si>
    <t>adrCd000D12</t>
  </si>
  <si>
    <t>adrCd000D3C</t>
  </si>
  <si>
    <t>adrCd000D48</t>
  </si>
  <si>
    <t>adrCd000D68</t>
  </si>
  <si>
    <t>adrCd000D7E</t>
  </si>
  <si>
    <t>adrCd000D8C</t>
  </si>
  <si>
    <t>adrCd000D94</t>
  </si>
  <si>
    <t>adrCd000D9A</t>
  </si>
  <si>
    <t>adrLp000DAE</t>
  </si>
  <si>
    <t>adrCd000DEA</t>
  </si>
  <si>
    <t>adrCd000DEC</t>
  </si>
  <si>
    <t>adrLp000DEE</t>
  </si>
  <si>
    <t>adrCd000E34</t>
  </si>
  <si>
    <t>adrCd000E64</t>
  </si>
  <si>
    <t>adrCd000E76</t>
  </si>
  <si>
    <t>adrCd000E8A</t>
  </si>
  <si>
    <t>adrCd000E94</t>
  </si>
  <si>
    <t>adrCd000E9E</t>
  </si>
  <si>
    <t>adrCd000EC2</t>
  </si>
  <si>
    <t>adrCd000ECA</t>
  </si>
  <si>
    <t>adrCd000ECE</t>
  </si>
  <si>
    <t>adrCd000EE0</t>
  </si>
  <si>
    <t>adrCd000EF2</t>
  </si>
  <si>
    <t>adrCd000EF6</t>
  </si>
  <si>
    <t>adrCd000EF8</t>
  </si>
  <si>
    <t>adrLp000F00</t>
  </si>
  <si>
    <t>adrCd000F3C</t>
  </si>
  <si>
    <t>adrCd000F3E</t>
  </si>
  <si>
    <t>adrLp000F4C</t>
  </si>
  <si>
    <t>adrCd000F80</t>
  </si>
  <si>
    <t>adrCd000F9A</t>
  </si>
  <si>
    <t>adrCd000FAA</t>
  </si>
  <si>
    <t>adrCd000FB8</t>
  </si>
  <si>
    <t>adrCd000FD0</t>
  </si>
  <si>
    <t>adrCd000FDC</t>
  </si>
  <si>
    <t>adrCd00100C</t>
  </si>
  <si>
    <t>adrLp00100E</t>
  </si>
  <si>
    <t>adrCd00102A</t>
  </si>
  <si>
    <t>adrCd001042</t>
  </si>
  <si>
    <t>adrCd001046</t>
  </si>
  <si>
    <t>adrCd00104A</t>
  </si>
  <si>
    <t>adrW_001062</t>
  </si>
  <si>
    <t>adrCd001064</t>
  </si>
  <si>
    <t>adrLp00107C</t>
  </si>
  <si>
    <t>adrCd001086</t>
  </si>
  <si>
    <t>adrCd00108E</t>
  </si>
  <si>
    <t>adrCd001090</t>
  </si>
  <si>
    <t>adrLp0010A4</t>
  </si>
  <si>
    <t>adrLp0010B0</t>
  </si>
  <si>
    <t>adrCd0010CA</t>
  </si>
  <si>
    <t>adrCd0010EA</t>
  </si>
  <si>
    <t>adrLp0010F4</t>
  </si>
  <si>
    <t>adrCd0010F6</t>
  </si>
  <si>
    <t>adrCd00110A</t>
  </si>
  <si>
    <t>adrCd001120</t>
  </si>
  <si>
    <t>adrCd00112A</t>
  </si>
  <si>
    <t>adrCd001132</t>
  </si>
  <si>
    <t>adrCd00116C</t>
  </si>
  <si>
    <t>adrCd00116E</t>
  </si>
  <si>
    <t>adrCd001174</t>
  </si>
  <si>
    <t>adrCd001188</t>
  </si>
  <si>
    <t>adrCd001190</t>
  </si>
  <si>
    <t>adrCd0011B2</t>
  </si>
  <si>
    <t>adrCd0011B6</t>
  </si>
  <si>
    <t>adrCd0011BA</t>
  </si>
  <si>
    <t>adrCd0011E0</t>
  </si>
  <si>
    <t>adrCd0011F0</t>
  </si>
  <si>
    <t>adrCd001208</t>
  </si>
  <si>
    <t>adrCd001212</t>
  </si>
  <si>
    <t>adrLp00122C</t>
  </si>
  <si>
    <t>adrCd00122E</t>
  </si>
  <si>
    <t>adrCd001238</t>
  </si>
  <si>
    <t>adrCd001286</t>
  </si>
  <si>
    <t>adrLp0012B2</t>
  </si>
  <si>
    <t>adrLp0012D2</t>
  </si>
  <si>
    <t>adrCd0012D4</t>
  </si>
  <si>
    <t>adrCd0012DA</t>
  </si>
  <si>
    <t>adrCd001308</t>
  </si>
  <si>
    <t>adrCd001320</t>
  </si>
  <si>
    <t>adrLp00133A</t>
  </si>
  <si>
    <t>adrCd001352</t>
  </si>
  <si>
    <t>adrCd001360</t>
  </si>
  <si>
    <t>adrLp001364</t>
  </si>
  <si>
    <t>adrCd00137E</t>
  </si>
  <si>
    <t>adrCd00138C</t>
  </si>
  <si>
    <t>adrLp00138E</t>
  </si>
  <si>
    <t>adrCd0013A2</t>
  </si>
  <si>
    <t>adrCd0013A8</t>
  </si>
  <si>
    <t>adrCd0013B0</t>
  </si>
  <si>
    <t>adrCd0013BE</t>
  </si>
  <si>
    <t>adrCd0013C0</t>
  </si>
  <si>
    <t>adrW_0013C2</t>
  </si>
  <si>
    <t>adrW_0013C4</t>
  </si>
  <si>
    <t>adrCd0013C6</t>
  </si>
  <si>
    <t>adrCd0013D8</t>
  </si>
  <si>
    <t>adrCd0013EE</t>
  </si>
  <si>
    <t>adrCd001402</t>
  </si>
  <si>
    <t>adrCd001414</t>
  </si>
  <si>
    <t>adrCd001416</t>
  </si>
  <si>
    <t>adrCd00143E</t>
  </si>
  <si>
    <t>adrCd00146E</t>
  </si>
  <si>
    <t>adrCd001496</t>
  </si>
  <si>
    <t>adrCd001498</t>
  </si>
  <si>
    <t>adrCd0014E4</t>
  </si>
  <si>
    <t>adrCd0014E8</t>
  </si>
  <si>
    <t>adrCd001500</t>
  </si>
  <si>
    <t>adrCd001508</t>
  </si>
  <si>
    <t>adrCd00150C</t>
  </si>
  <si>
    <t>adrCd001526</t>
  </si>
  <si>
    <t>adrCd00153A</t>
  </si>
  <si>
    <t>adrCd001596</t>
  </si>
  <si>
    <t>adrJT0015AE</t>
  </si>
  <si>
    <t>adrJA0015B8</t>
  </si>
  <si>
    <t>adrB_0015C6</t>
  </si>
  <si>
    <t>adrJA0015D6</t>
  </si>
  <si>
    <t>adrCd0015E0</t>
  </si>
  <si>
    <t>adrCd001608</t>
  </si>
  <si>
    <t>adrCd00162C</t>
  </si>
  <si>
    <t>adrJA001664</t>
  </si>
  <si>
    <t>adrJB00166A</t>
  </si>
  <si>
    <t>adrCd001684</t>
  </si>
  <si>
    <t>adrCd0016A0</t>
  </si>
  <si>
    <t>adrCd0016BE</t>
  </si>
  <si>
    <t>adrCd0016CE</t>
  </si>
  <si>
    <t>adrCd001708</t>
  </si>
  <si>
    <t>adrCd001714</t>
  </si>
  <si>
    <t>adrCd001728</t>
  </si>
  <si>
    <t>adrCd001746</t>
  </si>
  <si>
    <t>adrJA00175A</t>
  </si>
  <si>
    <t>adrCd001778</t>
  </si>
  <si>
    <t>adrCd00179C</t>
  </si>
  <si>
    <t>adrCd0017C2</t>
  </si>
  <si>
    <t>adrCd0017EC</t>
  </si>
  <si>
    <t>adrCd0017EE</t>
  </si>
  <si>
    <t>adrCd001808</t>
  </si>
  <si>
    <t>adrCd00181E</t>
  </si>
  <si>
    <t>adrB_001832</t>
  </si>
  <si>
    <t>adrCd001842</t>
  </si>
  <si>
    <t>adrCd00185C</t>
  </si>
  <si>
    <t>adrCd001894</t>
  </si>
  <si>
    <t>adrCd0018F6</t>
  </si>
  <si>
    <t>adrCd00193C</t>
  </si>
  <si>
    <t>adrLp001948</t>
  </si>
  <si>
    <t>adrCd001956</t>
  </si>
  <si>
    <t>adrCd001982</t>
  </si>
  <si>
    <t>adrCd001984</t>
  </si>
  <si>
    <t>adrCd00199C</t>
  </si>
  <si>
    <t>adrCd0019C2</t>
  </si>
  <si>
    <t>adrCd0019C6</t>
  </si>
  <si>
    <t>adrCd001A06</t>
  </si>
  <si>
    <t>adrCd001A4A</t>
  </si>
  <si>
    <t>adrLp001A60</t>
  </si>
  <si>
    <t>adrCd001A7C</t>
  </si>
  <si>
    <t>adrCd001A84</t>
  </si>
  <si>
    <t>adrCd001AB6</t>
  </si>
  <si>
    <t>adrCd001AF0</t>
  </si>
  <si>
    <t>adrCd001B5C</t>
  </si>
  <si>
    <t>adrLp001B5E</t>
  </si>
  <si>
    <t>adrCd001B68</t>
  </si>
  <si>
    <t>adrCd001B74</t>
  </si>
  <si>
    <t>adrCd001BA0</t>
  </si>
  <si>
    <t>adrCd001BB8</t>
  </si>
  <si>
    <t>adrCd001BC6</t>
  </si>
  <si>
    <t>adrCd001BCE</t>
  </si>
  <si>
    <t>adrCd001BD4</t>
  </si>
  <si>
    <t>adrCd001BD6</t>
  </si>
  <si>
    <t>adrCd001C02</t>
  </si>
  <si>
    <t>adrCd001C48</t>
  </si>
  <si>
    <t>adrCd001C4E</t>
  </si>
  <si>
    <t>adrCd001C60</t>
  </si>
  <si>
    <t>adrCd001C86</t>
  </si>
  <si>
    <t>adrCd001C9E</t>
  </si>
  <si>
    <t>adrLp001CAA</t>
  </si>
  <si>
    <t>adrCd001CD2</t>
  </si>
  <si>
    <t>adrCd001CD4</t>
  </si>
  <si>
    <t>adrCd001CF0</t>
  </si>
  <si>
    <t>adrCd001CFC</t>
  </si>
  <si>
    <t>adrCd001D16</t>
  </si>
  <si>
    <t>adrCd001D1E</t>
  </si>
  <si>
    <t>adrCd001D32</t>
  </si>
  <si>
    <t>adrCd001D52</t>
  </si>
  <si>
    <t>adrCd001D58</t>
  </si>
  <si>
    <t>adrCd001D6A</t>
  </si>
  <si>
    <t>adrCd001D7A</t>
  </si>
  <si>
    <t>adrCd001D9E</t>
  </si>
  <si>
    <t>adrCd001DA0</t>
  </si>
  <si>
    <t>adrCd001DAA</t>
  </si>
  <si>
    <t>adrCd001DBA</t>
  </si>
  <si>
    <t>adrCd001DBC</t>
  </si>
  <si>
    <t>adrCd001DE0</t>
  </si>
  <si>
    <t>adrCd001E08</t>
  </si>
  <si>
    <t>adrCd001E28</t>
  </si>
  <si>
    <t>adrCd001E42</t>
  </si>
  <si>
    <t>adrLp001E50</t>
  </si>
  <si>
    <t>adrCd001E68</t>
  </si>
  <si>
    <t>adrLp001E70</t>
  </si>
  <si>
    <t>adrCd001E84</t>
  </si>
  <si>
    <t>adrCd001EB0</t>
  </si>
  <si>
    <t>adrCd001EDA</t>
  </si>
  <si>
    <t>adrCd001EDC</t>
  </si>
  <si>
    <t>adrCd001EF4</t>
  </si>
  <si>
    <t>adrCd001F06</t>
  </si>
  <si>
    <t>adrCd001F0C</t>
  </si>
  <si>
    <t>adrLp001F16</t>
  </si>
  <si>
    <t>adrCd001F36</t>
  </si>
  <si>
    <t>adrCd001F4A</t>
  </si>
  <si>
    <t>adrCd001F50</t>
  </si>
  <si>
    <t>adrCd001F5E</t>
  </si>
  <si>
    <t>adrCd001F76</t>
  </si>
  <si>
    <t>adrCd001F78</t>
  </si>
  <si>
    <t>adrCd001F8C</t>
  </si>
  <si>
    <t>adrCd001FA0</t>
  </si>
  <si>
    <t>adrCd001FA2</t>
  </si>
  <si>
    <t>adrLp001FAC</t>
  </si>
  <si>
    <t>adrCd001FCC</t>
  </si>
  <si>
    <t>adrCd001FD2</t>
  </si>
  <si>
    <t>adrCd002010</t>
  </si>
  <si>
    <t>adrCd002014</t>
  </si>
  <si>
    <t>adrCd00201C</t>
  </si>
  <si>
    <t>adrCd002024</t>
  </si>
  <si>
    <t>adrCd00203E</t>
  </si>
  <si>
    <t>adrCd002040</t>
  </si>
  <si>
    <t>adrCd00204A</t>
  </si>
  <si>
    <t>adrLp002060</t>
  </si>
  <si>
    <t>adrCd00207E</t>
  </si>
  <si>
    <t>adrCd002084</t>
  </si>
  <si>
    <t>adrCd002086</t>
  </si>
  <si>
    <t>adrCd00208C</t>
  </si>
  <si>
    <t>adrCd0020A0</t>
  </si>
  <si>
    <t>adrCd0020B8</t>
  </si>
  <si>
    <t>adrCd0020D4</t>
  </si>
  <si>
    <t>adrCd0020D6</t>
  </si>
  <si>
    <t>adrW_0020F4</t>
  </si>
  <si>
    <t>adrCd0020F6</t>
  </si>
  <si>
    <t>adrCd0020F8</t>
  </si>
  <si>
    <t>adrCd00210A</t>
  </si>
  <si>
    <t>adrCd00211C</t>
  </si>
  <si>
    <t>adrCd002126</t>
  </si>
  <si>
    <t>adrCd002128</t>
  </si>
  <si>
    <t>adrCd00212E</t>
  </si>
  <si>
    <t>adrLp00215E</t>
  </si>
  <si>
    <t>adrCd00216A</t>
  </si>
  <si>
    <t>adrLp002176</t>
  </si>
  <si>
    <t>adrCd002192</t>
  </si>
  <si>
    <t>adrCd002194</t>
  </si>
  <si>
    <t>adrCd0021CA</t>
  </si>
  <si>
    <t>adrCd0021D6</t>
  </si>
  <si>
    <t>adrCd0021E4</t>
  </si>
  <si>
    <t>adrCd0021EC</t>
  </si>
  <si>
    <t>adrLp002214</t>
  </si>
  <si>
    <t>adrCd00224A</t>
  </si>
  <si>
    <t>adrCd002252</t>
  </si>
  <si>
    <t>adrCd002256</t>
  </si>
  <si>
    <t>adrCd002258</t>
  </si>
  <si>
    <t>adrCd00228A</t>
  </si>
  <si>
    <t>adrCd002290</t>
  </si>
  <si>
    <t>adrCd002296</t>
  </si>
  <si>
    <t>adrCd002298</t>
  </si>
  <si>
    <t>adrCd0022CA</t>
  </si>
  <si>
    <t>adrCd0022F8</t>
  </si>
  <si>
    <t>adrW_00230A</t>
  </si>
  <si>
    <t>adrCd00230C</t>
  </si>
  <si>
    <t>adrCd002316</t>
  </si>
  <si>
    <t>adrCd002324</t>
  </si>
  <si>
    <t>adrLp00233E</t>
  </si>
  <si>
    <t>adrCd002360</t>
  </si>
  <si>
    <t>adrCd002374</t>
  </si>
  <si>
    <t>adrCd002380</t>
  </si>
  <si>
    <t>adrCd002394</t>
  </si>
  <si>
    <t>adrCd002396</t>
  </si>
  <si>
    <t>adrCd0023D6</t>
  </si>
  <si>
    <t>adrCd0023F6</t>
  </si>
  <si>
    <t>adrB_002404</t>
  </si>
  <si>
    <t>adrCd002414</t>
  </si>
  <si>
    <t>adrCd002420</t>
  </si>
  <si>
    <t>adrCd002430</t>
  </si>
  <si>
    <t>adrCd002460</t>
  </si>
  <si>
    <t>adrCd00248C</t>
  </si>
  <si>
    <t>adrCd00249C</t>
  </si>
  <si>
    <t>adrCd0024A6</t>
  </si>
  <si>
    <t>adrLp0024AE</t>
  </si>
  <si>
    <t>adrCd0024BE</t>
  </si>
  <si>
    <t>adrCd0024EE</t>
  </si>
  <si>
    <t>adrCd0024F2</t>
  </si>
  <si>
    <t>adrLp0024FC</t>
  </si>
  <si>
    <t>adrCd002520</t>
  </si>
  <si>
    <t>adrCd002534</t>
  </si>
  <si>
    <t>adrCd002538</t>
  </si>
  <si>
    <t>adrCd002564</t>
  </si>
  <si>
    <t>adrCd002576</t>
  </si>
  <si>
    <t>adrLp002584</t>
  </si>
  <si>
    <t>adrCd002594</t>
  </si>
  <si>
    <t>adrCd00259A</t>
  </si>
  <si>
    <t>adrCd0025EE</t>
  </si>
  <si>
    <t>adrCd0025FE</t>
  </si>
  <si>
    <t>adrCd00260A</t>
  </si>
  <si>
    <t>adrCd002628</t>
  </si>
  <si>
    <t>adrLp002634</t>
  </si>
  <si>
    <t>adrCd00265C</t>
  </si>
  <si>
    <t>adrCd002662</t>
  </si>
  <si>
    <t>adrLp002664</t>
  </si>
  <si>
    <t>adrCd00267A</t>
  </si>
  <si>
    <t>adrEA002680</t>
  </si>
  <si>
    <t>adrCd002684</t>
  </si>
  <si>
    <t>adrCd0026E4</t>
  </si>
  <si>
    <t>adrLp0026E6</t>
  </si>
  <si>
    <t>adrW_0026FE</t>
  </si>
  <si>
    <t>adrW_002700</t>
  </si>
  <si>
    <t>adrCd00270E</t>
  </si>
  <si>
    <t>adrEA00271C</t>
  </si>
  <si>
    <t>ThouArtDead</t>
  </si>
  <si>
    <t>adrCd002734</t>
  </si>
  <si>
    <t>adrLp002756</t>
  </si>
  <si>
    <t>adrCd002760</t>
  </si>
  <si>
    <t>adrCd00277E</t>
  </si>
  <si>
    <t>adrLp00278C</t>
  </si>
  <si>
    <t>adrCd0027A0</t>
  </si>
  <si>
    <t>adrCd0027C6</t>
  </si>
  <si>
    <t>adrCd0027E0</t>
  </si>
  <si>
    <t>adrCd0027F0</t>
  </si>
  <si>
    <t>adrCd0027F6</t>
  </si>
  <si>
    <t>adrLp002814</t>
  </si>
  <si>
    <t>adrCd00281C</t>
  </si>
  <si>
    <t>adrCd00282A</t>
  </si>
  <si>
    <t>adrCd00282C</t>
  </si>
  <si>
    <t>adrCd002840</t>
  </si>
  <si>
    <t>adrCd002848</t>
  </si>
  <si>
    <t>adrLp00286A</t>
  </si>
  <si>
    <t>adrCd00287C</t>
  </si>
  <si>
    <t>adrLp002880</t>
  </si>
  <si>
    <t>adrCd002892</t>
  </si>
  <si>
    <t>adrCd002896</t>
  </si>
  <si>
    <t>adrLp0028AE</t>
  </si>
  <si>
    <t>adrCd0028B8</t>
  </si>
  <si>
    <t>adrCd0028BC</t>
  </si>
  <si>
    <t>adrCd0028D0</t>
  </si>
  <si>
    <t>adrCd002904</t>
  </si>
  <si>
    <t>adrCd00291A</t>
  </si>
  <si>
    <t>adrLp00292A</t>
  </si>
  <si>
    <t>adrCd002960</t>
  </si>
  <si>
    <t>adrCd00296C</t>
  </si>
  <si>
    <t>adrCd002972</t>
  </si>
  <si>
    <t>adrCd002982</t>
  </si>
  <si>
    <t>adrCd002984</t>
  </si>
  <si>
    <t>adrCd00299A</t>
  </si>
  <si>
    <t>adrCd0029AE</t>
  </si>
  <si>
    <t>adrCd0029B0</t>
  </si>
  <si>
    <t>adrCd0029D8</t>
  </si>
  <si>
    <t>adrCd002A02</t>
  </si>
  <si>
    <t>adrCd002A06</t>
  </si>
  <si>
    <t>adrCd002A14</t>
  </si>
  <si>
    <t>adrCd002A28</t>
  </si>
  <si>
    <t>adrCd002A44</t>
  </si>
  <si>
    <t>adrCd002A58</t>
  </si>
  <si>
    <t>adrCd002A64</t>
  </si>
  <si>
    <t>adrCd002A80</t>
  </si>
  <si>
    <t>adrCd002AB2</t>
  </si>
  <si>
    <t>adrCd002AB6</t>
  </si>
  <si>
    <t>adrCd002ABA</t>
  </si>
  <si>
    <t>adrCd002ADC</t>
  </si>
  <si>
    <t>adrCd002AEA</t>
  </si>
  <si>
    <t>adrCd002AF8</t>
  </si>
  <si>
    <t>adrCd002B0A</t>
  </si>
  <si>
    <t>adrCd002B26</t>
  </si>
  <si>
    <t>adrLp002B3E</t>
  </si>
  <si>
    <t>adrB_002B80</t>
  </si>
  <si>
    <t>adrB_002B83</t>
  </si>
  <si>
    <t>adrCd002B86</t>
  </si>
  <si>
    <t>adrCd002B90</t>
  </si>
  <si>
    <t>adrCd002BA2</t>
  </si>
  <si>
    <t>adrCd002BA4</t>
  </si>
  <si>
    <t>adrCd002BB4</t>
  </si>
  <si>
    <t>adrCd002BCE</t>
  </si>
  <si>
    <t>adrCd002BD6</t>
  </si>
  <si>
    <t>adrCd002BD8</t>
  </si>
  <si>
    <t>adrCd002C3C</t>
  </si>
  <si>
    <t>adrCd002C40</t>
  </si>
  <si>
    <t>adrJA002C96</t>
  </si>
  <si>
    <t>adrCd002C98</t>
  </si>
  <si>
    <t>adrJT002CAE</t>
  </si>
  <si>
    <t>adrJA002CE4</t>
  </si>
  <si>
    <t>adrCd002CFC</t>
  </si>
  <si>
    <t>adrCd002D04</t>
  </si>
  <si>
    <t>adrCd002D1E</t>
  </si>
  <si>
    <t>adrCd002D34</t>
  </si>
  <si>
    <t>adrCd002D3A</t>
  </si>
  <si>
    <t>adrLp002D88</t>
  </si>
  <si>
    <t>adrCd002D92</t>
  </si>
  <si>
    <t>adrCd002D9E</t>
  </si>
  <si>
    <t>adrCd002DA8</t>
  </si>
  <si>
    <t>adrJA002DAC</t>
  </si>
  <si>
    <t>adrJA002DBE</t>
  </si>
  <si>
    <t>Zendik_Named</t>
  </si>
  <si>
    <t>NotNamed</t>
  </si>
  <si>
    <t>adrJA002DEE</t>
  </si>
  <si>
    <t>adrJA002DF8</t>
  </si>
  <si>
    <t>adrCd002E06</t>
  </si>
  <si>
    <t>adrJA002E12</t>
  </si>
  <si>
    <t>adrCd002E36</t>
  </si>
  <si>
    <t>adrJT002E4A</t>
  </si>
  <si>
    <t>adrCd002E52</t>
  </si>
  <si>
    <t>adrJB002E5C</t>
  </si>
  <si>
    <t>adrCd002E76</t>
  </si>
  <si>
    <t>adrCd002E7A</t>
  </si>
  <si>
    <t>adrJA002E82</t>
  </si>
  <si>
    <t>adrCd002EAA</t>
  </si>
  <si>
    <t>adrCd002EB4</t>
  </si>
  <si>
    <t>adrCd002EC2</t>
  </si>
  <si>
    <t>adrCd002ED2</t>
  </si>
  <si>
    <t>adrCd002EDE</t>
  </si>
  <si>
    <t>adrJA002EE4</t>
  </si>
  <si>
    <t>adrCd002EFC</t>
  </si>
  <si>
    <t>adrCd002F04</t>
  </si>
  <si>
    <t>adrCd002F16</t>
  </si>
  <si>
    <t>adrJA002F24</t>
  </si>
  <si>
    <t>adrJA002F50</t>
  </si>
  <si>
    <t>adrCd002FA2</t>
  </si>
  <si>
    <t>adrCd002FB0</t>
  </si>
  <si>
    <t>adrCd002FBC</t>
  </si>
  <si>
    <t>adrJA002FC4</t>
  </si>
  <si>
    <t>adrCd002FD8</t>
  </si>
  <si>
    <t>adrCd002FE2</t>
  </si>
  <si>
    <t>adrCd002FEE</t>
  </si>
  <si>
    <t>adrCd002FF8</t>
  </si>
  <si>
    <t>adrCd00300A</t>
  </si>
  <si>
    <t>adrCd003016</t>
  </si>
  <si>
    <t>adrCd00303E</t>
  </si>
  <si>
    <t>adrCd003054</t>
  </si>
  <si>
    <t>adrCd00306A</t>
  </si>
  <si>
    <t>ItemNotToTrade</t>
  </si>
  <si>
    <t>adrJA00307E</t>
  </si>
  <si>
    <t>adrCd003094</t>
  </si>
  <si>
    <t>adrJA00309A</t>
  </si>
  <si>
    <t>adrJA0030B4</t>
  </si>
  <si>
    <t>adrJA0030D2</t>
  </si>
  <si>
    <t>PartyFullMsg</t>
  </si>
  <si>
    <t>RipMeOffMsg</t>
  </si>
  <si>
    <t>KeepTalkingMsg</t>
  </si>
  <si>
    <t>NotMyFriendMsg</t>
  </si>
  <si>
    <t>NameNotImportantMsg</t>
  </si>
  <si>
    <t>ZendikMsg</t>
  </si>
  <si>
    <t>TooGreedyMsg</t>
  </si>
  <si>
    <t>adrEA0031D2</t>
  </si>
  <si>
    <t>adrEA0031D9</t>
  </si>
  <si>
    <t>adrEA0031E6</t>
  </si>
  <si>
    <t>adrEA003212</t>
  </si>
  <si>
    <t>adrCd003232</t>
  </si>
  <si>
    <t>adrCd003242</t>
  </si>
  <si>
    <t>adrCd00326A</t>
  </si>
  <si>
    <t>adrCd0032A8</t>
  </si>
  <si>
    <t>adrCd0032C0</t>
  </si>
  <si>
    <t>adrCd0032D8</t>
  </si>
  <si>
    <t>adrJA0032DE</t>
  </si>
  <si>
    <t>Click_ShowTeamAvatars</t>
  </si>
  <si>
    <t>adrCd0032F4</t>
  </si>
  <si>
    <t>adrCd003312</t>
  </si>
  <si>
    <t>adrCd00331A</t>
  </si>
  <si>
    <t>adrCd00332A</t>
  </si>
  <si>
    <t>adrCd003338</t>
  </si>
  <si>
    <t>adrCd003344</t>
  </si>
  <si>
    <t>adrCd00334A</t>
  </si>
  <si>
    <t>adrJA00336A</t>
  </si>
  <si>
    <t>adrLp00337C</t>
  </si>
  <si>
    <t>adrCd003386</t>
  </si>
  <si>
    <t>adrCd00338A</t>
  </si>
  <si>
    <t>adrCd00338E</t>
  </si>
  <si>
    <t>adrJT0033A0</t>
  </si>
  <si>
    <t>adrJB0033B2</t>
  </si>
  <si>
    <t>adrCd0033BE</t>
  </si>
  <si>
    <t>adrCd0033EC</t>
  </si>
  <si>
    <t>adrJA0033EE</t>
  </si>
  <si>
    <t>adrCd0033F2</t>
  </si>
  <si>
    <t>adrCd003402</t>
  </si>
  <si>
    <t>adrCd003444</t>
  </si>
  <si>
    <t>adrCd003458</t>
  </si>
  <si>
    <t>adrCd003462</t>
  </si>
  <si>
    <t>adrCd00348E</t>
  </si>
  <si>
    <t>adrCd00349A</t>
  </si>
  <si>
    <t>adrJA0034CC</t>
  </si>
  <si>
    <t>adrCd0034E0</t>
  </si>
  <si>
    <t>adrCd0034FE</t>
  </si>
  <si>
    <t>adrCd00350E</t>
  </si>
  <si>
    <t>adrCd003510</t>
  </si>
  <si>
    <t>adrJT003526</t>
  </si>
  <si>
    <t>adrJB00355C</t>
  </si>
  <si>
    <t>adrJA003568</t>
  </si>
  <si>
    <t>adrJA00356A</t>
  </si>
  <si>
    <t>adrJA003572</t>
  </si>
  <si>
    <t>adrJA00357A</t>
  </si>
  <si>
    <t>adrJA003586</t>
  </si>
  <si>
    <t>adrJA00358E</t>
  </si>
  <si>
    <t>adrJA003596</t>
  </si>
  <si>
    <t>adrCd0035D0</t>
  </si>
  <si>
    <t>adrCd0035DC</t>
  </si>
  <si>
    <t>adrCd0035FA</t>
  </si>
  <si>
    <t>adrCd0035FE</t>
  </si>
  <si>
    <t>adrJA003604</t>
  </si>
  <si>
    <t>adrCd003626</t>
  </si>
  <si>
    <t>adrCd003630</t>
  </si>
  <si>
    <t>adrJA00363E</t>
  </si>
  <si>
    <t>adrJA00364A</t>
  </si>
  <si>
    <t>adrCd00366C</t>
  </si>
  <si>
    <t>adrCd003672</t>
  </si>
  <si>
    <t>adrCd003680</t>
  </si>
  <si>
    <t>adrCd00369E</t>
  </si>
  <si>
    <t>adrCd0036A2</t>
  </si>
  <si>
    <t>adrCd0036D0</t>
  </si>
  <si>
    <t>adrCd0036E0</t>
  </si>
  <si>
    <t>adrLp0036E8</t>
  </si>
  <si>
    <t>adrJA0036F0</t>
  </si>
  <si>
    <t>adrJA0036FC</t>
  </si>
  <si>
    <t>WhatThyBusinessMsg</t>
  </si>
  <si>
    <t>adrJA00371E</t>
  </si>
  <si>
    <t>adrJA003744</t>
  </si>
  <si>
    <t>adrCd00376C</t>
  </si>
  <si>
    <t>adrJA003772</t>
  </si>
  <si>
    <t>adrJA00377E</t>
  </si>
  <si>
    <t>adrJA00378A</t>
  </si>
  <si>
    <t>adrJA003796</t>
  </si>
  <si>
    <t>AnyLegendsMsg</t>
  </si>
  <si>
    <t>AnyEnchantedMsg</t>
  </si>
  <si>
    <t>AnyWeaponsMsg</t>
  </si>
  <si>
    <t>AnyPowerfulMsg</t>
  </si>
  <si>
    <t>adrJA00382C</t>
  </si>
  <si>
    <t>adrCd00383E</t>
  </si>
  <si>
    <t>adrCd00385C</t>
  </si>
  <si>
    <t>adrCd00386A</t>
  </si>
  <si>
    <t>adrJA003874</t>
  </si>
  <si>
    <t>adrCd003892</t>
  </si>
  <si>
    <t>adrCd003894</t>
  </si>
  <si>
    <t>adrJA0038A4</t>
  </si>
  <si>
    <t>adrJA0038B6</t>
  </si>
  <si>
    <t>adrCd0038D2</t>
  </si>
  <si>
    <t>adrCd0038DA</t>
  </si>
  <si>
    <t>adrCd0038DC</t>
  </si>
  <si>
    <t>adrCd0038F4</t>
  </si>
  <si>
    <t>adrCd003916</t>
  </si>
  <si>
    <t>adrJA003918</t>
  </si>
  <si>
    <t>adrJA003924</t>
  </si>
  <si>
    <t>adrCd00392E</t>
  </si>
  <si>
    <t>adrCd003934</t>
  </si>
  <si>
    <t>adrLp003938</t>
  </si>
  <si>
    <t>adrCd00393E</t>
  </si>
  <si>
    <t>adrCd003950</t>
  </si>
  <si>
    <t>adrCd00396E</t>
  </si>
  <si>
    <t>adrCd003972</t>
  </si>
  <si>
    <t>adrCd00397E</t>
  </si>
  <si>
    <t>adrCd003984</t>
  </si>
  <si>
    <t>adrCd00398E</t>
  </si>
  <si>
    <t>adrCd0039B2</t>
  </si>
  <si>
    <t>adrCd0039BA</t>
  </si>
  <si>
    <t>adrCd0039DA</t>
  </si>
  <si>
    <t>adrCd0039EC</t>
  </si>
  <si>
    <t>adrCd0039F4</t>
  </si>
  <si>
    <t>adrB_0039F6</t>
  </si>
  <si>
    <t>adrB_0039F7</t>
  </si>
  <si>
    <t>adrEA003A02</t>
  </si>
  <si>
    <t>adrEA003A08</t>
  </si>
  <si>
    <t>adrJA003A0E</t>
  </si>
  <si>
    <t>adrB_003A36</t>
  </si>
  <si>
    <t>adrJA003A52</t>
  </si>
  <si>
    <t>ReplyToQuestion</t>
  </si>
  <si>
    <t>AnswerList_Offsets</t>
  </si>
  <si>
    <t>VeryPossibleMsg_0</t>
  </si>
  <si>
    <t>VeryPossibleMsg_1</t>
  </si>
  <si>
    <t>VeryPossibleMsg_2</t>
  </si>
  <si>
    <t>VeryPossibleMsg_3</t>
  </si>
  <si>
    <t>AnswerList_00</t>
  </si>
  <si>
    <t>AnswerList_01</t>
  </si>
  <si>
    <t>AnswerList_02</t>
  </si>
  <si>
    <t>AnswerList_03</t>
  </si>
  <si>
    <t>AnswerList_04</t>
  </si>
  <si>
    <t>AnswerList_05</t>
  </si>
  <si>
    <t>AnswerList_06</t>
  </si>
  <si>
    <t>AnswerList_07</t>
  </si>
  <si>
    <t>AnswerList_08</t>
  </si>
  <si>
    <t>AnswerList_09</t>
  </si>
  <si>
    <t>AnswerList_10</t>
  </si>
  <si>
    <t>AnswerList_11</t>
  </si>
  <si>
    <t>AnswerList_12</t>
  </si>
  <si>
    <t>AnswerList_13</t>
  </si>
  <si>
    <t>AnswerList_14</t>
  </si>
  <si>
    <t>AnswerList_15</t>
  </si>
  <si>
    <t>AnswerList_16</t>
  </si>
  <si>
    <t>AnswerList_17</t>
  </si>
  <si>
    <t>AnswerList_18</t>
  </si>
  <si>
    <t>AnswerList_19</t>
  </si>
  <si>
    <t>AnswerList_20</t>
  </si>
  <si>
    <t>AnswerList_21</t>
  </si>
  <si>
    <t>AnswerList_22</t>
  </si>
  <si>
    <t>adrCd003D52</t>
  </si>
  <si>
    <t>adrCd003D74</t>
  </si>
  <si>
    <t>adrCd003D9C</t>
  </si>
  <si>
    <t>adrEA003DAA</t>
  </si>
  <si>
    <t>adrEA003DBA</t>
  </si>
  <si>
    <t>adrEA003DC0</t>
  </si>
  <si>
    <t>adrEA003DDE</t>
  </si>
  <si>
    <t>adrEA003DEE</t>
  </si>
  <si>
    <t>adrEA003DF7</t>
  </si>
  <si>
    <t>adrEA003DFD</t>
  </si>
  <si>
    <t>adrEA003E03</t>
  </si>
  <si>
    <t>adrEA003E0B</t>
  </si>
  <si>
    <t>adrEA003E15</t>
  </si>
  <si>
    <t>adrEA003E26</t>
  </si>
  <si>
    <t>WhereIsThisMsg</t>
  </si>
  <si>
    <t>adrEA003E58</t>
  </si>
  <si>
    <t>adrEA003E65</t>
  </si>
  <si>
    <t>adrEA003E70</t>
  </si>
  <si>
    <t>adrEA003E7B</t>
  </si>
  <si>
    <t>ComeJoinMsg</t>
  </si>
  <si>
    <t>adrJA003E9C</t>
  </si>
  <si>
    <t>adrCd003EC0</t>
  </si>
  <si>
    <t>adrCd003F08</t>
  </si>
  <si>
    <t>adrCd003F0C</t>
  </si>
  <si>
    <t>adrCd003F2E</t>
  </si>
  <si>
    <t>adrCd003F36</t>
  </si>
  <si>
    <t>adrCd003F58</t>
  </si>
  <si>
    <t>adrJA003F5C</t>
  </si>
  <si>
    <t>adrJA003F60</t>
  </si>
  <si>
    <t>adrCd003F66</t>
  </si>
  <si>
    <t>adrCd003F9C</t>
  </si>
  <si>
    <t>adrCd003FCE</t>
  </si>
  <si>
    <t>adrCd004004</t>
  </si>
  <si>
    <t>adrCd00401A</t>
  </si>
  <si>
    <t>adrCd004020</t>
  </si>
  <si>
    <t>adrCd00404C</t>
  </si>
  <si>
    <t>adrCd004052</t>
  </si>
  <si>
    <t>adrCd004054</t>
  </si>
  <si>
    <t>adrCd004056</t>
  </si>
  <si>
    <t>adrCd004064</t>
  </si>
  <si>
    <t>adrCd004066</t>
  </si>
  <si>
    <t>adrCd004078</t>
  </si>
  <si>
    <t>adrLp00407C</t>
  </si>
  <si>
    <t>adrCd00408A</t>
  </si>
  <si>
    <t>adrCd00408E</t>
  </si>
  <si>
    <t>adrCd004092</t>
  </si>
  <si>
    <t>adrLp004094</t>
  </si>
  <si>
    <t>adrCd00409E</t>
  </si>
  <si>
    <t>adrCd0040A0</t>
  </si>
  <si>
    <t>adrCd0040B2</t>
  </si>
  <si>
    <t>adrCd0040BC</t>
  </si>
  <si>
    <t>adrCd0040C4</t>
  </si>
  <si>
    <t>adrCd0040CA</t>
  </si>
  <si>
    <t>adrJA0040E4</t>
  </si>
  <si>
    <t>adrLp0040F0</t>
  </si>
  <si>
    <t>adrCd004104</t>
  </si>
  <si>
    <t>adrCd004114</t>
  </si>
  <si>
    <t>adrJA004144</t>
  </si>
  <si>
    <t>adrJA004150</t>
  </si>
  <si>
    <t>adrCd00415A</t>
  </si>
  <si>
    <t>adrCd00417E</t>
  </si>
  <si>
    <t>adrCd004196</t>
  </si>
  <si>
    <t>adrEA0041A0</t>
  </si>
  <si>
    <t>adrEA0041AB</t>
  </si>
  <si>
    <t>adrEA0041B2</t>
  </si>
  <si>
    <t>adrEA0041BB</t>
  </si>
  <si>
    <t>adrEA0041C1</t>
  </si>
  <si>
    <t>adrEA0041C6</t>
  </si>
  <si>
    <t>adrEA0041CD</t>
  </si>
  <si>
    <t>adrEA0041D4</t>
  </si>
  <si>
    <t>adrEA0041DE</t>
  </si>
  <si>
    <t>adrEA0041E3</t>
  </si>
  <si>
    <t>adrEA0041E9</t>
  </si>
  <si>
    <t>adrEA0041ED</t>
  </si>
  <si>
    <t>adrEA0041F3</t>
  </si>
  <si>
    <t>adrCd0041FA</t>
  </si>
  <si>
    <t>adrCd00420A</t>
  </si>
  <si>
    <t>adrJA00420C</t>
  </si>
  <si>
    <t>adrCd004226</t>
  </si>
  <si>
    <t>adrCd004234</t>
  </si>
  <si>
    <t>adrJA00425E</t>
  </si>
  <si>
    <t>Click_PauseGame</t>
  </si>
  <si>
    <t>adrCd00427C</t>
  </si>
  <si>
    <t>adrCd0042B8</t>
  </si>
  <si>
    <t>adrCd0042BA</t>
  </si>
  <si>
    <t>adrCd0042D4</t>
  </si>
  <si>
    <t>adrCd0042F6</t>
  </si>
  <si>
    <t>adrCd00430A</t>
  </si>
  <si>
    <t>adrJA00432A</t>
  </si>
  <si>
    <t>Click_LoadSaveGame</t>
  </si>
  <si>
    <t>adrCd004376</t>
  </si>
  <si>
    <t>adrCd00437E</t>
  </si>
  <si>
    <t>.PickLoadSaveGame_Loop</t>
  </si>
  <si>
    <t>adrCd004396</t>
  </si>
  <si>
    <t>adrCd0043A4</t>
  </si>
  <si>
    <t>LoadGame</t>
  </si>
  <si>
    <t>adrCd0043BA</t>
  </si>
  <si>
    <t>SaveGame</t>
  </si>
  <si>
    <t>adrCd0043CC</t>
  </si>
  <si>
    <t>AwaitDisk</t>
  </si>
  <si>
    <t>adrCd0043DC</t>
  </si>
  <si>
    <t>.PickLoadSaveMessage</t>
  </si>
  <si>
    <t>adrCd0043E2</t>
  </si>
  <si>
    <t>adrCd0043FC</t>
  </si>
  <si>
    <t>adrCd004406</t>
  </si>
  <si>
    <t>LoadSaveGame_Loop</t>
  </si>
  <si>
    <t>adrCd004422</t>
  </si>
  <si>
    <t>LoadSaveGame_Action</t>
  </si>
  <si>
    <t>adrCd00442E</t>
  </si>
  <si>
    <t>adrCd004436</t>
  </si>
  <si>
    <t>adrCd004440</t>
  </si>
  <si>
    <t>adrW_00447E</t>
  </si>
  <si>
    <t>adrCd004480</t>
  </si>
  <si>
    <t>F1_F2_F10_Msg</t>
  </si>
  <si>
    <t>InsertLoadDiskMsg</t>
  </si>
  <si>
    <t>InsertSaveDiskMsg</t>
  </si>
  <si>
    <t>adrJA004536</t>
  </si>
  <si>
    <t>Click_SleepParty</t>
  </si>
  <si>
    <t>adrLp004554</t>
  </si>
  <si>
    <t>adrCd004574</t>
  </si>
  <si>
    <t>adrCd004580</t>
  </si>
  <si>
    <t>adrCd0045B2</t>
  </si>
  <si>
    <t>adrEA0045C4</t>
  </si>
  <si>
    <t>ThouArtAsleep</t>
  </si>
  <si>
    <t>adrCd0045DE</t>
  </si>
  <si>
    <t>adrEA00462A</t>
  </si>
  <si>
    <t>adrCd00465E</t>
  </si>
  <si>
    <t>adrCd004674</t>
  </si>
  <si>
    <t>adrCd004686</t>
  </si>
  <si>
    <t>adrCd0046BC</t>
  </si>
  <si>
    <t>adrCd0046C6</t>
  </si>
  <si>
    <t>adrCd0046CC</t>
  </si>
  <si>
    <t>adrLp0046E6</t>
  </si>
  <si>
    <t>adrCd004748</t>
  </si>
  <si>
    <t>adrCd004792</t>
  </si>
  <si>
    <t>adrLp0047DC</t>
  </si>
  <si>
    <t>adrCd0047F4</t>
  </si>
  <si>
    <t>adrCd004802</t>
  </si>
  <si>
    <t>adrCd004814</t>
  </si>
  <si>
    <t>adrCd00481A</t>
  </si>
  <si>
    <t>adrCd004852</t>
  </si>
  <si>
    <t>adrCd00486E</t>
  </si>
  <si>
    <t>adrCd004870</t>
  </si>
  <si>
    <t>adrCd0048AA</t>
  </si>
  <si>
    <t>adrCd004994</t>
  </si>
  <si>
    <t>adrCd004996</t>
  </si>
  <si>
    <t>adrCd0049AE</t>
  </si>
  <si>
    <t>adrCd0049D6</t>
  </si>
  <si>
    <t>adrCd004A10</t>
  </si>
  <si>
    <t>adrCd004A54</t>
  </si>
  <si>
    <t>adrEA004A5E</t>
  </si>
  <si>
    <t>MayBuySpellMsg</t>
  </si>
  <si>
    <t>SelectNewSpellMsg</t>
  </si>
  <si>
    <t>ThouHastAllMsg</t>
  </si>
  <si>
    <t>PauperMsg</t>
  </si>
  <si>
    <t>adrCd004AE8</t>
  </si>
  <si>
    <t>adrCd004AFE</t>
  </si>
  <si>
    <t>adrCd004B12</t>
  </si>
  <si>
    <t>adrEA004B14</t>
  </si>
  <si>
    <t>adrEA004B1A</t>
  </si>
  <si>
    <t>adrCd004B28</t>
  </si>
  <si>
    <t>adrCd004B48</t>
  </si>
  <si>
    <t>adrCd004B56</t>
  </si>
  <si>
    <t>adrCd004B70</t>
  </si>
  <si>
    <t>adrLp004B86</t>
  </si>
  <si>
    <t>adrCd004B92</t>
  </si>
  <si>
    <t>adrCd004BA2</t>
  </si>
  <si>
    <t>adrCd004BB0</t>
  </si>
  <si>
    <t>adrCd004BCE</t>
  </si>
  <si>
    <t>adrCd004BF8</t>
  </si>
  <si>
    <t>adrEA004C00</t>
  </si>
  <si>
    <t>adrJA004C10</t>
  </si>
  <si>
    <t>adrCd004C2A</t>
  </si>
  <si>
    <t>adrCd004C3E</t>
  </si>
  <si>
    <t>adrCd004C40</t>
  </si>
  <si>
    <t>adrCd004C56</t>
  </si>
  <si>
    <t>adrCd004C7E</t>
  </si>
  <si>
    <t>adrCd004C80</t>
  </si>
  <si>
    <t>adrCd004C88</t>
  </si>
  <si>
    <t>adrCd004C90</t>
  </si>
  <si>
    <t>adrCd004CB2</t>
  </si>
  <si>
    <t>adrCd004D08</t>
  </si>
  <si>
    <t>adrCd004D1A</t>
  </si>
  <si>
    <t>adrCd004D32</t>
  </si>
  <si>
    <t>adrCd004D4E</t>
  </si>
  <si>
    <t>adrJT004D78</t>
  </si>
  <si>
    <t>adrCd004D8C</t>
  </si>
  <si>
    <t>adrCd004DA8</t>
  </si>
  <si>
    <t>adrJA004DAA</t>
  </si>
  <si>
    <t>adrCd004DB4</t>
  </si>
  <si>
    <t>adrCd004DBC</t>
  </si>
  <si>
    <t>adrCd004DCA</t>
  </si>
  <si>
    <t>adrCd004DD8</t>
  </si>
  <si>
    <t>adrCd004DDE</t>
  </si>
  <si>
    <t>adrCd004DE0</t>
  </si>
  <si>
    <t>adrJA004DEA</t>
  </si>
  <si>
    <t>adrCd004E0C</t>
  </si>
  <si>
    <t>adrCd004E12</t>
  </si>
  <si>
    <t>adrCd004E46</t>
  </si>
  <si>
    <t>adrCd004E4C</t>
  </si>
  <si>
    <t>adrCd004E4E</t>
  </si>
  <si>
    <t>adrCd004E72</t>
  </si>
  <si>
    <t>adrJA004E7A</t>
  </si>
  <si>
    <t>Click_LaunchSpellFromBook</t>
  </si>
  <si>
    <t>adrCd004E86</t>
  </si>
  <si>
    <t>adrCd004E8C</t>
  </si>
  <si>
    <t>adrCd004E8E</t>
  </si>
  <si>
    <t>adrCd004EA0</t>
  </si>
  <si>
    <t>adrCd004EBE</t>
  </si>
  <si>
    <t>adrCd004EC8</t>
  </si>
  <si>
    <t>adrCd004EFA</t>
  </si>
  <si>
    <t>adrCd004F20</t>
  </si>
  <si>
    <t>adrCd004F5E</t>
  </si>
  <si>
    <t>adrCd004F86</t>
  </si>
  <si>
    <t>adrCd004F8E</t>
  </si>
  <si>
    <t>adrCd004FA8</t>
  </si>
  <si>
    <t>adrCd004FB0</t>
  </si>
  <si>
    <t>adrCd004FBE</t>
  </si>
  <si>
    <t>adrCd004FD4</t>
  </si>
  <si>
    <t>adrCd004FD6</t>
  </si>
  <si>
    <t>adrCd004FEE</t>
  </si>
  <si>
    <t>SpellFizzledMsg</t>
  </si>
  <si>
    <t>adrJT00500C</t>
  </si>
  <si>
    <t>Spells_LookupTable</t>
  </si>
  <si>
    <t>SpellFailedMsg</t>
  </si>
  <si>
    <t>adrW_00505A</t>
  </si>
  <si>
    <t>adrB_00505B</t>
  </si>
  <si>
    <t>adrJB00505C</t>
  </si>
  <si>
    <t>Spells_01_Armour</t>
  </si>
  <si>
    <t>adrCd005060</t>
  </si>
  <si>
    <t>adrCd005068</t>
  </si>
  <si>
    <t>adrJA00507E</t>
  </si>
  <si>
    <t>Spells_02_Terror</t>
  </si>
  <si>
    <t>adrJA005086</t>
  </si>
  <si>
    <t>Spells_03_Vitalise</t>
  </si>
  <si>
    <t>adrJA00508E</t>
  </si>
  <si>
    <t>adrCd0050BC</t>
  </si>
  <si>
    <t>adrJA0050BE</t>
  </si>
  <si>
    <t>Spells_05_Deflect</t>
  </si>
  <si>
    <t>adrJA0050C2</t>
  </si>
  <si>
    <t>Spells_06_Magelock</t>
  </si>
  <si>
    <t>adrCd0050E8</t>
  </si>
  <si>
    <t>adrCd00511C</t>
  </si>
  <si>
    <t>adrCd00512E</t>
  </si>
  <si>
    <t>adrCd005134</t>
  </si>
  <si>
    <t>adrJA005136</t>
  </si>
  <si>
    <t>Spells_07_Conceal</t>
  </si>
  <si>
    <t>adrCd005150</t>
  </si>
  <si>
    <t>adrJA005152</t>
  </si>
  <si>
    <t>Spells_08_Warpower</t>
  </si>
  <si>
    <t>adrJA005158</t>
  </si>
  <si>
    <t>Spells_09_Missle</t>
  </si>
  <si>
    <t>adrJA005162</t>
  </si>
  <si>
    <t>Spells_10_Vanish</t>
  </si>
  <si>
    <t>adrJA005168</t>
  </si>
  <si>
    <t>Spells_11_Paralyze</t>
  </si>
  <si>
    <t>adrJA005170</t>
  </si>
  <si>
    <t>Spells_12_Alchemy</t>
  </si>
  <si>
    <t>adrCd005192</t>
  </si>
  <si>
    <t>adrCd0051A4</t>
  </si>
  <si>
    <t>adrCd0051B2</t>
  </si>
  <si>
    <t>adrLp0051B8</t>
  </si>
  <si>
    <t>adrCd0051C4</t>
  </si>
  <si>
    <t>adrCd0051CE</t>
  </si>
  <si>
    <t>adrJA0051D0</t>
  </si>
  <si>
    <t>Spells_13_Confuse</t>
  </si>
  <si>
    <t>adrJA0051D8</t>
  </si>
  <si>
    <t>Spells_14_Levitate</t>
  </si>
  <si>
    <t>adrJA0051DE</t>
  </si>
  <si>
    <t>Spells_15_Antimage</t>
  </si>
  <si>
    <t>adrJA0051E4</t>
  </si>
  <si>
    <t>Spells_16_Recharge</t>
  </si>
  <si>
    <t>adrCd005204</t>
  </si>
  <si>
    <t>adrCd005214</t>
  </si>
  <si>
    <t>adrCd005224</t>
  </si>
  <si>
    <t>adrJA005226</t>
  </si>
  <si>
    <t>Spells_17_Trueview</t>
  </si>
  <si>
    <t>adrJA00522C</t>
  </si>
  <si>
    <t>Spells_18_Renew</t>
  </si>
  <si>
    <t>adrCd005236</t>
  </si>
  <si>
    <t>adrLp005238</t>
  </si>
  <si>
    <t>adrCd00524A</t>
  </si>
  <si>
    <t>adrLp00524C</t>
  </si>
  <si>
    <t>adrCd005268</t>
  </si>
  <si>
    <t>adrCd005272</t>
  </si>
  <si>
    <t>adrCd005276</t>
  </si>
  <si>
    <t>adrJA00527E</t>
  </si>
  <si>
    <t>Spells_19_Vivify</t>
  </si>
  <si>
    <t>adrCd00529E</t>
  </si>
  <si>
    <t>adrCd0052A0</t>
  </si>
  <si>
    <t>adrJA0052B4</t>
  </si>
  <si>
    <t>Spells_20_Dispell</t>
  </si>
  <si>
    <t>adrCd0052D2</t>
  </si>
  <si>
    <t>adrCd0052D8</t>
  </si>
  <si>
    <t>adrCd0052DA</t>
  </si>
  <si>
    <t>adrCd0052E2</t>
  </si>
  <si>
    <t>adrJA0052F4</t>
  </si>
  <si>
    <t>Spells_21_Firepath</t>
  </si>
  <si>
    <t>adrJA0052FC</t>
  </si>
  <si>
    <t>Spells_22_Illusion</t>
  </si>
  <si>
    <t>adrJA005302</t>
  </si>
  <si>
    <t>Spells_23_Compass</t>
  </si>
  <si>
    <t>adrJA005308</t>
  </si>
  <si>
    <t>Spells_24_Spelltap</t>
  </si>
  <si>
    <t>adrJA00530E</t>
  </si>
  <si>
    <t>Spells_25_Disrupt</t>
  </si>
  <si>
    <t>adrCd005316</t>
  </si>
  <si>
    <t>adrJA00531C</t>
  </si>
  <si>
    <t>Spells_26_Fireball</t>
  </si>
  <si>
    <t>adrCd005320</t>
  </si>
  <si>
    <t>adrCd005328</t>
  </si>
  <si>
    <t>adrCd005332</t>
  </si>
  <si>
    <t>adrCd00533C</t>
  </si>
  <si>
    <t>adrCd005352</t>
  </si>
  <si>
    <t>adrCd005358</t>
  </si>
  <si>
    <t>adrCd00535E</t>
  </si>
  <si>
    <t>adrCd00537C</t>
  </si>
  <si>
    <t>adrCd0053D6</t>
  </si>
  <si>
    <t>adrCd0053E2</t>
  </si>
  <si>
    <t>adrCd0053FE</t>
  </si>
  <si>
    <t>adrCd005412</t>
  </si>
  <si>
    <t>adrJA00541C</t>
  </si>
  <si>
    <t>Spells_27_Wychwind</t>
  </si>
  <si>
    <t>adrLp005424</t>
  </si>
  <si>
    <t>adrCd00544C</t>
  </si>
  <si>
    <t>adrCd005458</t>
  </si>
  <si>
    <t>adrB_005466</t>
  </si>
  <si>
    <t>adrJA00546E</t>
  </si>
  <si>
    <t>Spells_28_ArcBolt</t>
  </si>
  <si>
    <t>adrJA005476</t>
  </si>
  <si>
    <t>Spells_29_Formwall</t>
  </si>
  <si>
    <t>adrCd005478</t>
  </si>
  <si>
    <t>adrCd0054BE</t>
  </si>
  <si>
    <t>adrCd0054CC</t>
  </si>
  <si>
    <t>adrCd0054DC</t>
  </si>
  <si>
    <t>adrCd0054E0</t>
  </si>
  <si>
    <t>adrCd0054E4</t>
  </si>
  <si>
    <t>adrJA0054E6</t>
  </si>
  <si>
    <t>Spells_30_Summon</t>
  </si>
  <si>
    <t>adrJA0054EC</t>
  </si>
  <si>
    <t>Spells_31_Blaze</t>
  </si>
  <si>
    <t>adrJA0054FA</t>
  </si>
  <si>
    <t>Spells_32_Mindrock</t>
  </si>
  <si>
    <t>adrCd005500</t>
  </si>
  <si>
    <t>adrLp005504</t>
  </si>
  <si>
    <t>adrCd00552E</t>
  </si>
  <si>
    <t>adrCd005540</t>
  </si>
  <si>
    <t>adrCd005546</t>
  </si>
  <si>
    <t>adrLp00554A</t>
  </si>
  <si>
    <t>adrCd005556</t>
  </si>
  <si>
    <t>adrCd00556E</t>
  </si>
  <si>
    <t>adrCd005580</t>
  </si>
  <si>
    <t>adrCd005596</t>
  </si>
  <si>
    <t>adrCd0055A6</t>
  </si>
  <si>
    <t>adrW_0055AA</t>
  </si>
  <si>
    <t>adrB_0055AB</t>
  </si>
  <si>
    <t>RandomOffsetValue</t>
  </si>
  <si>
    <t>adrCd0055AC</t>
  </si>
  <si>
    <t>RandomGen_BytewithOffset</t>
  </si>
  <si>
    <t>adrCd0055B8</t>
  </si>
  <si>
    <t>RandomGen_100</t>
  </si>
  <si>
    <t>adrCd0055BC</t>
  </si>
  <si>
    <t>RandomGen</t>
  </si>
  <si>
    <t>adrB_0055DE</t>
  </si>
  <si>
    <t>adrJA0055E0</t>
  </si>
  <si>
    <t>Click_ViewSpell</t>
  </si>
  <si>
    <t>adrCd0055F6</t>
  </si>
  <si>
    <t>adrCd005614</t>
  </si>
  <si>
    <t>adrCd00561A</t>
  </si>
  <si>
    <t>adrCd005624</t>
  </si>
  <si>
    <t>adrJA005628</t>
  </si>
  <si>
    <t>adrCd005676</t>
  </si>
  <si>
    <t>adrCd005678</t>
  </si>
  <si>
    <t>adrCd005680</t>
  </si>
  <si>
    <t>adrB_00568C</t>
  </si>
  <si>
    <t>adrCd005694</t>
  </si>
  <si>
    <t>adrCd0056AC</t>
  </si>
  <si>
    <t>adrLp0056C8</t>
  </si>
  <si>
    <t>adrCd0056DC</t>
  </si>
  <si>
    <t>adrCd0056EE</t>
  </si>
  <si>
    <t>adrCd0056F0</t>
  </si>
  <si>
    <t>adrLp005714</t>
  </si>
  <si>
    <t>adrCd005718</t>
  </si>
  <si>
    <t>adrCd00572A</t>
  </si>
  <si>
    <t>adrCd005738</t>
  </si>
  <si>
    <t>adrCd00574E</t>
  </si>
  <si>
    <t>adrCd00575A</t>
  </si>
  <si>
    <t>adrCd00576A</t>
  </si>
  <si>
    <t>adrCd005782</t>
  </si>
  <si>
    <t>adrCd005792</t>
  </si>
  <si>
    <t>adrEA005794</t>
  </si>
  <si>
    <t>adrJA0057A4</t>
  </si>
  <si>
    <t>adrCd0057AC</t>
  </si>
  <si>
    <t>adrCd0057BA</t>
  </si>
  <si>
    <t>adrJT0057CE</t>
  </si>
  <si>
    <t>adrJA005862</t>
  </si>
  <si>
    <t>adrEA005864</t>
  </si>
  <si>
    <t>adrCd00587C</t>
  </si>
  <si>
    <t>adrJA00588E</t>
  </si>
  <si>
    <t>Click_Display</t>
  </si>
  <si>
    <t>adrJA005894</t>
  </si>
  <si>
    <t>adrCd0058EA</t>
  </si>
  <si>
    <t>adrJT0058EC</t>
  </si>
  <si>
    <t>adrJB0058F4</t>
  </si>
  <si>
    <t>adrJA00590C</t>
  </si>
  <si>
    <t>adrCd00591A</t>
  </si>
  <si>
    <t>adrB_005952</t>
  </si>
  <si>
    <t>adrJA005958</t>
  </si>
  <si>
    <t>adrCd005984</t>
  </si>
  <si>
    <t>adrCd005986</t>
  </si>
  <si>
    <t>adrJT0059BE</t>
  </si>
  <si>
    <t>Sockets_LookupTable</t>
  </si>
  <si>
    <t>CrystalActions</t>
  </si>
  <si>
    <t>SocketActions_SerpentCrystal</t>
  </si>
  <si>
    <t>Last_CrystalAction</t>
  </si>
  <si>
    <t>Exit_CrystalAction</t>
  </si>
  <si>
    <t>Exit_SocketAction</t>
  </si>
  <si>
    <t>adrJA0059F2</t>
  </si>
  <si>
    <t>SocketActions_ChaosCrystal</t>
  </si>
  <si>
    <t>adrCd005A30</t>
  </si>
  <si>
    <t>.EntropySummoned</t>
  </si>
  <si>
    <t>adrJA005A38</t>
  </si>
  <si>
    <t>SocketActions_DragonCrystal</t>
  </si>
  <si>
    <t>adrJA005A58</t>
  </si>
  <si>
    <t>SocketActions_MoonCrystal</t>
  </si>
  <si>
    <t>adrCd005A7C</t>
  </si>
  <si>
    <t>adrLp005A84</t>
  </si>
  <si>
    <t>adrCd005A94</t>
  </si>
  <si>
    <t>adrJA005AA6</t>
  </si>
  <si>
    <t>SocketActions_TanGem</t>
  </si>
  <si>
    <t>adrJA005AAE</t>
  </si>
  <si>
    <t>SocketActions_BluishGem</t>
  </si>
  <si>
    <t>adrCd005AB4</t>
  </si>
  <si>
    <t>TeleportGem</t>
  </si>
  <si>
    <t>adrCd005AD2</t>
  </si>
  <si>
    <t>adrJA005B2A</t>
  </si>
  <si>
    <t>adrJB005B66</t>
  </si>
  <si>
    <t>Switch_00_s00_Null</t>
  </si>
  <si>
    <t>adrJT005B68</t>
  </si>
  <si>
    <t>Switches_LookupTable</t>
  </si>
  <si>
    <t>adrJA005CF8</t>
  </si>
  <si>
    <t>adrJA005CFC</t>
  </si>
  <si>
    <t>adrCd005D10</t>
  </si>
  <si>
    <t>adrJA005D12</t>
  </si>
  <si>
    <t>Switch_01_s02_Trigger_11_t16_RemoveXY</t>
  </si>
  <si>
    <t>adrCd005D26</t>
  </si>
  <si>
    <t>adrCd005D2E</t>
  </si>
  <si>
    <t>adrJA005D3E</t>
  </si>
  <si>
    <t>adrCd005D40</t>
  </si>
  <si>
    <t>adrCd005D4E</t>
  </si>
  <si>
    <t>adrCd005D52</t>
  </si>
  <si>
    <t>adrCd005D64</t>
  </si>
  <si>
    <t>adrCd005D6E</t>
  </si>
  <si>
    <t>adrCd005D7E</t>
  </si>
  <si>
    <t>adrCd005D9C</t>
  </si>
  <si>
    <t>adrCd005D9E</t>
  </si>
  <si>
    <t>adrCd005DEC</t>
  </si>
  <si>
    <t>adrCd005DF8</t>
  </si>
  <si>
    <t>adrCd005E0E</t>
  </si>
  <si>
    <t>adrLp005E16</t>
  </si>
  <si>
    <t>adrCd005E18</t>
  </si>
  <si>
    <t>adrCd005E1E</t>
  </si>
  <si>
    <t>adrLp005E2E</t>
  </si>
  <si>
    <t>adrCd005E40</t>
  </si>
  <si>
    <t>adrCd005E42</t>
  </si>
  <si>
    <t>adrCd005E70</t>
  </si>
  <si>
    <t>adrCd005E76</t>
  </si>
  <si>
    <t>adrCd005E7A</t>
  </si>
  <si>
    <t>adrCd005E7C</t>
  </si>
  <si>
    <t>adrCd005E88</t>
  </si>
  <si>
    <t>adrCd005EA2</t>
  </si>
  <si>
    <t>adrCd005EAC</t>
  </si>
  <si>
    <t>adrLp005ED0</t>
  </si>
  <si>
    <t>adrCd005ED2</t>
  </si>
  <si>
    <t>adrCd005EE2</t>
  </si>
  <si>
    <t>adrCd005EF4</t>
  </si>
  <si>
    <t>adrCd005F04</t>
  </si>
  <si>
    <t>adrCd005F2E</t>
  </si>
  <si>
    <t>adrB_005F3E</t>
  </si>
  <si>
    <t>adrCd005F4E</t>
  </si>
  <si>
    <t>adrCd005F54</t>
  </si>
  <si>
    <t>adrCd005F5C</t>
  </si>
  <si>
    <t>adrCd005F72</t>
  </si>
  <si>
    <t>adrCd005F84</t>
  </si>
  <si>
    <t>adrCd005F90</t>
  </si>
  <si>
    <t>adrCd005F92</t>
  </si>
  <si>
    <t>adrJA005F94</t>
  </si>
  <si>
    <t>Click_Display_Centre</t>
  </si>
  <si>
    <t>adrJA005F9E</t>
  </si>
  <si>
    <t>adrCd005FA6</t>
  </si>
  <si>
    <t>adrCd005FC4</t>
  </si>
  <si>
    <t>adrB_00600C</t>
  </si>
  <si>
    <t>adrW_006010</t>
  </si>
  <si>
    <t>adrCd006018</t>
  </si>
  <si>
    <t>adrCd006046</t>
  </si>
  <si>
    <t>adrCd006074</t>
  </si>
  <si>
    <t>adrCd006084</t>
  </si>
  <si>
    <t>adrCd006090</t>
  </si>
  <si>
    <t>adrCd006094</t>
  </si>
  <si>
    <t>adrCd006096</t>
  </si>
  <si>
    <t>adrCd0060A2</t>
  </si>
  <si>
    <t>adrB_0060C2</t>
  </si>
  <si>
    <t>adrB_0060C6</t>
  </si>
  <si>
    <t>adrCd0060CA</t>
  </si>
  <si>
    <t>adrCd006102</t>
  </si>
  <si>
    <t>adrCd006108</t>
  </si>
  <si>
    <t>adrCd00612E</t>
  </si>
  <si>
    <t>adrCd006130</t>
  </si>
  <si>
    <t>adrW_006134</t>
  </si>
  <si>
    <t>OutcomeMsgOffsets</t>
  </si>
  <si>
    <t>OutcomeMsgs_0</t>
  </si>
  <si>
    <t>OutcomeMsgs_1</t>
  </si>
  <si>
    <t>OutcomeMsgs_2</t>
  </si>
  <si>
    <t>OutcomeMsgs_3</t>
  </si>
  <si>
    <t>OutcomeMsgs_4</t>
  </si>
  <si>
    <t>OutcomeMsgs_5</t>
  </si>
  <si>
    <t>NumHitsMsg</t>
  </si>
  <si>
    <t>adrCd006178</t>
  </si>
  <si>
    <t>adrCd006190</t>
  </si>
  <si>
    <t>adrCd0061A4</t>
  </si>
  <si>
    <t>adrCd0061AA</t>
  </si>
  <si>
    <t>adrCd0061B6</t>
  </si>
  <si>
    <t>adrCd0061D0</t>
  </si>
  <si>
    <t>adrCd0061DA</t>
  </si>
  <si>
    <t>adrCd006210</t>
  </si>
  <si>
    <t>adrCd00621C</t>
  </si>
  <si>
    <t>adrCd00623E</t>
  </si>
  <si>
    <t>adrCd00624C</t>
  </si>
  <si>
    <t>adrCd006262</t>
  </si>
  <si>
    <t>adrCd006264</t>
  </si>
  <si>
    <t>adrCd006284</t>
  </si>
  <si>
    <t>adrCd006288</t>
  </si>
  <si>
    <t>adrW_00628A</t>
  </si>
  <si>
    <t>adrCd00628C</t>
  </si>
  <si>
    <t>adrCd0062C6</t>
  </si>
  <si>
    <t>adrCd0062D6</t>
  </si>
  <si>
    <t>adrCd0062EA</t>
  </si>
  <si>
    <t>adrCd006312</t>
  </si>
  <si>
    <t>adrCd00631E</t>
  </si>
  <si>
    <t>adrCd006338</t>
  </si>
  <si>
    <t>adrCd006342</t>
  </si>
  <si>
    <t>adrCd006356</t>
  </si>
  <si>
    <t>adrCd006362</t>
  </si>
  <si>
    <t>adrCd006378</t>
  </si>
  <si>
    <t>adrCd006382</t>
  </si>
  <si>
    <t>adrCd006392</t>
  </si>
  <si>
    <t>adrCd0063A2</t>
  </si>
  <si>
    <t>adrCd0063C6</t>
  </si>
  <si>
    <t>adrCd0063DA</t>
  </si>
  <si>
    <t>adrEA0063DC</t>
  </si>
  <si>
    <t>adrCd00641C</t>
  </si>
  <si>
    <t>adrCd006452</t>
  </si>
  <si>
    <t>adrW_006458</t>
  </si>
  <si>
    <t>adrCd00645A</t>
  </si>
  <si>
    <t>adrCd006480</t>
  </si>
  <si>
    <t>adrCd00648C</t>
  </si>
  <si>
    <t>adrCd0064A4</t>
  </si>
  <si>
    <t>adrJA0064AA</t>
  </si>
  <si>
    <t>Click_MultiFunctionButton</t>
  </si>
  <si>
    <t>adrCd0064C2</t>
  </si>
  <si>
    <t>adrCd0064CC</t>
  </si>
  <si>
    <t>adrJA0064D0</t>
  </si>
  <si>
    <t>adrCd0064F2</t>
  </si>
  <si>
    <t>adrCd00654A</t>
  </si>
  <si>
    <t>adrCd006550</t>
  </si>
  <si>
    <t>adrCd006552</t>
  </si>
  <si>
    <t>adrCd006562</t>
  </si>
  <si>
    <t>adrCd00657C</t>
  </si>
  <si>
    <t>adrCd006594</t>
  </si>
  <si>
    <t>DoorLockedMsg</t>
  </si>
  <si>
    <t>adrJA0065B2</t>
  </si>
  <si>
    <t>Click_PartyMember</t>
  </si>
  <si>
    <t>adrCd0065C4</t>
  </si>
  <si>
    <t>adrCd0065CC</t>
  </si>
  <si>
    <t>adrCd0065E8</t>
  </si>
  <si>
    <t>adrCd006608</t>
  </si>
  <si>
    <t>adrJA006616</t>
  </si>
  <si>
    <t>Click_ShowStats</t>
  </si>
  <si>
    <t>adrCd00665C</t>
  </si>
  <si>
    <t>adrCd006660</t>
  </si>
  <si>
    <t>adrCd00666E</t>
  </si>
  <si>
    <t>adrCd006670</t>
  </si>
  <si>
    <t>adrCd006682</t>
  </si>
  <si>
    <t>adrJA006684</t>
  </si>
  <si>
    <t>adrCd006698</t>
  </si>
  <si>
    <t>adrCd0066AA</t>
  </si>
  <si>
    <t>adrCd0066B8</t>
  </si>
  <si>
    <t>adrCd0066BE</t>
  </si>
  <si>
    <t>adrLp0066CC</t>
  </si>
  <si>
    <t>adrCd0066F6</t>
  </si>
  <si>
    <t>adrCd006712</t>
  </si>
  <si>
    <t>adrCd006720</t>
  </si>
  <si>
    <t>adrCd006736</t>
  </si>
  <si>
    <t>adrCd00675E</t>
  </si>
  <si>
    <t>adrB_006760</t>
  </si>
  <si>
    <t>adrCd006778</t>
  </si>
  <si>
    <t>adrCd0067AC</t>
  </si>
  <si>
    <t>adrCd0067D6</t>
  </si>
  <si>
    <t>adrCd0067D8</t>
  </si>
  <si>
    <t>adrCd0067E0</t>
  </si>
  <si>
    <t>adrB_0067E6</t>
  </si>
  <si>
    <t>adrCd0067EA</t>
  </si>
  <si>
    <t>adrCd00681A</t>
  </si>
  <si>
    <t>adrCd00681C</t>
  </si>
  <si>
    <t>adrCd006836</t>
  </si>
  <si>
    <t>adrB_00683E</t>
  </si>
  <si>
    <t>adrEA00685E</t>
  </si>
  <si>
    <t>adrB_00687E</t>
  </si>
  <si>
    <t>adrCd00688C</t>
  </si>
  <si>
    <t>adrCd0068B4</t>
  </si>
  <si>
    <t>adrCd0068CC</t>
  </si>
  <si>
    <t>adrCd0068D0</t>
  </si>
  <si>
    <t>adrCd0068DC</t>
  </si>
  <si>
    <t>adrCd0068F8</t>
  </si>
  <si>
    <t>adrCd006900</t>
  </si>
  <si>
    <t>adrCd00690A</t>
  </si>
  <si>
    <t>adrCd006912</t>
  </si>
  <si>
    <t>adrJA006914</t>
  </si>
  <si>
    <t>Click_Item_17_to_1A_Potions</t>
  </si>
  <si>
    <t>adrJT006952</t>
  </si>
  <si>
    <t>Potion_LookupTable</t>
  </si>
  <si>
    <t>adrJB00695A</t>
  </si>
  <si>
    <t>Potion_1_SerpentSlime</t>
  </si>
  <si>
    <t>adrJA006962</t>
  </si>
  <si>
    <t>Potion_3_DragonAle</t>
  </si>
  <si>
    <t>adrJA00696A</t>
  </si>
  <si>
    <t>Potion_4_MoonElixir</t>
  </si>
  <si>
    <t>adrJA006976</t>
  </si>
  <si>
    <t>Potion_2_BrimstoneBroth</t>
  </si>
  <si>
    <t>adrCd006984</t>
  </si>
  <si>
    <t>adrCd00699A</t>
  </si>
  <si>
    <t>adrLp0069AE</t>
  </si>
  <si>
    <t>adrCd0069BA</t>
  </si>
  <si>
    <t>adrCd0069C4</t>
  </si>
  <si>
    <t>adrCd0069CA</t>
  </si>
  <si>
    <t>adrCd0069D4</t>
  </si>
  <si>
    <t>adrCd0069F0</t>
  </si>
  <si>
    <t>adrCd0069F4</t>
  </si>
  <si>
    <t>adrCd006A16</t>
  </si>
  <si>
    <t>adrCd006A30</t>
  </si>
  <si>
    <t>adrCd006A36</t>
  </si>
  <si>
    <t>adrJA006A46</t>
  </si>
  <si>
    <t>adrCd006A98</t>
  </si>
  <si>
    <t>adrCd006AAE</t>
  </si>
  <si>
    <t>adrCd006AB4</t>
  </si>
  <si>
    <t>adrCd006ADC</t>
  </si>
  <si>
    <t>adrCd006AF2</t>
  </si>
  <si>
    <t>adrCd006B1C</t>
  </si>
  <si>
    <t>adrCd006B30</t>
  </si>
  <si>
    <t>adrCd006B4C</t>
  </si>
  <si>
    <t>adrCd006B54</t>
  </si>
  <si>
    <t>adrCd006B72</t>
  </si>
  <si>
    <t>adrCd006B78</t>
  </si>
  <si>
    <t>adrCd006B82</t>
  </si>
  <si>
    <t>adrCd006BA0</t>
  </si>
  <si>
    <t>adrLp006BA2</t>
  </si>
  <si>
    <t>adrCd006BAC</t>
  </si>
  <si>
    <t>adrCd006BB0</t>
  </si>
  <si>
    <t>adrCd006BB8</t>
  </si>
  <si>
    <t>adrCd006BD6</t>
  </si>
  <si>
    <t>adrCd006BD8</t>
  </si>
  <si>
    <t>adrCd006BE8</t>
  </si>
  <si>
    <t>adrJA006BF0</t>
  </si>
  <si>
    <t>Click_OpenInventory</t>
  </si>
  <si>
    <t>adrJA006C0A</t>
  </si>
  <si>
    <t>adrCd006C34</t>
  </si>
  <si>
    <t>adrCd006C42</t>
  </si>
  <si>
    <t>adrCd006C58</t>
  </si>
  <si>
    <t>adrCd006C90</t>
  </si>
  <si>
    <t>adrCd006C92</t>
  </si>
  <si>
    <t>adrCd006C9C</t>
  </si>
  <si>
    <t>adrCd006CD2</t>
  </si>
  <si>
    <t>adrCd006CE2</t>
  </si>
  <si>
    <t>adrCd006D08</t>
  </si>
  <si>
    <t>adrCd006D1E</t>
  </si>
  <si>
    <t>adrCd006D3C</t>
  </si>
  <si>
    <t>adrCd006D42</t>
  </si>
  <si>
    <t>adrCd006D44</t>
  </si>
  <si>
    <t>adrCd006D6E</t>
  </si>
  <si>
    <t>adrW_006D7E</t>
  </si>
  <si>
    <t>adrW_006D8A</t>
  </si>
  <si>
    <t>adrB_006D96</t>
  </si>
  <si>
    <t>adrB_006D97</t>
  </si>
  <si>
    <t>adrCd006DA2</t>
  </si>
  <si>
    <t>adrJA006DEE</t>
  </si>
  <si>
    <t>Click_MoveForwards</t>
  </si>
  <si>
    <t>adrJA006DF2</t>
  </si>
  <si>
    <t>Click_MoveBackwards</t>
  </si>
  <si>
    <t>adrJA006DF6</t>
  </si>
  <si>
    <t>Click_MoveLeft</t>
  </si>
  <si>
    <t>adrJA006DFA</t>
  </si>
  <si>
    <t>Click_MoveRight</t>
  </si>
  <si>
    <t>adrCd006DFC</t>
  </si>
  <si>
    <t>adrCd006E3C</t>
  </si>
  <si>
    <t>adrCd006E3E</t>
  </si>
  <si>
    <t>adrCd006E90</t>
  </si>
  <si>
    <t>adrCd006EA0</t>
  </si>
  <si>
    <t>adrCd006EA8</t>
  </si>
  <si>
    <t>adrCd006ED0</t>
  </si>
  <si>
    <t>adrCd006EE8</t>
  </si>
  <si>
    <t>adrCd006F24</t>
  </si>
  <si>
    <t>adrCd006F38</t>
  </si>
  <si>
    <t>adrCd006F4A</t>
  </si>
  <si>
    <t>adrCd006F58</t>
  </si>
  <si>
    <t>adrJA006F5A</t>
  </si>
  <si>
    <t>Click_RotateLeft</t>
  </si>
  <si>
    <t>adrJA006F68</t>
  </si>
  <si>
    <t>Click_RotateRight</t>
  </si>
  <si>
    <t>adrCd006F74</t>
  </si>
  <si>
    <t>adrCd006F80</t>
  </si>
  <si>
    <t>adrLp006F86</t>
  </si>
  <si>
    <t>adrCd006F9A</t>
  </si>
  <si>
    <t>adrEA006FA8</t>
  </si>
  <si>
    <t>adrCd006FAA</t>
  </si>
  <si>
    <t>adrCd006FC0</t>
  </si>
  <si>
    <t>adrCd006FF2</t>
  </si>
  <si>
    <t>adrCd006FF8</t>
  </si>
  <si>
    <t>adrCd007012</t>
  </si>
  <si>
    <t>adrJB007016</t>
  </si>
  <si>
    <t>Trigger_00_t00_Null</t>
  </si>
  <si>
    <t>adrJT007018</t>
  </si>
  <si>
    <t>Triggers_LookupTable</t>
  </si>
  <si>
    <t>adrJA007356</t>
  </si>
  <si>
    <t>adrJA007386</t>
  </si>
  <si>
    <t>adrCd0073A2</t>
  </si>
  <si>
    <t>adrCd0073A6</t>
  </si>
  <si>
    <t>KeepStartLocsFloors</t>
  </si>
  <si>
    <t>KeepStartLocations</t>
  </si>
  <si>
    <t>adrJA0073E6</t>
  </si>
  <si>
    <t>adrCd007408</t>
  </si>
  <si>
    <t>adrJA007454</t>
  </si>
  <si>
    <t>adrCd00746E</t>
  </si>
  <si>
    <t>adrCd007470</t>
  </si>
  <si>
    <t>adrCd007472</t>
  </si>
  <si>
    <t>adrCd00748C</t>
  </si>
  <si>
    <t>DungeonStartLocs</t>
  </si>
  <si>
    <t>adrJA007502</t>
  </si>
  <si>
    <t>adrJA00751A</t>
  </si>
  <si>
    <t>adrLp00752E</t>
  </si>
  <si>
    <t>DBFWait1d</t>
  </si>
  <si>
    <t>adrCd007566</t>
  </si>
  <si>
    <t>.Player2Skip</t>
  </si>
  <si>
    <t>adrCd007576</t>
  </si>
  <si>
    <t>GameEndPicture</t>
  </si>
  <si>
    <t>.GameEnd_repeat</t>
  </si>
  <si>
    <t>CongratsText</t>
  </si>
  <si>
    <t>adrJA007630</t>
  </si>
  <si>
    <t>adrJA00763C</t>
  </si>
  <si>
    <t>adrCd007660</t>
  </si>
  <si>
    <t>adrCd007664</t>
  </si>
  <si>
    <t>adrJA007686</t>
  </si>
  <si>
    <t>adrCd0076AC</t>
  </si>
  <si>
    <t>adrJA0076B4</t>
  </si>
  <si>
    <t>adrJA0076D2</t>
  </si>
  <si>
    <t>Trigger_06_t0C_WoodTrap1</t>
  </si>
  <si>
    <t>adrJA0076EA</t>
  </si>
  <si>
    <t>Trigger_07_t0E_WoodTrap2</t>
  </si>
  <si>
    <t>adrJA007702</t>
  </si>
  <si>
    <t>adrCd007710</t>
  </si>
  <si>
    <t>adrJA007712</t>
  </si>
  <si>
    <t>Trigger_01_t02_Spinner180</t>
  </si>
  <si>
    <t>adrJA00771A</t>
  </si>
  <si>
    <t>Trigger_02_t04_SpinnerRandom</t>
  </si>
  <si>
    <t>adrJA007728</t>
  </si>
  <si>
    <t>adrJA007734</t>
  </si>
  <si>
    <t>adrJA007746</t>
  </si>
  <si>
    <t>adrJA007758</t>
  </si>
  <si>
    <t>adrJA007768</t>
  </si>
  <si>
    <t>adrJA00776C</t>
  </si>
  <si>
    <t>adrJA00777E</t>
  </si>
  <si>
    <t>adrJA00778A</t>
  </si>
  <si>
    <t>adrJA007796</t>
  </si>
  <si>
    <t>adrJA0077D6</t>
  </si>
  <si>
    <t>adrJA007800</t>
  </si>
  <si>
    <t>adrCd007812</t>
  </si>
  <si>
    <t>adrLp00782A</t>
  </si>
  <si>
    <t>adrCd007832</t>
  </si>
  <si>
    <t>adrCd007836</t>
  </si>
  <si>
    <t>adrCd007838</t>
  </si>
  <si>
    <t>adrCd007844</t>
  </si>
  <si>
    <t>adrCd007854</t>
  </si>
  <si>
    <t>adrCd00785A</t>
  </si>
  <si>
    <t>adrCd00787E</t>
  </si>
  <si>
    <t>adrCd0078A0</t>
  </si>
  <si>
    <t>adrCd0078B6</t>
  </si>
  <si>
    <t>adrCd0078C0</t>
  </si>
  <si>
    <t>adrCd0078E4</t>
  </si>
  <si>
    <t>adrJA0078F0</t>
  </si>
  <si>
    <t>adrCd0078FA</t>
  </si>
  <si>
    <t>adrLp007910</t>
  </si>
  <si>
    <t>adrLp007940</t>
  </si>
  <si>
    <t>adrCd00794C</t>
  </si>
  <si>
    <t>adrCd007958</t>
  </si>
  <si>
    <t>adrCd007974</t>
  </si>
  <si>
    <t>adrLp0079AC</t>
  </si>
  <si>
    <t>adrLp0079B4</t>
  </si>
  <si>
    <t>adrLp0079EA</t>
  </si>
  <si>
    <t>adrCd007A02</t>
  </si>
  <si>
    <t>adrCd007A06</t>
  </si>
  <si>
    <t>adrCd007A10</t>
  </si>
  <si>
    <t>adrLp007A26</t>
  </si>
  <si>
    <t>adrCd007A30</t>
  </si>
  <si>
    <t>adrCd007A34</t>
  </si>
  <si>
    <t>adrCd007A42</t>
  </si>
  <si>
    <t>adrCd007A44</t>
  </si>
  <si>
    <t>adrCd007A8E</t>
  </si>
  <si>
    <t>adrCd007AB0</t>
  </si>
  <si>
    <t>adrCd007ABC</t>
  </si>
  <si>
    <t>adrCd007ABE</t>
  </si>
  <si>
    <t>adrCd007AC0</t>
  </si>
  <si>
    <t>adrB_007AD0</t>
  </si>
  <si>
    <t>adrCd007AD8</t>
  </si>
  <si>
    <t>adrCd007ADC</t>
  </si>
  <si>
    <t>adrCd007ADE</t>
  </si>
  <si>
    <t>adrCd007AE6</t>
  </si>
  <si>
    <t>adrCd007AF4</t>
  </si>
  <si>
    <t>adrCd007AF8</t>
  </si>
  <si>
    <t>adrCd007B04</t>
  </si>
  <si>
    <t>adrCd007B08</t>
  </si>
  <si>
    <t>adrCd007B20</t>
  </si>
  <si>
    <t>adrCd007B22</t>
  </si>
  <si>
    <t>adrCd007B2E</t>
  </si>
  <si>
    <t>adrCd007B34</t>
  </si>
  <si>
    <t>adrCd007B44</t>
  </si>
  <si>
    <t>adrCd007B50</t>
  </si>
  <si>
    <t>adrCd007BC0</t>
  </si>
  <si>
    <t>adrCd007BE8</t>
  </si>
  <si>
    <t>adrEA007C0E</t>
  </si>
  <si>
    <t>adrEA007C20</t>
  </si>
  <si>
    <t>adrEA007C24</t>
  </si>
  <si>
    <t>adrEA007C2C</t>
  </si>
  <si>
    <t>adrEA007C3A</t>
  </si>
  <si>
    <t>adrEA007C4D</t>
  </si>
  <si>
    <t>adrEA007C6F</t>
  </si>
  <si>
    <t>adrEA007C87</t>
  </si>
  <si>
    <t>adrEA007C93</t>
  </si>
  <si>
    <t>adrJA007CA0</t>
  </si>
  <si>
    <t>adrJA007CA6</t>
  </si>
  <si>
    <t>adrCd007CAC</t>
  </si>
  <si>
    <t>adrCd007CCC</t>
  </si>
  <si>
    <t>adrJA007CD6</t>
  </si>
  <si>
    <t>adrLp007CDC</t>
  </si>
  <si>
    <t>adrCd007D00</t>
  </si>
  <si>
    <t>adrCd007D06</t>
  </si>
  <si>
    <t>adrCd007D10</t>
  </si>
  <si>
    <t>adrJA007D20</t>
  </si>
  <si>
    <t>adrJA007D26</t>
  </si>
  <si>
    <t>adrJA007D2C</t>
  </si>
  <si>
    <t>adrJA007D32</t>
  </si>
  <si>
    <t>adrJA007D38</t>
  </si>
  <si>
    <t>adrJA007D3E</t>
  </si>
  <si>
    <t>adrJT007D44</t>
  </si>
  <si>
    <t>adrCd007D6C</t>
  </si>
  <si>
    <t>adrCd007D8E</t>
  </si>
  <si>
    <t>adrCd007D9C</t>
  </si>
  <si>
    <t>adrCd007DAC</t>
  </si>
  <si>
    <t>adrCd007DEE</t>
  </si>
  <si>
    <t>adrCd007DF2</t>
  </si>
  <si>
    <t>adrCd007E12</t>
  </si>
  <si>
    <t>adrL_007E22</t>
  </si>
  <si>
    <t>adrCd007E4A</t>
  </si>
  <si>
    <t>adrCd007E62</t>
  </si>
  <si>
    <t>adrCd007E6A</t>
  </si>
  <si>
    <t>adrCd007E80</t>
  </si>
  <si>
    <t>adrCd007E82</t>
  </si>
  <si>
    <t>adrW_007EA8</t>
  </si>
  <si>
    <t>adrW_007EAA</t>
  </si>
  <si>
    <t>adrW_007EAC</t>
  </si>
  <si>
    <t>adrCd007EC0</t>
  </si>
  <si>
    <t>adrLp007EC2</t>
  </si>
  <si>
    <t>adrCd007ED2</t>
  </si>
  <si>
    <t>adrCd007EF0</t>
  </si>
  <si>
    <t>adrCd007EF8</t>
  </si>
  <si>
    <t>adrCd007F0A</t>
  </si>
  <si>
    <t>adrCd007F36</t>
  </si>
  <si>
    <t>adrCd007F54</t>
  </si>
  <si>
    <t>adrCd007F86</t>
  </si>
  <si>
    <t>adrCd007FB2</t>
  </si>
  <si>
    <t>adrCd007FD4</t>
  </si>
  <si>
    <t>adrCd007FD6</t>
  </si>
  <si>
    <t>adrCd007FDE</t>
  </si>
  <si>
    <t>adrCd007FE0</t>
  </si>
  <si>
    <t>adrCd007FF4</t>
  </si>
  <si>
    <t>adrCd007FF8</t>
  </si>
  <si>
    <t>adrCd0080CA</t>
  </si>
  <si>
    <t>adrLp00811E</t>
  </si>
  <si>
    <t>adrCd008132</t>
  </si>
  <si>
    <t>adrCd00813C</t>
  </si>
  <si>
    <t>adrCd008144</t>
  </si>
  <si>
    <t>adrCd008158</t>
  </si>
  <si>
    <t>adrCd00815C</t>
  </si>
  <si>
    <t>adrLp00816C</t>
  </si>
  <si>
    <t>adrCd0081C0</t>
  </si>
  <si>
    <t>adrCd0081C8</t>
  </si>
  <si>
    <t>adrB_0081CA</t>
  </si>
  <si>
    <t>adrCd0081CE</t>
  </si>
  <si>
    <t>adrCd008206</t>
  </si>
  <si>
    <t>adrCd00820A</t>
  </si>
  <si>
    <t>adrB_00821E</t>
  </si>
  <si>
    <t>adrL_008226</t>
  </si>
  <si>
    <t>adrCd008230</t>
  </si>
  <si>
    <t>adrCd008246</t>
  </si>
  <si>
    <t>adrCd008256</t>
  </si>
  <si>
    <t>adrCd008258</t>
  </si>
  <si>
    <t>adrCd008278</t>
  </si>
  <si>
    <t>adrCd00828A</t>
  </si>
  <si>
    <t>adrCd0082BA</t>
  </si>
  <si>
    <t>adrCd008308</t>
  </si>
  <si>
    <t>adrCd00833C</t>
  </si>
  <si>
    <t>adrCd008358</t>
  </si>
  <si>
    <t>adrCd00838C</t>
  </si>
  <si>
    <t>adrW_00838E</t>
  </si>
  <si>
    <t>adrCd008396</t>
  </si>
  <si>
    <t>adrCd0083B0</t>
  </si>
  <si>
    <t>adrCd0083C4</t>
  </si>
  <si>
    <t>adrCd0083D0</t>
  </si>
  <si>
    <t>adrCd0083D4</t>
  </si>
  <si>
    <t>adrCd008402</t>
  </si>
  <si>
    <t>adrCd00840E</t>
  </si>
  <si>
    <t>adrB_008412</t>
  </si>
  <si>
    <t>adrCd008416</t>
  </si>
  <si>
    <t>adrCd00842C</t>
  </si>
  <si>
    <t>adrCd008430</t>
  </si>
  <si>
    <t>adrCd00843E</t>
  </si>
  <si>
    <t>adrCd008462</t>
  </si>
  <si>
    <t>adrEA00846A</t>
  </si>
  <si>
    <t>adrEA00846E</t>
  </si>
  <si>
    <t>ClassColours</t>
  </si>
  <si>
    <t>adrCd00847E</t>
  </si>
  <si>
    <t>adrCd008482</t>
  </si>
  <si>
    <t>adrCd008486</t>
  </si>
  <si>
    <t>adrCd008498</t>
  </si>
  <si>
    <t>CoordToMap</t>
  </si>
  <si>
    <t>adrCd0084A2</t>
  </si>
  <si>
    <t>adrCd0084BA</t>
  </si>
  <si>
    <t>adrCd0084D6</t>
  </si>
  <si>
    <t>adrCd0084DA</t>
  </si>
  <si>
    <t>adrCd0084FC</t>
  </si>
  <si>
    <t>adrCd00850C</t>
  </si>
  <si>
    <t>adrL_008520</t>
  </si>
  <si>
    <t>adrLp008524</t>
  </si>
  <si>
    <t>adrCd008534</t>
  </si>
  <si>
    <t>adrLp008542</t>
  </si>
  <si>
    <t>adrLp008550</t>
  </si>
  <si>
    <t>adrLp0085C2</t>
  </si>
  <si>
    <t>adrCd008656</t>
  </si>
  <si>
    <t>adrCd008672</t>
  </si>
  <si>
    <t>adrCd00868A</t>
  </si>
  <si>
    <t>adrLp008696</t>
  </si>
  <si>
    <t>adrCd0086C0</t>
  </si>
  <si>
    <t>adrLp0086C2</t>
  </si>
  <si>
    <t>adrCd0086D2</t>
  </si>
  <si>
    <t>adrLp0086FC</t>
  </si>
  <si>
    <t>adrCd008702</t>
  </si>
  <si>
    <t>adrLp008720</t>
  </si>
  <si>
    <t>adrCd008726</t>
  </si>
  <si>
    <t>adrCd008744</t>
  </si>
  <si>
    <t>adrCd008758</t>
  </si>
  <si>
    <t>adrCd008760</t>
  </si>
  <si>
    <t>adrCd00877E</t>
  </si>
  <si>
    <t>adrCd008792</t>
  </si>
  <si>
    <t>adrCd0087A6</t>
  </si>
  <si>
    <t>adrCd0087AC</t>
  </si>
  <si>
    <t>adrCd0087EA</t>
  </si>
  <si>
    <t>adrCd00880C</t>
  </si>
  <si>
    <t>adrCd00881C</t>
  </si>
  <si>
    <t>adrLp008822</t>
  </si>
  <si>
    <t>adrLp008824</t>
  </si>
  <si>
    <t>adrCd00884A</t>
  </si>
  <si>
    <t>adrCd008850</t>
  </si>
  <si>
    <t>adrCd008866</t>
  </si>
  <si>
    <t>adrCd00886A</t>
  </si>
  <si>
    <t>adrLp008870</t>
  </si>
  <si>
    <t>adrCd008878</t>
  </si>
  <si>
    <t>adrCd00888E</t>
  </si>
  <si>
    <t>adrLp008896</t>
  </si>
  <si>
    <t>adrCd00889E</t>
  </si>
  <si>
    <t>adrB_0088A2</t>
  </si>
  <si>
    <t>adrL_0088A4</t>
  </si>
  <si>
    <t>PlaySound</t>
  </si>
  <si>
    <t>adrLp008910</t>
  </si>
  <si>
    <t>.soundloop1</t>
  </si>
  <si>
    <t>adrLp008920</t>
  </si>
  <si>
    <t>.soundloop2</t>
  </si>
  <si>
    <t>adrW_008938</t>
  </si>
  <si>
    <t>AudioSampleOffsets</t>
  </si>
  <si>
    <t>adrW_00893A</t>
  </si>
  <si>
    <t>adrW_008950</t>
  </si>
  <si>
    <t>adrCd008952</t>
  </si>
  <si>
    <t>MouseControl</t>
  </si>
  <si>
    <t>adrCd008986</t>
  </si>
  <si>
    <t>adrCd008990</t>
  </si>
  <si>
    <t>adrCd00899A</t>
  </si>
  <si>
    <t>adrCd0089AE</t>
  </si>
  <si>
    <t>adrCd0089B8</t>
  </si>
  <si>
    <t>adrCd0089F6</t>
  </si>
  <si>
    <t>adrCd008A08</t>
  </si>
  <si>
    <t>adrCd008A0A</t>
  </si>
  <si>
    <t>adrCd008A14</t>
  </si>
  <si>
    <t>adrCd008A18</t>
  </si>
  <si>
    <t>adrCd008A1A</t>
  </si>
  <si>
    <t>adrCd008A1C</t>
  </si>
  <si>
    <t>InputControls</t>
  </si>
  <si>
    <t>adrCd008A50</t>
  </si>
  <si>
    <t>adrCd008A98</t>
  </si>
  <si>
    <t>adrCd008AAA</t>
  </si>
  <si>
    <t>adrCd008AB8</t>
  </si>
  <si>
    <t>adrCd008AC6</t>
  </si>
  <si>
    <t>adrCd008ACC</t>
  </si>
  <si>
    <t>adrCd008AD6</t>
  </si>
  <si>
    <t>adrCd008ADE</t>
  </si>
  <si>
    <t>adrEA008AFA</t>
  </si>
  <si>
    <t>adrEA008AFC</t>
  </si>
  <si>
    <t>adrCd008AFE</t>
  </si>
  <si>
    <t>JoystickControl</t>
  </si>
  <si>
    <t>adrLp008B3C</t>
  </si>
  <si>
    <t>adrCd008B4C</t>
  </si>
  <si>
    <t>adrCd008B50</t>
  </si>
  <si>
    <t>adrCd008B64</t>
  </si>
  <si>
    <t>adrCd008B72</t>
  </si>
  <si>
    <t>adrCd008B9A</t>
  </si>
  <si>
    <t>adrCd008BAC</t>
  </si>
  <si>
    <t>adrCd008BC0</t>
  </si>
  <si>
    <t>adrCd008BCA</t>
  </si>
  <si>
    <t>adrCd008BDC</t>
  </si>
  <si>
    <t>adrCd008BE0</t>
  </si>
  <si>
    <t>adrCd008BE8</t>
  </si>
  <si>
    <t>adrW_008C1A</t>
  </si>
  <si>
    <t>VBI_Marker</t>
  </si>
  <si>
    <t>adrW_008C1C</t>
  </si>
  <si>
    <t>Paused_Marker</t>
  </si>
  <si>
    <t>adrB_008C1E</t>
  </si>
  <si>
    <t>adrB_008C1F</t>
  </si>
  <si>
    <t>adrL_008C20</t>
  </si>
  <si>
    <t>VerticalBlankInterupt</t>
  </si>
  <si>
    <t>adrCd008C40</t>
  </si>
  <si>
    <t>adrCd008C62</t>
  </si>
  <si>
    <t>adrCd008C74</t>
  </si>
  <si>
    <t>adrCd008C82</t>
  </si>
  <si>
    <t>adrLp008C8A</t>
  </si>
  <si>
    <t>adrCd008C92</t>
  </si>
  <si>
    <t>adrCd008CBC</t>
  </si>
  <si>
    <t>adrCd008CC0</t>
  </si>
  <si>
    <t>adrL_008CC8</t>
  </si>
  <si>
    <t>adrCd008CCA</t>
  </si>
  <si>
    <t>adrCd008CEC</t>
  </si>
  <si>
    <t>adrCd008D00</t>
  </si>
  <si>
    <t>adrCd008D1A</t>
  </si>
  <si>
    <t>adrLp008D1C</t>
  </si>
  <si>
    <t>screen_ptr</t>
  </si>
  <si>
    <t>framebuffer_ptr</t>
  </si>
  <si>
    <t>adrLp008D3E</t>
  </si>
  <si>
    <t>adrLp008D42</t>
  </si>
  <si>
    <t>adrCd008D88</t>
  </si>
  <si>
    <t>adrLp008D98</t>
  </si>
  <si>
    <t>adrCd008DA0</t>
  </si>
  <si>
    <t>adrCd008DA8</t>
  </si>
  <si>
    <t>adrCd008DAE</t>
  </si>
  <si>
    <t>adrLp008DB2</t>
  </si>
  <si>
    <t>adrCd008DBA</t>
  </si>
  <si>
    <t>adrLp008DC8</t>
  </si>
  <si>
    <t>GamePalette</t>
  </si>
  <si>
    <t>CopperList_00</t>
  </si>
  <si>
    <t>CopperList_01</t>
  </si>
  <si>
    <t>adrEA008E84</t>
  </si>
  <si>
    <t>SpritePosition_00</t>
  </si>
  <si>
    <t>adrEA008EC8</t>
  </si>
  <si>
    <t>adrEA008ECC</t>
  </si>
  <si>
    <t>SpritePosition_04</t>
  </si>
  <si>
    <t>adrEA008F14</t>
  </si>
  <si>
    <t>SpritePosition_01</t>
  </si>
  <si>
    <t>adrEA008F5C</t>
  </si>
  <si>
    <t>SpritePosition_02</t>
  </si>
  <si>
    <t>adrCd008FA4</t>
  </si>
  <si>
    <t>adrCd008FB8</t>
  </si>
  <si>
    <t>adrCd009000</t>
  </si>
  <si>
    <t>adrCd009036</t>
  </si>
  <si>
    <t>adrCd009038</t>
  </si>
  <si>
    <t>adrCd009042</t>
  </si>
  <si>
    <t>adrCd00905C</t>
  </si>
  <si>
    <t>adrCd00909C</t>
  </si>
  <si>
    <t>adrB_0090AC</t>
  </si>
  <si>
    <t>adrCd0090D4</t>
  </si>
  <si>
    <t>adrCd009130</t>
  </si>
  <si>
    <t>adrCd00917E</t>
  </si>
  <si>
    <t>adrCd009194</t>
  </si>
  <si>
    <t>adrCd0091B0</t>
  </si>
  <si>
    <t>adrCd0091BC</t>
  </si>
  <si>
    <t>adrCd0091C0</t>
  </si>
  <si>
    <t>adrCd0091C4</t>
  </si>
  <si>
    <t>adrLp0091EA</t>
  </si>
  <si>
    <t>adrCd0091F6</t>
  </si>
  <si>
    <t>adrCd009202</t>
  </si>
  <si>
    <t>adrCd009212</t>
  </si>
  <si>
    <t>adrCd00921E</t>
  </si>
  <si>
    <t>adrCd009248</t>
  </si>
  <si>
    <t>adrCd009260</t>
  </si>
  <si>
    <t>adrCd00926C</t>
  </si>
  <si>
    <t>adrCd009286</t>
  </si>
  <si>
    <t>adrCd0092E8</t>
  </si>
  <si>
    <t>adrCd009358</t>
  </si>
  <si>
    <t>adrB_00935A</t>
  </si>
  <si>
    <t>adrW_009360</t>
  </si>
  <si>
    <t>adrB_009368</t>
  </si>
  <si>
    <t>adrB_009369</t>
  </si>
  <si>
    <t>adrB_00936A</t>
  </si>
  <si>
    <t>adrB_00936B</t>
  </si>
  <si>
    <t>adrCd009378</t>
  </si>
  <si>
    <t>adrCd009388</t>
  </si>
  <si>
    <t>adrCd0093BC</t>
  </si>
  <si>
    <t>adrLp0093C2</t>
  </si>
  <si>
    <t>adrCd0093E4</t>
  </si>
  <si>
    <t>adrCd0093F8</t>
  </si>
  <si>
    <t>adrCd009400</t>
  </si>
  <si>
    <t>adrCd009412</t>
  </si>
  <si>
    <t>adrCd00942E</t>
  </si>
  <si>
    <t>adrCd00943A</t>
  </si>
  <si>
    <t>adrCd009440</t>
  </si>
  <si>
    <t>adrCd009474</t>
  </si>
  <si>
    <t>adrCd009482</t>
  </si>
  <si>
    <t>adrCd009496</t>
  </si>
  <si>
    <t>adrCd0094B2</t>
  </si>
  <si>
    <t>adrCd0094B4</t>
  </si>
  <si>
    <t>adrCd0094BC</t>
  </si>
  <si>
    <t>adrL_0094D4</t>
  </si>
  <si>
    <t>adrCd0094DC</t>
  </si>
  <si>
    <t>adrCd0094E6</t>
  </si>
  <si>
    <t>adrCd0094F8</t>
  </si>
  <si>
    <t>adrCd009522</t>
  </si>
  <si>
    <t>adrCd00955E</t>
  </si>
  <si>
    <t>adrCd009560</t>
  </si>
  <si>
    <t>adrCd009568</t>
  </si>
  <si>
    <t>adrCd00956A</t>
  </si>
  <si>
    <t>adrCd009590</t>
  </si>
  <si>
    <t>adrCd00959E</t>
  </si>
  <si>
    <t>adrCd0095A0</t>
  </si>
  <si>
    <t>adrCd0095B4</t>
  </si>
  <si>
    <t>adrB_0095C0</t>
  </si>
  <si>
    <t>adrCd0095D4</t>
  </si>
  <si>
    <t>adrCd0095EA</t>
  </si>
  <si>
    <t>adrCd0095FC</t>
  </si>
  <si>
    <t>adrCd009600</t>
  </si>
  <si>
    <t>adrCd00960A</t>
  </si>
  <si>
    <t>adrCd00961A</t>
  </si>
  <si>
    <t>adrCd00963A</t>
  </si>
  <si>
    <t>adrCd009648</t>
  </si>
  <si>
    <t>adrCd00964A</t>
  </si>
  <si>
    <t>adrLp009662</t>
  </si>
  <si>
    <t>adrCd009676</t>
  </si>
  <si>
    <t>adrCd009680</t>
  </si>
  <si>
    <t>adrB_009682</t>
  </si>
  <si>
    <t>adrB_009692</t>
  </si>
  <si>
    <t>adrB_009696</t>
  </si>
  <si>
    <t>adrB_0096A9</t>
  </si>
  <si>
    <t>adrB_0096B1</t>
  </si>
  <si>
    <t>adrB_0096B6</t>
  </si>
  <si>
    <t>adrCd0096BE</t>
  </si>
  <si>
    <t>adrCd009722</t>
  </si>
  <si>
    <t>adrCd009774</t>
  </si>
  <si>
    <t>adrCd009780</t>
  </si>
  <si>
    <t>adrB_0097B6</t>
  </si>
  <si>
    <t>adrEA0097BC</t>
  </si>
  <si>
    <t>adrEA009808</t>
  </si>
  <si>
    <t>adrEA00981C</t>
  </si>
  <si>
    <t>adrCd0098A4</t>
  </si>
  <si>
    <t>adrCd0098A8</t>
  </si>
  <si>
    <t>adrCd0098BE</t>
  </si>
  <si>
    <t>adrCd0098D2</t>
  </si>
  <si>
    <t>adrLp0098E8</t>
  </si>
  <si>
    <t>adrCd0098FA</t>
  </si>
  <si>
    <t>adrLp009910</t>
  </si>
  <si>
    <t>adrCd00991C</t>
  </si>
  <si>
    <t>adrCd009926</t>
  </si>
  <si>
    <t>adrCd00992A</t>
  </si>
  <si>
    <t>adrCd009930</t>
  </si>
  <si>
    <t>adrB_009936</t>
  </si>
  <si>
    <t>adrB_00993B</t>
  </si>
  <si>
    <t>adrB_00994E</t>
  </si>
  <si>
    <t>adrB_009956</t>
  </si>
  <si>
    <t>adrCd00995C</t>
  </si>
  <si>
    <t>adrCd00995E</t>
  </si>
  <si>
    <t>adrCd0099BE</t>
  </si>
  <si>
    <t>adrCd0099C6</t>
  </si>
  <si>
    <t>adrCd0099C8</t>
  </si>
  <si>
    <t>adrB_0099CC</t>
  </si>
  <si>
    <t>adrB_0099D4</t>
  </si>
  <si>
    <t>adrCd0099DC</t>
  </si>
  <si>
    <t>adrCd0099EE</t>
  </si>
  <si>
    <t>adrCd0099F0</t>
  </si>
  <si>
    <t>adrCd009A2A</t>
  </si>
  <si>
    <t>adrLp009A46</t>
  </si>
  <si>
    <t>adrCd009A7C</t>
  </si>
  <si>
    <t>adrCd009A82</t>
  </si>
  <si>
    <t>adrCd009A86</t>
  </si>
  <si>
    <t>adrCd009AA8</t>
  </si>
  <si>
    <t>adrCd009AB2</t>
  </si>
  <si>
    <t>CentralPosition</t>
  </si>
  <si>
    <t>.CentralPosition</t>
  </si>
  <si>
    <t>adrCd009AFA</t>
  </si>
  <si>
    <t>adrCd009B1A</t>
  </si>
  <si>
    <t>adrLp009B20</t>
  </si>
  <si>
    <t>adrCd009B28</t>
  </si>
  <si>
    <t>adrLp009B38</t>
  </si>
  <si>
    <t>adrCd009B58</t>
  </si>
  <si>
    <t>adrCd009B5E</t>
  </si>
  <si>
    <t>adrEA009B70</t>
  </si>
  <si>
    <t>adrCd009BC0</t>
  </si>
  <si>
    <t>adrB_009BD0</t>
  </si>
  <si>
    <t>adrCd009BF0</t>
  </si>
  <si>
    <t>adrCd009C18</t>
  </si>
  <si>
    <t>adrEA009C68</t>
  </si>
  <si>
    <t>adrEA009C6E</t>
  </si>
  <si>
    <t>adrEA009C86</t>
  </si>
  <si>
    <t>adrB_009C9E</t>
  </si>
  <si>
    <t>adrCd009CA2</t>
  </si>
  <si>
    <t>adrCd009CB2</t>
  </si>
  <si>
    <t>adrCd009CD2</t>
  </si>
  <si>
    <t>Draw_Summon</t>
  </si>
  <si>
    <t>adrCd009CFE</t>
  </si>
  <si>
    <t>.IllusionSkip</t>
  </si>
  <si>
    <t>adrCd009D28</t>
  </si>
  <si>
    <t>adrCd009D50</t>
  </si>
  <si>
    <t>adrCd009D5E</t>
  </si>
  <si>
    <t>adrCd009D6A</t>
  </si>
  <si>
    <t>adrCd009DA2</t>
  </si>
  <si>
    <t>adrCd009DB6</t>
  </si>
  <si>
    <t>adrEA009DC0</t>
  </si>
  <si>
    <t>adrEA009DCC</t>
  </si>
  <si>
    <t>adrEA009DD0</t>
  </si>
  <si>
    <t>adrEA009DDC</t>
  </si>
  <si>
    <t>adrEA009DFC</t>
  </si>
  <si>
    <t>MonsterPalettes</t>
  </si>
  <si>
    <t>adrEA009E60</t>
  </si>
  <si>
    <t>adrCd009E94</t>
  </si>
  <si>
    <t>MonsterColourGrading</t>
  </si>
  <si>
    <t>adrCd009EA0</t>
  </si>
  <si>
    <t>.gradelower</t>
  </si>
  <si>
    <t>adrCd009EA8</t>
  </si>
  <si>
    <t>.gradeupper</t>
  </si>
  <si>
    <t>adrEA009EBE</t>
  </si>
  <si>
    <t>adrEA009EE2</t>
  </si>
  <si>
    <t>adrJA009EFA</t>
  </si>
  <si>
    <t>Draw_Crab</t>
  </si>
  <si>
    <t>MonsterColours_Crabs</t>
  </si>
  <si>
    <t>adrCd009F28</t>
  </si>
  <si>
    <t>adrCd009F32</t>
  </si>
  <si>
    <t>adrCd009F78</t>
  </si>
  <si>
    <t>adrB_009F7A</t>
  </si>
  <si>
    <t>adrB_009F7C</t>
  </si>
  <si>
    <t>adrB_009F7D</t>
  </si>
  <si>
    <t>adrB_009F80</t>
  </si>
  <si>
    <t>adrB_009F82</t>
  </si>
  <si>
    <t>adrB_009F86</t>
  </si>
  <si>
    <t>adrB_009F8A</t>
  </si>
  <si>
    <t>adrCd009F8C</t>
  </si>
  <si>
    <t>adrCd009F9E</t>
  </si>
  <si>
    <t>adrCd009FC4</t>
  </si>
  <si>
    <t>adrB_009FD8</t>
  </si>
  <si>
    <t>adrB_009FDC</t>
  </si>
  <si>
    <t>adrB_009FE4</t>
  </si>
  <si>
    <t>adrCd009FE8</t>
  </si>
  <si>
    <t>adrCd009FFE</t>
  </si>
  <si>
    <t>adrCd00A012</t>
  </si>
  <si>
    <t>adrB_00A028</t>
  </si>
  <si>
    <t>adrB_00A02A</t>
  </si>
  <si>
    <t>adrB_00A02E</t>
  </si>
  <si>
    <t>adrCd00A030</t>
  </si>
  <si>
    <t>adrCd00A052</t>
  </si>
  <si>
    <t>adrB_00A05A</t>
  </si>
  <si>
    <t>adrB_00A05C</t>
  </si>
  <si>
    <t>adrB_00A05E</t>
  </si>
  <si>
    <t>adrCd00A060</t>
  </si>
  <si>
    <t>adrCd00A07C</t>
  </si>
  <si>
    <t>adrCd00A084</t>
  </si>
  <si>
    <t>adrCd00A086</t>
  </si>
  <si>
    <t>adrCd00A0A6</t>
  </si>
  <si>
    <t>adrB_00A0AC</t>
  </si>
  <si>
    <t>adrB_00A0B0</t>
  </si>
  <si>
    <t>adrB_00A0B2</t>
  </si>
  <si>
    <t>adrCd00A0B4</t>
  </si>
  <si>
    <t>adrCd00A0D2</t>
  </si>
  <si>
    <t>adrCd00A0F4</t>
  </si>
  <si>
    <t>adrCd00A0F6</t>
  </si>
  <si>
    <t>adrCd00A106</t>
  </si>
  <si>
    <t>adrB_00A154</t>
  </si>
  <si>
    <t>adrB_00A155</t>
  </si>
  <si>
    <t>adrEA00A15C</t>
  </si>
  <si>
    <t>adrEA00A168</t>
  </si>
  <si>
    <t>adrEA00A170</t>
  </si>
  <si>
    <t>adrEA00A176</t>
  </si>
  <si>
    <t>adrEA00A17A</t>
  </si>
  <si>
    <t>adrEA00A17E</t>
  </si>
  <si>
    <t>adrEA00A186</t>
  </si>
  <si>
    <t>adrCd00A18A</t>
  </si>
  <si>
    <t>Draw_Beholder</t>
  </si>
  <si>
    <t>adrCd00A1A4</t>
  </si>
  <si>
    <t>MonsterColours_Beholder</t>
  </si>
  <si>
    <t>adrB_00A1B4</t>
  </si>
  <si>
    <t>adrB_00A1B8</t>
  </si>
  <si>
    <t>adrCd00A1BC</t>
  </si>
  <si>
    <t>adrCd00A1DC</t>
  </si>
  <si>
    <t>adrB_00A1F4</t>
  </si>
  <si>
    <t>adrB_00A1F8</t>
  </si>
  <si>
    <t>adrB_00A1FC</t>
  </si>
  <si>
    <t>adrCd00A200</t>
  </si>
  <si>
    <t>adrB_00A222</t>
  </si>
  <si>
    <t>adrB_00A224</t>
  </si>
  <si>
    <t>adrCd00A226</t>
  </si>
  <si>
    <t>adrCd00A248</t>
  </si>
  <si>
    <t>adrB_00A258</t>
  </si>
  <si>
    <t>adrB_00A25E</t>
  </si>
  <si>
    <t>adrB_00A264</t>
  </si>
  <si>
    <t>adrB_00A26A</t>
  </si>
  <si>
    <t>adrCd00A26E</t>
  </si>
  <si>
    <t>adrCd00A2B4</t>
  </si>
  <si>
    <t>adrCd00A2B6</t>
  </si>
  <si>
    <t>adrB_00A2E2</t>
  </si>
  <si>
    <t>adrCd00A2E4</t>
  </si>
  <si>
    <t>adrEA00A2F4</t>
  </si>
  <si>
    <t>adrEA00A300</t>
  </si>
  <si>
    <t>adrEA00A308</t>
  </si>
  <si>
    <t>adrEA00A328</t>
  </si>
  <si>
    <t>adrJA00A330</t>
  </si>
  <si>
    <t>Draw_LittleDragon</t>
  </si>
  <si>
    <t>adrEA00A33C</t>
  </si>
  <si>
    <t>adrEA00A344</t>
  </si>
  <si>
    <t>adrJA00A34C</t>
  </si>
  <si>
    <t>Draw_BigDragon</t>
  </si>
  <si>
    <t>adrCd00A356</t>
  </si>
  <si>
    <t>adrCd00A37C</t>
  </si>
  <si>
    <t>adrCd00A39A</t>
  </si>
  <si>
    <t>adrB_00A39C</t>
  </si>
  <si>
    <t>MonsterColours_Dragons</t>
  </si>
  <si>
    <t>adrCd00A3AE</t>
  </si>
  <si>
    <t>adrCd00A3D0</t>
  </si>
  <si>
    <t>adrCd00A3E0</t>
  </si>
  <si>
    <t>adrCd00A3E8</t>
  </si>
  <si>
    <t>adrCd00A410</t>
  </si>
  <si>
    <t>adrB_00A418</t>
  </si>
  <si>
    <t>adrB_00A424</t>
  </si>
  <si>
    <t>adrB_00A430</t>
  </si>
  <si>
    <t>adrB_00A43C</t>
  </si>
  <si>
    <t>adrB_00A454</t>
  </si>
  <si>
    <t>adrB_00A463</t>
  </si>
  <si>
    <t>adrB_00A467</t>
  </si>
  <si>
    <t>adrCd00A476</t>
  </si>
  <si>
    <t>adrCd00A488</t>
  </si>
  <si>
    <t>adrCd00A4CC</t>
  </si>
  <si>
    <t>adrB_00A4CE</t>
  </si>
  <si>
    <t>adrEA00A4D4</t>
  </si>
  <si>
    <t>adrEA00A4F2</t>
  </si>
  <si>
    <t>adrJA00A50A</t>
  </si>
  <si>
    <t>Draw_Behemoth</t>
  </si>
  <si>
    <t>MonsterColours_Behemoth</t>
  </si>
  <si>
    <t>adrEA00A536</t>
  </si>
  <si>
    <t>adrJA00A53C</t>
  </si>
  <si>
    <t>Draw_Entropy</t>
  </si>
  <si>
    <t>adrCd00A54C</t>
  </si>
  <si>
    <t>adrCd00A56E</t>
  </si>
  <si>
    <t>adrCd00A58A</t>
  </si>
  <si>
    <t>adrCd00A5AE</t>
  </si>
  <si>
    <t>adrCd00A5C4</t>
  </si>
  <si>
    <t>adrCd00A5E8</t>
  </si>
  <si>
    <t>adrCd00A5EE</t>
  </si>
  <si>
    <t>adrCd00A5F4</t>
  </si>
  <si>
    <t>adrCd00A600</t>
  </si>
  <si>
    <t>adrEA00A604</t>
  </si>
  <si>
    <t>adrEA00A668</t>
  </si>
  <si>
    <t>adrEA00A6C2</t>
  </si>
  <si>
    <t>adrCd00A6CA</t>
  </si>
  <si>
    <t>adrCd00A6E4</t>
  </si>
  <si>
    <t>adrCd00A6E8</t>
  </si>
  <si>
    <t>adrCd00A6EC</t>
  </si>
  <si>
    <t>adrCd00A6F6</t>
  </si>
  <si>
    <t>adrCd00A70A</t>
  </si>
  <si>
    <t>adrJB00A73A</t>
  </si>
  <si>
    <t>Creatures_LookupTable</t>
  </si>
  <si>
    <t>adrCd00A744</t>
  </si>
  <si>
    <t>Draw_Character</t>
  </si>
  <si>
    <t>adrB_00A792</t>
  </si>
  <si>
    <t>CharacterBodySel</t>
  </si>
  <si>
    <t>adrCd00A7F2</t>
  </si>
  <si>
    <t>adrCd00A804</t>
  </si>
  <si>
    <t>adrCd00A808</t>
  </si>
  <si>
    <t>adrCd00A830</t>
  </si>
  <si>
    <t>adrCd00A876</t>
  </si>
  <si>
    <t>adrCd00A878</t>
  </si>
  <si>
    <t>adrEA00A88E</t>
  </si>
  <si>
    <t>CharacterHeadSel</t>
  </si>
  <si>
    <t>adrW_00A970</t>
  </si>
  <si>
    <t>adrW_00A972</t>
  </si>
  <si>
    <t>adrB_00A984</t>
  </si>
  <si>
    <t>adrCd00A998</t>
  </si>
  <si>
    <t>adrCd00A9C2</t>
  </si>
  <si>
    <t>adrCd00A9CA</t>
  </si>
  <si>
    <t>adrCd00A9DC</t>
  </si>
  <si>
    <t>adrCd00AA14</t>
  </si>
  <si>
    <t>adrCd00AA18</t>
  </si>
  <si>
    <t>adrCd00AA24</t>
  </si>
  <si>
    <t>adrCd00AA4E</t>
  </si>
  <si>
    <t>adrCd00AA76</t>
  </si>
  <si>
    <t>adrCd00AA90</t>
  </si>
  <si>
    <t>adrCd00AA92</t>
  </si>
  <si>
    <t>adrCd00AABC</t>
  </si>
  <si>
    <t>adrCd00AAD8</t>
  </si>
  <si>
    <t>adrCd00AADC</t>
  </si>
  <si>
    <t>adrCd00AAF8</t>
  </si>
  <si>
    <t>adrEA00AAFC</t>
  </si>
  <si>
    <t>adrCd00AB44</t>
  </si>
  <si>
    <t>adrLp00AB60</t>
  </si>
  <si>
    <t>adrCd00AB74</t>
  </si>
  <si>
    <t>adrCd00AB78</t>
  </si>
  <si>
    <t>adrCd00AB7C</t>
  </si>
  <si>
    <t>adrLp00AB8C</t>
  </si>
  <si>
    <t>adrCd00AB9C</t>
  </si>
  <si>
    <t>adrB_00ABA2</t>
  </si>
  <si>
    <t>adrEA00ABA6</t>
  </si>
  <si>
    <t>adrEA00ABF6</t>
  </si>
  <si>
    <t>adrEA00AC12</t>
  </si>
  <si>
    <t>adrEA00AC52</t>
  </si>
  <si>
    <t>adrEA00AC5E</t>
  </si>
  <si>
    <t>adrCd00AC6E</t>
  </si>
  <si>
    <t>adrCd00AC8C</t>
  </si>
  <si>
    <t>adrCd00AC9C</t>
  </si>
  <si>
    <t>adrCd00ACBC</t>
  </si>
  <si>
    <t>adrCd00ACCC</t>
  </si>
  <si>
    <t>adrCd00ACE4</t>
  </si>
  <si>
    <t>adrCd00AD08</t>
  </si>
  <si>
    <t>adrCd00AD0E</t>
  </si>
  <si>
    <t>adrCd00AD26</t>
  </si>
  <si>
    <t>adrCd00AD2E</t>
  </si>
  <si>
    <t>adrCd00AD34</t>
  </si>
  <si>
    <t>adrCd00AD42</t>
  </si>
  <si>
    <t>adrW_00AD64</t>
  </si>
  <si>
    <t>adrCd00AD66</t>
  </si>
  <si>
    <t>adrCd00AD6C</t>
  </si>
  <si>
    <t>adrCd00AD90</t>
  </si>
  <si>
    <t>adrLp00ADA4</t>
  </si>
  <si>
    <t>adrCd00ADBC</t>
  </si>
  <si>
    <t>adrCd00ADF2</t>
  </si>
  <si>
    <t>adrCd00ADF6</t>
  </si>
  <si>
    <t>adrCd00AE02</t>
  </si>
  <si>
    <t>adrCd00AE0A</t>
  </si>
  <si>
    <t>adrCd00AE14</t>
  </si>
  <si>
    <t>adrCd00AE58</t>
  </si>
  <si>
    <t>adrW_00AE5C</t>
  </si>
  <si>
    <t>adrCd00AE5E</t>
  </si>
  <si>
    <t>adrCd00AE66</t>
  </si>
  <si>
    <t>adrCd00AE6E</t>
  </si>
  <si>
    <t>adrLp00AE98</t>
  </si>
  <si>
    <t>adrLp00AEA2</t>
  </si>
  <si>
    <t>adrCd00AEB2</t>
  </si>
  <si>
    <t>adrCd00AEF4</t>
  </si>
  <si>
    <t>adrCd00AEF8</t>
  </si>
  <si>
    <t>adrCd00AF0E</t>
  </si>
  <si>
    <t>adrCd00AF1E</t>
  </si>
  <si>
    <t>adrLp00AF42</t>
  </si>
  <si>
    <t>adrLp00AF54</t>
  </si>
  <si>
    <t>adrCd00AFB2</t>
  </si>
  <si>
    <t>adrCd00AFB6</t>
  </si>
  <si>
    <t>adrCd00AFD0</t>
  </si>
  <si>
    <t>adrCd00AFF4</t>
  </si>
  <si>
    <t>adrCd00B00A</t>
  </si>
  <si>
    <t>adrCd00B01C</t>
  </si>
  <si>
    <t>adrCd00B02A</t>
  </si>
  <si>
    <t>adrCd00B036</t>
  </si>
  <si>
    <t>adrCd00B03C</t>
  </si>
  <si>
    <t>adrCd00B062</t>
  </si>
  <si>
    <t>adrEA00B064</t>
  </si>
  <si>
    <t>adrCd00B074</t>
  </si>
  <si>
    <t>adrCd00B08C</t>
  </si>
  <si>
    <t>adrCd00B0D4</t>
  </si>
  <si>
    <t>adrCd00B0EE</t>
  </si>
  <si>
    <t>adrCd00B122</t>
  </si>
  <si>
    <t>adrCd00B13C</t>
  </si>
  <si>
    <t>adrCd00B16C</t>
  </si>
  <si>
    <t>adrCd00B16E</t>
  </si>
  <si>
    <t>adrCd00B19A</t>
  </si>
  <si>
    <t>adrCd00B1A4</t>
  </si>
  <si>
    <t>adrCd00B1C4</t>
  </si>
  <si>
    <t>adrCd00B1C6</t>
  </si>
  <si>
    <t>adrCd00B1CC</t>
  </si>
  <si>
    <t>adrCd00B1D4</t>
  </si>
  <si>
    <t>adrCd00B1E0</t>
  </si>
  <si>
    <t>adrCd00B1EE</t>
  </si>
  <si>
    <t>adrEA00B204</t>
  </si>
  <si>
    <t>adrCd00B2A4</t>
  </si>
  <si>
    <t>adrB_00B2BA</t>
  </si>
  <si>
    <t>adrB_00B2D6</t>
  </si>
  <si>
    <t>adrCd00B2DE</t>
  </si>
  <si>
    <t>adrCd00B312</t>
  </si>
  <si>
    <t>adrCd00B340</t>
  </si>
  <si>
    <t>adrCd00B350</t>
  </si>
  <si>
    <t>adrCd00B370</t>
  </si>
  <si>
    <t>adrCd00B374</t>
  </si>
  <si>
    <t>adrCd00B384</t>
  </si>
  <si>
    <t>adrCd00B3B0</t>
  </si>
  <si>
    <t>adrCd00B3CC</t>
  </si>
  <si>
    <t>adrCd00B3CE</t>
  </si>
  <si>
    <t>adrCd00B3D8</t>
  </si>
  <si>
    <t>adrCd00B40E</t>
  </si>
  <si>
    <t>adrCd00B410</t>
  </si>
  <si>
    <t>adrCd00B42C</t>
  </si>
  <si>
    <t>adrCd00B42E</t>
  </si>
  <si>
    <t>adrB_00B43C</t>
  </si>
  <si>
    <t>adrCd00B458</t>
  </si>
  <si>
    <t>adrCd00B474</t>
  </si>
  <si>
    <t>adrCd00B486</t>
  </si>
  <si>
    <t>adrW_00B4BE</t>
  </si>
  <si>
    <t>adrEA00B4C0</t>
  </si>
  <si>
    <t>adrB_00B4C2</t>
  </si>
  <si>
    <t>adrEA00B4C4</t>
  </si>
  <si>
    <t>adrCd00B4E0</t>
  </si>
  <si>
    <t>adrCd00B4FA</t>
  </si>
  <si>
    <t>adrLp00B51A</t>
  </si>
  <si>
    <t>adrLp00B51C</t>
  </si>
  <si>
    <t>adrCd00B554</t>
  </si>
  <si>
    <t>adrB_00B558</t>
  </si>
  <si>
    <t>adrCd00B560</t>
  </si>
  <si>
    <t>adrLp00B570</t>
  </si>
  <si>
    <t>adrCd00B5CA</t>
  </si>
  <si>
    <t>adrLp00B5CC</t>
  </si>
  <si>
    <t>adrLp00B5D0</t>
  </si>
  <si>
    <t>adrCd00B5E6</t>
  </si>
  <si>
    <t>adrCd00B630</t>
  </si>
  <si>
    <t>adrCd00B632</t>
  </si>
  <si>
    <t>adrEA00B64A</t>
  </si>
  <si>
    <t>adrCd00B666</t>
  </si>
  <si>
    <t>adrCd00B680</t>
  </si>
  <si>
    <t>adrLp00B6A2</t>
  </si>
  <si>
    <t>adrLp00B6A4</t>
  </si>
  <si>
    <t>adrCd00B6EE</t>
  </si>
  <si>
    <t>adrB_00B6F2</t>
  </si>
  <si>
    <t>adrCd00B6FA</t>
  </si>
  <si>
    <t>adrLp00B70A</t>
  </si>
  <si>
    <t>adrLp00B76E</t>
  </si>
  <si>
    <t>adrLp00B772</t>
  </si>
  <si>
    <t>adrCd00B792</t>
  </si>
  <si>
    <t>adrCd00B7DC</t>
  </si>
  <si>
    <t>adrCd00B7DE</t>
  </si>
  <si>
    <t>adrCd00B7F4</t>
  </si>
  <si>
    <t>adrLp00B80C</t>
  </si>
  <si>
    <t>adrLp00B80E</t>
  </si>
  <si>
    <t>adrCd00B82A</t>
  </si>
  <si>
    <t>adrLp00B82E</t>
  </si>
  <si>
    <t>adrCd00B864</t>
  </si>
  <si>
    <t>adrLp00B87E</t>
  </si>
  <si>
    <t>adrLp00B880</t>
  </si>
  <si>
    <t>adrEA00B8AE</t>
  </si>
  <si>
    <t>adrEA00B98E</t>
  </si>
  <si>
    <t>adrEA00B9DA</t>
  </si>
  <si>
    <t>adrEA00B9DE</t>
  </si>
  <si>
    <t>adrEA00B9F2</t>
  </si>
  <si>
    <t>adrCd00C01E</t>
  </si>
  <si>
    <t>adrCd00C032</t>
  </si>
  <si>
    <t>adrCd00C060</t>
  </si>
  <si>
    <t>adrCd00C09C</t>
  </si>
  <si>
    <t>adrCd00C0AE</t>
  </si>
  <si>
    <t>adrCd00C0BA</t>
  </si>
  <si>
    <t>adrCd00C0D4</t>
  </si>
  <si>
    <t>adrCd00C0FA</t>
  </si>
  <si>
    <t>ChampionSelection_Main</t>
  </si>
  <si>
    <t>adrCd00C168</t>
  </si>
  <si>
    <t>adrCd00C190</t>
  </si>
  <si>
    <t>adrCd00C1C6</t>
  </si>
  <si>
    <t>adrJA00C1F4</t>
  </si>
  <si>
    <t>ExitOrLoop</t>
  </si>
  <si>
    <t>adrCd00C1F6</t>
  </si>
  <si>
    <t>adrCd00C232</t>
  </si>
  <si>
    <t>adrCd00C24E</t>
  </si>
  <si>
    <t>adrCd00C252</t>
  </si>
  <si>
    <t>adrJB00C262</t>
  </si>
  <si>
    <t>adrJT00C266</t>
  </si>
  <si>
    <t>ChampionPreviews_LookupTable</t>
  </si>
  <si>
    <t>adrJA00C286</t>
  </si>
  <si>
    <t>Click_PreviewSpell</t>
  </si>
  <si>
    <t>adrCd00C298</t>
  </si>
  <si>
    <t>adrCd00C2AC</t>
  </si>
  <si>
    <t>adrCd00C2D4</t>
  </si>
  <si>
    <t>adrCd00C2E0</t>
  </si>
  <si>
    <t>adrCd00C2E8</t>
  </si>
  <si>
    <t>adrJA00C2EA</t>
  </si>
  <si>
    <t>Click_TurnSpellBookPage</t>
  </si>
  <si>
    <t>adrCd00C30C</t>
  </si>
  <si>
    <t>adrCd00C31A</t>
  </si>
  <si>
    <t>adrCd00C322</t>
  </si>
  <si>
    <t>adrCd00C338</t>
  </si>
  <si>
    <t>adrLp00C380</t>
  </si>
  <si>
    <t>adrCd00C39C</t>
  </si>
  <si>
    <t>adrCd00C3A6</t>
  </si>
  <si>
    <t>adrLp00C3C8</t>
  </si>
  <si>
    <t>adrCd00C3DE</t>
  </si>
  <si>
    <t>adrCd00C434</t>
  </si>
  <si>
    <t>adrJA00C436</t>
  </si>
  <si>
    <t>Click_SwitchView</t>
  </si>
  <si>
    <t>adrCd00C43E</t>
  </si>
  <si>
    <t>adrCd00C482</t>
  </si>
  <si>
    <t>adrJT00C484</t>
  </si>
  <si>
    <t>adrJA00C490</t>
  </si>
  <si>
    <t>Click_SelectChampion</t>
  </si>
  <si>
    <t>adrCd00C4BA</t>
  </si>
  <si>
    <t>adrCd00C4E0</t>
  </si>
  <si>
    <t>adrCd00C512</t>
  </si>
  <si>
    <t>adrW_00C514</t>
  </si>
  <si>
    <t>adrJA00C516</t>
  </si>
  <si>
    <t>Click_ViewObject</t>
  </si>
  <si>
    <t>adrJA00C53C</t>
  </si>
  <si>
    <t>Click_SelectionAvatar</t>
  </si>
  <si>
    <t>adrCd00C590</t>
  </si>
  <si>
    <t>adrCd00C5A4</t>
  </si>
  <si>
    <t>adrCd00C5B6</t>
  </si>
  <si>
    <t>adrCd00C5B8</t>
  </si>
  <si>
    <t>adrCd00C5C6</t>
  </si>
  <si>
    <t>adrCd00C5F4</t>
  </si>
  <si>
    <t>adrCd00C61E</t>
  </si>
  <si>
    <t>adrCd00C622</t>
  </si>
  <si>
    <t>adrCd00C64C</t>
  </si>
  <si>
    <t>adrCd00C650</t>
  </si>
  <si>
    <t>adrCd00C684</t>
  </si>
  <si>
    <t>adrCd00C69C</t>
  </si>
  <si>
    <t>adrCd00C6D8</t>
  </si>
  <si>
    <t>adrCd00C6F2</t>
  </si>
  <si>
    <t>adrCd00C708</t>
  </si>
  <si>
    <t>adrCd00C70C</t>
  </si>
  <si>
    <t>adrCd00C714</t>
  </si>
  <si>
    <t>adrCd00C744</t>
  </si>
  <si>
    <t>adrCd00C748</t>
  </si>
  <si>
    <t>adrCd00C74C</t>
  </si>
  <si>
    <t>adrCd00C754</t>
  </si>
  <si>
    <t>adrCd00C760</t>
  </si>
  <si>
    <t>adrCd00C774</t>
  </si>
  <si>
    <t>adrCd00C780</t>
  </si>
  <si>
    <t>adrCd00C7B6</t>
  </si>
  <si>
    <t>adrCd00C7C2</t>
  </si>
  <si>
    <t>adrCd00C7C4</t>
  </si>
  <si>
    <t>adrCd00C7C8</t>
  </si>
  <si>
    <t>adrCd00C7FC</t>
  </si>
  <si>
    <t>adrCd00C812</t>
  </si>
  <si>
    <t>adrCd00C820</t>
  </si>
  <si>
    <t>adrJA00C852</t>
  </si>
  <si>
    <t>adrCd00C85E</t>
  </si>
  <si>
    <t>adrCd00C86A</t>
  </si>
  <si>
    <t>adrCd00C8AA</t>
  </si>
  <si>
    <t>adrLp00C8B4</t>
  </si>
  <si>
    <t>adrCd00C8D6</t>
  </si>
  <si>
    <t>adrLp00C8DE</t>
  </si>
  <si>
    <t>adrLp00C8F2</t>
  </si>
  <si>
    <t>adrCd00C906</t>
  </si>
  <si>
    <t>adrCd00C932</t>
  </si>
  <si>
    <t>adrB_00C934</t>
  </si>
  <si>
    <t>adrJA00C938</t>
  </si>
  <si>
    <t>adrCd00C984</t>
  </si>
  <si>
    <t>adrCd00C9A0</t>
  </si>
  <si>
    <t>adrCd00C9BC</t>
  </si>
  <si>
    <t>adrCd00C9DC</t>
  </si>
  <si>
    <t>adrCd00CA14</t>
  </si>
  <si>
    <t>adrCd00CA2E</t>
  </si>
  <si>
    <t>adrCd00CA32</t>
  </si>
  <si>
    <t>adrCd00CA38</t>
  </si>
  <si>
    <t>adrCd00CA4A</t>
  </si>
  <si>
    <t>adrCd00CA4C</t>
  </si>
  <si>
    <t>adrCd00CA58</t>
  </si>
  <si>
    <t>adrCd00CA66</t>
  </si>
  <si>
    <t>ObjectGraphic</t>
  </si>
  <si>
    <t>adrCd00CA92</t>
  </si>
  <si>
    <t>.SkipRings</t>
  </si>
  <si>
    <t>adrCd00CAA6</t>
  </si>
  <si>
    <t>NumberedObject</t>
  </si>
  <si>
    <t>adrCd00CACC</t>
  </si>
  <si>
    <t>adrEA00CAE6</t>
  </si>
  <si>
    <t>NullString</t>
  </si>
  <si>
    <t>adrCd00CAEA</t>
  </si>
  <si>
    <t>adrCd00CAFA</t>
  </si>
  <si>
    <t>adrCd00CB0A</t>
  </si>
  <si>
    <t>adrCd00CB1C</t>
  </si>
  <si>
    <t>adrJA00CB28</t>
  </si>
  <si>
    <t>adrCd00CB2A</t>
  </si>
  <si>
    <t>adrLp00CB4E</t>
  </si>
  <si>
    <t>adrCd00CB7E</t>
  </si>
  <si>
    <t>adrCd00CBB0</t>
  </si>
  <si>
    <t>adrEA00CBC4</t>
  </si>
  <si>
    <t>adrEA00CBD2</t>
  </si>
  <si>
    <t>adrCd00CC3A</t>
  </si>
  <si>
    <t>adrCd00CCB8</t>
  </si>
  <si>
    <t>adrCd00CCBE</t>
  </si>
  <si>
    <t>adrCd00CCD8</t>
  </si>
  <si>
    <t>adrCd00CCFE</t>
  </si>
  <si>
    <t>adrCd00CD12</t>
  </si>
  <si>
    <t>adrB_00CD14</t>
  </si>
  <si>
    <t>adrCd00CD1C</t>
  </si>
  <si>
    <t>adrCd00CD4A</t>
  </si>
  <si>
    <t>adrCd00CD78</t>
  </si>
  <si>
    <t>adrCd00CD8C</t>
  </si>
  <si>
    <t>ChampionSelection</t>
  </si>
  <si>
    <t>adrLp00CD8E</t>
  </si>
  <si>
    <t>.ChampionSelection_Loop</t>
  </si>
  <si>
    <t>adrCd00CD94</t>
  </si>
  <si>
    <t>ExitAvatarDrawing</t>
  </si>
  <si>
    <t>Draw_Select_Avatars</t>
  </si>
  <si>
    <t>adrCd00CDA0</t>
  </si>
  <si>
    <t>Draw_ShieldAvatar</t>
  </si>
  <si>
    <t>adrCd00CDBC</t>
  </si>
  <si>
    <t>adrCd00CE26</t>
  </si>
  <si>
    <t>adrCd00CE28</t>
  </si>
  <si>
    <t>adrLp00CE2A</t>
  </si>
  <si>
    <t>adrLp00CE2E</t>
  </si>
  <si>
    <t>adrCd00CE3E</t>
  </si>
  <si>
    <t>adrCd00CE86</t>
  </si>
  <si>
    <t>adrB_00CEBC</t>
  </si>
  <si>
    <t>adrCd00CEC4</t>
  </si>
  <si>
    <t>adrCd00CEEA</t>
  </si>
  <si>
    <t>adrCd00CEF4</t>
  </si>
  <si>
    <t>adrCd00CF02</t>
  </si>
  <si>
    <t>adrCd00CF08</t>
  </si>
  <si>
    <t>adrCd00CF4E</t>
  </si>
  <si>
    <t>adrCd00CF96</t>
  </si>
  <si>
    <t>LowerText</t>
  </si>
  <si>
    <t>adrCd00CFBC</t>
  </si>
  <si>
    <t>adrLp00CFDA</t>
  </si>
  <si>
    <t>adrCd00CFE6</t>
  </si>
  <si>
    <t>adrCd00CFF0</t>
  </si>
  <si>
    <t>adrCd00D008</t>
  </si>
  <si>
    <t>TerminateText</t>
  </si>
  <si>
    <t>adrLp00D00C</t>
  </si>
  <si>
    <t>adrCd00D016</t>
  </si>
  <si>
    <t>adrCd00D018</t>
  </si>
  <si>
    <t>adrCd00D01A</t>
  </si>
  <si>
    <t>Ask_CC96</t>
  </si>
  <si>
    <t>WriteMessage</t>
  </si>
  <si>
    <t>adrCd00D042</t>
  </si>
  <si>
    <t>adrCd00D064</t>
  </si>
  <si>
    <t>.continuedcode_001</t>
  </si>
  <si>
    <t>adrCd00D07C</t>
  </si>
  <si>
    <t>adrCd00D088</t>
  </si>
  <si>
    <t>WriteTimedText</t>
  </si>
  <si>
    <t>WriteText</t>
  </si>
  <si>
    <t>adrCd00D090</t>
  </si>
  <si>
    <t>WriteFText</t>
  </si>
  <si>
    <t>adrCd00D09A</t>
  </si>
  <si>
    <t>InitialiseText</t>
  </si>
  <si>
    <t>adrCd00D0C6</t>
  </si>
  <si>
    <t>Print_fflim_text</t>
  </si>
  <si>
    <t>adrCd00D0D0</t>
  </si>
  <si>
    <t>.continuedcode_002</t>
  </si>
  <si>
    <t>adrCd00D0D6</t>
  </si>
  <si>
    <t>Exec_char_extensions</t>
  </si>
  <si>
    <t>adrCd00D0FA</t>
  </si>
  <si>
    <t>.SetTextColour</t>
  </si>
  <si>
    <t>adrCd00D102</t>
  </si>
  <si>
    <t>.SetBackgroundTextColour</t>
  </si>
  <si>
    <t>adrCd00D10A</t>
  </si>
  <si>
    <t>.SetXYPosition</t>
  </si>
  <si>
    <t>adrCd00D128</t>
  </si>
  <si>
    <t>.Exit</t>
  </si>
  <si>
    <t>adrCd00D12A</t>
  </si>
  <si>
    <t>.Call_F0_Function</t>
  </si>
  <si>
    <t>CopyProtection</t>
  </si>
  <si>
    <t>adrEA00D186</t>
  </si>
  <si>
    <t>adrEA00D1F0</t>
  </si>
  <si>
    <t>adrL_00D1F8</t>
  </si>
  <si>
    <t>adrCd00D1FC</t>
  </si>
  <si>
    <t>adrEA00D2D2</t>
  </si>
  <si>
    <t>adrCd00D2EA</t>
  </si>
  <si>
    <t>adrEA00D30C</t>
  </si>
  <si>
    <t>adrCd00D31E</t>
  </si>
  <si>
    <t>adrCd00D322</t>
  </si>
  <si>
    <t>adrCd00D332</t>
  </si>
  <si>
    <t>adrCd00D51E</t>
  </si>
  <si>
    <t>adrCd00D53C</t>
  </si>
  <si>
    <t>adrLp00D54C</t>
  </si>
  <si>
    <t>adrLp00D55E</t>
  </si>
  <si>
    <t>adrCd00D56A</t>
  </si>
  <si>
    <t>adrCd00D59A</t>
  </si>
  <si>
    <t>adrEA00D740</t>
  </si>
  <si>
    <t>adrCd00D74C</t>
  </si>
  <si>
    <t>Print_com_menu_entry</t>
  </si>
  <si>
    <t>adrCd00D772</t>
  </si>
  <si>
    <t>.continuedcode_005</t>
  </si>
  <si>
    <t>adrCd00D780</t>
  </si>
  <si>
    <t>adrCd00D788</t>
  </si>
  <si>
    <t>adrCd00D7C6</t>
  </si>
  <si>
    <t>adrCd00D7CC</t>
  </si>
  <si>
    <t>Proceed_in_stringtable</t>
  </si>
  <si>
    <t>adrLp00D7D2</t>
  </si>
  <si>
    <t>.continuedcode_006</t>
  </si>
  <si>
    <t>adrCd00D7DA</t>
  </si>
  <si>
    <t>Print_LineEnd</t>
  </si>
  <si>
    <t>adrCd00D7DC</t>
  </si>
  <si>
    <t>Print_item_name</t>
  </si>
  <si>
    <t>adrCd00D7E2</t>
  </si>
  <si>
    <t>Print_word</t>
  </si>
  <si>
    <t>adrCd00D7E6</t>
  </si>
  <si>
    <t>Print_wordstext</t>
  </si>
  <si>
    <t>adrCd00D7E8</t>
  </si>
  <si>
    <t>Print_nchars</t>
  </si>
  <si>
    <t>adrLp00D7EC</t>
  </si>
  <si>
    <t>.continuedcode_007</t>
  </si>
  <si>
    <t>adrCd00D7F8</t>
  </si>
  <si>
    <t>InventoryItem_Description</t>
  </si>
  <si>
    <t>adrCd00D7FE</t>
  </si>
  <si>
    <t>Print_item_desc_fresh</t>
  </si>
  <si>
    <t>adrCd00D802</t>
  </si>
  <si>
    <t>Print_item_desc</t>
  </si>
  <si>
    <t>adrCd00D814</t>
  </si>
  <si>
    <t>.continuedcode_008</t>
  </si>
  <si>
    <t>adrCd00D81C</t>
  </si>
  <si>
    <t>Print_npc_message</t>
  </si>
  <si>
    <t>adrCd00D824</t>
  </si>
  <si>
    <t>.continuedcode_009</t>
  </si>
  <si>
    <t>adrCd00D846</t>
  </si>
  <si>
    <t>adrCd00D85E</t>
  </si>
  <si>
    <t>adrCd00D86A</t>
  </si>
  <si>
    <t>Print_timed_message</t>
  </si>
  <si>
    <t>adrCd00D870</t>
  </si>
  <si>
    <t>Print_fix_message</t>
  </si>
  <si>
    <t>adrCd00D872</t>
  </si>
  <si>
    <t>Print_message</t>
  </si>
  <si>
    <t>adrCd00D87A</t>
  </si>
  <si>
    <t>Print_NewLine</t>
  </si>
  <si>
    <t>adrCd00D886</t>
  </si>
  <si>
    <t>adrCd00D894</t>
  </si>
  <si>
    <t>adrCd00D8B2</t>
  </si>
  <si>
    <t>Print_FB_Function</t>
  </si>
  <si>
    <t>adrCd00D8B8</t>
  </si>
  <si>
    <t>adrCd00D8C0</t>
  </si>
  <si>
    <t>adrLp00D8D6</t>
  </si>
  <si>
    <t>adrCd00D8E8</t>
  </si>
  <si>
    <t>adrLp00D8F4</t>
  </si>
  <si>
    <t>adrCd00D8FE</t>
  </si>
  <si>
    <t>adrCd00D90C</t>
  </si>
  <si>
    <t>adrW_00D92A</t>
  </si>
  <si>
    <t>adrB_00D92B</t>
  </si>
  <si>
    <t>adrW_00D92C</t>
  </si>
  <si>
    <t>adrB_00D92D</t>
  </si>
  <si>
    <t>adrCd00D92E</t>
  </si>
  <si>
    <t>Draw_woundflash_digit</t>
  </si>
  <si>
    <t>adrLp00D946</t>
  </si>
  <si>
    <t>.continuedcode_011</t>
  </si>
  <si>
    <t>adrEA00D988</t>
  </si>
  <si>
    <t>Data_Woundflash</t>
  </si>
  <si>
    <t>BW_Blitchar</t>
  </si>
  <si>
    <t>adrLp00D9E0</t>
  </si>
  <si>
    <t>BW_blitchar_data</t>
  </si>
  <si>
    <t>BW_draw_bar</t>
  </si>
  <si>
    <t>.drawbar_loop</t>
  </si>
  <si>
    <t>BW_cs_draw_frame</t>
  </si>
  <si>
    <t>BW_draw_frame</t>
  </si>
  <si>
    <t>BW_blit_vertical</t>
  </si>
  <si>
    <t>BW_blit_vertical_line</t>
  </si>
  <si>
    <t>.vertical_loop</t>
  </si>
  <si>
    <t>hline_data</t>
  </si>
  <si>
    <t>BW_blit_horiz_line</t>
  </si>
  <si>
    <t>adrCd00DBDC</t>
  </si>
  <si>
    <t>.horiz_loop</t>
  </si>
  <si>
    <t>adrCd00DBFE</t>
  </si>
  <si>
    <t>adrCd00DC14</t>
  </si>
  <si>
    <t>adrLp00DC22</t>
  </si>
  <si>
    <t>adrLp00DC28</t>
  </si>
  <si>
    <t>adrCd00DC3E</t>
  </si>
  <si>
    <t>adrCd00DC4E</t>
  </si>
  <si>
    <t>BW_xy_to_offset</t>
  </si>
  <si>
    <t>WordsText</t>
  </si>
  <si>
    <t>adrEA00E21E</t>
  </si>
  <si>
    <t>SelectChampsMsg</t>
  </si>
  <si>
    <t>SelectThyChampMsg</t>
  </si>
  <si>
    <t>adrEA00E4C2</t>
  </si>
  <si>
    <t>adrEA00E4C3</t>
  </si>
  <si>
    <t>adrEA00E4C4</t>
  </si>
  <si>
    <t>adrEA00E67A</t>
  </si>
  <si>
    <t>adrEA00E6E8</t>
  </si>
  <si>
    <t>adrEA00E770</t>
  </si>
  <si>
    <t>adrEA00E7DE</t>
  </si>
  <si>
    <t>adrEA00E88A</t>
  </si>
  <si>
    <t>adrEA00E998</t>
  </si>
  <si>
    <t>adrEA00E9A8</t>
  </si>
  <si>
    <t>BeginGameScroll</t>
  </si>
  <si>
    <t>adrEA00E9E8</t>
  </si>
  <si>
    <t>adrEA00EA00</t>
  </si>
  <si>
    <t>adrEA00EA14</t>
  </si>
  <si>
    <t>adrEA00EA25</t>
  </si>
  <si>
    <t>adrEA00EA36</t>
  </si>
  <si>
    <t>adrEA00EA4C</t>
  </si>
  <si>
    <t>adrEA00EA62</t>
  </si>
  <si>
    <t>adrEA00EA72</t>
  </si>
  <si>
    <t>adrEA00EAFA</t>
  </si>
  <si>
    <t>CharacterStats</t>
  </si>
  <si>
    <t>CharacterHitPoints</t>
  </si>
  <si>
    <t>CharacterSpellWorn</t>
  </si>
  <si>
    <t>adrEA00EBAA</t>
  </si>
  <si>
    <t>PocketContents</t>
  </si>
  <si>
    <t>ArmourWorn</t>
  </si>
  <si>
    <t>adrW_00EE2A</t>
  </si>
  <si>
    <t>adrB_00EE2C</t>
  </si>
  <si>
    <t>adrB_00EE2D</t>
  </si>
  <si>
    <t>CurrentTower</t>
  </si>
  <si>
    <t>adrB_00EE2F</t>
  </si>
  <si>
    <t>MultiPlayer</t>
  </si>
  <si>
    <t>adrEA00EE32</t>
  </si>
  <si>
    <t>RingUses</t>
  </si>
  <si>
    <t>adrEA00EE36</t>
  </si>
  <si>
    <t>adrW_00EE38</t>
  </si>
  <si>
    <t>adrB_00EE3C</t>
  </si>
  <si>
    <t>adrB_00EE3D</t>
  </si>
  <si>
    <t>adrB_00EE3E</t>
  </si>
  <si>
    <t>adrB_00EE3F</t>
  </si>
  <si>
    <t>adrEA00EE40</t>
  </si>
  <si>
    <t>adrEA00EE50</t>
  </si>
  <si>
    <t>adrEA00EE60</t>
  </si>
  <si>
    <t>adrW_00EE70</t>
  </si>
  <si>
    <t>adrB_00EE71</t>
  </si>
  <si>
    <t>adrW_00EE72</t>
  </si>
  <si>
    <t>adrB_00EE73</t>
  </si>
  <si>
    <t>adrW_00EE76</t>
  </si>
  <si>
    <t>adrL_00EE78</t>
  </si>
  <si>
    <t>Player1_Data</t>
  </si>
  <si>
    <t>adrB_00EE7D</t>
  </si>
  <si>
    <t>adrL_00EE7E</t>
  </si>
  <si>
    <t>adrW_00EE82</t>
  </si>
  <si>
    <t>adrB_00EE83</t>
  </si>
  <si>
    <t>adrW_00EE84</t>
  </si>
  <si>
    <t>adrW_00EE86</t>
  </si>
  <si>
    <t>adrL_00EE94</t>
  </si>
  <si>
    <t>adrL_00EE98</t>
  </si>
  <si>
    <t>adrW_00EE9E</t>
  </si>
  <si>
    <t>adrL_00EEA2</t>
  </si>
  <si>
    <t>adrB_00EEB1</t>
  </si>
  <si>
    <t>adrW_00EEB6</t>
  </si>
  <si>
    <t>adrW_00EEC6</t>
  </si>
  <si>
    <t>adrW_00EEC8</t>
  </si>
  <si>
    <t>adrB_00EECE</t>
  </si>
  <si>
    <t>adrB_00EED2</t>
  </si>
  <si>
    <t>adrB_00EED5</t>
  </si>
  <si>
    <t>adrL_00EED6</t>
  </si>
  <si>
    <t>Player2_Data</t>
  </si>
  <si>
    <t>adrB_00EEDF</t>
  </si>
  <si>
    <t>adrL_00EEE0</t>
  </si>
  <si>
    <t>adrW_00EEE4</t>
  </si>
  <si>
    <t>adrB_00EEE5</t>
  </si>
  <si>
    <t>adrW_00EEF2</t>
  </si>
  <si>
    <t>adrL_00EEF6</t>
  </si>
  <si>
    <t>adrL_00EEFA</t>
  </si>
  <si>
    <t>adrW_00EF00</t>
  </si>
  <si>
    <t>adrL_00EF04</t>
  </si>
  <si>
    <t>adrB_00EF13</t>
  </si>
  <si>
    <t>adrW_00EF18</t>
  </si>
  <si>
    <t>adrB_00EF34</t>
  </si>
  <si>
    <t>adrB_00EF37</t>
  </si>
  <si>
    <t>adrL_00EF38</t>
  </si>
  <si>
    <t>MapData1</t>
  </si>
  <si>
    <t>ObjectData_1</t>
  </si>
  <si>
    <t>adrL_01000A</t>
  </si>
  <si>
    <t>adrL_010040</t>
  </si>
  <si>
    <t>MapData2</t>
  </si>
  <si>
    <t>ObjectData_2</t>
  </si>
  <si>
    <t>ObjectData_3</t>
  </si>
  <si>
    <t>MapData4</t>
  </si>
  <si>
    <t>ObjectData_4</t>
  </si>
  <si>
    <t>MapData5</t>
  </si>
  <si>
    <t>ObjectData_5</t>
  </si>
  <si>
    <t>MapData6</t>
  </si>
  <si>
    <t>ObjectData_6</t>
  </si>
  <si>
    <t>adrEA01674C</t>
  </si>
  <si>
    <t>adrEA0167CC</t>
  </si>
  <si>
    <t>adrEA01684C</t>
  </si>
  <si>
    <t>adrEA01694C</t>
  </si>
  <si>
    <t>BigMonsterList</t>
  </si>
  <si>
    <t>adrEA016B4C</t>
  </si>
  <si>
    <t>adrEA016B6C</t>
  </si>
  <si>
    <t>UnpackedMonsters</t>
  </si>
  <si>
    <t>adrEA01737E</t>
  </si>
  <si>
    <t>adrW_01738E</t>
  </si>
  <si>
    <t>adrEA017390</t>
  </si>
  <si>
    <t>adrW_0173F4</t>
  </si>
  <si>
    <t>adrEA0173F6</t>
  </si>
  <si>
    <t>adrEA0174F8</t>
  </si>
  <si>
    <t>MonsterTotalsCounts</t>
  </si>
  <si>
    <t>TheMonsterBlock</t>
  </si>
  <si>
    <t>adrL_0186A0</t>
  </si>
  <si>
    <t>SpellRunesMsg_1</t>
  </si>
  <si>
    <t>SpellBookRunes</t>
  </si>
  <si>
    <t>SpellRunesMsg_2</t>
  </si>
  <si>
    <t>adrEA018804</t>
  </si>
  <si>
    <t>adrEA018934</t>
  </si>
  <si>
    <t>adrEA01893C</t>
  </si>
  <si>
    <t>adrEA018944</t>
  </si>
  <si>
    <t>adrEA018A74</t>
  </si>
  <si>
    <t>adrEA018A7C</t>
  </si>
  <si>
    <t>adrEA018A84</t>
  </si>
  <si>
    <t>GamerFont</t>
  </si>
  <si>
    <t>adrEA018EFE</t>
  </si>
  <si>
    <t>adrEA0191BE</t>
  </si>
  <si>
    <t>adrEA01948E</t>
  </si>
  <si>
    <t>adrEA01975E</t>
  </si>
  <si>
    <t>adrEA01992E</t>
  </si>
  <si>
    <t>adrEA019BFE</t>
  </si>
  <si>
    <t>SpellNamesMsg</t>
  </si>
  <si>
    <t>SpellNames</t>
  </si>
  <si>
    <t>WearWithPrideMsg</t>
  </si>
  <si>
    <t>SpellDescriptions</t>
  </si>
  <si>
    <t>ScrollOffsets</t>
  </si>
  <si>
    <t>ScrollTexts</t>
  </si>
  <si>
    <t>adrEA01B050</t>
  </si>
  <si>
    <t>adrEA01F980</t>
  </si>
  <si>
    <t>adrEA0242B0</t>
  </si>
  <si>
    <t>adrEA025490</t>
  </si>
  <si>
    <t>adrEA025CD8</t>
  </si>
  <si>
    <t>adrEA026CA8</t>
  </si>
  <si>
    <t>adrEA0284E8</t>
  </si>
  <si>
    <t>adrEA0287A0</t>
  </si>
  <si>
    <t>adrEA028C28</t>
  </si>
  <si>
    <t>adrEA0296A0</t>
  </si>
  <si>
    <t>adrEA02AB38</t>
  </si>
  <si>
    <t>adrEA02C9E0</t>
  </si>
  <si>
    <t>adrEA02D660</t>
  </si>
  <si>
    <t>adrEA02F1C8</t>
  </si>
  <si>
    <t>adrEA030650</t>
  </si>
  <si>
    <t>adrEA031AD8</t>
  </si>
  <si>
    <t>adrEA031D20</t>
  </si>
  <si>
    <t>adrEA031F68</t>
  </si>
  <si>
    <t>GFX_FloorCeiling</t>
  </si>
  <si>
    <t>GFX_ObjectsOnFloor</t>
  </si>
  <si>
    <t>GFX_FireBall</t>
  </si>
  <si>
    <t>GFX_AirbourneSpells</t>
  </si>
  <si>
    <t>CharacterColours</t>
  </si>
  <si>
    <t>adrEA0351D8</t>
  </si>
  <si>
    <t>_GFX_HeadParts</t>
  </si>
  <si>
    <t>GFX_Bodies</t>
  </si>
  <si>
    <t>adrL_04080C</t>
  </si>
  <si>
    <t>_GFX_Avatars</t>
  </si>
  <si>
    <t>_GFX_ShieldAvatars</t>
  </si>
  <si>
    <t>_GFX_ShieldTop</t>
  </si>
  <si>
    <t>_GFX_ShieldBottom</t>
  </si>
  <si>
    <t>_GFX_ShieldClasses</t>
  </si>
  <si>
    <t>_GFX_Fairy</t>
  </si>
  <si>
    <t>_GFX_Summon</t>
  </si>
  <si>
    <t>_GFX_Behemoth</t>
  </si>
  <si>
    <t>_GFX_Crab</t>
  </si>
  <si>
    <t>_GFX_CrabClaw</t>
  </si>
  <si>
    <t>_GFX_Dragon</t>
  </si>
  <si>
    <t>_GFX_Entropy</t>
  </si>
  <si>
    <t>_GFX_Pockets</t>
  </si>
  <si>
    <t>adrEA050302</t>
  </si>
  <si>
    <t>adrEA050332</t>
  </si>
  <si>
    <t>adrEA050362</t>
  </si>
  <si>
    <t>adrEA050802</t>
  </si>
  <si>
    <t>adrEA050832</t>
  </si>
  <si>
    <t>adrEA051772</t>
  </si>
  <si>
    <t>adrEA052C02</t>
  </si>
  <si>
    <t>adrEA052C0A</t>
  </si>
  <si>
    <t>adrEA052EC2</t>
  </si>
  <si>
    <t>adrEA052EE2</t>
  </si>
  <si>
    <t>adrEA053162</t>
  </si>
  <si>
    <t>adrEA053C82</t>
  </si>
  <si>
    <t>adrEA053D8A</t>
  </si>
  <si>
    <t>AudioSample_1</t>
  </si>
  <si>
    <t>AudioSample_2</t>
  </si>
  <si>
    <t>AudioSample_3</t>
  </si>
  <si>
    <t>AudioSample_4</t>
  </si>
  <si>
    <t>AudioSample_5</t>
  </si>
  <si>
    <t>adrEA058828</t>
  </si>
  <si>
    <t>ReserveSpace_1</t>
  </si>
  <si>
    <t>adrEA058C10</t>
  </si>
  <si>
    <t>ReserveSpace_2</t>
  </si>
  <si>
    <t>Comms_Champion_TBC</t>
  </si>
  <si>
    <t>$5874</t>
  </si>
  <si>
    <t>$58B4</t>
  </si>
  <si>
    <t>$58F4</t>
  </si>
  <si>
    <t>$5934</t>
  </si>
  <si>
    <t>Main_Slots.colours</t>
  </si>
  <si>
    <t>Main_Sign.colours</t>
  </si>
  <si>
    <t>_Offset_map_0x0A</t>
  </si>
  <si>
    <t>_Offset_map_0x40</t>
  </si>
  <si>
    <t>MapData3</t>
  </si>
  <si>
    <t>MonsterColours_Summons</t>
  </si>
  <si>
    <t>dragon.colours</t>
  </si>
  <si>
    <t>summon.colours</t>
  </si>
  <si>
    <t>behemoth.colours</t>
  </si>
  <si>
    <t>_GFX_Beholder_1</t>
  </si>
  <si>
    <t>_GFX_Beholder_2</t>
  </si>
  <si>
    <t>_GFX_Beholder_3</t>
  </si>
  <si>
    <t>_GFX_Beholder_4</t>
  </si>
  <si>
    <t>_GFX_Beholder_5</t>
  </si>
  <si>
    <t>_GFX_Beholder_6</t>
  </si>
  <si>
    <t>_GFX_Beholder_7</t>
  </si>
  <si>
    <t>_GFX_Beholder_8</t>
  </si>
  <si>
    <t>_GFX_Beholder_9</t>
  </si>
  <si>
    <t>_GFX_Beholder_0</t>
  </si>
  <si>
    <t>_Offset_CharacterColours_0x10</t>
  </si>
  <si>
    <t>_Offset_AudioSampleOffsets_0x2</t>
  </si>
  <si>
    <t>GameEndSequence</t>
  </si>
  <si>
    <t>MainWall_Action_02_WallDecoration</t>
  </si>
  <si>
    <t>MainWall_Action_01_Shelf</t>
  </si>
  <si>
    <t>MainWall_Action_02_Scrolls</t>
  </si>
  <si>
    <t>MainWall_Action_03_Switches</t>
  </si>
  <si>
    <t>MainWall_Action_04_Sockets</t>
  </si>
  <si>
    <t>Sockets_Actions</t>
  </si>
  <si>
    <t>Socket_ClickExit</t>
  </si>
  <si>
    <t>GFX_Pockets</t>
  </si>
  <si>
    <t>GFX_HeadParts</t>
  </si>
  <si>
    <t>GFX_Fairy</t>
  </si>
  <si>
    <t>GFX_Behemoth</t>
  </si>
  <si>
    <t>GFX_Crab</t>
  </si>
  <si>
    <t>GFX_CrabClaw</t>
  </si>
  <si>
    <t>GFX_Summon</t>
  </si>
  <si>
    <t>GFX_Dragon</t>
  </si>
  <si>
    <t>GFX_Entropy</t>
  </si>
  <si>
    <t>SFX_AudioSample_1</t>
  </si>
  <si>
    <t>SFX_AudioSample_2</t>
  </si>
  <si>
    <t>SFX_AudioSample_3</t>
  </si>
  <si>
    <t>SFX_AudioSample_4</t>
  </si>
  <si>
    <t>SFX_AudioSample_5</t>
  </si>
  <si>
    <t>AudioSample_1b</t>
  </si>
  <si>
    <t>AudioSample_1c</t>
  </si>
  <si>
    <t>_delete</t>
  </si>
  <si>
    <t>AudioSample_1d</t>
  </si>
  <si>
    <t>AudioSample_2b</t>
  </si>
  <si>
    <t>Avatars_Large.gfx</t>
  </si>
  <si>
    <t>gfx-data</t>
  </si>
  <si>
    <t>code-label</t>
  </si>
  <si>
    <t>GFX_MainWalls</t>
  </si>
  <si>
    <t>GFX_WoodDoors</t>
  </si>
  <si>
    <t>GFX_Shield_Classes</t>
  </si>
  <si>
    <t>GFX_Shield_Bottom</t>
  </si>
  <si>
    <t>GFX_Shield_Top</t>
  </si>
  <si>
    <t>GFX_Avatars_Small</t>
  </si>
  <si>
    <t>GFX_Avatars_Large</t>
  </si>
  <si>
    <t>GFX_BodyParts</t>
  </si>
  <si>
    <t>GFX_Shelf</t>
  </si>
  <si>
    <t>GFX_Sign</t>
  </si>
  <si>
    <t>GFX_SignOverlay</t>
  </si>
  <si>
    <t>GFX_Switches</t>
  </si>
  <si>
    <t>GFX_Slots</t>
  </si>
  <si>
    <t>GFX_Bed</t>
  </si>
  <si>
    <t>GFX_Pillar</t>
  </si>
  <si>
    <t>GFX_Stairs_Up</t>
  </si>
  <si>
    <t>GFX_Stairs_Down</t>
  </si>
  <si>
    <t>GFX_Door_Open</t>
  </si>
  <si>
    <t>GFX_Door_Metal</t>
  </si>
  <si>
    <t>GFX_Door_PortCullis</t>
  </si>
  <si>
    <t>GFX_WoodenWalls</t>
  </si>
  <si>
    <t>GFX_Switches_Colours</t>
  </si>
  <si>
    <t>Switches.colours</t>
  </si>
  <si>
    <t>_Offset_CurrentTower_0x01</t>
  </si>
  <si>
    <t>Msg_CostTooHigh</t>
  </si>
  <si>
    <t>_Offset_SpellBookRunes__0x03</t>
  </si>
  <si>
    <t>GFX_ButtonHighlights</t>
  </si>
  <si>
    <t>GFX_Scroll_Edge_Top</t>
  </si>
  <si>
    <t>GFX_Scroll_Edge_Left</t>
  </si>
  <si>
    <t>GFX_Scroll_Edge_Bottom</t>
  </si>
  <si>
    <t>GFX_Scroll_Edge_Right</t>
  </si>
  <si>
    <t>GFX_Shield_Clicked</t>
  </si>
  <si>
    <t>GFX_ObjectsOnFloor_Offsets</t>
  </si>
  <si>
    <t>GFX_ObjectsOnFloor_Heights</t>
  </si>
  <si>
    <t>GFX_Misc_Bed_Offsets</t>
  </si>
  <si>
    <t>GFX_Misc_Pillar_Offsets</t>
  </si>
  <si>
    <t>GFX_Main_Walls_Offsets</t>
  </si>
  <si>
    <t>keep.floors</t>
  </si>
  <si>
    <t>Keep_Start_Floors_DataTable</t>
  </si>
  <si>
    <t>Keep_Start_XY_DataTable</t>
  </si>
  <si>
    <t>Tower_Start_XY_DataTable</t>
  </si>
  <si>
    <t>$704A</t>
  </si>
  <si>
    <t>Scroll_TowerOffsets_DataTable</t>
  </si>
  <si>
    <t>Scroll_Offsets</t>
  </si>
  <si>
    <t>Scroll_Texts</t>
  </si>
  <si>
    <t>scrollstowers.data</t>
  </si>
  <si>
    <t>$55CE</t>
  </si>
  <si>
    <t>$9A34</t>
  </si>
  <si>
    <t>$A022</t>
  </si>
  <si>
    <t>$A1AA</t>
  </si>
  <si>
    <t>$31D9C</t>
  </si>
  <si>
    <t>$A596</t>
  </si>
  <si>
    <t>$18B7a</t>
  </si>
  <si>
    <t>$18B7A</t>
  </si>
  <si>
    <t>$18E3A</t>
  </si>
  <si>
    <t>$1910A</t>
  </si>
  <si>
    <t>$193DA</t>
  </si>
  <si>
    <t>$195AA</t>
  </si>
  <si>
    <t>$1987A</t>
  </si>
  <si>
    <t>$2A7B4</t>
  </si>
  <si>
    <t>_GFX_Pockets+$3C00</t>
  </si>
  <si>
    <t>_GFX_Pockets+$3C30</t>
  </si>
  <si>
    <t>_GFX_Pockets+$3C60</t>
  </si>
  <si>
    <t>_GFX_Pockets+$4100</t>
  </si>
  <si>
    <t>_GFX_Pockets+$4130</t>
  </si>
  <si>
    <t>_GFX_Pockets+$5070</t>
  </si>
  <si>
    <t>_GFX_Pockets+$6500</t>
  </si>
  <si>
    <t>_GFX_Pockets+$6508</t>
  </si>
  <si>
    <t>_GFX_Pockets+$67C0</t>
  </si>
  <si>
    <t>_GFX_Pockets+$67E0</t>
  </si>
  <si>
    <t>_GFX_Pockets+$6A60</t>
  </si>
  <si>
    <t>_GFX_Pockets+$7580</t>
  </si>
  <si>
    <t>_GFX_Pockets+$7688</t>
  </si>
  <si>
    <t>$4C37E</t>
  </si>
  <si>
    <t>Player1_ChampionCount</t>
  </si>
  <si>
    <t>Player2_ChampionCount</t>
  </si>
  <si>
    <t>Player1_ChampionPointer</t>
  </si>
  <si>
    <t>Player2_ChampionPointer</t>
  </si>
  <si>
    <t>Objects_Texts</t>
  </si>
  <si>
    <t>objectfloor.colours</t>
  </si>
  <si>
    <t>Monster_Palettes</t>
  </si>
  <si>
    <t>Illusion_Palettes</t>
  </si>
  <si>
    <t>Monster_Crabs_Colours</t>
  </si>
  <si>
    <t>Monster_Beholder_Colours</t>
  </si>
  <si>
    <t>Monster_Summon_Colours</t>
  </si>
  <si>
    <t>Monster_Dragon_Colours</t>
  </si>
  <si>
    <t>Monster_Behemoth_Colours</t>
  </si>
  <si>
    <t>Object_Floor_Colours</t>
  </si>
  <si>
    <t>Object_Floor_Palettes</t>
  </si>
  <si>
    <t>objectfloor.palette</t>
  </si>
  <si>
    <t>monsters.palette</t>
  </si>
  <si>
    <t>illusion.palette</t>
  </si>
  <si>
    <t>GFX_Wooden_Wall_Offsets</t>
  </si>
  <si>
    <t>GFX_Main_Shelf_Offsets</t>
  </si>
  <si>
    <t>GFX_Main_Sign_Offsets</t>
  </si>
  <si>
    <t>GFX_Stairs_Up_Offsets</t>
  </si>
  <si>
    <t>GFX_Stairs_Down_Offsets</t>
  </si>
  <si>
    <t>GFX_Door_Offsets</t>
  </si>
  <si>
    <t>GFX_Main_Switches_Offsets</t>
  </si>
  <si>
    <t>GFX_Main_Walls_Positions</t>
  </si>
  <si>
    <t>GFX_Wooden_Wall_Positions</t>
  </si>
  <si>
    <t>GFX_Stairs_Up_Positions</t>
  </si>
  <si>
    <t>GFX_Stairs_Down_Positions</t>
  </si>
  <si>
    <t>GFX_Misc_Pillar_Positions</t>
  </si>
  <si>
    <t>GFX_Door_Positions</t>
  </si>
  <si>
    <t>GFX_Misc_Bed_Positions</t>
  </si>
  <si>
    <t>GFX_Main_Shelf_Positions</t>
  </si>
  <si>
    <t>GFX_Main_Sign_Positions</t>
  </si>
  <si>
    <t>GFX_Main_Signoverlay_Positions</t>
  </si>
  <si>
    <t>GFX_Main_Signoverlay_Offsets</t>
  </si>
  <si>
    <t>GFX_Main_Slots_Positions</t>
  </si>
  <si>
    <t>GFX_Main_Switches_Positions</t>
  </si>
  <si>
    <t>GFX_Wooden_Doors_Positions</t>
  </si>
  <si>
    <t>GFX_Main_Slots_Offsets</t>
  </si>
  <si>
    <t>GFX_Wooden_Doors_Offsets</t>
  </si>
  <si>
    <t>GFX_Main_Sign_Colours</t>
  </si>
  <si>
    <t>Object_Floor_DataTable</t>
  </si>
  <si>
    <t>$E364</t>
  </si>
  <si>
    <t>$E506</t>
  </si>
  <si>
    <t>$E45A</t>
  </si>
  <si>
    <t>$E3EC</t>
  </si>
  <si>
    <t>$AE80</t>
  </si>
  <si>
    <t>GFX_Main_Slots_Palette</t>
  </si>
  <si>
    <t>$31754</t>
  </si>
  <si>
    <t>$3199C</t>
  </si>
  <si>
    <t>$31BE4</t>
  </si>
  <si>
    <t>$32BDC</t>
  </si>
  <si>
    <t>$4488C</t>
  </si>
  <si>
    <t>$44B4C</t>
  </si>
  <si>
    <t>$AEA0</t>
  </si>
  <si>
    <t>$AEC0</t>
  </si>
  <si>
    <t>$AEE0</t>
  </si>
  <si>
    <t>BigDragon_Table_Unknown</t>
  </si>
  <si>
    <t>GFX_ObjectsOnFloor_Widths</t>
  </si>
  <si>
    <t>Buffer_Colour_Mask</t>
  </si>
  <si>
    <t>Buffer_Colour_Mask_Toggle</t>
  </si>
  <si>
    <t>$44C94</t>
  </si>
  <si>
    <t>$4634C</t>
  </si>
  <si>
    <t>$47734</t>
  </si>
  <si>
    <t>$47B8C</t>
  </si>
  <si>
    <t>$47EDC</t>
  </si>
  <si>
    <t>$4817C</t>
  </si>
  <si>
    <t>Door_Lock_Colours</t>
  </si>
  <si>
    <t>Door_Lock.colours</t>
  </si>
  <si>
    <t>$AF52</t>
  </si>
  <si>
    <t>_Offset_Buffer_Colour_Mask_0x02</t>
  </si>
  <si>
    <t>Character_Stats_DataTable</t>
  </si>
  <si>
    <t>Character_Pockets_DataTable</t>
  </si>
  <si>
    <t>MonsterAttackSpells</t>
  </si>
  <si>
    <t>$1242</t>
  </si>
  <si>
    <t>SpellCost_DataTable</t>
  </si>
  <si>
    <t>Ignore</t>
  </si>
  <si>
    <t>MaoData3</t>
  </si>
  <si>
    <t>GFX_Summon_LookupTable</t>
  </si>
  <si>
    <t>GFX_Summon_Arms_LookupTable</t>
  </si>
  <si>
    <t>Spells_Practiced_DataTable</t>
  </si>
  <si>
    <t>A6AA</t>
  </si>
  <si>
    <t>New_Behemoth_Offsets</t>
  </si>
  <si>
    <t>GFX_CrabFace_Position</t>
  </si>
  <si>
    <t>Draw_Pillar</t>
  </si>
  <si>
    <t>_Offset_Character_Stats_DataTable_0x05</t>
  </si>
  <si>
    <t>_Offset_Character_Stats_DataTable_0x11</t>
  </si>
  <si>
    <t>_Offset_Character_Stats_DataTable_0x80</t>
  </si>
  <si>
    <t>_Offset_Character_Pockets_DataTable_0x02</t>
  </si>
  <si>
    <t>Flip_Sprite</t>
  </si>
  <si>
    <t>Draw_Wall_Sprite</t>
  </si>
  <si>
    <t>GFX_Main_Wall_SpriteTable</t>
  </si>
  <si>
    <t>Bitplane_Mask</t>
  </si>
  <si>
    <t>Draw_Main_Shelf_Overlay</t>
  </si>
  <si>
    <t>Draw_Main_Object_Overlay</t>
  </si>
  <si>
    <t>Draw_Main_Sign_Overlay</t>
  </si>
  <si>
    <t>Draw_Main_Switch_Overlay</t>
  </si>
  <si>
    <t>MonsterAttackTypeTable</t>
  </si>
  <si>
    <t>AttackType_NoSpells</t>
  </si>
  <si>
    <t>AttackType_Spells</t>
  </si>
  <si>
    <t>AttackType_Drone</t>
  </si>
  <si>
    <t>AttackType_DroneSpells</t>
  </si>
  <si>
    <t>AttackType_ArcBoltMachine</t>
  </si>
  <si>
    <t>Monster_Movement_DataTable</t>
  </si>
  <si>
    <t>DroppedObjects_DataTable</t>
  </si>
  <si>
    <t>.Trader_NotPotionsButArms</t>
  </si>
  <si>
    <t>ArmouryList</t>
  </si>
  <si>
    <t>Trade_Exchange_TBC</t>
  </si>
  <si>
    <t>Trade_Offer_TBC</t>
  </si>
  <si>
    <t>.DontDivideList</t>
  </si>
  <si>
    <t>Click_CloseCurrentPage</t>
  </si>
  <si>
    <t>Click_ObjectInInventory</t>
  </si>
  <si>
    <t>Stack_ObjectFromInventory</t>
  </si>
  <si>
    <t>Redraw_Inventory</t>
  </si>
  <si>
    <t>Click_CountedObject</t>
  </si>
  <si>
    <t>Click_PortionedFood</t>
  </si>
  <si>
    <t>Arrow_Highlights_Offsets</t>
  </si>
  <si>
    <t>Arrow_Highlights_X_Positions</t>
  </si>
  <si>
    <t>Arrow_Highlights_Y_Offsets</t>
  </si>
  <si>
    <t>_Offset_Arrow_Highlights_Offsets_0x01</t>
  </si>
  <si>
    <t>MovementOffsetTable</t>
  </si>
  <si>
    <t>Draw_Arrow_Highlights</t>
  </si>
  <si>
    <t>Execute_Rotation</t>
  </si>
  <si>
    <t>Trigger_04_t08_Vivify_Machine_External</t>
  </si>
  <si>
    <t>Trigger_05_t0A_Vivify_Machine_Internal</t>
  </si>
  <si>
    <t>Trigger_09_t12_Tower_Entrance_SidePad</t>
  </si>
  <si>
    <t>Trigger_10_t14_Tower_Entrance_CentrePad</t>
  </si>
  <si>
    <t>Trigger_19_t26_Keep_Entrance_SidePad</t>
  </si>
  <si>
    <t>Trigger_20_t28_Keep_Entrance_CentrePad</t>
  </si>
  <si>
    <t>Trigger_08_t10_Trader_DoorCloser</t>
  </si>
  <si>
    <t>Switch_04_s08_Trigger_22_t2C_RotateWall_XY</t>
  </si>
  <si>
    <t>Switch_03_s06_Trigger_03_t06_OpenLockedDoor_XY</t>
  </si>
  <si>
    <t>Switch_06_s0C_Trigger_18_t24_CreatePillar_XY</t>
  </si>
  <si>
    <t>Switch_05_s0A_Trigger_13_t1A_TogglePillar_XY</t>
  </si>
  <si>
    <t>Trigger_12_t18_Close_VoidLock_Door_XY</t>
  </si>
  <si>
    <t>_Offset_GFX_Pockets_0x3C00</t>
  </si>
  <si>
    <t>_Offset_GFX_Pockets_0x3C30</t>
  </si>
  <si>
    <t>_Offset_GFX_Pockets_0x3C60</t>
  </si>
  <si>
    <t>_Offset_GFX_Pockets_0x4100</t>
  </si>
  <si>
    <t>_Offset_GFX_Pockets_0x4130</t>
  </si>
  <si>
    <t>_Offset_GFX_Pockets_0x5070</t>
  </si>
  <si>
    <t>_Offset_GFX_Pockets_0x6500</t>
  </si>
  <si>
    <t>_Offset_GFX_Pockets_0x6508</t>
  </si>
  <si>
    <t>_Offset_GFX_Pockets_0x67C0</t>
  </si>
  <si>
    <t>_Offset_GFX_Pockets_0x67E0</t>
  </si>
  <si>
    <t>_Offset_GFX_Pockets_0x6A60</t>
  </si>
  <si>
    <t>_Offset_GFX_Pockets_0x7580</t>
  </si>
  <si>
    <t>_Offset_GFX_Pockets_0x7688</t>
  </si>
  <si>
    <t>GFX_Beholder_Body_LookupTable</t>
  </si>
  <si>
    <t>Beholder_Body.offsets</t>
  </si>
  <si>
    <t>GFX_Beholder_CentralEye_Near_LookupTable</t>
  </si>
  <si>
    <t>GFX_Beholder_CentralEye_Far_LookupTable</t>
  </si>
  <si>
    <t>Beholder_CentralEye_Far.offsets</t>
  </si>
  <si>
    <t>Beholder_CentralEye_Near.offsets</t>
  </si>
  <si>
    <t>$485DC</t>
  </si>
  <si>
    <t>$4857C</t>
  </si>
  <si>
    <t>$9F70</t>
  </si>
  <si>
    <t>$9F7C</t>
  </si>
  <si>
    <t>$9F84</t>
  </si>
  <si>
    <t>$9FA4</t>
  </si>
  <si>
    <t>GFX_Beholder_CentralEye_Near_Front_Heights</t>
  </si>
  <si>
    <t>$9E30</t>
  </si>
  <si>
    <t>Front-facing central-eye heights</t>
  </si>
  <si>
    <t>$9E34</t>
  </si>
  <si>
    <t>Shared near-eye vertical placement</t>
  </si>
  <si>
    <t>GFX_Beholder_CentralEye_Near_Side_Heights</t>
  </si>
  <si>
    <t>$9E70</t>
  </si>
  <si>
    <t>Side-facing central-eye heights</t>
  </si>
  <si>
    <t>$9E74</t>
  </si>
  <si>
    <t>X correction for the mirrored side</t>
  </si>
  <si>
    <t>$9E78</t>
  </si>
  <si>
    <t>Additional side-view Y correction</t>
  </si>
  <si>
    <t>$9E9E</t>
  </si>
  <si>
    <t>Far-eye Y placement</t>
  </si>
  <si>
    <t>$9EA0</t>
  </si>
  <si>
    <t>Mirrored far-side X correction</t>
  </si>
  <si>
    <t>GFX_Beholder_Body_Heights</t>
  </si>
  <si>
    <t>$9ED4</t>
  </si>
  <si>
    <t>Body heights, stored as pixels minus one</t>
  </si>
  <si>
    <t>$9EDA</t>
  </si>
  <si>
    <t>Whole composite’s base X adjustment</t>
  </si>
  <si>
    <t>$9EE0</t>
  </si>
  <si>
    <t>Whole composite’s base Y adjustment</t>
  </si>
  <si>
    <t>GFX_Beholder_UpperEyes_Heights</t>
  </si>
  <si>
    <t>$9EE6</t>
  </si>
  <si>
    <t>Upper-eye height and vertical displacement</t>
  </si>
  <si>
    <t>$9F5E</t>
  </si>
  <si>
    <t>Spacing of mirrored halves at the two nearest sizes</t>
  </si>
  <si>
    <t>Draw_Beholder_CentralEye</t>
  </si>
  <si>
    <t>Draw_Beholder_CentralEye_NearSide</t>
  </si>
  <si>
    <t>Draw_Beholder_CentralEye_Far</t>
  </si>
  <si>
    <t>Draw_Beholder_BodyAndUpperEyes</t>
  </si>
  <si>
    <t>Draw_Beholder_Component</t>
  </si>
  <si>
    <t>Select_Beholder_GfxFromLookup</t>
  </si>
  <si>
    <t>Prepare_Monster_ScreenPosition</t>
  </si>
  <si>
    <t>Decode_Monster_RenderFlags</t>
  </si>
  <si>
    <t>Draw_Monster_CompositeBitmap</t>
  </si>
  <si>
    <t>Draw_Monster_16PixelStrip</t>
  </si>
  <si>
    <t>GFX_Beholder</t>
  </si>
  <si>
    <t>GFX_Beholder_UpperEyes_LookupTable</t>
  </si>
  <si>
    <t>Beholder_UpperEyes.offsets</t>
  </si>
  <si>
    <t>Beholder_CentralEye_Near_Front.heights</t>
  </si>
  <si>
    <t>GFX_Beholder_CentralEye_Near_YPositions</t>
  </si>
  <si>
    <t>Beholder_CentralEye_Near_Y.positions</t>
  </si>
  <si>
    <t>Beholder_CentralEye_Near_Side.heights</t>
  </si>
  <si>
    <t>GFX_Beholder_CentralEye_Near_Side_Mirrored_XPositions</t>
  </si>
  <si>
    <t>Beholder_CentralEye_Near_Side_Mirrored_X.positions</t>
  </si>
  <si>
    <t>GFX_Beholder_CentralEye_Near_Side_YPositions</t>
  </si>
  <si>
    <t>Beholder_CentralEye_Near_Side_Y.positions</t>
  </si>
  <si>
    <t>GFX_Beholder_CentralEye_Far_YPositions</t>
  </si>
  <si>
    <t>Beholder_CentralEye_Far_Y.positions</t>
  </si>
  <si>
    <t>GFX_Beholder_CentralEye_Far_Side_Mirrored_XPositions</t>
  </si>
  <si>
    <t>Beholder_CentralEye_Far_Side_Mirrored_X.positions</t>
  </si>
  <si>
    <t>Beholder_Body.heights</t>
  </si>
  <si>
    <t>GFX_Beholder_Composite_XPositions</t>
  </si>
  <si>
    <t>Beholder_Composite_X.positions</t>
  </si>
  <si>
    <t>GFX_Beholder_Composite_YPositions</t>
  </si>
  <si>
    <t>Beholder_Composite_Y.positions</t>
  </si>
  <si>
    <t>Beholder_UpperEyes.heights</t>
  </si>
  <si>
    <t>GFX_Beholder_Near_MirroredHalf_XPositions</t>
  </si>
  <si>
    <t>Beholder_Near_MirroredHalf_X.positions</t>
  </si>
  <si>
    <t>GFX_Beholder_Body</t>
  </si>
  <si>
    <t>Beholder_Body.gfx</t>
  </si>
  <si>
    <t>data_start</t>
  </si>
  <si>
    <t>data_action</t>
  </si>
  <si>
    <t>GFX_Beholder_UpperEyes</t>
  </si>
  <si>
    <t>GFX_Beholder_CentralEye_Near</t>
  </si>
  <si>
    <t>Beholder_UpperEyes.gfx</t>
  </si>
  <si>
    <t>data_append</t>
  </si>
  <si>
    <t>Beholder_CentralEye_Near.gfx</t>
  </si>
  <si>
    <t>$4821C</t>
  </si>
  <si>
    <t>GFX_Beholder_CentralEye_Far</t>
  </si>
  <si>
    <t>Beholder_CentralEye_Far.gfx</t>
  </si>
  <si>
    <t>extract_only</t>
  </si>
  <si>
    <t>MonsterTotalsCounts_mod0</t>
  </si>
  <si>
    <t>MonsterTotalsCounts_serp</t>
  </si>
  <si>
    <t>MonsterTotalsCounts_moon</t>
  </si>
  <si>
    <t>MonsterTotalsCounts_drag</t>
  </si>
  <si>
    <t>MonsterTotalsCounts_chaos</t>
  </si>
  <si>
    <t>MonsterTotalsCounts_zendik</t>
  </si>
  <si>
    <t>$4AF0C</t>
  </si>
  <si>
    <t>_DropTheObject</t>
  </si>
  <si>
    <t>_MoveParty</t>
  </si>
  <si>
    <t>$343F4</t>
  </si>
  <si>
    <t>$346AC</t>
  </si>
  <si>
    <t>$34E44</t>
  </si>
  <si>
    <t>$354FC</t>
  </si>
  <si>
    <t>$3936C</t>
  </si>
  <si>
    <t>$419AC</t>
  </si>
  <si>
    <t>$437AC</t>
  </si>
  <si>
    <t>$447AC</t>
  </si>
  <si>
    <t>$447FC</t>
  </si>
  <si>
    <t>BLANK</t>
  </si>
  <si>
    <t>Monster_SubPosition_DepthAdjustments</t>
  </si>
  <si>
    <t>Monster_SubPosition_DepthAdjustments.positions</t>
  </si>
  <si>
    <t>$95B2</t>
  </si>
  <si>
    <t>Monster_ViewCell_DepthSlots</t>
  </si>
  <si>
    <t>Monster_ViewCell_DepthSlots.lookup</t>
  </si>
  <si>
    <t>$95B7</t>
  </si>
  <si>
    <t>Monster_Depth_GfxSlots</t>
  </si>
  <si>
    <t>Monster_Depth_GfxSlots.lookup</t>
  </si>
  <si>
    <t>$95CA</t>
  </si>
  <si>
    <t>Monster_GfxSlot_YPositions</t>
  </si>
  <si>
    <t>Monster_GfxSlot_Y.positions</t>
  </si>
  <si>
    <t>$95D2</t>
  </si>
  <si>
    <t>Monster_ViewCell_SubPosition_XPositions</t>
  </si>
  <si>
    <t>Monster_ViewCell_SubPosition_X.positions</t>
  </si>
  <si>
    <t>$18700</t>
  </si>
  <si>
    <t>Draw_FloorAndCeiling</t>
  </si>
  <si>
    <t>Draw_FloorAndCeiling_CopyRows_Loop</t>
  </si>
  <si>
    <t>Clear_FloorCeiling_ViewGap</t>
  </si>
  <si>
    <t>Draw_FloorAndCeiling_BitReversed</t>
  </si>
  <si>
    <t>Draw_FloorAndCeiling_BitReversed_Loop</t>
  </si>
  <si>
    <t>BitReverse_LookupBuffer</t>
  </si>
  <si>
    <t>Monster_RenderFlags_LookupTable</t>
  </si>
  <si>
    <t>Monster_RenderFlags.lookup</t>
  </si>
  <si>
    <t>$984C</t>
  </si>
  <si>
    <t>Monster_Facing_GfxVariants.lookup</t>
  </si>
  <si>
    <t>$991A</t>
  </si>
  <si>
    <t>Monster_DistanceGroups.lookup</t>
  </si>
  <si>
    <t>$A1B2</t>
  </si>
  <si>
    <t>$9A3C</t>
  </si>
  <si>
    <t>$9A48</t>
  </si>
  <si>
    <t>GFX_Summon_Arm_Heights</t>
  </si>
  <si>
    <t>Summon_Arms.heights</t>
  </si>
  <si>
    <t>$9A4C</t>
  </si>
  <si>
    <t>GFX_Summon_PrimaryArm_Positions</t>
  </si>
  <si>
    <t>Summon_PrimaryArm.positions</t>
  </si>
  <si>
    <t>$9A58</t>
  </si>
  <si>
    <t>GFX_Summon_SecondaryArm_Positions</t>
  </si>
  <si>
    <t>Summon_SecondaryArm.positions</t>
  </si>
  <si>
    <t>$9A78</t>
  </si>
  <si>
    <t>Summon.offsets</t>
  </si>
  <si>
    <t>$9B3A</t>
  </si>
  <si>
    <t>Summon_Arms.offsets</t>
  </si>
  <si>
    <t>$9B5E</t>
  </si>
  <si>
    <t>$A27E</t>
  </si>
  <si>
    <t>$A280</t>
  </si>
  <si>
    <t>Entropy.offsets</t>
  </si>
  <si>
    <t>$A2C2</t>
  </si>
  <si>
    <t>$A2E2</t>
  </si>
  <si>
    <t>$A2E4</t>
  </si>
  <si>
    <t>Behemoth.offsets</t>
  </si>
  <si>
    <t>$A326</t>
  </si>
  <si>
    <t>GFX_Behemoth_Claw_LookupTable</t>
  </si>
  <si>
    <t>Behemoth_Claws.offsets</t>
  </si>
  <si>
    <t>$A33E</t>
  </si>
  <si>
    <t>GFX_Dragon_Side_XPositions</t>
  </si>
  <si>
    <t>Dragon_Side_X.positions</t>
  </si>
  <si>
    <t>$A018</t>
  </si>
  <si>
    <t>GFX_Dragon_MirroredHalf_XPositions</t>
  </si>
  <si>
    <t>Dragon_MirroredHalf_X.positions</t>
  </si>
  <si>
    <t>$A14A</t>
  </si>
  <si>
    <t>$9C54</t>
  </si>
  <si>
    <t>source_comment</t>
  </si>
  <si>
    <t>Prepare_CentredMonster_ScreenPosition</t>
  </si>
  <si>
    <t>Monster_Facing_GfxVariants_LookupTable</t>
  </si>
  <si>
    <t>Monster_DistanceGroups_LookupTable</t>
  </si>
  <si>
    <t>GFX_Summon_Body_Layout</t>
  </si>
  <si>
    <t>GFX_Summon_ArmVariants_LookupTable</t>
  </si>
  <si>
    <t>Summon_Body.layout</t>
  </si>
  <si>
    <t>Summon_ArmVariants.lookup</t>
  </si>
  <si>
    <t>Entropy_LimbMirroring.flags</t>
  </si>
  <si>
    <t>GFX_Entropy_Layout</t>
  </si>
  <si>
    <t>Entropy.layout</t>
  </si>
  <si>
    <t>Behemoth_LimbMirroring.flags</t>
  </si>
  <si>
    <t>GFX_Behemoth_Layout</t>
  </si>
  <si>
    <t>Behemoth.layout</t>
  </si>
  <si>
    <t>GFX_Crab_SideNear_Layout</t>
  </si>
  <si>
    <t>Crab_SideNear.layout</t>
  </si>
  <si>
    <t>Provides the base vertical screen position for each monster graphics-distance slot.</t>
  </si>
  <si>
    <t>Entry point for centrally positioned monsters; forces the centre sub-position before using Prepare_Monster_ScreenPosition.</t>
  </si>
  <si>
    <t>Working lookup buffer containing bit-reversed byte values used by the floor and ceiling renderer.</t>
  </si>
  <si>
    <t>Maps six visible distance slots to four stored size groups used by centred large monsters.</t>
  </si>
  <si>
    <t>Contains Summon body vertical adjustments and heights; its final bytes also begin the packed body-width data.</t>
  </si>
  <si>
    <t>Maps Summon facing direction to an arm graphic variant and mirroring; it also forms part of the packed body-width data.</t>
  </si>
  <si>
    <t>Provides Summon arm heights and completes the packed body-width table.</t>
  </si>
  <si>
    <t>Packed X and Y drawing positions for the primary Summon arm; $FFFF suppresses an unavailable component.</t>
  </si>
  <si>
    <t>Packed X and Y drawing positions for the secondary Summon arm; $FFFF suppresses an unavailable component.</t>
  </si>
  <si>
    <t>Offsets of the 18 Summon body pictures in Summon.gfx: six distances by three facing variants.</t>
  </si>
  <si>
    <t>Offsets of the 12 Summon arm pictures in Summon.gfx: four distances by three arm variants.</t>
  </si>
  <si>
    <t>Controls whether Entropy reverses limb mirroring in the shared Behemoth and Entropy renderer.</t>
  </si>
  <si>
    <t>Packed Entropy body and limb dimensions, positions, and mirroring rules.</t>
  </si>
  <si>
    <t>Offsets of the 12 Entropy body pictures followed by four limb pictures in Entropy.gfx.</t>
  </si>
  <si>
    <t>Controls whether the Behemoth reverses limb mirroring in the shared Behemoth and Entropy renderer.</t>
  </si>
  <si>
    <t>Packed Behemoth body and claw dimensions, positions, and mirroring rules.</t>
  </si>
  <si>
    <t>Offsets of the 12 Behemoth body pictures in Behemoth.gfx.</t>
  </si>
  <si>
    <t>Offsets of four Behemoth claw pictures; the closest front-facing Crab reuses these graphics.</t>
  </si>
  <si>
    <t>Additional horizontal shifts for side-facing Dragons by size group and side.</t>
  </si>
  <si>
    <t>Horizontal spacing used when the Dragon body is completed by drawing a mirrored second half.</t>
  </si>
  <si>
    <t>Character_BodyDefinitions</t>
  </si>
  <si>
    <t>characters-body-definitions.layout</t>
  </si>
  <si>
    <t>$A50A</t>
  </si>
  <si>
    <t>Character_PartFacingVariants</t>
  </si>
  <si>
    <t>characters-part-variants.lookup</t>
  </si>
  <si>
    <t>$A600</t>
  </si>
  <si>
    <t>Character_RenderTableOffsets</t>
  </si>
  <si>
    <t>characters-render-table-offsets.lookup</t>
  </si>
  <si>
    <t>$A5EC</t>
  </si>
  <si>
    <t>Character_ArmAnimationPositions</t>
  </si>
  <si>
    <t>characters-arm-animation.positions</t>
  </si>
  <si>
    <t>$A778</t>
  </si>
  <si>
    <t>Character_RenderLayout_Standard</t>
  </si>
  <si>
    <t>characters-standard-render.layout</t>
  </si>
  <si>
    <t>$18480</t>
  </si>
  <si>
    <t>Character_Distant4_Positions_Standard</t>
  </si>
  <si>
    <t>characters-standard-distant-4.positions</t>
  </si>
  <si>
    <t>$185B0</t>
  </si>
  <si>
    <t>Character_Distant5_Positions_Standard</t>
  </si>
  <si>
    <t>characters-standard-distant-5.positions</t>
  </si>
  <si>
    <t>$185B8</t>
  </si>
  <si>
    <t>Character_RenderLayout_Alternate</t>
  </si>
  <si>
    <t>characters-alternate-render.layout</t>
  </si>
  <si>
    <t>$185C0</t>
  </si>
  <si>
    <t>Character_Distant4_Positions_Alternate</t>
  </si>
  <si>
    <t>characters-alternate-distant-4.positions</t>
  </si>
  <si>
    <t>$186F0</t>
  </si>
  <si>
    <t>Character_Distant5_Positions_Alternate</t>
  </si>
  <si>
    <t>characters-alternate-distant-5.positions</t>
  </si>
  <si>
    <t>$186F8</t>
  </si>
  <si>
    <t>Draw_CharacterComponent</t>
  </si>
  <si>
    <t>Fourteen 10-byte records containing a layout selector and BodyParts.gfx bases for legs, torso, arms and the distant composite.</t>
  </si>
  <si>
    <t>Four signed XY pairs for the corresponding distant graphics slot.</t>
  </si>
  <si>
    <t>Standard and alternate animated-arm Y corrections and facing-specific X corrections.</t>
  </si>
  <si>
    <t>Five parts × four facings; bit 7 means mirror and $FF suppresses that part.</t>
  </si>
  <si>
    <t>Interleaved five-entry lookup containing the height-table and graphics-source-table offsets for each rendered character part.</t>
  </si>
  <si>
    <t>_Offset_Character_RenderTableOffsets_0x02</t>
  </si>
  <si>
    <t>Draws one character component by selecting its distance, facing and animation variant, resolving its height and graphics source, applying its colour mask, and positioning or mirroring the 16-pixel strip.</t>
  </si>
  <si>
    <t>GFX_Spell_ColourMasks</t>
  </si>
  <si>
    <t>AirbourneSpells.colours</t>
  </si>
  <si>
    <t>$97EC</t>
  </si>
  <si>
    <r>
      <t xml:space="preserve">Four colour-mask indices per spell code. The first 16 records cover </t>
    </r>
    <r>
      <rPr>
        <sz val="10"/>
        <color theme="1"/>
        <rFont val="Arial Unicode MS"/>
        <family val="2"/>
      </rPr>
      <t>$80–$8F</t>
    </r>
    <r>
      <rPr>
        <sz val="12"/>
        <color theme="1"/>
        <rFont val="Aptos Narrow"/>
        <family val="2"/>
        <scheme val="minor"/>
      </rPr>
      <t xml:space="preserve">; the final four </t>
    </r>
    <r>
      <rPr>
        <sz val="10"/>
        <color theme="1"/>
        <rFont val="Arial Unicode MS"/>
        <family val="2"/>
      </rPr>
      <t>$90–$93</t>
    </r>
    <r>
      <rPr>
        <sz val="12"/>
        <color theme="1"/>
        <rFont val="Aptos Narrow"/>
        <family val="2"/>
        <scheme val="minor"/>
      </rPr>
      <t xml:space="preserve"> records have no confirmed gameplay effect but are retained for byte-exact source reproduction.</t>
    </r>
  </si>
  <si>
    <t>GFX_AirbourneSpell_DistanceGroups</t>
  </si>
  <si>
    <t>AirbourneSpell_DistanceGroups.lookup</t>
  </si>
  <si>
    <t>$98E4</t>
  </si>
  <si>
    <r>
      <t xml:space="preserve">Maps the six visible source distances to four graphical sizes: </t>
    </r>
    <r>
      <rPr>
        <sz val="10"/>
        <color theme="1"/>
        <rFont val="Arial Unicode MS"/>
        <family val="2"/>
      </rPr>
      <t>0,0,1,1,2,3</t>
    </r>
    <r>
      <rPr>
        <sz val="12"/>
        <color theme="1"/>
        <rFont val="Aptos Narrow"/>
        <family val="2"/>
        <scheme val="minor"/>
      </rPr>
      <t>.</t>
    </r>
  </si>
  <si>
    <t>GFX_AirbourneFireball_RenderLayout</t>
  </si>
  <si>
    <t>AirbourneFireball.layout</t>
  </si>
  <si>
    <t>$98EA</t>
  </si>
  <si>
    <r>
      <t xml:space="preserve">Four source offsets followed by four packed X, Y, width-minus-one and height-minus-one records for spell codes </t>
    </r>
    <r>
      <rPr>
        <sz val="10"/>
        <color theme="1"/>
        <rFont val="Arial Unicode MS"/>
        <family val="2"/>
      </rPr>
      <t>$80–$85</t>
    </r>
    <r>
      <rPr>
        <sz val="12"/>
        <color theme="1"/>
        <rFont val="Aptos Narrow"/>
        <family val="2"/>
        <scheme val="minor"/>
      </rPr>
      <t>.</t>
    </r>
  </si>
  <si>
    <t>GFX_AirbourneSpells_RenderLayout</t>
  </si>
  <si>
    <t>AirbourneSpells_Flying.layout</t>
  </si>
  <si>
    <t>$9902</t>
  </si>
  <si>
    <r>
      <t xml:space="preserve">Four source offsets followed by four packed X, Y, width-minus-one and height-minus-one records for spell codes </t>
    </r>
    <r>
      <rPr>
        <sz val="10"/>
        <color theme="1"/>
        <rFont val="Arial Unicode MS"/>
        <family val="2"/>
      </rPr>
      <t>$86–$8F</t>
    </r>
    <r>
      <rPr>
        <sz val="12"/>
        <color theme="1"/>
        <rFont val="Aptos Narrow"/>
        <family val="2"/>
        <scheme val="minor"/>
      </rPr>
      <t xml:space="preserve">. Offsets are relative to the flying-spell pictures at </t>
    </r>
    <r>
      <rPr>
        <sz val="10"/>
        <color theme="1"/>
        <rFont val="Arial Unicode MS"/>
        <family val="2"/>
      </rPr>
      <t>AirbourneSpells.gfx+$4E0</t>
    </r>
    <r>
      <rPr>
        <sz val="12"/>
        <color theme="1"/>
        <rFont val="Aptos Narrow"/>
        <family val="2"/>
        <scheme val="minor"/>
      </rPr>
      <t>.</t>
    </r>
  </si>
  <si>
    <t>Draw_AirbourneSpell</t>
  </si>
  <si>
    <r>
      <t xml:space="preserve">Selects the distance group, graphical family and colour mask used to render flying spell codes </t>
    </r>
    <r>
      <rPr>
        <sz val="10"/>
        <color theme="1"/>
        <rFont val="Arial Unicode MS"/>
        <family val="2"/>
      </rPr>
      <t>$80+</t>
    </r>
    <r>
      <rPr>
        <sz val="12"/>
        <color theme="1"/>
        <rFont val="Aptos Narrow"/>
        <family val="2"/>
        <scheme val="minor"/>
      </rPr>
      <t>.</t>
    </r>
  </si>
  <si>
    <t>.RenderSelectedLayout</t>
  </si>
  <si>
    <t>Shared rendering path after selecting either the Fireball or general Airbourne-spell layout.</t>
  </si>
  <si>
    <t>GFX_StationarySpell_DistanceGroups</t>
  </si>
  <si>
    <t>AirbourneSpells_Stationary_DistanceGroups.lookup</t>
  </si>
  <si>
    <t>$8FD6</t>
  </si>
  <si>
    <t>GFX_StationarySpell_LookupTable</t>
  </si>
  <si>
    <t>AirbourneSpells_Stationary.offsets</t>
  </si>
  <si>
    <t>$8FDC</t>
  </si>
  <si>
    <t>GFX_StationarySpell_RenderLayout</t>
  </si>
  <si>
    <t>AirbourneSpells_Stationary.positions</t>
  </si>
  <si>
    <t>$8FE4</t>
  </si>
  <si>
    <t>Four packed records containing signed X, signed Y, width-minus-one and height-minus-one.</t>
  </si>
  <si>
    <t>_offset_GFX_StationarySpell_RenderLayout_0x1</t>
  </si>
  <si>
    <t>_offset_GFX_StationarySpell_RenderLayout_0x2</t>
  </si>
  <si>
    <t>_offset_GFX_StationarySpell_RenderLayout_0x3</t>
  </si>
  <si>
    <t>Maps six visible distances to four stationary-spell graphical sizes: 0,0,1,1,2,3.</t>
  </si>
  <si>
    <t>Four big-endian source offsets into the stationary portion of AirbourneSpells.gfx.</t>
  </si>
  <si>
    <t>GFX_CentredDungeonComponent_SpriteMirrorTable</t>
  </si>
  <si>
    <t>Dungeon_CentredComponents.lookup</t>
  </si>
  <si>
    <t>$923C</t>
  </si>
  <si>
    <t>Maps the 19 viewport cells to centred dungeon sprite numbers; bit 7 selects horizontal mirroring. The twentieth byte is spare.</t>
  </si>
  <si>
    <t>Dungeon_MainWall_SpriteSelection.lookup</t>
  </si>
  <si>
    <t>$AF36</t>
  </si>
  <si>
    <t>Maps each of the 28 projected wall-face slots to a picture in Main_Walls.gfx.</t>
  </si>
  <si>
    <t>GFX_WallComponent_SpriteMirrorTable</t>
  </si>
  <si>
    <t>Dungeon_WallComponents.lookup</t>
  </si>
  <si>
    <t>$B0B8</t>
  </si>
  <si>
    <t>Maps the 28 wall-face slots to component pictures; bit 7 selects the horizontally mirrored drawing path.</t>
  </si>
  <si>
    <t>GFX_WallComponent_DrawTransformFlags</t>
  </si>
  <si>
    <t>Dungeon_WallComponent_DrawTransform.flags</t>
  </si>
  <si>
    <t>$B140</t>
  </si>
  <si>
    <t>Per-face transformation flags used by wall components, wooden walls, doors and stairs. Bits 0 and 2 select edge passes; bit 1 selects the perspective centre path.</t>
  </si>
  <si>
    <t>GFX_WallComponent_PerspectiveTrimLookup</t>
  </si>
  <si>
    <t>Dungeon_WallComponent_PerspectiveTrim.lookup</t>
  </si>
  <si>
    <t>$B1D4</t>
  </si>
  <si>
    <t>Maps the low three component-transform flag bits to zero, one or two source word-columns trimmed during perspective drawing.</t>
  </si>
  <si>
    <t>GFX_Main_Wall_DrawTransformFlags</t>
  </si>
  <si>
    <t>Dungeon_MainWall_DrawTransform.flags</t>
  </si>
  <si>
    <t>$B2C6</t>
  </si>
  <si>
    <t>Per-face transformation flags for stone-wall graphics. This differs from the component table at wall-face slots 6 and 18.</t>
  </si>
  <si>
    <t>GFX_Main_Wall_PerspectiveTrimLookup</t>
  </si>
  <si>
    <t>Dungeon_MainWall_PerspectiveTrim.lookup</t>
  </si>
  <si>
    <t>$B36E</t>
  </si>
  <si>
    <t>Maps the low three main-wall transform flag bits to zero, one or two source word-columns trimmed during perspective drawing.</t>
  </si>
  <si>
    <t>Dungeon_ViewCell_RelativeCoordinates</t>
  </si>
  <si>
    <t>Dungeon_ViewCell_RelativeCoordinates.positions</t>
  </si>
  <si>
    <t>Four player-facing groups of 19 signed relative X/Y coordinate words defining the dungeon cells examined by the renderer.</t>
  </si>
  <si>
    <t>Dungeon_ViewCell_OcclusionMasks</t>
  </si>
  <si>
    <t>Dungeon_ViewCell_Occlusion.flags</t>
  </si>
  <si>
    <t>Dungeon_ViewCell_VisibleFaceMasks</t>
  </si>
  <si>
    <t>Dungeon_ViewCell_VisibleFaces.flags</t>
  </si>
  <si>
    <t>Dungeon_ViewCell_CentredSlots</t>
  </si>
  <si>
    <t>Dungeon_ViewCell_CentredSlots.lookup</t>
  </si>
  <si>
    <t>$B65A</t>
  </si>
  <si>
    <t>Maps the 19 view cells to centred projected slots used by pillars, beds, pits and pads; FF means unavailable. The twentieth byte is spare.</t>
  </si>
  <si>
    <t>Dungeon_ViewCell_WallFaceSlots</t>
  </si>
  <si>
    <t>Dungeon_ViewCell_WallFaces.lookup</t>
  </si>
  <si>
    <t>$B66E</t>
  </si>
  <si>
    <t>Four N/E/S/W wall-face slot numbers per view cell; FF means that face is unavailable from that cell.</t>
  </si>
  <si>
    <t>Draw_DungeonViewport</t>
  </si>
  <si>
    <t>Scans the 19 relative dungeon cells, builds the visibility and occlusion masks, then draws the surviving cells.</t>
  </si>
  <si>
    <t>Draw_DungeonViewCell</t>
  </si>
  <si>
    <t>Resolves and draws one player-relative dungeon view cell.</t>
  </si>
  <si>
    <t>Draw_DungeonLocation_ByType</t>
  </si>
  <si>
    <t>Dispatches the current map type and iterates its candidate wall faces.</t>
  </si>
  <si>
    <t>Resolve_DungeonWallFaceDirection</t>
  </si>
  <si>
    <t>Converts the current candidate face and player facing into the corresponding N/E/S/W direction.</t>
  </si>
  <si>
    <t>Draw_MainWallFace</t>
  </si>
  <si>
    <t>Draw_WoodenWallOrDoorFace</t>
  </si>
  <si>
    <t>Selects a solid wooden wall, open doorway frame and optional closed-door overlay.</t>
  </si>
  <si>
    <t>Draw_WallComponentFace</t>
  </si>
  <si>
    <t>Selects a wall-component picture and chooses its normal, mirrored or two-half drawing path.</t>
  </si>
  <si>
    <t>Draw_WallComponent_TwoHalves</t>
  </si>
  <si>
    <t>Draws one source half and its reflected partner to construct a complete central component.</t>
  </si>
  <si>
    <t>Select_MainWallGraphicTables</t>
  </si>
  <si>
    <t>Selects the Main_Walls graphics, picture offsets and packed position tables.</t>
  </si>
  <si>
    <t>Prepare_WallSpriteDraw</t>
  </si>
  <si>
    <t>Resolves a picture offset and packed position into source pointer, destination pointer, width and height.</t>
  </si>
  <si>
    <t>Draw_WallComponent_Transformed</t>
  </si>
  <si>
    <t>Applies wall-component transformation flags and perspective trimming.</t>
  </si>
  <si>
    <t>Draw_WallComponent_EdgeTransform</t>
  </si>
  <si>
    <t>Draws the extra perspective edge pass for a wall component.</t>
  </si>
  <si>
    <t>Draw_MainWall_Transformed</t>
  </si>
  <si>
    <t>Applies main-wall transformation flags, horizontal bit reversal and perspective trimming.</t>
  </si>
  <si>
    <t>Draw_MainWall_EdgeTransform</t>
  </si>
  <si>
    <t>Draws the horizontally reversed perspective edge pass for a stone wall.</t>
  </si>
  <si>
    <t>Draw_WallSprite_BitReversed</t>
  </si>
  <si>
    <t>Writes normal wall rows after horizontally reversing their planar source bits.</t>
  </si>
  <si>
    <t>Raw socket pixels</t>
  </si>
  <si>
    <t>Selects individual socket pictures.</t>
  </si>
  <si>
    <t>Contains the exact X/Y/width/height rectangle for each projected wall view.</t>
  </si>
  <si>
    <t>Supplies the colour selections.</t>
  </si>
  <si>
    <t>_offset_Dungeon_ViewCell_OcclusionMasks_0x48</t>
  </si>
  <si>
    <t>_offset_Dungeon_ViewCell_VisibleFaceMasks_0x48</t>
  </si>
  <si>
    <t>GFX_Firepath_ColourMasks</t>
  </si>
  <si>
    <t>$9150</t>
  </si>
  <si>
    <t>Set_TriggerPad_ColourMask</t>
  </si>
  <si>
    <t>MonsterBlock_mod0</t>
  </si>
  <si>
    <t>MonsteBlock_serp</t>
  </si>
  <si>
    <t>MonsterBlock_moon</t>
  </si>
  <si>
    <t>MonsterBlock_drag</t>
  </si>
  <si>
    <t>MonsterBlock_chaos</t>
  </si>
  <si>
    <t>MonsterBlock_zendik</t>
  </si>
  <si>
    <t>Draw_MainWallFace_ByPatternParity</t>
  </si>
  <si>
    <t>Dispatches one main-wall face through the ordinary or lookup-selected/bit-reversed path according to (player X + player Y + facing) &amp; 1.</t>
  </si>
  <si>
    <t>Selects and draws one projected stone-wall face. Selects the parity-1 main-wall picture using GFX_Main_Wall_SpriteTable and draws it through the bit-reversed path.</t>
  </si>
  <si>
    <t>Draws the floor and ceiling bands used by the dungeon viewport. Selects the ordinary or horizontally bit-reversed floor/ceiling renderer according to the dungeon pattern parity.</t>
  </si>
  <si>
    <t>Copies source rows into the floor and ceiling areas of the dungeon viewport. Copies the parity-1 floor and ceiling rows directly into the dungeon viewport.</t>
  </si>
  <si>
    <t>Clears the nineteen-rowhorizontal  view area between the ceiling and floor bands.</t>
  </si>
  <si>
    <t>Draws the horizontally bit-reversed floor and ceiling bands for parity 0.</t>
  </si>
  <si>
    <t>Loop used to write the bit-reversed floor and ceiling rows. Bit-reverses and writes each floor/ceiling source row from the opposite side of the viewport.</t>
  </si>
  <si>
    <t>Select_MainSwitch_ColourMask</t>
  </si>
  <si>
    <t>Selects the switch colour table before falling through to the coordinate-derived colour-mask lookup.</t>
  </si>
  <si>
    <t>Calculate_WallOverlay_ColourIndex</t>
  </si>
  <si>
    <t>Calculates map X plus map Y for generated signs, wall scrolls and non-zero switch colour selection.</t>
  </si>
  <si>
    <t>Load_WallOverlay_ColourMask</t>
  </si>
  <si>
    <t>Masks the colour index to eight entries, multiplies it by four and loads the selected four-byte colour mask.</t>
  </si>
  <si>
    <t>Draw_Main_Door_Or_Stairs</t>
  </si>
  <si>
    <t>Applies the large-door lock mask and selects open, metal or portcullis artwork, or dispatches the shared stairs path.</t>
  </si>
  <si>
    <t>$B52A</t>
  </si>
  <si>
    <t>$B5C2</t>
  </si>
  <si>
    <t>$B60E</t>
  </si>
  <si>
    <t>$18100</t>
  </si>
  <si>
    <t>GFX_Floor_Pit</t>
  </si>
  <si>
    <t>Floor_Pit.gfx</t>
  </si>
  <si>
    <t>Floor-pit artwork used for type-6 floor holes.</t>
  </si>
  <si>
    <t>GFX_Trigger_Pad</t>
  </si>
  <si>
    <t>Trigger_Pad.gfx</t>
  </si>
  <si>
    <t>Recolourable trigger-pad template, also reused by Firepath.</t>
  </si>
  <si>
    <t>GFX_Ceiling_Hole</t>
  </si>
  <si>
    <t>Ceiling_Hole.gfx</t>
  </si>
  <si>
    <t>Ceiling-hole artwork; may coexist with a floor pit or trigger pad.</t>
  </si>
  <si>
    <t>GFX_FloorPit_TriggerPad_Offsets</t>
  </si>
  <si>
    <t>FloorPit_TriggerPad.offsets</t>
  </si>
  <si>
    <t>Shared picture offsets for floor-pit and trigger-pad artwork.</t>
  </si>
  <si>
    <t>GFX_Ceiling_Hole_Offsets</t>
  </si>
  <si>
    <t>Ceiling_Hole.offsets</t>
  </si>
  <si>
    <t>Picture offsets for ceiling-hole artwork.</t>
  </si>
  <si>
    <t>GFX_FloorPit_TriggerPad_Positions</t>
  </si>
  <si>
    <t>FloorPit_TriggerPad.positions</t>
  </si>
  <si>
    <t>Shared projected positions for floor pits and trigger pads, including the current-player square.</t>
  </si>
  <si>
    <t>GFX_Ceiling_Hole_Positions</t>
  </si>
  <si>
    <t>Ceiling_Hole.positions</t>
  </si>
  <si>
    <t>Projected ceiling-hole positions, including the current-player square.</t>
  </si>
  <si>
    <t>Champion_Class.colours</t>
  </si>
  <si>
    <t>$80EA</t>
  </si>
  <si>
    <t>Four colour-mask records used when composing champion shield avatars.</t>
  </si>
  <si>
    <t>Character_GetClassIndex</t>
  </si>
  <si>
    <t>Converts a champion or character number into one of the four class indices.</t>
  </si>
  <si>
    <t>Draw_ChampionStats</t>
  </si>
  <si>
    <t>Draw_ChampionLargeAvatar</t>
  </si>
  <si>
    <t>Selects and draws one 32×30 large champion avatar.</t>
  </si>
  <si>
    <t>Get_ChampionShieldScreenPosition</t>
  </si>
  <si>
    <t>Calculates the screen destination for a champion shield/avatar slot.</t>
  </si>
  <si>
    <t>Selects statistics mode, draws the tall scroll using D5=$38, prints ChampionStatsScroll_FoodTextTemplate and draws the champion food bar from record byte $10.</t>
  </si>
  <si>
    <t>Scale_ValueToBarLength</t>
  </si>
  <si>
    <t>Draw_ChampionStats_DefaultPosition</t>
  </si>
  <si>
    <t>ChampionStatsScroll_FoodTextTemplate</t>
  </si>
  <si>
    <t>champion-stats-scroll-food.text</t>
  </si>
  <si>
    <t>$E664</t>
  </si>
  <si>
    <t>Print_fflim_text stream for FOOD. Uses ink $D for the heading and ink $4 for raw GameFont glyphs $02/$03 surrounding six bar cells.</t>
  </si>
  <si>
    <t>Draw_ScrollFrame</t>
  </si>
  <si>
    <t>Sets the default scroll Y position to $2A, then enters Draw_ChampionStats.</t>
  </si>
  <si>
    <t>Draws the scroll frame, inserts fields from the selected 32-byte champion record into ChampionStatsScroll_TextTemplate, then calls Print_fflim_text. D5 supplies the scroll Y position.</t>
  </si>
  <si>
    <t>ChampionStats_InsertFieldsLoop</t>
  </si>
  <si>
    <t>Copies seven champion fields into their corresponding positions within the writable formatted-text template.</t>
  </si>
  <si>
    <t>ChampionStatsScroll_FieldAndTextOffsets</t>
  </si>
  <si>
    <t>champion-stats-scroll.lookup</t>
  </si>
  <si>
    <t>$C840</t>
  </si>
  <si>
    <t>Two parallel seven-byte tables: champion-record field offsets followed by destination offsets within ChampionStatsScroll_TextTemplate.</t>
  </si>
  <si>
    <t>ChampionStatsScroll_TextTemplate</t>
  </si>
  <si>
    <t>champion-stats-scroll.text</t>
  </si>
  <si>
    <t>$C84E</t>
  </si>
  <si>
    <t>Writable Print_fflim_text command stream for the stats scroll. $FC sets coordinates, $FE ink, $FD background and $FF terminates; runtime code inserts the selected champion’s values.</t>
  </si>
  <si>
    <t>Generic scroll-frame renderer used outside the champion screen too. Draws colour-$3 background, 96x15 caps and 16x58 sides at X offsets 0 and 80; applies player-specific screen offsets.</t>
  </si>
  <si>
    <t>Draw_PlanarGraphic</t>
  </si>
  <si>
    <t>Pushes the packed DBRA width/height counts from D5 and enters the generic four-plane graphic renderer.</t>
  </si>
  <si>
    <t>ConvertByteToDecimal_HighNibbleAdjustments</t>
  </si>
  <si>
    <t>Adjustment table used while converting a binary byte into printable decimal digits.</t>
  </si>
  <si>
    <t>Convert_ByteToDecimalText</t>
  </si>
  <si>
    <t>Converts the byte in D0 into two ASCII decimal digits returned in D1 for insertion into formatted text.</t>
  </si>
  <si>
    <t>Convert_PackedBCDToASCII</t>
  </si>
  <si>
    <t>Converts both nibbles of the packed value into ASCII characters.</t>
  </si>
  <si>
    <t>Convert_NibbleToASCII</t>
  </si>
  <si>
    <t>Converts a hexadecimal nibble to its ASCII character representation.</t>
  </si>
  <si>
    <t>Draw_ObjectOnFloor</t>
  </si>
  <si>
    <t>Resolves object mini-space, view cell and distance into one of five projected floor graphics and its screen position.</t>
  </si>
  <si>
    <t>Draw_ObjectOnFloor_ResolveGraphic</t>
  </si>
  <si>
    <t>Loads the object's floor shape, recolour definition, graphics offset and selected projection.</t>
  </si>
  <si>
    <t>Draw_ObjectOnFloor_ResolveWidth</t>
  </si>
  <si>
    <t>Selects the normal or wide floor-object drawing width.</t>
  </si>
  <si>
    <t>Draw_ObjectOnFloor_Blit</t>
  </si>
  <si>
    <t>Applies the shape-specific Y adjustment and draws the recoloured floor-object graphic.</t>
  </si>
  <si>
    <t>Calculate_CharacterArmourLevel</t>
  </si>
  <si>
    <t>Calculate_WeaponCombatBonuses</t>
  </si>
  <si>
    <t>Use_FoodOrCountedObject</t>
  </si>
  <si>
    <t>Draw_FoodStatus</t>
  </si>
  <si>
    <t>Draws the FOOD label and the food-level bar scaled against the $00-$C7 food value.</t>
  </si>
  <si>
    <t>Prepare_HeldObjectDescription</t>
  </si>
  <si>
    <t>Handles champion-remains ownership before resolving and printing the held object's description.</t>
  </si>
  <si>
    <t>Bow_ActionBitShiftCounts</t>
  </si>
  <si>
    <t>$27FC</t>
  </si>
  <si>
    <t>Selects the bit shift applied by each of the three bow object types.</t>
  </si>
  <si>
    <t>Bow_ActionValueAdjustments</t>
  </si>
  <si>
    <t>$27FF</t>
  </si>
  <si>
    <t>Adds the final per-bow adjustment after the bow action value is shifted.</t>
  </si>
  <si>
    <t>Monster_Grades?_5FD6</t>
  </si>
  <si>
    <t>Shield_ArmourBonuses</t>
  </si>
  <si>
    <t>$5FF6</t>
  </si>
  <si>
    <t>Maps shield objects $24-$2A to armour contributions; the eighth byte is unused by the seven-entry range.</t>
  </si>
  <si>
    <t>Character_WornArmour_RenderOverrides</t>
  </si>
  <si>
    <t>Character_WornArmour_RenderOverrides.lookup</t>
  </si>
  <si>
    <t>$A40E</t>
  </si>
  <si>
    <t>Maps worn body armour $1B-$23 to the alternate character body and colour override flags.</t>
  </si>
  <si>
    <t>GFX_ObjectsOnFloor_SubpositionRotation</t>
  </si>
  <si>
    <t>$92FE</t>
  </si>
  <si>
    <t>$930E</t>
  </si>
  <si>
    <t>$9312</t>
  </si>
  <si>
    <t>$9325</t>
  </si>
  <si>
    <t>$932D</t>
  </si>
  <si>
    <t>$9332</t>
  </si>
  <si>
    <t>ObjectsOnFloor_Widths.widths</t>
  </si>
  <si>
    <t>$9432</t>
  </si>
  <si>
    <t>Per-projection width selectors used by the wide floor-object graphic shapes.</t>
  </si>
  <si>
    <t>GFX_ObjectsOnFloor_XPositions</t>
  </si>
  <si>
    <t>ObjectsOnFloor_XPositions.positions</t>
  </si>
  <si>
    <t>$9438</t>
  </si>
  <si>
    <t>X positions for 19 view cells multiplied by four rotated object mini-spaces; $80 suppresses drawing.</t>
  </si>
  <si>
    <t>GFX_ObjectsOnFloor_SpecialXPositions</t>
  </si>
  <si>
    <t>ObjectsOnFloor_SpecialXPositions.positions</t>
  </si>
  <si>
    <t>$9484</t>
  </si>
  <si>
    <t>Alternative X positions used by the special floor-object placement path.</t>
  </si>
  <si>
    <t>GFX_ObjectsOnFloor_YAdjustments</t>
  </si>
  <si>
    <t>ObjectsOnFloor_YAdjustments.positions</t>
  </si>
  <si>
    <t>$9498</t>
  </si>
  <si>
    <t>Per-shape and per-projection Y adjustments: 27 shapes multiplied by five views, followed by one spare byte.</t>
  </si>
  <si>
    <t>Weapon_CombatModifiers</t>
  </si>
  <si>
    <t>$6058</t>
  </si>
  <si>
    <t>Character_ArmourMaterial_PalettePairEnds</t>
  </si>
  <si>
    <t>characters-armour-material.palette</t>
  </si>
  <si>
    <t>$A81E</t>
  </si>
  <si>
    <t>Maps ordinary, Mithril, Adamant and Crystal armour material codes to the brighter palette index of each adjacent dark/light colour pair.</t>
  </si>
  <si>
    <t>Resolve_PhysicalAttack</t>
  </si>
  <si>
    <t>Load_CombatantCombatValues</t>
  </si>
  <si>
    <t>Loads champion or monster combat statistics and applies equipment and active-spell modifiers.</t>
  </si>
  <si>
    <t>Prepare_AttackAndDefenceScores</t>
  </si>
  <si>
    <t>Calculate_AttackerCombatScore</t>
  </si>
  <si>
    <t>Prepare_CharacterComponentColourMask</t>
  </si>
  <si>
    <t>Builds a character-component colour mask and applies worn-armour material and character-specific palette substitutions.</t>
  </si>
  <si>
    <t>Object_Definition_Table</t>
  </si>
  <si>
    <t>$E13E</t>
  </si>
  <si>
    <t>objectdefinitions.block</t>
  </si>
  <si>
    <r>
      <t xml:space="preserve">Complete </t>
    </r>
    <r>
      <rPr>
        <sz val="10"/>
        <color theme="1"/>
        <rFont val="Arial Unicode MS"/>
        <family val="2"/>
      </rPr>
      <t>$6E × 4</t>
    </r>
    <r>
      <rPr>
        <sz val="12"/>
        <color theme="1"/>
        <rFont val="Aptos Narrow"/>
        <family val="2"/>
        <scheme val="minor"/>
      </rPr>
      <t xml:space="preserve"> object-definition table: pocket graphic, pocket colour, first name word and second name word.</t>
    </r>
  </si>
  <si>
    <t>_Offset_Object_Definition_Table_0x01</t>
  </si>
  <si>
    <r>
      <t xml:space="preserve">Pocket graphic recolour/palette field at byte </t>
    </r>
    <r>
      <rPr>
        <sz val="10"/>
        <color theme="1"/>
        <rFont val="Arial Unicode MS"/>
        <family val="2"/>
      </rPr>
      <t>$01</t>
    </r>
    <r>
      <rPr>
        <sz val="12"/>
        <color theme="1"/>
        <rFont val="Aptos Narrow"/>
        <family val="2"/>
        <scheme val="minor"/>
      </rPr>
      <t xml:space="preserve"> of each four-byte object record.</t>
    </r>
  </si>
  <si>
    <t>_Offset_Object_Definition_Table_0x02</t>
  </si>
  <si>
    <r>
      <t xml:space="preserve">First object-name word field at byte </t>
    </r>
    <r>
      <rPr>
        <sz val="10"/>
        <color theme="1"/>
        <rFont val="Arial Unicode MS"/>
        <family val="2"/>
      </rPr>
      <t>$02</t>
    </r>
    <r>
      <rPr>
        <sz val="12"/>
        <color theme="1"/>
        <rFont val="Aptos Narrow"/>
        <family val="2"/>
        <scheme val="minor"/>
      </rPr>
      <t>; the following byte is the second word field.</t>
    </r>
  </si>
  <si>
    <t>ObjectsOnFloor_Projection.layout</t>
  </si>
  <si>
    <t>Combined floor-object projection layout containing sub-position rotation, depth bias, view-cell depth, projection groups, base Y positions and shelf/special Y adjustments.</t>
  </si>
  <si>
    <t>_Offset_GFX_ObjectsOnFloor_SubpositionRotation_0x10</t>
  </si>
  <si>
    <t>_Offset_GFX_ObjectsOnFloor_SubpositionRotation_0x14</t>
  </si>
  <si>
    <t>_Offset_GFX_ObjectsOnFloor_SubpositionRotation_0x27</t>
  </si>
  <si>
    <t>_Offset_GFX_ObjectsOnFloor_SubpositionRotation_0x2F</t>
  </si>
  <si>
    <t>_Offset_GFX_ObjectsOnFloor_SubpositionRotation_0x34</t>
  </si>
  <si>
    <t>Decrement_CharacterTimerLowBits</t>
  </si>
  <si>
    <t>Decrements the low three-bit character timer while preserving its control bits.</t>
  </si>
  <si>
    <t>Update_CharacterAttackCooldown</t>
  </si>
  <si>
    <t>Updates the physical-attack cooldown stored at champion byte $1B while preserving bit 5.</t>
  </si>
  <si>
    <t>Update_CharacterActionTimers</t>
  </si>
  <si>
    <t>Updates the champion attack cooldown and general action-speed countdown.</t>
  </si>
  <si>
    <t>Prepare_PhysicalAttackContext</t>
  </si>
  <si>
    <t>Derives the attack-facing state and defence conditions before resolving a physical attack.</t>
  </si>
  <si>
    <t>PhysicalAttack_TargetFacingPath</t>
  </si>
  <si>
    <t>Calculates the relative attack direction using the target's facing or sub-position.</t>
  </si>
  <si>
    <t>Apply_CutpurseBackstabEligibility</t>
  </si>
  <si>
    <t>Retains a possible rear attack only when the attacker's profession index is 3: Cutpurse.</t>
  </si>
  <si>
    <t>Execute_PhysicalAttack</t>
  </si>
  <si>
    <t>Sets the attack cooldown, resolves physical combat and applies the resulting damage.</t>
  </si>
  <si>
    <t>Recalculate_CharacterDerivedStats</t>
  </si>
  <si>
    <t>Recalculates derived champion values including spell thresholds and the Level/Agility action-speed reload.</t>
  </si>
  <si>
    <t>PhysicalAttack_BackstabState</t>
  </si>
  <si>
    <t>Temporary attack-direction state: zero enables the Cutpurse backstab; non-zero or $FFFF disables it.</t>
  </si>
  <si>
    <t>Load_ChampionCombatValues</t>
  </si>
  <si>
    <t>Apply_ChampionCombatModifiers</t>
  </si>
  <si>
    <t>Applies armour, held weapon and active worn-spell modifiers to champion combat values.</t>
  </si>
  <si>
    <t>Apply_WarpowerCombatModifiers</t>
  </si>
  <si>
    <t>Applies Warpower magnitude to effective Level, Strength and Agility.</t>
  </si>
  <si>
    <t>Load_NormalChampionCombatStats</t>
  </si>
  <si>
    <t>Loads normal Strength and Agility when Warpower is not active.</t>
  </si>
  <si>
    <t>PhysicalAttack_DoubleDefenceFlag</t>
  </si>
  <si>
    <t>Temporary flag which doubles the calculated defender score when set.</t>
  </si>
  <si>
    <t>Calculate_SpellCastingQuality</t>
  </si>
  <si>
    <t>SpellCasting_ProfessionBaseBonuses</t>
  </si>
  <si>
    <t>SpellCasting_ProfessionBaseBonuses.lookup</t>
  </si>
  <si>
    <t>$6462</t>
  </si>
  <si>
    <t>Four profession-indexed casting bonuses used when the selected spell class matches the champion profession.</t>
  </si>
  <si>
    <t>Apply_PowerStaffSpellCastingBonus</t>
  </si>
  <si>
    <t>Adds the Power Staff casting bonus when the object is held in either hand.</t>
  </si>
  <si>
    <t>SpellCasting_SpellDifficultyPenalties</t>
  </si>
  <si>
    <t>SpellCasting_SpellDifficultyPenalties.lookup</t>
  </si>
  <si>
    <t>$64BA</t>
  </si>
  <si>
    <t>Notice_SpellFizzle</t>
  </si>
  <si>
    <t>Notice_SpellFailed</t>
  </si>
  <si>
    <t>Msg_InstertLoadDisk</t>
  </si>
  <si>
    <t>Msg_InstertSaveDisk</t>
  </si>
  <si>
    <t>Msg_LoadSaveFunctionKeys</t>
  </si>
  <si>
    <t>Msg_Recruit</t>
  </si>
  <si>
    <t>Notice_NumberOfHits</t>
  </si>
  <si>
    <t>Notice_DoorLocked</t>
  </si>
  <si>
    <t>Notice_SelectChampions</t>
  </si>
  <si>
    <t>Notice_SelectChampion</t>
  </si>
  <si>
    <t>Character_GetClassIndex_CombineBits</t>
  </si>
  <si>
    <t>Combines the character-number bit groups before applying the four-profession mask.</t>
  </si>
  <si>
    <t>Return_CharacterOrHeldItemAction</t>
  </si>
  <si>
    <t>Shared return used by character-class calculation and rejected held-item actions.</t>
  </si>
  <si>
    <t>Dispatches held food, counted objects and potions; potions $17-$1A are removed before applying their character-stat effect.</t>
  </si>
  <si>
    <t>Four relative routine offsets for Serpent Slime, Brimstone Broth, Dragon Ale and Moon Elixir.</t>
  </si>
  <si>
    <t>Restores current hit points to the character's maximum hit points.</t>
  </si>
  <si>
    <t>Restores current vitality to the character's maximum vitality.</t>
  </si>
  <si>
    <t>Restores current spell points to maximum and clears the spell cooldown.</t>
  </si>
  <si>
    <t>Clears spell cooldown and restores half of each HP, vitality and spell-point deficit, rounded upward.</t>
  </si>
  <si>
    <t>Potion_2_RestoreStatHalfway</t>
  </si>
  <si>
    <t>Moves one current statistic halfway towards its following maximum-statistic byte, rounding upward.</t>
  </si>
  <si>
    <t>Dispatches counted objects below $05, three-stage food $05-$13 and whole N'Egg food $14-$16.</t>
  </si>
  <si>
    <t>WholeFood_AddValueLoop</t>
  </si>
  <si>
    <t>Adds one $42 food-value step for each N'Egg size before consuming it completely.</t>
  </si>
  <si>
    <t>Consumes one third of food or drink, selects its food-value increase and resolves the remaining object stage.</t>
  </si>
  <si>
    <t>PortionedFood_SelectNextObject</t>
  </si>
  <si>
    <t>Starts resolution of the previous portion graphic or the empty-object result.</t>
  </si>
  <si>
    <t>PortionedFood_FindGroupStartLoop</t>
  </si>
  <si>
    <t>Tests three-object portion groups; each group start becomes empty and other stages decrement.</t>
  </si>
  <si>
    <t>ConsumeFood_StoreRemainingObject</t>
  </si>
  <si>
    <t>Stores the remaining portion object, or $00 when the food has been completely consumed.</t>
  </si>
  <si>
    <t>ConsumeFood_ClampLevel</t>
  </si>
  <si>
    <t>Clamps food level to $C7 when addition carries or reaches the exclusive $C8 limit.</t>
  </si>
  <si>
    <t>ConsumeFood_StoreLevel</t>
  </si>
  <si>
    <t>Stores the updated food level and redraws the remaining held object.</t>
  </si>
  <si>
    <t>Transfers one counted coin, key or arrow between the character count table and the held stack.</t>
  </si>
  <si>
    <t>Cancel_CountedObjectTransfer</t>
  </si>
  <si>
    <t>Restores a counted-object quantity when the transfer cannot proceed.</t>
  </si>
  <si>
    <t>Handles inventory-slot selection, counted stacks, armour restrictions, worn hand armour and held-object swapping.</t>
  </si>
  <si>
    <t>Check_BodyArmourInventorySlot</t>
  </si>
  <si>
    <t>Allows only body-armour objects $1B-$23 in the dedicated body-armour slot.</t>
  </si>
  <si>
    <t>Reject_InventorySlotAction</t>
  </si>
  <si>
    <t>Leaves the objects unchanged, selects the clicked inventory slot and returns.</t>
  </si>
  <si>
    <t>Check_WornHandArmourSlot</t>
  </si>
  <si>
    <t>Handles Chaos Gloves and other worn hand-armour exchanges involving the two hand pockets.</t>
  </si>
  <si>
    <t>Unequip_WornHandArmourToEmptyHand</t>
  </si>
  <si>
    <t>Moves worn hand armour into an empty hand pocket when no object is currently held.</t>
  </si>
  <si>
    <t>Swap_HeldObjectForCountedStack</t>
  </si>
  <si>
    <t>Picks up a complete counted-object stack while placing the previously held non-counted object into the pocket.</t>
  </si>
  <si>
    <t>Merge_MatchingCountedObjectStack</t>
  </si>
  <si>
    <t>Merges held and inventory quantities when both represent the same counted object.</t>
  </si>
  <si>
    <t>Clamp_MatchingCountedObjectStack</t>
  </si>
  <si>
    <t>Clamps the merged inventory quantity to $63.</t>
  </si>
  <si>
    <t>Merge_DifferentCountedObjectStack</t>
  </si>
  <si>
    <t>Adds the held quantity to its existing global count before picking up a different counted stack.</t>
  </si>
  <si>
    <t>Clamp_CountedObjectStack</t>
  </si>
  <si>
    <t>Clamps a counted-object total to $63 before retaining the excess.</t>
  </si>
  <si>
    <t>Store_CountedObjectRemainder</t>
  </si>
  <si>
    <t>Stores quantity remaining above the $63 inventory-count limit in the held stack.</t>
  </si>
  <si>
    <t>Return_HeldCountedObjectToInventory</t>
  </si>
  <si>
    <t>Returns a held counted stack to its global character count.</t>
  </si>
  <si>
    <t>Remove_DuplicateCountedObjectSlots</t>
  </si>
  <si>
    <t>Removes redundant pocket entries for a counted object after returning its quantity.</t>
  </si>
  <si>
    <t>Remove_DuplicateCountedObjectSlots_Loop</t>
  </si>
  <si>
    <t>Scans all twelve character pockets for duplicate counted-object codes.</t>
  </si>
  <si>
    <t>Remove_DuplicateCountedObjectSlots_Next</t>
  </si>
  <si>
    <t>Advances the duplicate counted-object pocket scan.</t>
  </si>
  <si>
    <t>Refresh_InventoryAfterObjectChange</t>
  </si>
  <si>
    <t>Refreshes selection and inventory graphics after an object transfer.</t>
  </si>
  <si>
    <t>Restore_SelectedInventorySlot</t>
  </si>
  <si>
    <t>Restores the selected slot number after auxiliary inventory handling.</t>
  </si>
  <si>
    <t>Finalize_InventoryObjectChange</t>
  </si>
  <si>
    <t>Normalises held counted-object state and redraws the inventory.</t>
  </si>
  <si>
    <t>Refresh_HeldItemDisplay</t>
  </si>
  <si>
    <t>Updates the held-item description, graphic, quantity and optional food bar.</t>
  </si>
  <si>
    <t>Draw_HeldItemPanel</t>
  </si>
  <si>
    <t>Draws the held-item panel pieces followed by the held object's pocket graphic and quantity.</t>
  </si>
  <si>
    <t>Draw_HeldItemPanelPieces_Loop</t>
  </si>
  <si>
    <t>Return_FromHeldItemDisplay</t>
  </si>
  <si>
    <t>Returns when the held item does not require the food-status display.</t>
  </si>
  <si>
    <t>Draw_FoodLevelBar</t>
  </si>
  <si>
    <t>Reads champion food byte $10 and draws its bar scaled from $00 to $C7.</t>
  </si>
  <si>
    <t>Draw_HeldObjectDescription</t>
  </si>
  <si>
    <t>Prints an empty description or prepares the selected held object's description.</t>
  </si>
  <si>
    <t>Resolve_HeldObjectDescription</t>
  </si>
  <si>
    <t>Resolves the normal object-definition text after optional champion-remains ownership handling.</t>
  </si>
  <si>
    <t>Draw_SelectedInventorySlotFrame</t>
  </si>
  <si>
    <t>Draws the highlight frame around the selected character inventory slot.</t>
  </si>
  <si>
    <t>Comms_ResponseHandlerOffsets</t>
  </si>
  <si>
    <t>Selects the response handler for the other character's preceding communication action.</t>
  </si>
  <si>
    <t>Comms_Respond_Recruit</t>
  </si>
  <si>
    <t>Handles the other character's response to Recruit, including attitude, patience and party-capacity checks.</t>
  </si>
  <si>
    <t>Comms_RespondWithRetort</t>
  </si>
  <si>
    <t>Routes an action to the contextual Retort reply generator.</t>
  </si>
  <si>
    <t>Comms_Respond_LowAttitude</t>
  </si>
  <si>
    <t>Selects a hostile or dismissive response when attitude is low.</t>
  </si>
  <si>
    <t>Comms_Respond_WhoGoesOrNameSelf</t>
  </si>
  <si>
    <t>Responds to identity questions, revealing a champion name or special monster identity when permitted.</t>
  </si>
  <si>
    <t>Comms_Respond_ThyTradeOrRevealSelf</t>
  </si>
  <si>
    <t>Responds to profession questions, revealing a champion profession when applicable.</t>
  </si>
  <si>
    <t>Comms_Respond_Persons</t>
  </si>
  <si>
    <t>Selects the response to the Persons inquiry according to attitude and randomness.</t>
  </si>
  <si>
    <t>Comms_Respond_Offer</t>
  </si>
  <si>
    <t>Handles acceptance and transfer of an offered held object or coinage.</t>
  </si>
  <si>
    <t>Comms_TradeModeHandlerOffsets</t>
  </si>
  <si>
    <t>Selects transfer behaviour for the active purchase, exchange or sell mode.</t>
  </si>
  <si>
    <t>Comms_AcceptOfferedObject</t>
  </si>
  <si>
    <t>Accepts an offered object after its tradeability has been checked.</t>
  </si>
  <si>
    <t>Comms_BuyOfferedObject</t>
  </si>
  <si>
    <t>Calculates the attitude-adjusted purchase price of an object offered by the player.</t>
  </si>
  <si>
    <t>Comms_ExchangeOfferedObject</t>
  </si>
  <si>
    <t>Compares offered-object values and completes an acceptable exchange.</t>
  </si>
  <si>
    <t>Comms_Respond_Exchange</t>
  </si>
  <si>
    <t>Compares the offered and requested object values and begins an exchange when acceptable.</t>
  </si>
  <si>
    <t>Comms_Respond_Purchase</t>
  </si>
  <si>
    <t>Selects trader merchandise and produces the response to Purchase.</t>
  </si>
  <si>
    <t>Comms_SelectTraderStock</t>
  </si>
  <si>
    <t>Uses the monster type to select or initialise the object offered for sale.</t>
  </si>
  <si>
    <t>Comms_PrintPurchaseObject</t>
  </si>
  <si>
    <t>Builds the purchase response using the monster's currently offered object.</t>
  </si>
  <si>
    <t>Comms_CompareExchangeObject</t>
  </si>
  <si>
    <t>Loads the trade value of the held object for an exchange comparison.</t>
  </si>
  <si>
    <t>Comms_Respond_Sell</t>
  </si>
  <si>
    <t>Handles the response to Sell and validates the held object and quoted value.</t>
  </si>
  <si>
    <t>Comms_RejectUntradeableObject</t>
  </si>
  <si>
    <t>Rejects an object that cannot safely participate in trading.</t>
  </si>
  <si>
    <t>Comms_Respond_Praise</t>
  </si>
  <si>
    <t>Selects a complimentary, neutral or hostile response to Praise from the current attitude.</t>
  </si>
  <si>
    <t>Comms_Respond_Curse</t>
  </si>
  <si>
    <t>Selects a curse, retort or threat response according to attitude and patience.</t>
  </si>
  <si>
    <t>Comms_Respond_Boast</t>
  </si>
  <si>
    <t>Selects a praise, boast, retort or hostile response to Boast.</t>
  </si>
  <si>
    <t>Comms_Respond_Greeting</t>
  </si>
  <si>
    <t>Selects the initial reply, ranging from hostility to an identity or profession question.</t>
  </si>
  <si>
    <t>Msg_Recruit_PartyFull</t>
  </si>
  <si>
    <t>Character response when Recruit succeeds on attitude but the party has no free slot.</t>
  </si>
  <si>
    <t>Msg_Trade_RipOff</t>
  </si>
  <si>
    <t>Character response when the held object or trade state no longer matches the proposed deal.</t>
  </si>
  <si>
    <t>NeverTrustUnnaturalMsg</t>
  </si>
  <si>
    <t>Msg_Trade_UnnaturalObject</t>
  </si>
  <si>
    <t>Character response rejecting an untradeable or unnatural object.</t>
  </si>
  <si>
    <t>Msg_Recruit_KeepTalking</t>
  </si>
  <si>
    <t>Character response when Recruit attitude is promising but below the joining threshold.</t>
  </si>
  <si>
    <t>Msg_Recruit_Refusal</t>
  </si>
  <si>
    <t>Character response refusing recruitment or interaction.</t>
  </si>
  <si>
    <t>Msg_WhoGoes_NameUnimportant</t>
  </si>
  <si>
    <t>Monster response refusing to reveal a name.</t>
  </si>
  <si>
    <t>Msg_WhoGoes_Zendik</t>
  </si>
  <si>
    <t>Special identity response used when the addressed monster is Zendik.</t>
  </si>
  <si>
    <t>Msg_Trade_TooGreedy</t>
  </si>
  <si>
    <t>Character response when a trade request becomes too greedy.</t>
  </si>
  <si>
    <t>Msg_Trade_OfferTooLow</t>
  </si>
  <si>
    <t>Packed-word character response rejecting an inadequate trade offer.</t>
  </si>
  <si>
    <t>Msg_Trade_GoldOfferTemplate</t>
  </si>
  <si>
    <t>Writable packed-word template used to communicate a generated amount of gold.</t>
  </si>
  <si>
    <t>Comms_ObjectTradeValues</t>
  </si>
  <si>
    <t>Trade values for object codes $14-$3F; $FF marks objects rejected by the trading logic.</t>
  </si>
  <si>
    <t>Comms_TraderStockObjects</t>
  </si>
  <si>
    <t>Object-code pool used to choose merchandise for non-potion monster traders.</t>
  </si>
  <si>
    <t>Comms_GetMonsterTradeObject</t>
  </si>
  <si>
    <t>Returns the object stored in byte $0C of the selected monster record.</t>
  </si>
  <si>
    <t>Comms_PrintGoldOffer</t>
  </si>
  <si>
    <t>Formats a calculated trade value into the packed gold-offer message.</t>
  </si>
  <si>
    <t>Comms_InitialiseMonsterTrader</t>
  </si>
  <si>
    <t>Initialises monster-trader stock and applies the monster's initial attitude penalty.</t>
  </si>
  <si>
    <t>Comms_StartWithTarget</t>
  </si>
  <si>
    <t>Initialises communication state for the selected champion or monster and prints the greeting.</t>
  </si>
  <si>
    <t>Comms_HandleMenuSelection</t>
  </si>
  <si>
    <t>Converts the visible communication menu and button into an action and runs it.</t>
  </si>
  <si>
    <t>Comms_RunAction</t>
  </si>
  <si>
    <t>Stores and dispatches one communication action.</t>
  </si>
  <si>
    <t>Comms_ActionHandlerOffsets</t>
  </si>
  <si>
    <t>Ordered handlers for communication action identifiers $00-$1A.</t>
  </si>
  <si>
    <t>Comms_Action_Recruit</t>
  </si>
  <si>
    <t>Communicates the Recruit request.</t>
  </si>
  <si>
    <t>Comms_Action_None</t>
  </si>
  <si>
    <t>No-operation handler used by the final communication action slot.</t>
  </si>
  <si>
    <t>Comms_Action_Identify</t>
  </si>
  <si>
    <t>Opens the Identify communication submenu.</t>
  </si>
  <si>
    <t>Comms_Action_Inquiry</t>
  </si>
  <si>
    <t>Opens the Inquiry communication submenu.</t>
  </si>
  <si>
    <t>Comms_Action_Whereabouts</t>
  </si>
  <si>
    <t>Communicates the Whereabouts question.</t>
  </si>
  <si>
    <t>Comms_Action_Trading</t>
  </si>
  <si>
    <t>Opens the Trading communication submenu.</t>
  </si>
  <si>
    <t>Comms_Action_Smalltalk</t>
  </si>
  <si>
    <t>Opens the Smalltalk communication submenu.</t>
  </si>
  <si>
    <t>Comms_Action_Yes</t>
  </si>
  <si>
    <t>Communicates Yes and completes an accepted object or coinage transfer when one is pending.</t>
  </si>
  <si>
    <t>Comms_Action_No</t>
  </si>
  <si>
    <t>Communicates No and cancels or refuses the active trading mode.</t>
  </si>
  <si>
    <t>Comms_Action_Bribe</t>
  </si>
  <si>
    <t>Communicates the Bribe question.</t>
  </si>
  <si>
    <t>Comms_Action_Threat</t>
  </si>
  <si>
    <t>Builds a randomized threat and reduces attitude.</t>
  </si>
  <si>
    <t>Comms_CopyThreatFragment</t>
  </si>
  <si>
    <t>Copies one length-prefixed threat fragment into the communication message buffer.</t>
  </si>
  <si>
    <t>Comms_Action_WhoGoes</t>
  </si>
  <si>
    <t>Communicates the Who Goes identity question.</t>
  </si>
  <si>
    <t>Comms_Action_ThyTrade</t>
  </si>
  <si>
    <t>Communicates the Thy Trade profession question.</t>
  </si>
  <si>
    <t>Msg_ThyTrade</t>
  </si>
  <si>
    <t>Question communicated by the Thy Trade button.</t>
  </si>
  <si>
    <t>Comms_Action_NameSelf</t>
  </si>
  <si>
    <t>Builds a message revealing the speaker's name and title.</t>
  </si>
  <si>
    <t>Comms_Action_RevealSelf</t>
  </si>
  <si>
    <t>Builds a message revealing the speaker's profession.</t>
  </si>
  <si>
    <t>Comms_Action_FolkLore</t>
  </si>
  <si>
    <t>Communicates the Folk Lore inquiry.</t>
  </si>
  <si>
    <t>Comms_Action_MagicItems</t>
  </si>
  <si>
    <t>Communicates the Magic Items inquiry.</t>
  </si>
  <si>
    <t>Comms_Action_Objects</t>
  </si>
  <si>
    <t>Communicates the Objects inquiry.</t>
  </si>
  <si>
    <t>Comms_Action_Persons</t>
  </si>
  <si>
    <t>Communicates the Persons inquiry.</t>
  </si>
  <si>
    <t>Msg_FolkLore</t>
  </si>
  <si>
    <t>Question communicated by the Folk Lore button.</t>
  </si>
  <si>
    <t>Msg_MagicItems</t>
  </si>
  <si>
    <t>Question communicated by the Magic Items button.</t>
  </si>
  <si>
    <t>Msg_Objects</t>
  </si>
  <si>
    <t>Question communicated by the Objects button.</t>
  </si>
  <si>
    <t>Msg_Persons</t>
  </si>
  <si>
    <t>Question communicated by the Persons button.</t>
  </si>
  <si>
    <t>Comms_Action_Offer</t>
  </si>
  <si>
    <t>Builds the Offer message from held coinage, a held object or the empty-hand template.</t>
  </si>
  <si>
    <t>Comms_Action_Sell</t>
  </si>
  <si>
    <t>Builds the Sell message and records the held object for the proposed trade.</t>
  </si>
  <si>
    <t>Comms_Action_Purchase</t>
  </si>
  <si>
    <t>Communicates the Purchase question and enters purchase mode.</t>
  </si>
  <si>
    <t>Comms_Action_Exchange</t>
  </si>
  <si>
    <t>Builds the Exchange question and enters exchange mode.</t>
  </si>
  <si>
    <t>Comms_AppendObjectName</t>
  </si>
  <si>
    <t>Appends an object's one- or two-part display name to a packed communication message.</t>
  </si>
  <si>
    <t>Comms_Action_Praise</t>
  </si>
  <si>
    <t>Builds a randomized compliment and raises attitude.</t>
  </si>
  <si>
    <t>Comms_Action_Curse</t>
  </si>
  <si>
    <t>Builds a randomized insult and reduces attitude.</t>
  </si>
  <si>
    <t>Comms_AppendSmalltalkWord</t>
  </si>
  <si>
    <t>Selects and appends one optional word from a praise or curse word range.</t>
  </si>
  <si>
    <t>Comms_BuildSmalltalk</t>
  </si>
  <si>
    <t>Builds a randomized praise or curse from a sentence pattern and three word ranges.</t>
  </si>
  <si>
    <t>Comms_SmalltalkPatternBands</t>
  </si>
  <si>
    <t>Upper bounds and bit masks selecting randomized smalltalk sentence patterns.</t>
  </si>
  <si>
    <t>Comms_PraiseWordRanges</t>
  </si>
  <si>
    <t>Three threshold and starting-word pairs for praise adverbs, adjectives and nouns.</t>
  </si>
  <si>
    <t>Comms_CurseWordRanges</t>
  </si>
  <si>
    <t>Three threshold and starting-word pairs for curse adverbs, adjectives and nouns.</t>
  </si>
  <si>
    <t>Comms_Action_Boast</t>
  </si>
  <si>
    <t>Builds a boast from a randomized personal attribute and superlative.</t>
  </si>
  <si>
    <t>Comms_ActionReplyIndexes</t>
  </si>
  <si>
    <t>Maps each preceding communication action to its contextual fixed-reply entry.</t>
  </si>
  <si>
    <t>Comms_Action_Retort</t>
  </si>
  <si>
    <t>Selects the contextual fixed reply or a randomized agreement fallback.</t>
  </si>
  <si>
    <t>Comms_PrintActionReply</t>
  </si>
  <si>
    <t>Prints the fixed or fallback reply selected for the preceding communication action.</t>
  </si>
  <si>
    <t>NoAnswerList_Offsets</t>
  </si>
  <si>
    <t>Msg_AgreementOffsets</t>
  </si>
  <si>
    <t>Offsets of the four randomized agreement fallback messages.</t>
  </si>
  <si>
    <t>Msg_ActionReplyOffsets</t>
  </si>
  <si>
    <t>Offsets of contextual fixed replies indexed by Comms_ActionReplyIndexes.</t>
  </si>
  <si>
    <t>Msg_Agreement_00</t>
  </si>
  <si>
    <t>Randomized agreement fallback: THAT'S VERY POSSIBLE.</t>
  </si>
  <si>
    <t>Msg_Agreement_01</t>
  </si>
  <si>
    <t>Randomized agreement fallback: I CANNOT BUT AGREE.</t>
  </si>
  <si>
    <t>Msg_Agreement_02</t>
  </si>
  <si>
    <t>Randomized agreement fallback: THAT SEEMS VERY LIKELY.</t>
  </si>
  <si>
    <t>Msg_Agreement_03</t>
  </si>
  <si>
    <t>Randomized agreement fallback: I'M NOT ABOUT TO ARGUE WITH THEE.</t>
  </si>
  <si>
    <t>Msg_Reply_Recruit</t>
  </si>
  <si>
    <t>Contextual reply to Recruit.</t>
  </si>
  <si>
    <t>Msg_Reply_Whereabouts</t>
  </si>
  <si>
    <t>Contextual reply to Whereabouts.</t>
  </si>
  <si>
    <t>Msg_Reply_Yes_UseAgreement</t>
  </si>
  <si>
    <t>$FF sentinel selecting a randomized agreement after Yes.</t>
  </si>
  <si>
    <t>Msg_Reply_No</t>
  </si>
  <si>
    <t>Contextual reply to No.</t>
  </si>
  <si>
    <t>Msg_Reply_Bribe</t>
  </si>
  <si>
    <t>Contextual reply to Bribe.</t>
  </si>
  <si>
    <t>Msg_Reply_Threat</t>
  </si>
  <si>
    <t>Contextual reply to Threat.</t>
  </si>
  <si>
    <t>Msg_Reply_WhoGoes</t>
  </si>
  <si>
    <t>Contextual reply to Who Goes.</t>
  </si>
  <si>
    <t>Msg_Reply_ThyTrade</t>
  </si>
  <si>
    <t>Contextual reply to Thy Trade.</t>
  </si>
  <si>
    <t>Msg_Reply_NameSelf_UseAgreement</t>
  </si>
  <si>
    <t>$FF sentinel selecting a randomized agreement after Name Self.</t>
  </si>
  <si>
    <t>Msg_Reply_RevealSelf_UseAgreement</t>
  </si>
  <si>
    <t>$FF sentinel selecting a randomized agreement after Reveal Self.</t>
  </si>
  <si>
    <t>Msg_Reply_FolkLore</t>
  </si>
  <si>
    <t>Contextual reply to Folk Lore.</t>
  </si>
  <si>
    <t>Msg_Reply_MagicItems</t>
  </si>
  <si>
    <t>Contextual reply to Magic Items.</t>
  </si>
  <si>
    <t>Msg_Reply_Objects</t>
  </si>
  <si>
    <t>Contextual reply to Objects.</t>
  </si>
  <si>
    <t>Msg_Reply_Persons</t>
  </si>
  <si>
    <t>Contextual reply to Persons.</t>
  </si>
  <si>
    <t>Msg_Reply_Offer</t>
  </si>
  <si>
    <t>Contextual reply to Offer.</t>
  </si>
  <si>
    <t>Msg_Reply_Purchase</t>
  </si>
  <si>
    <t>Contextual reply to Purchase.</t>
  </si>
  <si>
    <t>Msg_Reply_Exchange</t>
  </si>
  <si>
    <t>Contextual reply to Exchange.</t>
  </si>
  <si>
    <t>Msg_Reply_Sell</t>
  </si>
  <si>
    <t>Contextual reply to Sell.</t>
  </si>
  <si>
    <t>Msg_Reply_Praise_UseAgreement</t>
  </si>
  <si>
    <t>$FF sentinel selecting a randomized agreement after Praise.</t>
  </si>
  <si>
    <t>Msg_Reply_Curse</t>
  </si>
  <si>
    <t>Contextual reply to Curse.</t>
  </si>
  <si>
    <t>Msg_Reply_Boast</t>
  </si>
  <si>
    <t>Contextual reply to Boast.</t>
  </si>
  <si>
    <t>Msg_Reply_Retort_UseAgreement</t>
  </si>
  <si>
    <t>$FF sentinel selecting a randomized agreement after Retort.</t>
  </si>
  <si>
    <t>Msg_Reply_Greeting</t>
  </si>
  <si>
    <t>Contextual dismissive reply to the initial Greeting.</t>
  </si>
  <si>
    <t>Msg_NameSelfTemplate</t>
  </si>
  <si>
    <t>Packed-word template patched with the speaker's name and title.</t>
  </si>
  <si>
    <t>Msg_BoastTemplate</t>
  </si>
  <si>
    <t>Packed-word template patched with a personal attribute and superlative.</t>
  </si>
  <si>
    <t>Comms_MessageBuffer</t>
  </si>
  <si>
    <t>Thirty-byte writable buffer used to assemble dynamic communication messages.</t>
  </si>
  <si>
    <t>Comms_ThreatOpeningFragments</t>
  </si>
  <si>
    <t>Length-prefixed threat openings: BE ASIDE, DEPART, BEGONE and GO AWAY.</t>
  </si>
  <si>
    <t>Comms_ThreatConsequenceFragments</t>
  </si>
  <si>
    <t>Length-prefixed threat consequences: SUFFER, DIE, BE SORRY and FIGHT.</t>
  </si>
  <si>
    <t>Msg_Greeting</t>
  </si>
  <si>
    <t>Packed-word initial GREETINGS message.</t>
  </si>
  <si>
    <t>Msg_WhoGoes</t>
  </si>
  <si>
    <t>Packed-word question communicated by the Who Goes button.</t>
  </si>
  <si>
    <t>Msg_RevealSelfTemplate</t>
  </si>
  <si>
    <t>Packed-word profession statement patched for Wizard, Adventurer, Cutpurse or Warrior.</t>
  </si>
  <si>
    <t>Msg_Exchange</t>
  </si>
  <si>
    <t>Packed-word Exchange question used when no object is held.</t>
  </si>
  <si>
    <t>Msg_ExchangeHeldItemTemplate</t>
  </si>
  <si>
    <t>Packed-word Exchange question patched with the held object name.</t>
  </si>
  <si>
    <t>Msg_Bribe</t>
  </si>
  <si>
    <t>Packed-word question communicated by the Bribe button.</t>
  </si>
  <si>
    <t>Msg_Whereabouts</t>
  </si>
  <si>
    <t>Question communicated by the Whereabouts button.</t>
  </si>
  <si>
    <t>Msg_OfferOrSellTemplate</t>
  </si>
  <si>
    <t>Packed-word template patched to ask about giving or selling an unspecified object.</t>
  </si>
  <si>
    <t>Msg_OfferHeldItemTemplate</t>
  </si>
  <si>
    <t>Packed-word Offer question patched with the held object name.</t>
  </si>
  <si>
    <t>Msg_SellHeldItemTemplate</t>
  </si>
  <si>
    <t>Packed-word Sell question patched with the held object name.</t>
  </si>
  <si>
    <t>Msg_Purchase</t>
  </si>
  <si>
    <t>Packed-word question communicated by the Purchase button.</t>
  </si>
  <si>
    <t>Request communicated by the Recruit button.</t>
  </si>
  <si>
    <t>Comms_GetState</t>
  </si>
  <si>
    <t>Returns the active player's sixteen-byte communication state record.</t>
  </si>
  <si>
    <t>Spells_04_Beguile</t>
  </si>
  <si>
    <t>While communication is active, adds floor(spell power / 4) + 1 to both attitude and patience.</t>
  </si>
  <si>
    <t>Comms_StateRecords</t>
  </si>
  <si>
    <t>Two sixteen-byte communication state records, one for each player.</t>
  </si>
  <si>
    <t>Handle_SelectedPocketObject</t>
  </si>
  <si>
    <t>Normalize_HeldNonCountedObjectQuantity</t>
  </si>
  <si>
    <t>Transfers one counted object from the champion count table to the held stack, provided the held quantity is below $63.</t>
  </si>
  <si>
    <t>Processes the object in the selected champion pocket, including counted-object pickup, merging and ordinary held-object swapping.</t>
  </si>
  <si>
    <t>Swap_HeldObjectWithPocket</t>
  </si>
  <si>
    <t>Stores the previous held object in the selected pocket and makes the pocket object the new held object.</t>
  </si>
  <si>
    <t>Sets the held quantity to one when the resulting held state is empty or contains a non-counted object.</t>
  </si>
  <si>
    <t>Initialize_SpellPracticeThresholds</t>
  </si>
  <si>
    <t>Initialises calculated spell-practice values for all sixteen champion records.</t>
  </si>
  <si>
    <t>SpellPractice_ThresholdLoop</t>
  </si>
  <si>
    <t>Calculate_SpellPracticeThreshold</t>
  </si>
  <si>
    <t>Calculates a champion's spell-practice threshold from Wizard-weighted level and half Intelligence, clamped to $63.</t>
  </si>
  <si>
    <t>SpellPractice_StoreThreshold</t>
  </si>
  <si>
    <t>Stores the calculated spell-practice threshold in the champion record.</t>
  </si>
  <si>
    <t>Calculate_WarriorLevelContribution</t>
  </si>
  <si>
    <t>Calculates the Warrior-weighted contribution of a champion's level.</t>
  </si>
  <si>
    <t>WarriorLevel_ChampionTypeShifts</t>
  </si>
  <si>
    <t>Selects full, quarter or special three-quarter level weighting for each champion type.</t>
  </si>
  <si>
    <t>Calculate_WizardLevelContribution</t>
  </si>
  <si>
    <t>Calculates the Wizard-weighted contribution of a champion's level.</t>
  </si>
  <si>
    <t>WizardLevel_ChampionTypeShifts</t>
  </si>
  <si>
    <t>Selects quarter, full or half Wizard-level weighting for each champion type.</t>
  </si>
  <si>
    <t>Calculate_CutpurseLevelContribution</t>
  </si>
  <si>
    <t>Calculates the Cutpurse-weighted contribution of a champion's level.</t>
  </si>
  <si>
    <t>Calculate_ShiftedChampionLevel</t>
  </si>
  <si>
    <t>Loads the champion's level and applies the selected right-shift weighting.</t>
  </si>
  <si>
    <t>CutpurseLevel_ChampionTypeShifts</t>
  </si>
  <si>
    <t>Selects quarter, half or full Cutpurse-level weighting for each champion type.</t>
  </si>
  <si>
    <t>Close_AttackedChampionCommunicationPanels</t>
  </si>
  <si>
    <t>Closes either player's communication panel when its selected target is the champion being attacked.</t>
  </si>
  <si>
    <t>Close_PlayerCommunicationIfTargetAttacked</t>
  </si>
  <si>
    <t>Clears one player's communication state when the attacked champion matches the selected target.</t>
  </si>
  <si>
    <t>PhysicalAttack_HandleDefenderRollWin</t>
  </si>
  <si>
    <t>PhysicalAttack_CalculateDamage</t>
  </si>
  <si>
    <t>PhysicalAttack_ApplyBackstabDamage</t>
  </si>
  <si>
    <t>Triples damage when the attack retains backstab eligibility.</t>
  </si>
  <si>
    <t>PhysicalAttack_CalculateArmourReduction</t>
  </si>
  <si>
    <t>Calculates the defender's armour reduction, including conditional upward rounding.</t>
  </si>
  <si>
    <t>PhysicalAttack_RoundArmourReductionUp</t>
  </si>
  <si>
    <t>PhysicalAttack_ApplyArmourReduction</t>
  </si>
  <si>
    <t>Subtracts effective armour before applying hit-quality damage multipliers.</t>
  </si>
  <si>
    <t>PhysicalAttack_StoreDamage</t>
  </si>
  <si>
    <t>Stores the final positive damage in the physical-attack working values.</t>
  </si>
  <si>
    <t>PhysicalAttack_Return</t>
  </si>
  <si>
    <t>Armour_SelectInnateOrSpellValue</t>
  </si>
  <si>
    <t>Selects the greater of innate armour and an active Armour-spell magnitude.</t>
  </si>
  <si>
    <t>Armour_ApplyBodyArmour</t>
  </si>
  <si>
    <t>Armour_ApplyWornHandArmour</t>
  </si>
  <si>
    <t>Armour_ApplyShield</t>
  </si>
  <si>
    <t>Armour_Return</t>
  </si>
  <si>
    <t>Weapon_CheckRightHand</t>
  </si>
  <si>
    <t>Weapon_LoadCombatModifiers</t>
  </si>
  <si>
    <t>Loads random damage, fixed damage, attack and defence modifiers from the selected weapon record.</t>
  </si>
  <si>
    <t>Weapon_ApplyAceOfSwordsRestriction</t>
  </si>
  <si>
    <t>Weapon_ReturnCombatModifiers</t>
  </si>
  <si>
    <t>DefenderScore_StoreResult</t>
  </si>
  <si>
    <t>Stores the completed defender score in the physical-attack working values.</t>
  </si>
  <si>
    <t>AttackerScore_AddStrengthContribution</t>
  </si>
  <si>
    <t>Adds the thresholded effective-Strength contribution to the attacker score.</t>
  </si>
  <si>
    <t>AttackerScore_AddAgilityContribution</t>
  </si>
  <si>
    <t>Adds the thresholded effective-Agility contribution to the attacker score.</t>
  </si>
  <si>
    <t>AttackerScore_StoreResult</t>
  </si>
  <si>
    <t>Stores the completed attacker score in the physical-attack working values.</t>
  </si>
  <si>
    <t>Load_CurrentChampionStatRecord</t>
  </si>
  <si>
    <t>Loads the current player champion number before resolving its statistics record.</t>
  </si>
  <si>
    <t>Load_ChampionStatRecord</t>
  </si>
  <si>
    <t>Converts champion number D0 into a pointer to its 32-byte statistics record in A4.</t>
  </si>
  <si>
    <t>PhysicalAttack_WorkingValues</t>
  </si>
  <si>
    <t>$19B0A</t>
  </si>
  <si>
    <t>$19C0B</t>
  </si>
  <si>
    <t>Current_TowerMapDataBase</t>
  </si>
  <si>
    <t>Pointer to the currently selected tower's map resource immediately after its $38-byte header. Map-cell and object/trap routines use this as their shared data base.</t>
  </si>
  <si>
    <t>Select_CurrentTowerMapData</t>
  </si>
  <si>
    <t>Current_TowerMapOffsets</t>
  </si>
  <si>
    <t>Current_TowerMapHeaderCache</t>
  </si>
  <si>
    <t>Runtime copy of the selected tower's $38-byte map header. It supplies floor dimensions, cell-data offsets, coordinate offsets, and special-floor values to map routines.</t>
  </si>
  <si>
    <t>Player1_PendingAction</t>
  </si>
  <si>
    <t>$EED2</t>
  </si>
  <si>
    <t>Pending action byte for player 1; keyboard and external overlays can write here before the player loop consumes it.</t>
  </si>
  <si>
    <t>Player2_PendingAction</t>
  </si>
  <si>
    <t>$EF34</t>
  </si>
  <si>
    <t>Pending action byte for player 2; keyboard and external overlays can write here before the player loop consumes it.</t>
  </si>
  <si>
    <t>Return_InvalidPlayerAction</t>
  </si>
  <si>
    <t>$4196</t>
  </si>
  <si>
    <t>Returns from invalid or unavailable player-action processing.</t>
  </si>
  <si>
    <t>Reset_PlayerActionState</t>
  </si>
  <si>
    <t>$430A</t>
  </si>
  <si>
    <t>Resets per-player interface state, clears the active action, and restores the invalid-action value.</t>
  </si>
  <si>
    <t>Scan_PlayerInterfaceActions</t>
  </si>
  <si>
    <t>$4C90</t>
  </si>
  <si>
    <t>Scans interface state and resolves direct or pending player actions.</t>
  </si>
  <si>
    <t>Consume_PlayerPendingAction</t>
  </si>
  <si>
    <t>$4D32</t>
  </si>
  <si>
    <t>Copies PlayerX_Data+$56 into PlayerX_Data+$0C, then clears the pending byte.</t>
  </si>
  <si>
    <t>HitTest_PlayerInterfaceActions</t>
  </si>
  <si>
    <t>$4DB4</t>
  </si>
  <si>
    <t>Store_HitTestActionCommand</t>
  </si>
  <si>
    <t>$4DD8</t>
  </si>
  <si>
    <t>Stores the action number selected by the interface hit test.</t>
  </si>
  <si>
    <t>Resolve_PlayerContextAction</t>
  </si>
  <si>
    <t>$4DEA</t>
  </si>
  <si>
    <t>Resolves context-dependent actions and may invoke the display-action hit-test routine.</t>
  </si>
  <si>
    <t>$4E8E</t>
  </si>
  <si>
    <t>Return_ActionDispatchBlocked</t>
  </si>
  <si>
    <t>$5792</t>
  </si>
  <si>
    <t>Exit used when interface-action dispatch is blocked by player state.</t>
  </si>
  <si>
    <t>Dispatch_PlayerInterfaceActionGuarded</t>
  </si>
  <si>
    <t>$57AC</t>
  </si>
  <si>
    <t>Checks player state before dispatching the active action.</t>
  </si>
  <si>
    <t>Dispatch_PlayerInterfaceAction</t>
  </si>
  <si>
    <t>$57BA</t>
  </si>
  <si>
    <t>Indexes the dungeon InterfaceButtons jump table using PlayerX_Data+$0C.</t>
  </si>
  <si>
    <t>HitTest_DisplayAction</t>
  </si>
  <si>
    <t>Handle_WallFeatureClick</t>
  </si>
  <si>
    <t>Handle_PrimaryAttackAction</t>
  </si>
  <si>
    <t>$5F9E</t>
  </si>
  <si>
    <t>Primary attack action handler; sets the primary attack state bit and continues through the common attack routine.</t>
  </si>
  <si>
    <t>Select_AttackingChampion</t>
  </si>
  <si>
    <t>$5FA6</t>
  </si>
  <si>
    <t>Common attack setup that selects the active champion/action participant.</t>
  </si>
  <si>
    <t>Resolve_MultiFunctionContext</t>
  </si>
  <si>
    <t>$64C2</t>
  </si>
  <si>
    <t>Continuation of the multi-function handler; selects interaction, spell, or map-AI behaviour from context.</t>
  </si>
  <si>
    <t>Toggle_WallFeatureOrReportLocked</t>
  </si>
  <si>
    <t>$6552</t>
  </si>
  <si>
    <t>Return_WallFeatureLocked</t>
  </si>
  <si>
    <t>Process_ChampionSelectionAction</t>
  </si>
  <si>
    <t>$C232</t>
  </si>
  <si>
    <t>Processes the champion-selection screen's separate action state.</t>
  </si>
  <si>
    <t>Dispatch_ChampionSelectionAction</t>
  </si>
  <si>
    <t>$C252</t>
  </si>
  <si>
    <t>Dispatches champion-selection actions through the local preview/action table.</t>
  </si>
  <si>
    <t>ChampionSelection_ActionHandlers</t>
  </si>
  <si>
    <t>$C262</t>
  </si>
  <si>
    <t>Champion-selection action handler table; its numeric meanings differ from dungeon InterfaceButtons.</t>
  </si>
  <si>
    <t>DungeonInterfaceActionTable</t>
  </si>
  <si>
    <t>$57CE</t>
  </si>
  <si>
    <t>Dungeon action jump table indexed by PlayerX_Data+$0C.</t>
  </si>
  <si>
    <t>UnpackTowerMonsters</t>
  </si>
  <si>
    <t>Initialises all sixteen champion-stat records for the current tower, recalculates derived values, and marks placed champions on the working map.</t>
  </si>
  <si>
    <t>PrepareCharacters_ChampionLoop</t>
  </si>
  <si>
    <t>Processes the sixteen champion records in table order.</t>
  </si>
  <si>
    <t>.PrepareCharacters_NextChampion</t>
  </si>
  <si>
    <t>Advances to the next champion record after the optional map update.</t>
  </si>
  <si>
    <t>Clears transient state and expands the current tower’s packed monster records into live records.</t>
  </si>
  <si>
    <t>.ClearMonsterTeamIndexLoop</t>
  </si>
  <si>
    <t>Clears the twenty-five four-member team slots.</t>
  </si>
  <si>
    <t>.ClearLiveMonsterRecordsLoop</t>
  </si>
  <si>
    <t>Clears the live-monster workspace before unpacking.</t>
  </si>
  <si>
    <t>Expands one packed six-byte monster record into a sixteen-byte live record.</t>
  </si>
  <si>
    <t>.MonsterPositionHandled</t>
  </si>
  <si>
    <t>Continues after packed-coordinate map handling.</t>
  </si>
  <si>
    <t>.UseMinimumActionCountdown</t>
  </si>
  <si>
    <t>Uses the minimum encoded action countdown.</t>
  </si>
  <si>
    <t>.StoreActionCountdown</t>
  </si>
  <si>
    <t>Stores the level-derived action countdown.</t>
  </si>
  <si>
    <t>.StoreStartingHitPoints</t>
  </si>
  <si>
    <t>Calculates starting hit points from the monster level.</t>
  </si>
  <si>
    <t>Stores the team-group index derived from packed team-data.</t>
  </si>
  <si>
    <t>.AdvanceToNextMonster</t>
  </si>
  <si>
    <t>Advances to the next packed and live monster record.</t>
  </si>
  <si>
    <t>MonsterLevelHitPointMultipliers</t>
  </si>
  <si>
    <t>Per-level hit-point multipliers for lower monster levels.</t>
  </si>
  <si>
    <t>TransferChampionStartPosition</t>
  </si>
  <si>
    <t>.NoChampionStartPosition</t>
  </si>
  <si>
    <t>Returns when the champion has no saved position.</t>
  </si>
  <si>
    <t>Copies the selected tower’s map-pointer block into working memory.</t>
  </si>
  <si>
    <t>.CopyCurrentTowerMapPointerLoop</t>
  </si>
  <si>
    <t>Copies the fourteen map pointers for the selected tower.</t>
  </si>
  <si>
    <t>Live monster workspace at $16B7E, preceded by a two-byte count.</t>
  </si>
  <si>
    <t>MonsterTeamGroupCount</t>
  </si>
  <si>
    <t>Count of populated team groups in MonsterTeamIndexTable.</t>
  </si>
  <si>
    <t>MonsterTeamIndexTable</t>
  </si>
  <si>
    <t>Twenty-five four-byte team groups; $FF marks an empty member slot.</t>
  </si>
  <si>
    <t>Six word offsets selecting the map resource for CurrentTower values 0 through 5. The offsets are relative to MapData1 and include the intervening tower-specific object data. Relative offsets from MapData1 to each tower map-pointer block.</t>
  </si>
  <si>
    <t>Interface_CheckSelectedCellInteraction</t>
  </si>
  <si>
    <t>Interface_ReportCommunicationTargetUnavailable</t>
  </si>
  <si>
    <t>Prints the unavailable-target notice and clears the interface page state.</t>
  </si>
  <si>
    <t>Interface_ProcessSelectedInventoryAction</t>
  </si>
  <si>
    <t>Maps the selected inventory entry, tests the destination cell, removes or applies the object, and prints success or blocked notices.</t>
  </si>
  <si>
    <t>Interface_FinalizeSelectedWorldAction</t>
  </si>
  <si>
    <t>Completes a valid selected-object world action, updates the champion record, and displays the resulting notice.</t>
  </si>
  <si>
    <t>Interface_RemoveSelectedInventoryObject</t>
  </si>
  <si>
    <t>Removes the selected inventory object, compacts the pocket flags, and refreshes inventory state.</t>
  </si>
  <si>
    <t>Interface_OpenInventoryActionSelector</t>
  </si>
  <si>
    <t>Builds the selectable inventory-object list and either opens selection or displays the supplied no-selection notice.</t>
  </si>
  <si>
    <t>Interface_ShowInventoryActionNotice</t>
  </si>
  <si>
    <t>Clears the page state and prints a fixed inventory/action notice.</t>
  </si>
  <si>
    <t>Interface_OpenInventorySelection</t>
  </si>
  <si>
    <t>Selects the inventory-selection page and enters the common selection-prompt path.</t>
  </si>
  <si>
    <t>Interface_InitInventoryActionSelector</t>
  </si>
  <si>
    <t>Marks selection as active, patches the prompt template with the action value, and opens the fixed-message selector.</t>
  </si>
  <si>
    <t>Interface_CommitSelectedInventoryAction</t>
  </si>
  <si>
    <t>Stores the selected inventory action nibble, patches its notice template, and commits the pending action.</t>
  </si>
  <si>
    <t>Interface_CommitSelectedObjectFlags</t>
  </si>
  <si>
    <t>Maps the selected object, clears its active flag, updates the pocket flags, and prints the action notice.</t>
  </si>
  <si>
    <t>Interface_MapSelectedAction</t>
  </si>
  <si>
    <t>Maps the selected button index through the runtime action-selection scratch entries at $7C24; negative entries return the existing Return_InvalidPlayerAction path.</t>
  </si>
  <si>
    <t>Interface_ActionSelectionScratchBuffer</t>
  </si>
  <si>
    <t>Runtime scratch buffer initialised by adrCd007D06 for up to four inventory/action choices; it is not a static extractable table.</t>
  </si>
  <si>
    <t>Interface_ActionSelectionScratchEntries</t>
  </si>
  <si>
    <t>Interior four-entry action/object list populated by adrJA007CA6 and read by Interface_MapSelectedAction; values change with inventory contents.</t>
  </si>
  <si>
    <t>Notice_PartyMemberRejoins</t>
  </si>
  <si>
    <t>Notice_PartyCommand_SelectTarget</t>
  </si>
  <si>
    <t>Packed-word prompt displayed as "WHOM DOST THOU WISH TO &lt;ACTION&gt;?"; the action word is patched at runtime.</t>
  </si>
  <si>
    <t>Packed-word Commend result displayed as "&lt;NAME&gt; ACCEPTS THY HONOUR"; the selected party-member token replaces the default BLODWYN token.</t>
  </si>
  <si>
    <t>Packed-word Correct result displayed as "&lt;NAME&gt; APOLOGISES FOR BREATHING"; the selected party-member token replaces the default BLODWYN token.</t>
  </si>
  <si>
    <t>Packed-word Wait result displayed as "&lt;NAME&gt; WAITS"; the selected party-member token replaces the default BLODWYN token.</t>
  </si>
  <si>
    <t>Packed-word Dismiss result displayed as "&lt;NAME&gt; LEAVES THE PARTY"; the selected party-member token replaces the default BLODWYN token.</t>
  </si>
  <si>
    <t>Packed-word result displayed as "THOU HAST NONE PRESENT TO &lt;ACTION&gt;"; the action word is patched at runtime.</t>
  </si>
  <si>
    <t>Contains the packed phrase "THOU DOST CALL OUT", followed by a second terminated phrase "&lt;NAME&gt; DEPARTS"; only the first phrase is directly referenced here and use of the second remains unresolved.</t>
  </si>
  <si>
    <t>Packed-word View notice displayed as "NORMAL VIEWING RESTORED".</t>
  </si>
  <si>
    <t>Accumulate_PlanarColourMask</t>
  </si>
  <si>
    <t>Maps the clicked shelf height to one of the two shelf object subpositions before shared object handling.</t>
  </si>
  <si>
    <t>Accepts scroll-bearing wall decorations and converts their subtype into a scroll index.</t>
  </si>
  <si>
    <t>Draws the scroll frame, resolves the tower-specific scroll text, and prints it in the interface.</t>
  </si>
  <si>
    <t>Places a held crystal or gem into a wall socket, or dispatches the action for an occupied socket.</t>
  </si>
  <si>
    <t>Verifies the held object matches the occupied socket and dispatches the crystal or gem-specific effect.</t>
  </si>
  <si>
    <t>Prepares and draws a centred dungeon component through the ordinary planar wall-sprite compositor.</t>
  </si>
  <si>
    <t>Selects the pillar graphics tables before entering the centred-component drawing path.</t>
  </si>
  <si>
    <t>Selects the main-wall switch graphic and builds its state-dependent colour mask.</t>
  </si>
  <si>
    <t>Draws a recoloured wall sign followed by its directional generated-symbol overlay when applicable.</t>
  </si>
  <si>
    <t>Suppresses an occluded shelf where necessary and otherwise draws the projected shelf component.</t>
  </si>
  <si>
    <t>Clears the component mirror flag, resolves its geometry, and draws it through the bit-reversed path.</t>
  </si>
  <si>
    <t>Eight recolour values selected from the door-state high nibble for locked-door artwork.</t>
  </si>
  <si>
    <t>Eight four-byte colour masks used to recolour switch artwork according to position and state.</t>
  </si>
  <si>
    <t>Eight four-byte colour masks used for fixed and coordinate-derived main-wall sign colours.</t>
  </si>
  <si>
    <t>Sixteen big-endian offsets selecting directional pictures from SignOverlay.gfx.</t>
  </si>
  <si>
    <t>GamePalette.palette</t>
  </si>
  <si>
    <t>$8A4C</t>
  </si>
  <si>
    <t>Thirty-two Amiga colour-register words: the first sixteen are the main game palette and the remaining entries support the hardware display palette.</t>
  </si>
  <si>
    <t>Dungeon_Firepath.colours</t>
  </si>
  <si>
    <t>Two four-byte colour masks selected by the Firepath renderer after the random colour choice.</t>
  </si>
  <si>
    <t>Converts a visible monster's view cell and sub-position into its graphics distance, screen coordinates, and strip height.</t>
  </si>
  <si>
    <t>Masks a monster render state to five bits and uses the resulting lookup entry for arm or claw animation flags.</t>
  </si>
  <si>
    <t>Selects the monster colour-grade mask from the active grade and the monster-specific palette table.</t>
  </si>
  <si>
    <t>Draws the Beholder's optional eye components selected by its render flags.</t>
  </si>
  <si>
    <t>Converts a Beholder component index into an offset from the packed Beholder graphic bank.</t>
  </si>
  <si>
    <t>Dispatches a monster component to the normal or off-screen drawing path after applying its screen offset.</t>
  </si>
  <si>
    <t>Writes one 16-pixel planar monster strip into the dungeon viewport, applying mirroring and colour substitution.</t>
  </si>
  <si>
    <t>Draws the selected wall overlay and dispatches switch, sign, shelf, socket, or other wall-feature artwork.</t>
  </si>
  <si>
    <t>Composes a champion shield avatar from its top, avatar, class-mask, and bottom planar components.</t>
  </si>
  <si>
    <t>Packed planar floor-object graphics selected by the object shape, colour, and projection tables.</t>
  </si>
  <si>
    <t>Packed four-plane glyph sheet used by the text renderer, including readable glyphs and rune/symbol positions.</t>
  </si>
  <si>
    <t>128x76 floor-and-ceiling source copied into the dungeon viewport by the parity-dependent renderer.</t>
  </si>
  <si>
    <t>Packed planar fireball pictures used for airborne spell codes $80-$85.</t>
  </si>
  <si>
    <t>Packed planar airborne-spell pictures; the renderer uses separate stationary and flying layout tables.</t>
  </si>
  <si>
    <t>Packed pocket/object picture bank addressed in 20-picture banks by the object graphic selector.</t>
  </si>
  <si>
    <t>Packed Summon body and arm pictures shared by the distance, facing, and arm-variant tables.</t>
  </si>
  <si>
    <t>Packed Behemoth body and claw pictures selected by the Behemoth and Entropy render layouts.</t>
  </si>
  <si>
    <t>Packed Crab body and face pictures selected by the Crab render layouts.</t>
  </si>
  <si>
    <t>Packed Dragon body and claw pictures selected by the Dragon render layouts.</t>
  </si>
  <si>
    <t>Packed Entropy body and limb pictures selected by the shared Behemoth/Entropy renderer.</t>
  </si>
  <si>
    <t>MainWall_Action_LookupTable</t>
  </si>
  <si>
    <t>Build_DungeonVisibilityMasks_Loop</t>
  </si>
  <si>
    <t>Scans one player-relative view cell and records whether its map contents block or contribute visible faces.</t>
  </si>
  <si>
    <t>Apply_DungeonOcclusionMasks_Loop</t>
  </si>
  <si>
    <t>Combines the per-cell visible-face and occlusion masks from farthest view cell to nearest.</t>
  </si>
  <si>
    <t>Draw_VisibleDungeonCells_Loop</t>
  </si>
  <si>
    <t>Visits each visible player-relative cell and calls the per-cell dungeon renderer.</t>
  </si>
  <si>
    <t>Process_DungeonViewCellContents</t>
  </si>
  <si>
    <t>Processes floor objects, stationary spells, wall geometry, and occupants for the resolved view cell.</t>
  </si>
  <si>
    <t>Dispatch_DungeonCellType</t>
  </si>
  <si>
    <t>Masks the map-cell type and dispatches non-empty cells to the dungeon-location renderer.</t>
  </si>
  <si>
    <t>Draw_DungeonWallFaces_Loop</t>
  </si>
  <si>
    <t>Iterates the candidate projected faces for the current dungeon cell and draws those surviving visibility tests.</t>
  </si>
  <si>
    <t>Resolve_WoodenWallFace</t>
  </si>
  <si>
    <t>Resolves whether a wooden wall or doorway face is visible from the current candidate direction.</t>
  </si>
  <si>
    <t>Draw_StoneWallFace</t>
  </si>
  <si>
    <t>Selects the projected stone-wall face and any main-wall overlay for the current direction.</t>
  </si>
  <si>
    <t>Draw_DoorOrStairsFace</t>
  </si>
  <si>
    <t>Resolves the visible face slot before dispatching the shared main-door or stairs renderer.</t>
  </si>
  <si>
    <t>Draw_FirepathCell</t>
  </si>
  <si>
    <t>Interprets the Firepath cell state and selects its ordinary or randomly varied colour mask.</t>
  </si>
  <si>
    <t>Select_Firepath_ColourMask</t>
  </si>
  <si>
    <t>Selects one of two Firepath colour masks using the random-value bit at offset four.</t>
  </si>
  <si>
    <t>Draw_FloorFeature</t>
  </si>
  <si>
    <t>Checks centred-slot visibility before composing ceiling holes, floor pits, or trigger pads.</t>
  </si>
  <si>
    <t>Draw_CeilingHole</t>
  </si>
  <si>
    <t>Draws the ceiling-hole component when requested, then continues with the corresponding floor feature.</t>
  </si>
  <si>
    <t>Draw_FloorPitOrTriggerPad</t>
  </si>
  <si>
    <t>Selects floor-pit or trigger-pad artwork and applies the temporary trigger-pad colour mask.</t>
  </si>
  <si>
    <t>Draw_BedOrPillar</t>
  </si>
  <si>
    <t>Selects the bed or pillar graphics, offsets, and projected positions for a centred dungeon cell.</t>
  </si>
  <si>
    <t>Draw_CentredDungeonComponent</t>
  </si>
  <si>
    <t>Maps a centred view cell to a component picture and chooses its normal or mirrored drawing path.</t>
  </si>
  <si>
    <t>Draw_DungeonCellFloorObjects</t>
  </si>
  <si>
    <t>Checks floor-object visibility and walks the four rotated object subpositions in the current dungeon cell.</t>
  </si>
  <si>
    <t>Draw_DungeonCellObjectSubpositions_Loop</t>
  </si>
  <si>
    <t>Iterates the four object subpositions after rotating them into the player-relative facing.</t>
  </si>
  <si>
    <t>Draw_DungeonCellObjects_Loop</t>
  </si>
  <si>
    <t>Draws every object record attached to the current floor subposition.</t>
  </si>
  <si>
    <t>Find_DungeonCellOccupant</t>
  </si>
  <si>
    <t>Resolve_DungeonCellCentredSlot</t>
  </si>
  <si>
    <t>Maps the current view cell to its centred visibility bit and projected slot.</t>
  </si>
  <si>
    <t>Draw_DungeonCellOccupants</t>
  </si>
  <si>
    <t>Finds and draws players, champions, or monsters occupying the visible centred slot.</t>
  </si>
  <si>
    <t>MonsterStrip_BottomY</t>
  </si>
  <si>
    <t>Mutable lower Y clipping boundary used by the 16-pixel monster-strip renderer.</t>
  </si>
  <si>
    <t>Reverse_PlanarLongwordBits</t>
  </si>
  <si>
    <t>Loads the byte-reversal lookup and reverses all 32 bits of a planar source longword.</t>
  </si>
  <si>
    <t>Reverse_PlanarLongwordBits_WithLookup</t>
  </si>
  <si>
    <t>Reverses a planar source longword using four byte lookups when the lookup base is already loaded.</t>
  </si>
  <si>
    <t>Draw_MonsterStrip_Shifted</t>
  </si>
  <si>
    <t>Shifts, clips, mirrors when requested, recolours, and merges a monster strip into the dungeon viewport.</t>
  </si>
  <si>
    <t>Composite_PlanarSpriteWord_IfVisible</t>
  </si>
  <si>
    <t>Skips horizontally clipped words and otherwise recolours and merges one planar sprite word.</t>
  </si>
  <si>
    <t>Merge_PlanarSpriteWord</t>
  </si>
  <si>
    <t>Builds the transparent-pixel mask and merges one sprite word into all four destination bitplanes.</t>
  </si>
  <si>
    <t>Draw_PlanarSprite_Normal</t>
  </si>
  <si>
    <t>Initialises and draws an ordinary aligned or shifted planar sprite into the screen bitplanes.</t>
  </si>
  <si>
    <t>Draw_PlanarSprite_Normal_Setup</t>
  </si>
  <si>
    <t>Calculates the destination address and horizontal shift before entering the normal planar sprite loops.</t>
  </si>
  <si>
    <t>Draw_PlanarSprite_BitReversed</t>
  </si>
  <si>
    <t>Draws a horizontally reversed aligned or shifted planar sprite into the screen bitplanes.</t>
  </si>
  <si>
    <t>Remap_PlanarSpriteColours</t>
  </si>
  <si>
    <t>Remaps the planar source colour indices through the active four-byte colour-mask table.</t>
  </si>
  <si>
    <t>Accumulates destination bitplane bits for one populated source-colour combination.</t>
  </si>
  <si>
    <t>Draw_Main_Slot_Overlay</t>
  </si>
  <si>
    <t>Applies the selected socket or lock-slot colour mask and draws the main-wall slot component.</t>
  </si>
  <si>
    <t>Draw_Main_Switch_Overlay_WithColourMask</t>
  </si>
  <si>
    <t>Applies the resolved switch-state colour mask and draws the main-wall switch component.</t>
  </si>
  <si>
    <t>Select_Main_Sign_MapColour</t>
  </si>
  <si>
    <t>Falls back to a coordinate-derived colour for sign types without a fixed colour entry.</t>
  </si>
  <si>
    <t>Draw_Main_Sign_Base</t>
  </si>
  <si>
    <t>Draws the recoloured sign base before selecting its directional sign-overlay picture.</t>
  </si>
  <si>
    <t>Select_Main_SignOverlay_Direction</t>
  </si>
  <si>
    <t>Derives the generated sign-overlay direction from the map coordinates.</t>
  </si>
  <si>
    <t>Draw_Main_SignOverlay</t>
  </si>
  <si>
    <t>Selects and draws one of the four directional pictures from SignOverlay.gfx.</t>
  </si>
  <si>
    <t>Draw_Main_Shelf_Visible</t>
  </si>
  <si>
    <t>Loads the shelf graphics tables and draws the shelf when its wall-face visibility conditions permit.</t>
  </si>
  <si>
    <t>Select_Main_Door_Graphic</t>
  </si>
  <si>
    <t>Selects open-door, metal-door, or portcullis artwork from the door-state bits.</t>
  </si>
  <si>
    <t>Draw_Main_Door_ByViewCell</t>
  </si>
  <si>
    <t>Chooses the side-face component path or centred two-half construction for the current view cell.</t>
  </si>
  <si>
    <t>Draw_Main_Door_CentredFace</t>
  </si>
  <si>
    <t>Adjusts the centred door slot and orientation before constructing the door from two reflected halves.</t>
  </si>
  <si>
    <t>Draw_Main_Door_Centred_TwoHalves</t>
  </si>
  <si>
    <t>Draws a centred main door from its source half and reflected partner.</t>
  </si>
  <si>
    <t>Draw_Main_Stairs</t>
  </si>
  <si>
    <t>Selects ascending or descending stairs graphics, offsets, and projected positions.</t>
  </si>
  <si>
    <t>Draw_Main_Stairs_ByViewCell</t>
  </si>
  <si>
    <t>Chooses the side-face path, suppresses the farthest central slot, or constructs centred stairs from two halves.</t>
  </si>
  <si>
    <t>Draw_Main_Stairs_SideFace</t>
  </si>
  <si>
    <t>Draws the complete stairs component for a side view cell.</t>
  </si>
  <si>
    <t>Draw_Selected_WoodenWallOrDoorComponent</t>
  </si>
  <si>
    <t>Draws the selected solid wall, doorway frame, or closed wooden-door component.</t>
  </si>
  <si>
    <t>Draw_WallSprite_Normal</t>
  </si>
  <si>
    <t>Initialises the normal wall-sprite source-row stride before entering the shared planar compositor.</t>
  </si>
  <si>
    <t>Draw_WallSprite_Rows_Loop</t>
  </si>
  <si>
    <t>Iterates the source rows and words of an ordinary planar wall or wall-feature sprite.</t>
  </si>
  <si>
    <t>Composite_WallSprite_Row</t>
  </si>
  <si>
    <t>Builds the transparency mask and merges one ordinary planar sprite word into all four destination bitplanes.</t>
  </si>
  <si>
    <t>Draw_WallSprite_BitReversed_Rows_Loop</t>
  </si>
  <si>
    <t>Iterates a horizontally bit-reversed wall sprite through its planar source rows and words.</t>
  </si>
  <si>
    <t>Composite_BitReversedWallSprite_Row</t>
  </si>
  <si>
    <t>Builds the transparency mask and merges one bit-reversed sprite word into all four destination bitplanes.</t>
  </si>
  <si>
    <t>Dungeon_BitplaneMasks.lookup</t>
  </si>
  <si>
    <t>$ACE0</t>
  </si>
  <si>
    <t>Four 32-bit plane-write masks selected by a two-bit colour value during planar graphic composition.</t>
  </si>
  <si>
    <t>function</t>
  </si>
  <si>
    <t>Sound playback routine. D0 selects one of six sound effects; the routine resolves the selected sample and offset, programs Paula audio channel 0, performs timed DMA playback, and restores the interrupted sound-control state.</t>
  </si>
  <si>
    <t>table</t>
  </si>
  <si>
    <t>Six pairs of sound-data offsets and playback periods indexed by D0*4. IDs 0 and 1 use different offsets within sample 1; IDs 2 through 5 select samples 2 through 5.</t>
  </si>
  <si>
    <t>First packed 8SVX sound sample. Contains the switch/click sound data and the second sound selected by ID 1.</t>
  </si>
  <si>
    <t>8SVX fighting or attack-clink sound data selected by sound ID 2.</t>
  </si>
  <si>
    <t>8SVX character-death sound data selected by sound ID 3.</t>
  </si>
  <si>
    <t>8SVX spell or fireball sound data selected by sound ID 4.</t>
  </si>
  <si>
    <t>8SVX alternative spell sound data selected by sound ID 5.</t>
  </si>
  <si>
    <t>PartyCommand_DispatchSelection</t>
  </si>
  <si>
    <t>Decodes the selected party-command button from the interface selection bytes and dispatches the current party-command state.</t>
  </si>
  <si>
    <t>PartyCommand_DispatchState</t>
  </si>
  <si>
    <t>Dispatches party-command states 0 through 8 through PartyCommand_HandlerOffsets: resolve selection, Communicate, Commend, View, Wait, Correct, Dismiss, Call, or handle the active communication menu.</t>
  </si>
  <si>
    <t>PartyCommand_HandlerOffsets</t>
  </si>
  <si>
    <t>Nine word-relative handler offsets for party-command states 0 through 8: resolve selection, Communicate, Commend, View, Wait, Correct, Dismiss, Call, and the active communication menu.</t>
  </si>
  <si>
    <t>PartyCommand_ResolveSelection</t>
  </si>
  <si>
    <t>Clears the pending target-selection flag, converts the decoded button number to party-command state 1 through 8, stores it, and redispatches.</t>
  </si>
  <si>
    <t>Checks map bounds and selected-cell metadata, then resolves an interaction target; Communicate uses its carry result, but this helper is also called by other interface paths.</t>
  </si>
  <si>
    <t>PartyCommand_Communicate</t>
  </si>
  <si>
    <t>Resolves a valid character or monster at the selected map cell and starts communication through Comms_StartWithTarget; otherwise displays "THERE IS NOBODY HERE".</t>
  </si>
  <si>
    <t>PartyCommand_Call</t>
  </si>
  <si>
    <t>Displays "THOU DOST CALL OUT" and, when the other player is active on the same map, builds a direction-and-distance call notice for that player.</t>
  </si>
  <si>
    <t>PartyCommand_Dismiss</t>
  </si>
  <si>
    <t>Opens party-member selection for Dismiss or removes the selected member from the active party; displays "&lt;NAME&gt; LEAVES THE PARTY" or "&lt;NAME&gt; IS UNABLE TO DEPART".</t>
  </si>
  <si>
    <t>PartyCommand_Wait</t>
  </si>
  <si>
    <t>Opens party-member selection for Wait or removes and marks the selected member as waiting; displays "&lt;NAME&gt; WAITS" or "&lt;NAME&gt; IS UNABLE TO DEPART".</t>
  </si>
  <si>
    <t>PartyCommand_View</t>
  </si>
  <si>
    <t>Opens selection for an eligible waiting party member and switches the viewpoint through that member; otherwise displays "EVERYONE IS PRESENT".</t>
  </si>
  <si>
    <t>PartyCommand_Correct</t>
  </si>
  <si>
    <t>Opens party-member selection for Correct or sets bit 4 in the selected member's stored party-state byte; displays "&lt;NAME&gt; APOLOGISES FOR BREATHING".</t>
  </si>
  <si>
    <t>PartyCommand_Commend</t>
  </si>
  <si>
    <t>Opens party-member selection for Commend or clears bit 4 in the selected member's stored party-state byte; displays "&lt;NAME&gt; ACCEPTS THY HONOUR".</t>
  </si>
  <si>
    <t>Notice_Commend_Accepted</t>
  </si>
  <si>
    <t>Notice_Correct_Apology</t>
  </si>
  <si>
    <t>Notice_PartyCommand_UnableToDepart</t>
  </si>
  <si>
    <t>Packed-word Wait or Dismiss failure displayed as "&lt;NAME&gt; IS UNABLE TO DEPART"; the selected party-member token replaces the default BLODWYN token.</t>
  </si>
  <si>
    <t>Notice_Wait_PartyMemberWaits</t>
  </si>
  <si>
    <t>Notice_Dismiss_PartyMemberLeaves</t>
  </si>
  <si>
    <t>Notice_PartyCommand_NoTarget</t>
  </si>
  <si>
    <t>Notice_Call_Out</t>
  </si>
  <si>
    <t>Packed-word party-management result displayed as "&lt;NAME&gt; REJOINS THE PARTY"; the party-member token replaces the default BLODWYN token at runtime.</t>
  </si>
  <si>
    <t>Notice_View_ThroughPartyMember</t>
  </si>
  <si>
    <t>Packed-word View notice displayed as "VIEWING THROUGH &lt;NAME&gt;"; the viewed party-member token replaces the default BLODWYN token at runtime.</t>
  </si>
  <si>
    <t>Notice_View_EveryonePresent</t>
  </si>
  <si>
    <t>Packed-word View notice displayed as "EVERYONE IS PRESENT".</t>
  </si>
  <si>
    <t>Notice_View_NormalRestored</t>
  </si>
  <si>
    <t>Notice_Communicate_NobodyHere</t>
  </si>
  <si>
    <t>Packed-word Communicate failure displayed as "THERE IS NOBODY HERE".</t>
  </si>
  <si>
    <t>InitialiseNewGameSession</t>
  </si>
  <si>
    <t>Prepares champion records and enters the shared active-player session initialisation.</t>
  </si>
  <si>
    <t>InitialiseActivePlayerData</t>
  </si>
  <si>
    <t>Initialises the active player structures after champion preparation or when resuming through the shared entry point.</t>
  </si>
  <si>
    <t>InitialisePlayer2Data</t>
  </si>
  <si>
    <t>Initialises the second player structure for a two-player session.</t>
  </si>
  <si>
    <t>InitialisePlayerDataLoop</t>
  </si>
  <si>
    <t>Initialises each active player structure and transfers its saved champion start position.</t>
  </si>
  <si>
    <t>CheckMonsterFormForCarriedObject</t>
  </si>
  <si>
    <t>Handles the monster-form special case that assigns a fixed carried object.</t>
  </si>
  <si>
    <t>CheckMonsterHeldObject</t>
  </si>
  <si>
    <t>CheckMonsterHeldObjectByLevel</t>
  </si>
  <si>
    <t>Cast_SelectedChampionSpell</t>
  </si>
  <si>
    <t>Validates and charges the selected champion spell, performs its cast check, dispatches the spell handler, records practice, and reports failure.</t>
  </si>
  <si>
    <t>CastSpell_ValidateSelection</t>
  </si>
  <si>
    <t>$4EA0</t>
  </si>
  <si>
    <t>Rejects an empty spell selection and closes communication mode before every spell except Beguile.</t>
  </si>
  <si>
    <t>CastSpell_ApplyVitalityCost</t>
  </si>
  <si>
    <t>$4EBE</t>
  </si>
  <si>
    <t>Removes four vitality for the cast attempt and clamps the champion's current vitality to zero.</t>
  </si>
  <si>
    <t>CastSpell_ApplySpellPointCost</t>
  </si>
  <si>
    <t>$4EC8</t>
  </si>
  <si>
    <t>Applies action state, calculates spell-point cost, consumes ring-assisted casts, and rejects insufficient spell points.</t>
  </si>
  <si>
    <t>CastSpell_CalculateQualityAndCooldown</t>
  </si>
  <si>
    <t>$4EFA</t>
  </si>
  <si>
    <t>CastSpell_SelectHandler</t>
  </si>
  <si>
    <t>$4F20</t>
  </si>
  <si>
    <t>Loads the selected spell routine from the thirty-two-entry relative-offset dispatch table and performs the final cast roll.</t>
  </si>
  <si>
    <t>CastSpell_ExecuteHandler</t>
  </si>
  <si>
    <t>$4F5E</t>
  </si>
  <si>
    <t>Executes the selected spell handler and refreshes champion or player state after the effect is applied.</t>
  </si>
  <si>
    <t>CastSpell_RefreshChampionStatus</t>
  </si>
  <si>
    <t>$4F86</t>
  </si>
  <si>
    <t>Refreshes the selected champion's displayed status when the post-spell party lookup returns the active slot.</t>
  </si>
  <si>
    <t>CastSpell_RecordPractice</t>
  </si>
  <si>
    <t>$4F8E</t>
  </si>
  <si>
    <t>Increments the casting champion's per-spell practice counter with saturation at $FF.</t>
  </si>
  <si>
    <t>CastSpell_Complete</t>
  </si>
  <si>
    <t>$4FA8</t>
  </si>
  <si>
    <t>Selects the empty notice after a successful spell before common cast finalisation.</t>
  </si>
  <si>
    <t>CastSpell_SelectFailedNotice</t>
  </si>
  <si>
    <t>$4FB0</t>
  </si>
  <si>
    <t>Selects SPELL FAILED and its message-state value after a negative casting-quality result.</t>
  </si>
  <si>
    <t>CastSpell_Finalize</t>
  </si>
  <si>
    <t>$4FBE</t>
  </si>
  <si>
    <t>Clears the queued spell and displays the selected result notice when message output is enabled.</t>
  </si>
  <si>
    <t>Return_CastSpell</t>
  </si>
  <si>
    <t>$4FD4</t>
  </si>
  <si>
    <t>Shared return from spell-cast success and notice handling.</t>
  </si>
  <si>
    <t>CastSpell_RejectInsufficientSpellPoints</t>
  </si>
  <si>
    <t>$4FD6</t>
  </si>
  <si>
    <t>Displays the cost-too-high notice and returns one when the champion cannot pay the spell-point cost.</t>
  </si>
  <si>
    <t>CastSpell_SelectFizzledNotice</t>
  </si>
  <si>
    <t>$4FEE</t>
  </si>
  <si>
    <t>Selects SPELL FIZZLED and its message-state value when the target cell suppresses the spell.</t>
  </si>
  <si>
    <t>SpellEntity_PlacementConflictFlag</t>
  </si>
  <si>
    <t>$505A</t>
  </si>
  <si>
    <t>Working flag set when spell-entity placement crosses or conflicts with the resolved map destination.</t>
  </si>
  <si>
    <t>StoreWornSpell_ClampPower</t>
  </si>
  <si>
    <t>$5060</t>
  </si>
  <si>
    <t>Clamps worn-spell power to sixty-three before packing it with the low three-bit spell type.</t>
  </si>
  <si>
    <t>StoreWornSpell</t>
  </si>
  <si>
    <t>$5068</t>
  </si>
  <si>
    <t>Packs worn-spell power and type into the champion record and requests a status refresh.</t>
  </si>
  <si>
    <t>Return_Beguile</t>
  </si>
  <si>
    <t>$50BC</t>
  </si>
  <si>
    <t>Returns without changing communication state when Beguile is cast outside communication mode.</t>
  </si>
  <si>
    <t>Magelock_CheckTargetCell</t>
  </si>
  <si>
    <t>$50E8</t>
  </si>
  <si>
    <t>Checks the cell in front of the party and validates a door side before changing its Magelock flag.</t>
  </si>
  <si>
    <t>Magelock_CheckOppositeDoorSide</t>
  </si>
  <si>
    <t>$511C</t>
  </si>
  <si>
    <t>Checks the opposite side of a door cell against the party's facing direction.</t>
  </si>
  <si>
    <t>Magelock_ToggleLock</t>
  </si>
  <si>
    <t>$512E</t>
  </si>
  <si>
    <t>Toggles bit four of the validated door cell's state byte.</t>
  </si>
  <si>
    <t>Return_Magelock</t>
  </si>
  <si>
    <t>$5134</t>
  </si>
  <si>
    <t>Shared return for rejected and completed Magelock operations.</t>
  </si>
  <si>
    <t>Alchemy_CheckRightHand</t>
  </si>
  <si>
    <t>$5192</t>
  </si>
  <si>
    <t>Checks the right hand when the left-hand object is outside Alchemy's convertible range.</t>
  </si>
  <si>
    <t>Alchemy_ConvertHeldItemToCoinage</t>
  </si>
  <si>
    <t>$51A4</t>
  </si>
  <si>
    <t>Adds five plus spell power to coinage, clamps the quantity to ninety-nine, and prepares the hand conversion.</t>
  </si>
  <si>
    <t>Alchemy_StoreCoinage</t>
  </si>
  <si>
    <t>$51B2</t>
  </si>
  <si>
    <t>Stores the updated coinage quantity and removes duplicate coinage object slots.</t>
  </si>
  <si>
    <t>Alchemy_RemoveDuplicateCoinageLoop</t>
  </si>
  <si>
    <t>$51B8</t>
  </si>
  <si>
    <t>Scans all twelve ordinary pockets and clears existing coinage object slots.</t>
  </si>
  <si>
    <t>Return_Alchemy</t>
  </si>
  <si>
    <t>$51CE</t>
  </si>
  <si>
    <t>Returns after Alchemy conversion or when neither hand contains an eligible object.</t>
  </si>
  <si>
    <t>Recharge_CheckRightHand</t>
  </si>
  <si>
    <t>$5204</t>
  </si>
  <si>
    <t>Checks the right hand when the left hand does not contain one of the four rechargeable magic rings.</t>
  </si>
  <si>
    <t>Recharge_SelectedRing</t>
  </si>
  <si>
    <t>$5214</t>
  </si>
  <si>
    <t>Maps the selected magic-ring object to RingUses and replaces its uses with spell power divided by eight.</t>
  </si>
  <si>
    <t>Return_Recharge</t>
  </si>
  <si>
    <t>$5224</t>
  </si>
  <si>
    <t>Returns after Recharge or when neither hand contains a rechargeable ring.</t>
  </si>
  <si>
    <t>RestorePartyStat_CalculateAmount</t>
  </si>
  <si>
    <t>$5236</t>
  </si>
  <si>
    <t>Adds random variation to Vitalise or Renew's base amount and clamps the restoration value to one byte.</t>
  </si>
  <si>
    <t>RestorePartyStat_RandomiseLoop</t>
  </si>
  <si>
    <t>$5238</t>
  </si>
  <si>
    <t>Accumulates the spell-power-controlled sequence of six-sided random values.</t>
  </si>
  <si>
    <t>RestorePartyStat_BeginChampionLoop</t>
  </si>
  <si>
    <t>$524A</t>
  </si>
  <si>
    <t>Initialises the four-slot active-party scan for Vitalise and Renew.</t>
  </si>
  <si>
    <t>RestorePartyStat_ChampionLoop</t>
  </si>
  <si>
    <t>$524C</t>
  </si>
  <si>
    <t>Applies the restoration to each occupied active-party slot and clamps current stat to maximum.</t>
  </si>
  <si>
    <t>RestorePartyStat_ClampOverflow</t>
  </si>
  <si>
    <t>$5268</t>
  </si>
  <si>
    <t>Converts byte overflow in the restored current stat to $FF before maximum-stat clamping.</t>
  </si>
  <si>
    <t>RestorePartyStat_StoreCurrent</t>
  </si>
  <si>
    <t>$5272</t>
  </si>
  <si>
    <t>Stores the clamped current hit-point or vitality value for one active champion.</t>
  </si>
  <si>
    <t>RestorePartyStat_NextChampion</t>
  </si>
  <si>
    <t>$5276</t>
  </si>
  <si>
    <t>Advances the active-party restoration loop and refreshes the champion display when complete.</t>
  </si>
  <si>
    <t>Return_Vivify</t>
  </si>
  <si>
    <t>$529E</t>
  </si>
  <si>
    <t>Returns after Vivify has resolved its selected cell or linked player context.</t>
  </si>
  <si>
    <t>Vivify_ResolveTargetCell</t>
  </si>
  <si>
    <t>$52A0</t>
  </si>
  <si>
    <t>Checks the target cell type and enters the shared Vivify-machine or cell-resolution path when appropriate.</t>
  </si>
  <si>
    <t>Dispel_ClearCellFeature</t>
  </si>
  <si>
    <t>$52D2</t>
  </si>
  <si>
    <t>Clears the target cell's feature bits after any linked feature record has been removed.</t>
  </si>
  <si>
    <t>Return_Dispel</t>
  </si>
  <si>
    <t>$52D8</t>
  </si>
  <si>
    <t>Returns when Dispel has no linked target or after the target has been cleared.</t>
  </si>
  <si>
    <t>Dispel_FindLinkedFeature</t>
  </si>
  <si>
    <t>$52DA</t>
  </si>
  <si>
    <t>Initialises the scan for a four-byte linked feature record associated with the target map cell.</t>
  </si>
  <si>
    <t>Dispel_FindLinkedFeatureLoop</t>
  </si>
  <si>
    <t>$52E2</t>
  </si>
  <si>
    <t>Scans linked feature records and removes the matching target record when found.</t>
  </si>
  <si>
    <t>SpellEntity_SetPowerFlag</t>
  </si>
  <si>
    <t>$5316</t>
  </si>
  <si>
    <t>Sets the high spell-power flag used by Terror, Paralyze, Firepath, Spelltap, and Disrupt before entity creation.</t>
  </si>
  <si>
    <t>SpellEntity_ScalePowerThreeHalves</t>
  </si>
  <si>
    <t>$5320</t>
  </si>
  <si>
    <t>Scales Fireball and Arc Bolt effective power to three halves before creating the live spell entity.</t>
  </si>
  <si>
    <t>SpellEntity_PrepareDirection</t>
  </si>
  <si>
    <t>$5328</t>
  </si>
  <si>
    <t>Packs the player's facing direction for the shared spell, Illusion, and Summon entity creator.</t>
  </si>
  <si>
    <t>CreateSpellEntity</t>
  </si>
  <si>
    <t>$5332</t>
  </si>
  <si>
    <t>Creates an airborne spell, Illusion, or Summon entity at the resolved map position.</t>
  </si>
  <si>
    <t>SpellEntity_CheckPlacement</t>
  </si>
  <si>
    <t>$533C</t>
  </si>
  <si>
    <t>Resolves the destination map cell and records whether placement crossed a map boundary or conflict.</t>
  </si>
  <si>
    <t>SpellEntity_PlacementInsideMap</t>
  </si>
  <si>
    <t>$5352</t>
  </si>
  <si>
    <t>Clears the placement-conflict flag when the destination lies inside the current map.</t>
  </si>
  <si>
    <t>SpellEntity_MarkMapCell</t>
  </si>
  <si>
    <t>$5358</t>
  </si>
  <si>
    <t>Marks the destination cell as containing a live spell or summoned entity.</t>
  </si>
  <si>
    <t>SpellEntity_AllocateRecord</t>
  </si>
  <si>
    <t>$535E</t>
  </si>
  <si>
    <t>Allocates a sixteen-byte record in the overloaded live-monster workspace, freeing one when the spell-entity limit is reached.</t>
  </si>
  <si>
    <t>SpellEntity_InitialiseRecord</t>
  </si>
  <si>
    <t>$537C</t>
  </si>
  <si>
    <t>Initialises position, facing, floor, caster, form, power, state, and team fields for a new spell entity.</t>
  </si>
  <si>
    <t>SpellEntity_InitialiseIllusion</t>
  </si>
  <si>
    <t>$53D6</t>
  </si>
  <si>
    <t>Applies Illusion's special power flag before common monster-like entity initialisation.</t>
  </si>
  <si>
    <t>SpellEntity_InitialiseMonsterLike</t>
  </si>
  <si>
    <t>$53E2</t>
  </si>
  <si>
    <t>Initialises the level and state fields shared by Illusion and Summon entities.</t>
  </si>
  <si>
    <t>SpellEntity_InitialiseAirbourne</t>
  </si>
  <si>
    <t>$53FE</t>
  </si>
  <si>
    <t>Initialises airborne-spell power fields and transfers the high spell-power flag into the record.</t>
  </si>
  <si>
    <t>SpellEntity_FinalizeCreation</t>
  </si>
  <si>
    <t>$5412</t>
  </si>
  <si>
    <t>Runs the placement-conflict follow-up when required and otherwise returns from entity creation.</t>
  </si>
  <si>
    <t>$5424</t>
  </si>
  <si>
    <t>Creates one Wychwind projectile for each of the eight directions around the caster.</t>
  </si>
  <si>
    <t>$544C</t>
  </si>
  <si>
    <t>Normalises Wychwind directions four through seven before applying the party facing.</t>
  </si>
  <si>
    <t>$5458</t>
  </si>
  <si>
    <t>Calls the shared spell-entity creator with one Wychwind direction and restores loop state.</t>
  </si>
  <si>
    <t>$5466</t>
  </si>
  <si>
    <t>Eight mechanic-owned direction adjustments used to rotate Wychwind's radial projectiles; retained in source rather than extracted.</t>
  </si>
  <si>
    <t>CreateMagicWallFeature</t>
  </si>
  <si>
    <t>$5478</t>
  </si>
  <si>
    <t>Creates a power-scaled Formwall or Mindrock in an empty map cell directly in front of the party.</t>
  </si>
  <si>
    <t>Formwall_PrepareLinkedFeature</t>
  </si>
  <si>
    <t>$54BE</t>
  </si>
  <si>
    <t>Builds the packed map-position key used to register a Formwall in the linked feature list.</t>
  </si>
  <si>
    <t>Formwall_FindLinkedFeatureLoop</t>
  </si>
  <si>
    <t>$54CC</t>
  </si>
  <si>
    <t>Searches the linked feature list for the Formwall's packed map-position key.</t>
  </si>
  <si>
    <t>Formwall_AppendLinkedFeature</t>
  </si>
  <si>
    <t>$54DC</t>
  </si>
  <si>
    <t>Extends the linked feature list when the Formwall's map-position key is not already present.</t>
  </si>
  <si>
    <t>Formwall_StoreLinkedFeature</t>
  </si>
  <si>
    <t>$54E0</t>
  </si>
  <si>
    <t>Stores the Formwall's packed map-position key in the linked feature list.</t>
  </si>
  <si>
    <t>Return_CreateMagicWallFeature</t>
  </si>
  <si>
    <t>$54E4</t>
  </si>
  <si>
    <t>Returns after Formwall or Mindrock creation or when the target cell is unsuitable.</t>
  </si>
  <si>
    <t>.Wychwind_SpawnProjectileLoop</t>
  </si>
  <si>
    <t>.Wychwind_RotateSecondDirectionGroup</t>
  </si>
  <si>
    <t>.Wychwind_CreateProjectile</t>
  </si>
  <si>
    <t>.Wychwind_DirectionAdjustments</t>
  </si>
  <si>
    <t>Interface_Hitboxes_Display</t>
  </si>
  <si>
    <t>Interface_Hitboxes_Main</t>
  </si>
  <si>
    <t>Interface_Hitboxes_Main.lookup</t>
  </si>
  <si>
    <t>$E6EE</t>
  </si>
  <si>
    <t>Seventeen main player-interface hitbox records for action IDs $00-$10; each record is X minimum, X maximum, Y minimum and Y maximum.</t>
  </si>
  <si>
    <t>Interface_Hitboxes_Command</t>
  </si>
  <si>
    <t>Interface_Hitboxes_Command.lookup</t>
  </si>
  <si>
    <t>$E776</t>
  </si>
  <si>
    <t>Six communications/options hitbox records for action IDs $1C-$21, stored as inclusive X/Y rectangle words.</t>
  </si>
  <si>
    <t>PlayerColourRampTable</t>
  </si>
  <si>
    <t>PlayerColourRamps.colours</t>
  </si>
  <si>
    <t>$8866</t>
  </si>
  <si>
    <t>Return_WallFeatureClick</t>
  </si>
  <si>
    <t>PlayerColourRampLookupBase_Exit</t>
  </si>
  <si>
    <t>$8864</t>
  </si>
  <si>
    <t>ChampionClassBarColours</t>
  </si>
  <si>
    <t>$7E46</t>
  </si>
  <si>
    <t>Begin_HitTestMainInterfaceActions</t>
  </si>
  <si>
    <t>$4A26</t>
  </si>
  <si>
    <t>Selects the 17-record main hitbox table before entering the shared hit tester.</t>
  </si>
  <si>
    <t>Draw_MainPlayerInterface</t>
  </si>
  <si>
    <t>Draw_PartyCommandInterface</t>
  </si>
  <si>
    <t>$77CC</t>
  </si>
  <si>
    <t>Clears and composes the party-command panel for the current command state.</t>
  </si>
  <si>
    <t>Draw_PartyCommandMenu</t>
  </si>
  <si>
    <t>$79E8</t>
  </si>
  <si>
    <t>Selects a command descriptor stream and draws its selectable rows and text.</t>
  </si>
  <si>
    <t>Draw_InventoryPocketSlots</t>
  </si>
  <si>
    <t>$C638</t>
  </si>
  <si>
    <t>Draw_PocketGraphic</t>
  </si>
  <si>
    <t>Prepare_AndDrawSpellBookSurface</t>
  </si>
  <si>
    <t>$C444</t>
  </si>
  <si>
    <t>Draws the packed spell-book surface and selects the current champion record.</t>
  </si>
  <si>
    <t>Clear_SpellBookPanel</t>
  </si>
  <si>
    <t>$C478</t>
  </si>
  <si>
    <t>Clears the 96-pixel spell-book panel before redrawing it.</t>
  </si>
  <si>
    <t>Draw_SpellPointValues</t>
  </si>
  <si>
    <t>$C48E</t>
  </si>
  <si>
    <t>Formats and prints the current and maximum spell-point values.</t>
  </si>
  <si>
    <t>Draw_SpellBookRunePage</t>
  </si>
  <si>
    <t>$C4E6</t>
  </si>
  <si>
    <t>Draw_SelectedSpellMarker</t>
  </si>
  <si>
    <t>$C05A</t>
  </si>
  <si>
    <t>Draws the selected spell-column marker from GFX_Pockets+$4130.</t>
  </si>
  <si>
    <t>Click_TogglePartyCommandRow</t>
  </si>
  <si>
    <t>$488C</t>
  </si>
  <si>
    <t>Toggles the visible party-command row when communication mode is active.</t>
  </si>
  <si>
    <t>$87EE</t>
  </si>
  <si>
    <t>PartyCommandDescriptorStream_Mode0</t>
  </si>
  <si>
    <t>$788A</t>
  </si>
  <si>
    <t>Contains the static party-command menu descriptor stream selected by menu mode 0.</t>
  </si>
  <si>
    <t>PartyCommandDescriptorStream_Mode4</t>
  </si>
  <si>
    <t>$78A8</t>
  </si>
  <si>
    <t>Contains the static party-command menu descriptor stream selected by menu mode 4.</t>
  </si>
  <si>
    <t>PartyCommandDescriptorStream_Mode5</t>
  </si>
  <si>
    <t>$78B6</t>
  </si>
  <si>
    <t>Contains the static party-command menu descriptor stream selected by menu mode 5.</t>
  </si>
  <si>
    <t>PartyCommandDescriptorStream_Mode6</t>
  </si>
  <si>
    <t>$78C9</t>
  </si>
  <si>
    <t>Contains the static party-command menu descriptor stream selected by menu mode 6.</t>
  </si>
  <si>
    <t>PartyCommandDescriptorStream_Mode7</t>
  </si>
  <si>
    <t>$78EB</t>
  </si>
  <si>
    <t>Contains the static party-command menu descriptor stream selected by menu mode 7.</t>
  </si>
  <si>
    <t>PartyCommandDescriptorStream_Mode8</t>
  </si>
  <si>
    <t>$7903</t>
  </si>
  <si>
    <t>Contains the static party-command menu descriptor stream selected by menu mode 8.</t>
  </si>
  <si>
    <t>PartyCommandDescriptorStream_Mode9</t>
  </si>
  <si>
    <t>$790F</t>
  </si>
  <si>
    <t>Contains the static party-command menu descriptor stream selected by menu mode 9.</t>
  </si>
  <si>
    <t>Click_OpenSpellBook</t>
  </si>
  <si>
    <t>$6300</t>
  </si>
  <si>
    <t>Opens and composes the selected champion's spell-book interface page.</t>
  </si>
  <si>
    <t>Update_PlayerDialogueTextColour</t>
  </si>
  <si>
    <t>Selects the active player's six-step dialogue-text fade ramp and writes hardware palette index 15.</t>
  </si>
  <si>
    <t>Exit point and preserved PC-relative lookup base used by the dialogue-text colour update routine.</t>
  </si>
  <si>
    <t>Handle_CopperRasterInterrupt</t>
  </si>
  <si>
    <t>$88BC</t>
  </si>
  <si>
    <t>Handles Copper-triggered raster interrupts, alternating Player 2 dialogue-colour service with the Player 1 frame service.</t>
  </si>
  <si>
    <t>Handle_Player1RasterAndFrameUpdate</t>
  </si>
  <si>
    <t>$88DE</t>
  </si>
  <si>
    <t>Runs Player 1 dialogue-colour service and the normal timing, input, and frame update at the second Copper interrupt.</t>
  </si>
  <si>
    <t>24 hardware colour words forming green Player 1, orange Player 2, and shared red alternate dialogue fades; the preceding RTS at $8BE8 is outside the resource.</t>
  </si>
  <si>
    <t>Draws the ordinary player interface, including exactly three compact statistics bars.</t>
  </si>
  <si>
    <t>Draw_CompactStatsBarsLoop</t>
  </si>
  <si>
    <t>Draws the three compact player statistics bars using the player-specific hard-coded colour.</t>
  </si>
  <si>
    <t>Select_EmptyInventorySlotGraphic</t>
  </si>
  <si>
    <t>Resolves a GFX_Pockets picture index and enters the common four-plane renderer.</t>
  </si>
  <si>
    <t>Draw_PlanarGraphicCore</t>
  </si>
  <si>
    <t>Draws packed four-plane graphic rows and applies the supplied template colour index.</t>
  </si>
  <si>
    <t>Replace_PlanarInk15WithColour</t>
  </si>
  <si>
    <t>Replaces source palette-index $F pixels with the four-bit colour index supplied in D3.</t>
  </si>
  <si>
    <t>Player1_InterfaceScreenBufferOffset</t>
  </si>
  <si>
    <t>Player 1 framebuffer destination offset; later Player1_Data words at +$10 and +$12 hold the primary and secondary UI colour indices.</t>
  </si>
  <si>
    <t>Draw_ActivePartyChampionInShield</t>
  </si>
  <si>
    <t>$7AE6</t>
  </si>
  <si>
    <t>Validate an active living party slot and draw its character inside the selected shield surround.</t>
  </si>
  <si>
    <t>ActivePartyChampionShieldDrawParameters</t>
  </si>
  <si>
    <t>$7B24</t>
  </si>
  <si>
    <t>Four six-byte records supplying character-render X, Y, and display parameters for the party slots.</t>
  </si>
  <si>
    <t>Refresh_DirtyPartyShieldSlots</t>
  </si>
  <si>
    <t>$7B3C</t>
  </si>
  <si>
    <t>Visit all four party slots and redraw those marked dirty.</t>
  </si>
  <si>
    <t>Refresh_DirtyPartyShieldSlots_Loop</t>
  </si>
  <si>
    <t>$7B3E</t>
  </si>
  <si>
    <t>Four-slot dirty-shield refresh loop.</t>
  </si>
  <si>
    <t>Draw_PartyShieldChainStrip</t>
  </si>
  <si>
    <t>$7B4E</t>
  </si>
  <si>
    <t>Draw the Pockets.gfx chain strip whose gaps accommodate the shield slots.</t>
  </si>
  <si>
    <t>Refresh_PartyShieldSlotIfDirty</t>
  </si>
  <si>
    <t>$7B6C</t>
  </si>
  <si>
    <t>Return unless the selected party slot is marked for redraw.</t>
  </si>
  <si>
    <t>Draw_PartyShieldSlot</t>
  </si>
  <si>
    <t>$7BD0</t>
  </si>
  <si>
    <t>Choose vacant, selected-living, ordinary, or dead rendering for one party shield slot.</t>
  </si>
  <si>
    <t>Select_OccupiedPartyShieldRendering</t>
  </si>
  <si>
    <t>$7C02</t>
  </si>
  <si>
    <t>Distinguish the selected living slot from ordinary and dead occupied slots.</t>
  </si>
  <si>
    <t>Draw_SelectedPartyChampionInShield</t>
  </si>
  <si>
    <t>$7C2E</t>
  </si>
  <si>
    <t>Prepare the character-render work area and draw the active living champion inside the selected surround.</t>
  </si>
  <si>
    <t>Return_PartyShieldDrawing</t>
  </si>
  <si>
    <t>$7C50</t>
  </si>
  <si>
    <t>Shared return for party-shield rendering paths.</t>
  </si>
  <si>
    <t>Select_PartyShieldClassColours</t>
  </si>
  <si>
    <t>$7C52</t>
  </si>
  <si>
    <t>Select normal class colours or the fixed dead-state class mask.</t>
  </si>
  <si>
    <t>Use_DeadPartyShieldClassColours</t>
  </si>
  <si>
    <t>$7C5A</t>
  </si>
  <si>
    <t>Set D3 to zero, selecting black surround ink and the fixed dead professional-symbol mask.</t>
  </si>
  <si>
    <t>Prepare_ComposedPartyShieldAvatar</t>
  </si>
  <si>
    <t>$7C5C</t>
  </si>
  <si>
    <t>Resolve the champion ID and living shield ink before entering the common shield compositor.</t>
  </si>
  <si>
    <t>Draw_ComposedPartyShieldAvatar</t>
  </si>
  <si>
    <t>$7C70</t>
  </si>
  <si>
    <t>Tail-call Draw_ShieldAvatar with the selected living or dead colour state.</t>
  </si>
  <si>
    <t>Select_ChampionShieldInkColour</t>
  </si>
  <si>
    <t>$C97A</t>
  </si>
  <si>
    <t>Map champion-record byte $11 to the palette ink replacing shield-surround index $F.</t>
  </si>
  <si>
    <t>ChampionShieldInkColourLookup</t>
  </si>
  <si>
    <t>$C990</t>
  </si>
  <si>
    <t>Eight palette indices selected using the low three bits of champion-record byte $11.</t>
  </si>
  <si>
    <t>Store_ShieldClassColourMask</t>
  </si>
  <si>
    <t>$CA38</t>
  </si>
  <si>
    <t>Store the normal professional-symbol mask or fixed dead mask before drawing the shield components.</t>
  </si>
  <si>
    <t>StoreTeamData</t>
  </si>
  <si>
    <t>UnpackNextMonsterRecord</t>
  </si>
  <si>
    <t>Draw_CompactStatsFrame</t>
  </si>
  <si>
    <t>$7C74</t>
  </si>
  <si>
    <t>Builds the compact statistics panel from procedural lines, a background rectangle, and the packed STATS title graphic.</t>
  </si>
  <si>
    <t>Draw_BevelledPanelFrame</t>
  </si>
  <si>
    <t>$BD36</t>
  </si>
  <si>
    <t>Fills a panel rectangle and draws three successively inset grey frame outlines.</t>
  </si>
  <si>
    <t>Draw_MainChampionAvatarPanel</t>
  </si>
  <si>
    <t>$C93A</t>
  </si>
  <si>
    <t>Composes the main champion panel from its outer bevel, large portrait, and optional inner frame.</t>
  </si>
  <si>
    <t>Draw_MainChampionAvatarInnerFrame</t>
  </si>
  <si>
    <t>$C954</t>
  </si>
  <si>
    <t>Draws the inner large-avatar outline unless the current player state suppresses it.</t>
  </si>
  <si>
    <t>Draw_PartyCommandPanelEdge</t>
  </si>
  <si>
    <t>$77AA</t>
  </si>
  <si>
    <t>Builds the procedural edge around the party-command panel using repeated horizontal lines.</t>
  </si>
  <si>
    <t>Draw_ChampionNamePanelBackground</t>
  </si>
  <si>
    <t>$7ED4</t>
  </si>
  <si>
    <t>Clears the right-hand champion name and display panel before its decorative frame is drawn.</t>
  </si>
  <si>
    <t>Draw_ChampionNamePanelFrame</t>
  </si>
  <si>
    <t>$7EF4</t>
  </si>
  <si>
    <t>Draws the champion name-panel bevel, primary-colour name strip, and lower frame lines.</t>
  </si>
  <si>
    <t>Draw_ChampionNamePanelLowerEdge</t>
  </si>
  <si>
    <t>$7F36</t>
  </si>
  <si>
    <t>Draws the lower decorative edge and adjacent packed status graphics for the champion name panel.</t>
  </si>
  <si>
    <t>Draw_DungeonDisplayLowerEdge</t>
  </si>
  <si>
    <t>$7FB8</t>
  </si>
  <si>
    <t>Completes the lower dungeon-display edge with procedural lines before drawing the continuous chain strip.</t>
  </si>
  <si>
    <t>Click_ChampionPresentationOrPartyCommand</t>
  </si>
  <si>
    <t>$3E88</t>
  </si>
  <si>
    <t>Toggle_ChampionPresentation</t>
  </si>
  <si>
    <t>$3EA2</t>
  </si>
  <si>
    <t>Enter_PartyCommandInterface</t>
  </si>
  <si>
    <t>$3EB0</t>
  </si>
  <si>
    <t>$686C</t>
  </si>
  <si>
    <t>Resets the inspected party slot and draws the lower inventory background before the shared inventory redraw path.</t>
  </si>
  <si>
    <t>$6886</t>
  </si>
  <si>
    <t>Resolves the inspected champion, redraws its twelve inventory slots, armour value, name display, and held-item panel.</t>
  </si>
  <si>
    <t>Draw_PartyCommandIconStrip</t>
  </si>
  <si>
    <t>$783C</t>
  </si>
  <si>
    <t>Draws paired GFX_Pockets command icons into successive rows of the party-command panel.</t>
  </si>
  <si>
    <t>Draw_ChampionNamePanelUpperBevelLoop</t>
  </si>
  <si>
    <t>$7F06</t>
  </si>
  <si>
    <t>Draws the five-line upper champion-name bevel, progressively changing the grey palette index.</t>
  </si>
  <si>
    <t>Draw_InventoryPanel</t>
  </si>
  <si>
    <t>$C5B4</t>
  </si>
  <si>
    <t>Clears the spell-book panel, draws inventory title and armour bars with chain decorations, then composes pockets and the inspected champion name.</t>
  </si>
  <si>
    <t>Draw_InventoryArmourRating</t>
  </si>
  <si>
    <t>$C600</t>
  </si>
  <si>
    <t>Calculates the inspected champion’s armour modifier and formats its signed ARMOUR value for printing.</t>
  </si>
  <si>
    <t>Draw_InventoryPocketSlotLoop</t>
  </si>
  <si>
    <t>$C658</t>
  </si>
  <si>
    <t>Iterates over the selected champion’s twelve inventory positions, choosing an empty-slot template or the contained object graphic.</t>
  </si>
  <si>
    <t>Select_PocketGraphicBank</t>
  </si>
  <si>
    <t>$C776</t>
  </si>
  <si>
    <t>Locates the containing 20-picture GFX_Pockets bank for a requested pocket graphic before calculating its source offset.</t>
  </si>
  <si>
    <t>Advance_CompactStatsBarRow</t>
  </si>
  <si>
    <t>$7DAE</t>
  </si>
  <si>
    <t>Advances the ordinary compact-stat renderer to the next statistic pair and the next seven-pixel bar row.</t>
  </si>
  <si>
    <t>Prepare_CompactStatBarLength</t>
  </si>
  <si>
    <t>$7DB8</t>
  </si>
  <si>
    <t>Sets compact-stat bar geometry and maximum pixel length before entering the common value-to-bar scaler.</t>
  </si>
  <si>
    <t>Return_ScaledBarLength</t>
  </si>
  <si>
    <t>$7DD4</t>
  </si>
  <si>
    <t>Draw_PartyShieldStatusBars</t>
  </si>
  <si>
    <t>$7DD8</t>
  </si>
  <si>
    <t>Draw_PartyShieldStatusBarsLoop</t>
  </si>
  <si>
    <t>$7DE8</t>
  </si>
  <si>
    <t>Advance_PartyShieldStatusBarRow</t>
  </si>
  <si>
    <t>$7E3C</t>
  </si>
  <si>
    <t>$7E44</t>
  </si>
  <si>
    <t>Draw_SelectedSpellDetails</t>
  </si>
  <si>
    <t>$6314</t>
  </si>
  <si>
    <t>Draws selected spell stars, name, COST text, and the CAST display.</t>
  </si>
  <si>
    <t>Draw_SpellCastingBar</t>
  </si>
  <si>
    <t>$639C</t>
  </si>
  <si>
    <t>Converts signed casting quality into the five-pixel-high CAST bar.</t>
  </si>
  <si>
    <t>SpellCasting_CastBarPercentages</t>
  </si>
  <si>
    <t>SpellCasting_CastBarPercentages.lookup</t>
  </si>
  <si>
    <t>$63DC</t>
  </si>
  <si>
    <t>Twenty percentages indexed by the clamped negated casting-quality score to scale the 52-pixel CAST bar.</t>
  </si>
  <si>
    <t>$63F4</t>
  </si>
  <si>
    <t>Existing mapping; calculates signed spell quality from class, practice, level, power, equipment, cooldown, and difficulty.</t>
  </si>
  <si>
    <t>SpellCasting_CostValues.lookup</t>
  </si>
  <si>
    <t>$64DA</t>
  </si>
  <si>
    <t>Existing mapping; one base spell-cost value for each SPS 439 spell.</t>
  </si>
  <si>
    <t>SpellCasting_CastPowerCostAdjustments</t>
  </si>
  <si>
    <t>SpellCasting_CastPowerCostAdjustments.lookup</t>
  </si>
  <si>
    <t>$64FA</t>
  </si>
  <si>
    <r>
      <t xml:space="preserve">Additional mana costs for non-negative prepared cast-power values </t>
    </r>
    <r>
      <rPr>
        <sz val="10"/>
        <color theme="1"/>
        <rFont val="Arial Unicode MS"/>
        <family val="2"/>
      </rPr>
      <t>$00</t>
    </r>
    <r>
      <rPr>
        <sz val="12"/>
        <color theme="1"/>
        <rFont val="Aptos Narrow"/>
        <family val="2"/>
        <scheme val="minor"/>
      </rPr>
      <t>–</t>
    </r>
    <r>
      <rPr>
        <sz val="10"/>
        <color theme="1"/>
        <rFont val="Arial Unicode MS"/>
        <family val="2"/>
      </rPr>
      <t>$0D</t>
    </r>
    <r>
      <rPr>
        <sz val="12"/>
        <color theme="1"/>
        <rFont val="Aptos Narrow"/>
        <family val="2"/>
        <scheme val="minor"/>
      </rPr>
      <t>.</t>
    </r>
  </si>
  <si>
    <t>Calculate_SpellPointCost</t>
  </si>
  <si>
    <t>$6508</t>
  </si>
  <si>
    <r>
      <t xml:space="preserve">Calculates COST, handles charged matching rings, and normalises byte </t>
    </r>
    <r>
      <rPr>
        <sz val="10"/>
        <color theme="1"/>
        <rFont val="Arial Unicode MS"/>
        <family val="2"/>
      </rPr>
      <t>$14</t>
    </r>
    <r>
      <rPr>
        <sz val="12"/>
        <color theme="1"/>
        <rFont val="Aptos Narrow"/>
        <family val="2"/>
        <scheme val="minor"/>
      </rPr>
      <t xml:space="preserve"> to costs </t>
    </r>
    <r>
      <rPr>
        <sz val="10"/>
        <color theme="1"/>
        <rFont val="Arial Unicode MS"/>
        <family val="2"/>
      </rPr>
      <t>$01</t>
    </r>
    <r>
      <rPr>
        <sz val="12"/>
        <color theme="1"/>
        <rFont val="Aptos Narrow"/>
        <family val="2"/>
        <scheme val="minor"/>
      </rPr>
      <t>–</t>
    </r>
    <r>
      <rPr>
        <sz val="10"/>
        <color theme="1"/>
        <rFont val="Arial Unicode MS"/>
        <family val="2"/>
      </rPr>
      <t>$63</t>
    </r>
    <r>
      <rPr>
        <sz val="12"/>
        <color theme="1"/>
        <rFont val="Aptos Narrow"/>
        <family val="2"/>
        <scheme val="minor"/>
      </rPr>
      <t>.</t>
    </r>
  </si>
  <si>
    <t>Select_SpellBookRune</t>
  </si>
  <si>
    <t>$BF28</t>
  </si>
  <si>
    <t>Tests the clicked ownership bit, loads an owned spell, or clears the queued spell.</t>
  </si>
  <si>
    <t>Get_SelectedSpellName</t>
  </si>
  <si>
    <t>$BF50</t>
  </si>
  <si>
    <r>
      <t xml:space="preserve">Resolves the selected spell’s fixed eight-character </t>
    </r>
    <r>
      <rPr>
        <sz val="10"/>
        <color theme="1"/>
        <rFont val="Arial Unicode MS"/>
        <family val="2"/>
      </rPr>
      <t>SpellNames</t>
    </r>
    <r>
      <rPr>
        <sz val="12"/>
        <color theme="1"/>
        <rFont val="Aptos Narrow"/>
        <family val="2"/>
        <scheme val="minor"/>
      </rPr>
      <t xml:space="preserve"> record.</t>
    </r>
  </si>
  <si>
    <t>Draw_SpellBookPageTurn</t>
  </si>
  <si>
    <t>$BF9E</t>
  </si>
  <si>
    <t>Build_SpellBookPageTurnColourMask</t>
  </si>
  <si>
    <t>$C022</t>
  </si>
  <si>
    <t>Builds the four rune-class inks used by the page-turn overlay.</t>
  </si>
  <si>
    <t>HitTest_SpellBookControls</t>
  </si>
  <si>
    <t>$C2CC</t>
  </si>
  <si>
    <t>Return_NoDisplayContextAction</t>
  </si>
  <si>
    <t>code</t>
  </si>
  <si>
    <t>$6E3E</t>
  </si>
  <si>
    <t>$7A44</t>
  </si>
  <si>
    <t>$7AF4</t>
  </si>
  <si>
    <t>$7AF8</t>
  </si>
  <si>
    <t>Load_MapPositionAfterMultiFunction</t>
  </si>
  <si>
    <t>Check_FrontWallFeature</t>
  </si>
  <si>
    <t>Check_FrontWoodDoorEdge</t>
  </si>
  <si>
    <t>Return_NoWallFeatureToToggle</t>
  </si>
  <si>
    <t>Toggle_MapCellMagelockState</t>
  </si>
  <si>
    <t>Toggle_ValidatedWallFeatureState</t>
  </si>
  <si>
    <t>32 spell-indexed difficulty penalty bytes; spell indices 0–31.</t>
  </si>
  <si>
    <t>Existing mapping: three inclusive X/Y display-context hitbox records for actions $22-$24.</t>
  </si>
  <si>
    <t>Existing mapping: broad dungeon-display action which performs the second-stage context hit test then dispatches it.</t>
  </si>
  <si>
    <t>Existing mapping: handles type-1 wall features; non-type-1 cells branch to adrJA0064D0.</t>
  </si>
  <si>
    <t>Existing mapping: return when a wall-feature click has no supported action.</t>
  </si>
  <si>
    <t>Proposed: four relative offsets for shelf, decoration, switch and socket click handlers.</t>
  </si>
  <si>
    <t>$6E3C</t>
  </si>
  <si>
    <t>$7AD8</t>
  </si>
  <si>
    <t>$7ADC</t>
  </si>
  <si>
    <t>$7ADE</t>
  </si>
  <si>
    <t>Return_CommsState</t>
  </si>
  <si>
    <t>$3E86</t>
  </si>
  <si>
    <t>Return from communication-state record selection; bit 0 has already selected the active record.</t>
  </si>
  <si>
    <t>Handles a lower champion shield click or the compact-stat command-region click.</t>
  </si>
  <si>
    <t>Toggles the selected champion presentation-state bit at PlayerData+$3E and redraws the interface.</t>
  </si>
  <si>
    <t>Opens the party command interface only when lower champion presentation bits 1-3 are all clear; otherwise returns without opening it.</t>
  </si>
  <si>
    <t>Pause_WaitForInput_Loop</t>
  </si>
  <si>
    <t>$3EF8</t>
  </si>
  <si>
    <t>Waits until either pause-input flag becomes negative before restoring display state.</t>
  </si>
  <si>
    <t>Return_PartyCommandEntry</t>
  </si>
  <si>
    <t>$3F34</t>
  </si>
  <si>
    <t>Return path used when the party-command entry gate is not satisfied.</t>
  </si>
  <si>
    <t>$7DC0</t>
  </si>
  <si>
    <t>Scales D0 against maximum D1 to a D2-pixel bar length; the caller retains the full-value terminal length separately.</t>
  </si>
  <si>
    <t>Return from bar-length scaling.</t>
  </si>
  <si>
    <t>Draws one vertical hit-point bar for each party slot. Suppressed entries skip drawing; full health uses the 21-pixel terminal height and other values scale against 21 pixels.</t>
  </si>
  <si>
    <t>Iterates party slots 3 down to 0, drawing or skipping each shield hit-point bar.</t>
  </si>
  <si>
    <t>Advances to the next shield status-bar column after a drawn or suppressed party slot.</t>
  </si>
  <si>
    <t>Return_PartyShieldStatusBars</t>
  </si>
  <si>
    <t>Return from the party shield hit-point bar renderer.</t>
  </si>
  <si>
    <t>ChampionClassBarColours.lookup</t>
  </si>
  <si>
    <t>Maps champion magic-alignment/class indices 0-3 to status-bar palette indices: $06, $0D, $0C, $07.</t>
  </si>
  <si>
    <t>Refresh_CurrentChampionMapPositionIcon</t>
  </si>
  <si>
    <t>$7E4A</t>
  </si>
  <si>
    <t>Selects and schedules the active champion's current map-position icon after movement or interface refresh.</t>
  </si>
  <si>
    <t>Return_PlayerMoveRejected</t>
  </si>
  <si>
    <t>Shared rejected-player-move return after destination entry fails or the resolved target is not a usable stair transition.</t>
  </si>
  <si>
    <t>Process_PlayerMoveDestination</t>
  </si>
  <si>
    <r>
      <t xml:space="preserve">Player-only continuation after </t>
    </r>
    <r>
      <rPr>
        <sz val="10"/>
        <color theme="1"/>
        <rFont val="Arial Unicode MS"/>
        <family val="2"/>
      </rPr>
      <t>Try_EnterMapCell</t>
    </r>
    <r>
      <rPr>
        <sz val="12"/>
        <color theme="1"/>
        <rFont val="Aptos Narrow"/>
        <family val="2"/>
        <scheme val="minor"/>
      </rPr>
      <t>; processes type-6/type-7 destination effects, stairs, trigger state, redraw/load work, then stores player position.</t>
    </r>
  </si>
  <si>
    <t>Refresh_AfterPlayerMove</t>
  </si>
  <si>
    <t>$6EA8</t>
  </si>
  <si>
    <t>Reloads the destination map position, handles stair setup where required, then continues to player-position storage.</t>
  </si>
  <si>
    <t>Store_PlayerMovePosition</t>
  </si>
  <si>
    <t>$6F38</t>
  </si>
  <si>
    <t>Stores the accepted player X/Y position and clears active avatar-presentation state when necessary.</t>
  </si>
  <si>
    <t>Check_PlayerMoveTeamPad</t>
  </si>
  <si>
    <t>$6F4A</t>
  </si>
  <si>
    <t>Checks the resulting player destination against the team-pad/party-avatar state before returning.</t>
  </si>
  <si>
    <t>Return_PlayerMoveProcessed</t>
  </si>
  <si>
    <t>$6F58</t>
  </si>
  <si>
    <t>Return after accepted player movement and destination processing.</t>
  </si>
  <si>
    <t>Try_EnterMapCell</t>
  </si>
  <si>
    <t>Shared traversal gate for player, monster and map-targeting callers: validates destination bounds/type/wood edge and commits source/destination occupancy bit 7 only on success.</t>
  </si>
  <si>
    <t>Evaluate_MapCellTraversalType</t>
  </si>
  <si>
    <t>$7A8E</t>
  </si>
  <si>
    <t>Uses the map-cell type dispatch value to accept, reject, or run direction-sensitive wooden traversal checks.</t>
  </si>
  <si>
    <t>Check_ReversedWoodTraversalEdge</t>
  </si>
  <si>
    <t>$7AB0</t>
  </si>
  <si>
    <t>Reverses direction before testing the destination wooden edge where traversal uses the opposite face.</t>
  </si>
  <si>
    <t>Check_WoodTraversalEdge</t>
  </si>
  <si>
    <t>$7ABC</t>
  </si>
  <si>
    <t>Tests the direction-selected wooden edge before accepting traversal.</t>
  </si>
  <si>
    <t>Finish_WoodTraversalCheck</t>
  </si>
  <si>
    <t>$7ABE</t>
  </si>
  <si>
    <t>Branch point which rejects entry when the selected wooden edge test fails.</t>
  </si>
  <si>
    <t>Commit_MapCellEntry</t>
  </si>
  <si>
    <t>$7AC0</t>
  </si>
  <si>
    <t>Clears map-byte-2 bit 7 on the source cell and sets it on the accepted destination cell.</t>
  </si>
  <si>
    <t>MapType_TraversalDispatch</t>
  </si>
  <si>
    <t>Reverse_TraversalDirectionAndReject</t>
  </si>
  <si>
    <t>Reverses the working direction before the common rejected-entry return.</t>
  </si>
  <si>
    <t>Reject_MapCellEntry</t>
  </si>
  <si>
    <t>Restores the original/current map index as the rejected traversal result.</t>
  </si>
  <si>
    <t>Restore_TraversalStateAndReturn</t>
  </si>
  <si>
    <t>Restores target coordinates and returns with the traversal result flags.</t>
  </si>
  <si>
    <t>Check_WoodCellTraversal</t>
  </si>
  <si>
    <t>Detects map type 2 and enters its direction-derived wooden-edge test; other map types return to the caller.</t>
  </si>
  <si>
    <t>Test_WoodTraversalEdge</t>
  </si>
  <si>
    <t>Converts direction to the two-bit wooden-edge selector before testing the map cell.</t>
  </si>
  <si>
    <t>Test_DirectedWoodEdge</t>
  </si>
  <si>
    <t>Tests the selected wooden-wall/door edge bit and returns the resulting traversal condition.</t>
  </si>
  <si>
    <t>Mark_CurrentTowerTrapCells</t>
  </si>
  <si>
    <t>Marks map cells referenced by the current tower’s trap list before monster unpacking.</t>
  </si>
  <si>
    <t>Mark_CurrentTowerTrapCellsLoop</t>
  </si>
  <si>
    <t>Iterates variable-length trap records and marks each referenced cell.</t>
  </si>
  <si>
    <t>Return_FromMarkCurrentTowerTrapCells</t>
  </si>
  <si>
    <t>Returns after all current-tower trap cells have been marked.</t>
  </si>
  <si>
    <t>Prepare_WoodenWallFaceIteration</t>
  </si>
  <si>
    <t>Selects wooden-wall handling before the candidate face loop.</t>
  </si>
  <si>
    <t>Test_NearWoodenWallFace</t>
  </si>
  <si>
    <t>Applies the nearest wooden-face visibility condition.</t>
  </si>
  <si>
    <t>Draw_Occupants_BeforeWoodenForegroundFace</t>
  </si>
  <si>
    <t>Calls the occupant compositor between rear wooden faces and the foreground face.</t>
  </si>
  <si>
    <t>Resolve_WoodenWallFaceState</t>
  </si>
  <si>
    <t>Decodes the selected wooden face state before drawing its components.</t>
  </si>
  <si>
    <t>Draw_WoodenWallFace</t>
  </si>
  <si>
    <t>Draws the selected wooden wall or door face.</t>
  </si>
  <si>
    <t>Draw_NextDungeonWallFace</t>
  </si>
  <si>
    <t>Advances the four-face dungeon-wall loop.</t>
  </si>
  <si>
    <t>Return_FromDungeonCellOccupants</t>
  </si>
  <si>
    <t>Common return when the centred occupant slot is unavailable or empty.</t>
  </si>
  <si>
    <t>Draw_MonsterTeamOccupants</t>
  </si>
  <si>
    <t>Resolves and draws the members of a live monster team.</t>
  </si>
  <si>
    <t>Draw_MonsterTeamMemberLoop</t>
  </si>
  <si>
    <t>Rotates and resolves one authored monster-team mini-space.</t>
  </si>
  <si>
    <t>Draw_NextMonsterTeamMember</t>
  </si>
  <si>
    <t>Advances the four-member live monster-team loop.</t>
  </si>
  <si>
    <t>Load_SingleMonsterRotationAndSpace</t>
  </si>
  <si>
    <t>Prepare_MonsterOccupantRender</t>
  </si>
  <si>
    <t>Load_MonsterRenderState</t>
  </si>
  <si>
    <t>Loads monster animation state and current grade before rendering.</t>
  </si>
  <si>
    <t>Calculate_MonsterViewerRelativeFacing</t>
  </si>
  <si>
    <t>Draw_PlayerOccupant</t>
  </si>
  <si>
    <t>Resolves the active player occupant branch.</t>
  </si>
  <si>
    <t>Draw_PlayerPartyOccupants</t>
  </si>
  <si>
    <t>Draws party champions at an active player’s occupied dungeon cell.</t>
  </si>
  <si>
    <t>Count_VisiblePlayerPartySlots</t>
  </si>
  <si>
    <t>Counts present party slots before choosing the player-party render path.</t>
  </si>
  <si>
    <t>Count_NextVisiblePlayerPartySlot</t>
  </si>
  <si>
    <t>Advances the party-slot count loop.</t>
  </si>
  <si>
    <t>Draw_PlayerPartyMemberLoop</t>
  </si>
  <si>
    <t>Draw_NextPlayerPartyMember</t>
  </si>
  <si>
    <t>Advances the player-party member loop.</t>
  </si>
  <si>
    <t>Draw_PlayerPartyChampion</t>
  </si>
  <si>
    <t>Loads and draws one champion from the active player party.</t>
  </si>
  <si>
    <t>Six DBRA terminal indices for packed monster records; $FFFF means no records.</t>
  </si>
  <si>
    <t>The Keep’s 128-slot packed monster block.</t>
  </si>
  <si>
    <r>
      <t xml:space="preserve">Sixteen 32-byte champion-stat records, including original placement and facing byte </t>
    </r>
    <r>
      <rPr>
        <sz val="10"/>
        <color theme="1"/>
        <rFont val="Arial Unicode MS"/>
        <family val="2"/>
      </rPr>
      <t>$18</t>
    </r>
    <r>
      <rPr>
        <sz val="12"/>
        <color theme="1"/>
        <rFont val="Aptos Narrow"/>
        <family val="2"/>
        <scheme val="minor"/>
      </rPr>
      <t>.</t>
    </r>
  </si>
  <si>
    <t>Adjusts monster team mini-spaces before distance selection.</t>
  </si>
  <si>
    <t>Maps dungeon view cells to monster depth slots.</t>
  </si>
  <si>
    <t>Maps projected depth slots to monster graphics-distance slots.</t>
  </si>
  <si>
    <t>Maps low render-state bits to arm/claw animation flags.</t>
  </si>
  <si>
    <t>Maps facing to front, side, back, or mirrored-side graphics.</t>
  </si>
  <si>
    <t>Provides screen X positions for view-cell and mini-space combinations.</t>
  </si>
  <si>
    <t>Resolve_WallFeatureContext</t>
  </si>
  <si>
    <t>Resolves the contextual wall-feature or door action, toggling valid targets or reporting a locked door.</t>
  </si>
  <si>
    <t>$5568</t>
  </si>
  <si>
    <t>$774C</t>
  </si>
  <si>
    <t>Eight signed dispatch values indexed by map-cell type during Try_EnterMapCell.</t>
  </si>
  <si>
    <t>Monster_StairDepthSlot_XAdjustments</t>
  </si>
  <si>
    <t>DATA</t>
  </si>
  <si>
    <t>Monster_StairDepthSlot_XAdjustments.positions</t>
  </si>
  <si>
    <t>$09648</t>
  </si>
  <si>
    <t>Eight signed X adjustments used when placing an occupant in a type-4 stair cell.</t>
  </si>
  <si>
    <t>Monster_StairDepthSlot_YPositions</t>
  </si>
  <si>
    <t>Monster_StairDepthSlot_YPositions.positions</t>
  </si>
  <si>
    <t>$09650</t>
  </si>
  <si>
    <t>Eight Y positions paired with the stair depth-slot X adjustments.</t>
  </si>
  <si>
    <t>No switch effect; return to caller. Also the base for Switches_LookupTable signed word displacements.</t>
  </si>
  <si>
    <t>Eight signed word displacements from Switch_00_s00_Null, indexed directly by the even action byte $00-$0E.</t>
  </si>
  <si>
    <t>Trigger_15_t1E_CreateWall_XY</t>
  </si>
  <si>
    <t>Switch_02_s04_Trigger_23_t2E_ToggleWall_XY</t>
  </si>
  <si>
    <t>Return_WallToggle</t>
  </si>
  <si>
    <t>Return after the target-wall toggle or its flag check.</t>
  </si>
  <si>
    <t>Clear_TargetMapCellType</t>
  </si>
  <si>
    <t>A6/D0: target cell. Clear second-byte type bits 0-2 and return; retain first-byte data and other flags.</t>
  </si>
  <si>
    <t>Resolve_ActionTargetXY</t>
  </si>
  <si>
    <t>Process_PlayerMoveFloorFeature</t>
  </si>
  <si>
    <t>$6B0C</t>
  </si>
  <si>
    <t>A6/D0: type-6 destination. Subtype 0 clears living champions worn spells; subtype 1 skips trigger dispatch; subtypes 2/3 execute the pad.</t>
  </si>
  <si>
    <t>Dispatch_PlayerMoveTriggerPad</t>
  </si>
  <si>
    <t>$6B1C</t>
  </si>
  <si>
    <t>D1: nonzero floor subtype. Skip pit subtype 1; dispatch visible/invisible pads 2/3 using the destination in A6/D0.</t>
  </si>
  <si>
    <t>Clear_PartyWornSpells_NextSlot</t>
  </si>
  <si>
    <t>D7: party slot 3 down to 0. Skip dead/unavailable slots and clear the living champion worn-spell byte at stat record +$11.</t>
  </si>
  <si>
    <t>Clear_PartyWornSpells_Continue</t>
  </si>
  <si>
    <t>Continue the four-slot loop, redraw the party command panel, restore movement registers and return.</t>
  </si>
  <si>
    <t>Execute_FloorTrigger</t>
  </si>
  <si>
    <t>Resolve_FloorTriggerRecord</t>
  </si>
  <si>
    <t>A6/D0: pad cell. Return A1=current tower trigger block, D1=reference*4, D2=action byte. Select spell sound for actions $08/$0A/$2A.</t>
  </si>
  <si>
    <t>Select_TriggerSpellSound</t>
  </si>
  <si>
    <t>Set the pending trigger sound to the alternative spell effect before dispatch.</t>
  </si>
  <si>
    <t>Dispatch_TriggerAndPlaySound</t>
  </si>
  <si>
    <t>A1/D1: record; D2: even action byte. Call the signed-offset handler with D0/D7/A6 saved; play the returned nonnegative TriggerSound_ID.</t>
  </si>
  <si>
    <t>Restore_TriggerMovementState</t>
  </si>
  <si>
    <t>Pop dispatcher D0/D7/A6. Teleport and tower-entry handlers rewrite this saved frame so movement resumes at the destination.</t>
  </si>
  <si>
    <t>31 signed word displacements from Trigger_00_t00_Null; the action byte is the byte offset $00-$3C, not an ordinal to double again.</t>
  </si>
  <si>
    <t>Two-party return to the Keep: require a player party at record CC/DD, then place both parties on the corresponding Keep arrival pair.</t>
  </si>
  <si>
    <t>Return_KeepEntrancePartnerMissing</t>
  </si>
  <si>
    <t>Discard the saved trigger-record pointer and return after the opposite-pad player check fails.</t>
  </si>
  <si>
    <t>Prepare_KeepEntranceArrivalPair</t>
  </si>
  <si>
    <t>A1: partner party; stack: trigger pointer. Save outgoing tower state; select Keep arrival floor and pair using the current tower.</t>
  </si>
  <si>
    <t>Enter_TowerAtArrivalMidpoint</t>
  </si>
  <si>
    <t>A0/D0: arrival pair; D1: floor; A5: party. Store midpoint, select tower/map/floor, rewrite dispatcher D0/D7/A6, mark occupancy, unpack monsters.</t>
  </si>
  <si>
    <t>A1/D1: trigger record. Require a player party at CC/DD; BB selects an arrival side. Negative MultiPlayer values return immediately.</t>
  </si>
  <si>
    <t>Discard_TowerEntranceRecord</t>
  </si>
  <si>
    <t>Discard the saved trigger-record pointer after the opposite-pad player check fails.</t>
  </si>
  <si>
    <t>Return_TowerEntrance</t>
  </si>
  <si>
    <t>Return when the current game mode or opposite-pad occupancy prevents tower travel.</t>
  </si>
  <si>
    <t>Prepare_TowerEntranceArrivalPair</t>
  </si>
  <si>
    <t>A1: partner party; stack: trigger pointer. Save outgoing state; use BB*2 as arrival-side offset and floor zero.</t>
  </si>
  <si>
    <t>Enter_TowerAtPairedArrivals</t>
  </si>
  <si>
    <t>A1: partner; A5: active party; A0/D0: arrival side; D1: floor. Place both parties, replace saved dispatcher movement state and load tower monsters.</t>
  </si>
  <si>
    <t>Trigger_30_t3C_RemoveXY_IfPuzzleBitsSet</t>
  </si>
  <si>
    <t>Trigger_29_t3A_GameCompletion</t>
  </si>
  <si>
    <t>Trigger_25_t32_Teleport_FXY</t>
  </si>
  <si>
    <t>Commit_TeleportWithoutFlash</t>
  </si>
  <si>
    <t>D6: destination floor; D7: X/Y; A6/D0: destination cell. Call the shared commit helper and return without queueing a flash.</t>
  </si>
  <si>
    <t>Trigger_21_t2A_Flash_Teleport_FXY</t>
  </si>
  <si>
    <t>Commit_TeleportAndQueueFlash</t>
  </si>
  <si>
    <t>Commit destination D6/D7/A6/D0, then queue effect $10 at the arrival cell. Post-trigger sound remains selected by the dispatcher.</t>
  </si>
  <si>
    <t>Return_TraderDoorCloser</t>
  </si>
  <si>
    <t>Return after checking or closing the wooden door beside the trader pad.</t>
  </si>
  <si>
    <t>Trigger_24_t30_SpinnerRight90</t>
  </si>
  <si>
    <t>Trigger_14_t1C_SetFloorTypeBits_XY</t>
  </si>
  <si>
    <t>Trigger_26_t34_ToggleFloorTypeBits_XY</t>
  </si>
  <si>
    <t>Trigger_16_t20_ToggleNeighbourFloorType</t>
  </si>
  <si>
    <t>Trigger_17_t22_MovePillar_NorthWestToNorth</t>
  </si>
  <si>
    <t>VivifyExternal_SearchRevivalCell</t>
  </si>
  <si>
    <t>A6/D0: revival cell. Queue effect $86; require an unoccupied cell with objects, then scan its four stack corners for remains.</t>
  </si>
  <si>
    <t>VivifyExternal_FindCornerStack</t>
  </si>
  <si>
    <t>D4: corner 3 down to 0. Find that corner object stack at A6/D0; matching stack returns A0/D7 for its record.</t>
  </si>
  <si>
    <t>VivifyExternal_NextCorner</t>
  </si>
  <si>
    <t>Continue the four-corner ground-stack search after a missing stack or no valid remains.</t>
  </si>
  <si>
    <t>Return_VivifyExternalNoRemains</t>
  </si>
  <si>
    <t>Return when the revival cell is occupied, has no objects, or contains no suitable champion remains.</t>
  </si>
  <si>
    <t>VivifyExternal_PrepareRemainsScan</t>
  </si>
  <si>
    <t>A0/D7: object stack. Set A1 to its object pairs and D3 to the last two-byte pair offset.</t>
  </si>
  <si>
    <t>VivifyExternal_CheckRemainsCode</t>
  </si>
  <si>
    <t>A1/D3: object pair. Accept codes $40-$4F and return their champion number 0-15 in D2.</t>
  </si>
  <si>
    <t>VivifyExternal_PreviousObject</t>
  </si>
  <si>
    <t>Step D3 back by two bytes; after the first pair, continue with the next ground-stack corner.</t>
  </si>
  <si>
    <t>VivifyExternal_ConsumeRemains</t>
  </si>
  <si>
    <t>Reserve the revival cell, remove the selected remains, recover its floor/X/Y, and find the champion party membership.</t>
  </si>
  <si>
    <t>VivifyExternal_ReplaceDeadLeader</t>
  </si>
  <si>
    <t>Move the former leader into the revived champion’s old slot and select the revived champion before installing the new leader.</t>
  </si>
  <si>
    <t>VivifyExternal_InstallRevivedLeader</t>
  </si>
  <si>
    <t>D0: champion; D2: X/Y; D3: floor; A5: party. Install and select the new leader, relocate the party and face west.</t>
  </si>
  <si>
    <t>VivifyExternal_RefreshParty</t>
  </si>
  <si>
    <t>Refresh the revived party interface, restore the activating party A5 from the stack and return.</t>
  </si>
  <si>
    <t>VivifyInternal_ReviveNextSlot</t>
  </si>
  <si>
    <t>D0: slot 3 down to 0. Skip empty/unavailable/living slots; clear dead flag and restore five vitality and hit points for eligible champions.</t>
  </si>
  <si>
    <t>VivifyInternal_FindDisplaySlot</t>
  </si>
  <si>
    <t>D1: display slot 3 down to 0. Find a negative/free champion-order entry; fall back to slot zero if all are used.</t>
  </si>
  <si>
    <t>VivifyInternal_InsertDisplayChampion</t>
  </si>
  <si>
    <t>D0: revived party slot; D1: display slot. Keep champion-number bits only and copy the number into the display order.</t>
  </si>
  <si>
    <t>VivifyInternal_FinishParty</t>
  </si>
  <si>
    <t>Continue the party-slot loop, then reset party-command/presentation state and refresh the current interface.</t>
  </si>
  <si>
    <t>Column A</t>
  </si>
  <si>
    <t>Unlabelled</t>
  </si>
  <si>
    <t>Labelled</t>
  </si>
  <si>
    <t>Find_FreeOwnershipSlot</t>
  </si>
  <si>
    <t>Searches the ownership table for the first unused entry and returns its slot.</t>
  </si>
  <si>
    <t>Find_ChampionOwner</t>
  </si>
  <si>
    <t>Searches the ownership table for the player that currently owns the selected champion.</t>
  </si>
  <si>
    <t>Find_ChampionInPlayerSlots</t>
  </si>
  <si>
    <t>Searches a player's champion slots for the selected champion index.</t>
  </si>
  <si>
    <t>Find_ChampionFormationSlot</t>
  </si>
  <si>
    <t>Searches a player's four formation positions for the selected champion index.</t>
  </si>
  <si>
    <t>ForwardCellToMapOffset</t>
  </si>
  <si>
    <t>Applies the player's facing vector to the packed position and converts the forward cell to a map offset.</t>
  </si>
  <si>
    <t>PlayerPositionToMapOffset</t>
  </si>
  <si>
    <t>Converts the player's packed X and Y position to an offset in the selected floor map.</t>
  </si>
  <si>
    <t>Select_ActivePlayerFloorMap</t>
  </si>
  <si>
    <t>Selects the floor map identified by the active player's independent floor number.</t>
  </si>
  <si>
    <t>Select_FloorMapByIndex</t>
  </si>
  <si>
    <t>Selects a floor by index and caches its dimensions and map-data offset.</t>
  </si>
  <si>
    <t>Encode_MFMClockBits</t>
  </si>
  <si>
    <t>Adds legal MFM clock bits to the in-memory floppy data stream while preserving spacing across longword boundaries.</t>
  </si>
  <si>
    <t>Delay_FloppyControllerSettle</t>
  </si>
  <si>
    <t>Provides the fixed hardware delay used between floppy-controller CIA operations.</t>
  </si>
  <si>
    <t>Select_FloppyDrive0</t>
  </si>
  <si>
    <t>Programs CIAB port B to select floppy drive zero using its active-low select line.</t>
  </si>
  <si>
    <t>Swap_DisplayAndDrawBuffers</t>
  </si>
  <si>
    <t>Swaps the display and drawing screen buffers and updates all four Copper bitplane pointers.</t>
  </si>
  <si>
    <t>Blit_MaskedPocketsOverlayLoop</t>
  </si>
  <si>
    <t>Applies a row-based AND and OR mask while copying an overlay crop from the Pockets graphics sheet.</t>
  </si>
  <si>
    <t>Copy_DrawBufferToDisplayBuffer</t>
  </si>
  <si>
    <t>Copies the complete 320 by 200 four-plane drawing buffer to the display buffer.</t>
  </si>
  <si>
    <t>Clear_DrawBuffer</t>
  </si>
  <si>
    <t>Selects and clears the complete drawing screen buffer.</t>
  </si>
  <si>
    <t>Clear_DisplayBuffer</t>
  </si>
  <si>
    <t>Selects and clears the complete display screen buffer through the shared clearing loop.</t>
  </si>
  <si>
    <t>Calculate_ViewerObjectPerception</t>
  </si>
  <si>
    <t>Calculates the active viewer's nonzero perception value used when deciding whether concealed cell contents are visible.</t>
  </si>
  <si>
    <t>Draw_DungeonCellFeatureAndOccupants</t>
  </si>
  <si>
    <t>Dispatches a dungeon cell's structural feature and then draws its remaining occupants and contents.</t>
  </si>
  <si>
    <t>Draw_Type6CellFeatureBeforeFloorObjects</t>
  </si>
  <si>
    <t>Draws a type-six cell feature before resuming the ordinary floor-object pass so its items remain visible on top.</t>
  </si>
  <si>
    <t>Resolve_DiagonalCellAndFindOccupant</t>
  </si>
  <si>
    <t>Resolves the caller's diagonal cell coordinates and continues into the shared dungeon-cell occupant search.</t>
  </si>
  <si>
    <t>Draw_ChampionSelectionDetailsPanel</t>
  </si>
  <si>
    <t>Draws the portrait bevel, name strip, statistics scroll, and separators in the champion-selection details panel.</t>
  </si>
  <si>
    <t>Draw_ChampionSelectionCommandButtonFrames</t>
  </si>
  <si>
    <t>Draws the two nested outline frames for the champion-selection command buttons.</t>
  </si>
  <si>
    <t>Draw_ShieldPlanarGraphic</t>
  </si>
  <si>
    <t>Enters the generic template-colour planar renderer after preserving the packed shield width and height counts.</t>
  </si>
  <si>
    <t>Print_ChampionNamePanelGivenName</t>
  </si>
  <si>
    <t>Prints the champion's given name in the in-dungeon name panel using the active player's panel background colour.</t>
  </si>
  <si>
    <t>Print_SelectedSpellNameWarmOrange</t>
  </si>
  <si>
    <t>Positions and prints the selected spell name using warm-orange foreground ink.</t>
  </si>
  <si>
    <t>Print_ChampionSelectionFullName</t>
  </si>
  <si>
    <t>Prints the champion's given and second names on the champion-selection screen.</t>
  </si>
  <si>
    <t>.PrintLiteralCharacterToken</t>
  </si>
  <si>
    <t>Consumes the next text-stream byte as a literal glyph and resumes descriptor parsing after drawing it.</t>
  </si>
  <si>
    <t>.HandleCommandColumnSeparator</t>
  </si>
  <si>
    <t>Handles the command-menu column-separator token and records the alternate column geometry for following glyphs.</t>
  </si>
  <si>
    <t>Draw_TextGlyph</t>
  </si>
  <si>
    <t>Selects the five-row font glyph, draws it into the enabled colour planes, and advances the text cursor by one character cell.</t>
  </si>
  <si>
    <t>Print_GlyphRowsWithOptionalColumnShift</t>
  </si>
  <si>
    <t>Draws the glyph rows and applies the command-column horizontal shift when the separator flag is set.</t>
  </si>
  <si>
    <t>Queue_MapCellEffect</t>
  </si>
  <si>
    <t>Sets the pending-effect bit on a map cell and appends its map offset and encoded effect value to the cell-effect queue.</t>
  </si>
  <si>
    <t>Roll_AndStagePartyDamage</t>
  </si>
  <si>
    <t>Mark_NavigationFieldNeighbor</t>
  </si>
  <si>
    <t>Pack_CurrentTowerMonsterBlock</t>
  </si>
  <si>
    <t>Serialises the live monster records into the current tower's compact monster block and stores its last live-record index.</t>
  </si>
  <si>
    <t>Select_SpellRuneInk</t>
  </si>
  <si>
    <t>Returns the missing-rune ink, selected-rune ink, or spell-class ink for a spell-book rune glyph.</t>
  </si>
  <si>
    <t>Clear_LowerTextStrip</t>
  </si>
  <si>
    <t>Clears the active player's shared lower text area and marks its associated interface state for refresh.</t>
  </si>
  <si>
    <t>Test_LevelResistanceRoll_FromPointer</t>
  </si>
  <si>
    <t>Converts a monster or champion record pointer to the actor identifier expected by the shared level-resistance test.</t>
  </si>
  <si>
    <t>Refresh_ModeDependentChampionDisplay</t>
  </si>
  <si>
    <t>Refreshes the party-formation display in interface mode zero or the held-item display in mode three; other modes return unchanged.</t>
  </si>
  <si>
    <t>Calculate_ManhattanDistance</t>
  </si>
  <si>
    <t>Returns the sum of the absolute X and Y differences between two packed coordinates.</t>
  </si>
  <si>
    <t>Read_MonsterMovementTableEntry</t>
  </si>
  <si>
    <t>Remove_MonsterRecord</t>
  </si>
  <si>
    <t>Updates references to the selected monster, removes its live record, compacts the remaining array, and clears the vacated final record.</t>
  </si>
  <si>
    <t>Reset_PartyCommandStateAndRedrawMenu</t>
  </si>
  <si>
    <t>Clears the party-command state, substate, and selected target before restoring the command-menu graphics.</t>
  </si>
  <si>
    <t>Print_SelectedSpellListEntry</t>
  </si>
  <si>
    <t>Prints the selected spell name when the entry is valid and advances the destination to the next spell-list row.</t>
  </si>
  <si>
    <t>SocketActions_RestorePartyStatToMax</t>
  </si>
  <si>
    <t>Restores the stat selected by D4 to its maximum for every occupied party slot; the three crystal handlers select hit points, vitality, or spell points.</t>
  </si>
  <si>
    <t>AdjacentCoordToMapOffset</t>
  </si>
  <si>
    <t>Applies the direction-indexed movement vector to a packed coordinate and converts the adjacent cell to a map offset.</t>
  </si>
  <si>
    <t>FloppyDrive_StepPulse</t>
  </si>
  <si>
    <t>Issues the active-low floppy step pulse using the current driver state, waits for the controller, and resumes the floppy operation.</t>
  </si>
  <si>
    <t>Encode_HardwareSpritePositionWords</t>
  </si>
  <si>
    <t>Encodes the horizontal and vertical position and control bytes for a player pointer's Amiga hardware sprite data.</t>
  </si>
  <si>
    <t>Prepare_19CharacterPanelTextCursor</t>
  </si>
  <si>
    <t>Initialises the nineteen-character text budget, panel cursor, foreground ink, and player-coloured background used by names and item descriptions.</t>
  </si>
  <si>
    <t>Blit_MaskedByteAcrossPlanes</t>
  </si>
  <si>
    <t>Combines one masked source byte with the existing destination byte across all four screen bitplanes.</t>
  </si>
  <si>
    <t>Decay_CastingFatigue</t>
  </si>
  <si>
    <t>Decrements every champion's casting-fatigue byte once per eight engine subcycles and clamps it at zero.</t>
  </si>
  <si>
    <t>Maintain_MonsterGroupFormation</t>
  </si>
  <si>
    <t>Decay_LinkedMagicRecords</t>
  </si>
  <si>
    <t>Ages linked-magic records, removes expired entries, and applies periodic occupant damage for damaging records.</t>
  </si>
  <si>
    <t>Damage_LinkedMagicCellOccupant</t>
  </si>
  <si>
    <t>Resolves the occupant of a damaging linked-magic cell and applies the appropriate champion, party, or monster damage path.</t>
  </si>
  <si>
    <t>Remove_LinkedMagicRecord</t>
  </si>
  <si>
    <t>Clears a cell's linked-magic type, compacts the linked-record list, and decrements its count.</t>
  </si>
  <si>
    <t>Run_300TickPeriodicUpdates</t>
  </si>
  <si>
    <t>Reloads the 300-tick counter and runs linked-magic decay, floor-trigger checks, navigation rebuilds, and party maintenance.</t>
  </si>
  <si>
    <t>Decay_PartyShieldHighlightTimer</t>
  </si>
  <si>
    <t>Ages the four party-shield highlight timers and redraws any slot whose timer expires.</t>
  </si>
  <si>
    <t>Update_CharacterCooldownIfCurrentTower</t>
  </si>
  <si>
    <t>Age_CharacterAnimationTimer</t>
  </si>
  <si>
    <t>Decrements the animation timer while preserving Confuse and Terror bits, then continues actor activation.</t>
  </si>
  <si>
    <t>AttackType_ResolveForwardOccupant</t>
  </si>
  <si>
    <t>AttackType_MonsterMelee</t>
  </si>
  <si>
    <t>Runs monster melee through the shared physical-attack and damage pipeline with backstabbing disabled.</t>
  </si>
  <si>
    <t>AttackType_DroneBlockedTurn</t>
  </si>
  <si>
    <t>Chooses a random left or right quarter-turn when Drone movement is blocked.</t>
  </si>
  <si>
    <t>Store_MonsterRotationByte</t>
  </si>
  <si>
    <t>Resolve_AirborneSpellCellEntry</t>
  </si>
  <si>
    <t>Queues an airborne-spell impact, resolves eligible cell occupants, and handles the empty or blocked-cell sound path.</t>
  </si>
  <si>
    <t>Apply_SpelltapEffect</t>
  </si>
  <si>
    <t>Clears worn magic, rolls resistance, drains spell points, and adds the drain to casting fatigue with a cap of 100.</t>
  </si>
  <si>
    <t>Comms_ApplyThreatFear</t>
  </si>
  <si>
    <t>Apply_ParalyzeEffect</t>
  </si>
  <si>
    <t>Runs the target resistance roll and sets paralysis plus the maximum action-delay nibble when resistance fails.</t>
  </si>
  <si>
    <t>Seed_DisruptDamage</t>
  </si>
  <si>
    <t>Seeds Disrupt damage from the target's hit points and level before its tiered resistance passes.</t>
  </si>
  <si>
    <t>Apply_ConfuseEffect</t>
  </si>
  <si>
    <t>Resolves a champion or monster facing change and records the persistent Confuse flag.</t>
  </si>
  <si>
    <t>Resolve_ConfuseFacingRoll</t>
  </si>
  <si>
    <t>Uses up to two resistance rolls to determine which facing bits Confuse toggles.</t>
  </si>
  <si>
    <t>ResistanceCheckPower</t>
  </si>
  <si>
    <t>Scratch word holding the signed effect power used by the shared level-resistance calculation.</t>
  </si>
  <si>
    <t>Test_LevelResistanceRoll</t>
  </si>
  <si>
    <t>Resolve_LevelResistanceRoll</t>
  </si>
  <si>
    <t>Load_ChampionLevelForResistanceRoll</t>
  </si>
  <si>
    <t>Loads a champion level and joins the shared resistance-threshold and random-roll calculation.</t>
  </si>
  <si>
    <t>Run_AntimageResistancePass</t>
  </si>
  <si>
    <t>Runs one Antimage resistance pass across all four formation slots using the currently staged power.</t>
  </si>
  <si>
    <t>Award_MonsterDamageExperienceAndKillBonus</t>
  </si>
  <si>
    <t>Awards damage-derived progress before monster HP is reduced and, on a lethal hit, applies the surviving party's level-based bonus.</t>
  </si>
  <si>
    <t>Mark_PendingFairySpellOffer</t>
  </si>
  <si>
    <t>Apply_SpellImpactAtOccupant</t>
  </si>
  <si>
    <t>Finds the target-cell occupant and dispatches the staged spell impact to a champion, party, monster, or monster group.</t>
  </si>
  <si>
    <t>Apply_MonsterDamage</t>
  </si>
  <si>
    <t>Applies resistance when requested, awards attack progress, subtracts monster hit points, and enters the death path on underflow.</t>
  </si>
  <si>
    <t>Apply_PartyDamage</t>
  </si>
  <si>
    <t>Applies a staged byte-sized damage value across the four party formation slots, with the shared Antimage resistance path when requested.</t>
  </si>
  <si>
    <t>Externalise_WipedParty_Remains</t>
  </si>
  <si>
    <t>Clears the wiped party's map occupancy and converts each occupied champion slot into externally recoverable remains.</t>
  </si>
  <si>
    <t>Draw_ViewportMessageFrame</t>
  </si>
  <si>
    <t>Clears the dungeon viewport and draws the nested frame used for death, sleep, and completion messages.</t>
  </si>
  <si>
    <t>Purge_TransientSummonsBeforeAllocation</t>
  </si>
  <si>
    <t>Removes dormant or transient summon records on the target floor before a new spell entity is allocated.</t>
  </si>
  <si>
    <t>Despawn_MonsterAndClearMapCell</t>
  </si>
  <si>
    <t>Clears the monster's map occupancy and enters the shared record-compaction and reference-cleanup path.</t>
  </si>
  <si>
    <t>Adjust_PlayerTargetIndexAfterRemoval</t>
  </si>
  <si>
    <t>Clears or decrements a player's targeted-monster index after the live monster array is compacted.</t>
  </si>
  <si>
    <t>Cleanup_MonsterReferencesAfterRemoval</t>
  </si>
  <si>
    <t>Repairs both players' target indices and all monster-team member indices after a live monster record is removed.</t>
  </si>
  <si>
    <t>Adjust_MonsterTeamMemberIndexAfterRemoval</t>
  </si>
  <si>
    <t>Clears or decrements one monster team's member indices after the live monster array is compacted.</t>
  </si>
  <si>
    <t>Run_PlayerPeriodicMaintenance</t>
  </si>
  <si>
    <t>Conditionally redraws the casting bar, selects the player's floor, advances communications, and refreshes formation-member state.</t>
  </si>
  <si>
    <t>Record_BowAndArrowPocketCandidates</t>
  </si>
  <si>
    <t>Tests one pocket and records candidate bow and arrow slots for the ranged-attack setup.</t>
  </si>
  <si>
    <t>Comms_RunPeriodicTickIfActive</t>
  </si>
  <si>
    <t>Runs the communications periodic update only while the party-command state is Communication.</t>
  </si>
  <si>
    <t>Advance_CommsWaitIndicatorAndDraw</t>
  </si>
  <si>
    <t>Advances the communications response-wait animation divider, redraws its icons, and returns to the command menu.</t>
  </si>
  <si>
    <t>Draw_CommandPanelIconPair</t>
  </si>
  <si>
    <t>Draws the two command-panel pocket graphics packed into D7 at the active player's panel position.</t>
  </si>
  <si>
    <t>Comms_FinishTradeExchange</t>
  </si>
  <si>
    <t>Clears trading mode, selects the completion message, reduces attitude, and prints the NPC response.</t>
  </si>
  <si>
    <t>Draw_InitialGameInterface</t>
  </si>
  <si>
    <t>Initialises and draws each active player's interface and death state, then presents the completed frame.</t>
  </si>
  <si>
    <t>Show_LoadSaveDiskPrompt</t>
  </si>
  <si>
    <t>Shows the load/save disk prompt for each active player, presents it, and enters the keyboard-confirmation loop.</t>
  </si>
  <si>
    <t>LoadGame_ReadChampionDataFromDisk</t>
  </si>
  <si>
    <t>Performs the protected save-disk setup and reads the champion records through the raw floppy-track decoder.</t>
  </si>
  <si>
    <t>SaveGame_WriteChampionDataToDisk</t>
  </si>
  <si>
    <t>Performs the protected save-disk setup and writes the champion records through the raw floppy-track encoder.</t>
  </si>
  <si>
    <t>Calculate_SpellCastingCost</t>
  </si>
  <si>
    <t>Returns five times the selected spell's raw cost-table byte.</t>
  </si>
  <si>
    <t>Print_FormationSlotChampionName</t>
  </si>
  <si>
    <t>Resolves the selected formation slot's champion identifier and prints that champion's name.</t>
  </si>
  <si>
    <t>Advance_ChampionLevelAndGrowStats</t>
  </si>
  <si>
    <t>Increments champion level, reloads level progress, and applies the dice-based hit-point and vitality growth.</t>
  </si>
  <si>
    <t>Build_PartyNavigationField</t>
  </si>
  <si>
    <t>Refresh_UIAfterSocketAction</t>
  </si>
  <si>
    <t>Refreshes the held-item panel or description after a crystal or gem socket action.</t>
  </si>
  <si>
    <t>HitTest_PickupDropQuadrant</t>
  </si>
  <si>
    <t>Remove_FloorObjectStackEntry</t>
  </si>
  <si>
    <t>Removes one floor-object stack entry and compacts the following entries or enclosing record when necessary.</t>
  </si>
  <si>
    <t>ShiftDown_FloorObjectEntries</t>
  </si>
  <si>
    <t>Compacts the remaining floor-object bytes after an entry or record is removed.</t>
  </si>
  <si>
    <t>Resolve_PickupDropTargetCell</t>
  </si>
  <si>
    <t>Converts the selected quadrant and facing into a map cell and validates its wooden traversal edge.</t>
  </si>
  <si>
    <t>Add_FloorObjectToStack</t>
  </si>
  <si>
    <t>Finds or creates a floor-object stack entry and merges or appends the dropped object.</t>
  </si>
  <si>
    <t>Draw_CombatOutcomeProfessionGlyph</t>
  </si>
  <si>
    <t>Draws the profession-specific glyph used beside a combat-outcome message and applies its colour mask.</t>
  </si>
  <si>
    <t>Redraw_CombatOutcomeSlot</t>
  </si>
  <si>
    <t>Clears and redraws one formation slot's combat-outcome area when its display timer expires.</t>
  </si>
  <si>
    <t>Convert_ThreeDigitDecimalText</t>
  </si>
  <si>
    <t>Formats an unsigned value from 0 to 999 with an optional hundreds digit and two decimal digits.</t>
  </si>
  <si>
    <t>Select_SpellBookPageForSelectedSpell</t>
  </si>
  <si>
    <t>Selects the two-page spellbook spread containing the champion's currently selected spell.</t>
  </si>
  <si>
    <t>Show_SpellCastPrompt</t>
  </si>
  <si>
    <t>Prints the cast prompt, clears casting quality, and enters the casting-percentage bar renderer.</t>
  </si>
  <si>
    <t>Update_IdlePanelAnimation</t>
  </si>
  <si>
    <t>Ages the active player's idle timer and alternates the default-panel animation when it expires.</t>
  </si>
  <si>
    <t>Commit_PlayerTeleportDestination</t>
  </si>
  <si>
    <t>Updates map occupancy and writes the active player's teleported floor and packed coordinate.</t>
  </si>
  <si>
    <t>Restore_VivifiedExternalChampionAtTarget</t>
  </si>
  <si>
    <t>Restores an unowned champion record at the Vivify target coordinate, facing, floor, and current tower.</t>
  </si>
  <si>
    <t>Restore_VivifiedOwnedChampionToParty</t>
  </si>
  <si>
    <t>Clears the owned champion's dead state and either restores a party slot or promotes and relocates the player leader.</t>
  </si>
  <si>
    <t>VivifyInternal_ReviveOwnPartyMembers</t>
  </si>
  <si>
    <t>Queues the Vivify impact and sound, revives eligible dead members of the active party, and redraws the party interface.</t>
  </si>
  <si>
    <t>Redraw_GameInterfaceFromScratch</t>
  </si>
  <si>
    <t>Clears the display and reconstructs the active game interface before continuing into the player panel and viewport.</t>
  </si>
  <si>
    <t>Draw_PlayerInterfaceAndDungeonViewport</t>
  </si>
  <si>
    <t>Draws the champion name panel and party commands, then refreshes the active player's dungeon viewport.</t>
  </si>
  <si>
    <t>Build_EligibleCompanionList</t>
  </si>
  <si>
    <t>Builds the selectable companion list from present party members who are neither waiting nor dead.</t>
  </si>
  <si>
    <t>Reset_ActionSelectionScratchBuffer</t>
  </si>
  <si>
    <t>Resets the four action-selection entries and their row markers before an eligible-target list is built.</t>
  </si>
  <si>
    <t>Draw_SelectedLeaderChainStrip</t>
  </si>
  <si>
    <t>Draws one side of the chain surround used by the selected leader presentation.</t>
  </si>
  <si>
    <t>Draw_InventoryPanelChainStrip</t>
  </si>
  <si>
    <t>Draws the inventory panel's chain-strip artwork at the caller-supplied framebuffer offset.</t>
  </si>
  <si>
    <t>Draw_PartyProfessionIconGrid</t>
  </si>
  <si>
    <t>Draws the four-position profession-icon grid and frames the active lead champion's position.</t>
  </si>
  <si>
    <t>GridSlotColumnShiftTable</t>
  </si>
  <si>
    <t>Maps the four formation positions to the left or right column of the profession-icon grid.</t>
  </si>
  <si>
    <t>Draw_PartyMemberSlotIcon</t>
  </si>
  <si>
    <t>Draws a vacant, dead, or living profession icon for one party position.</t>
  </si>
  <si>
    <t>Select_NeutralProfessionIconMask</t>
  </si>
  <si>
    <t>Selects the neutral recolouring mask used for dead or pending-selected profession icons.</t>
  </si>
  <si>
    <t>Select_LivingMemberClassColour</t>
  </si>
  <si>
    <t>Selects the profession colour mask for a living party member's icon.</t>
  </si>
  <si>
    <t>Draw_RecolouredPartyProfessionIcon</t>
  </si>
  <si>
    <t>Draws the selected party profession icon with the prepared four-colour replacement mask.</t>
  </si>
  <si>
    <t>Draw_VacantPartySlotIcon</t>
  </si>
  <si>
    <t>Draws the fixed vacant-party-position icon.</t>
  </si>
  <si>
    <t>StepCoordForwardToMapOffset</t>
  </si>
  <si>
    <t>Steps the supplied packed coordinate in the active player's facing direction and converts it to a map offset.</t>
  </si>
  <si>
    <t>Calculate_MapOffsetFromPackedCoordinate</t>
  </si>
  <si>
    <t>Calculates the selected floor's byte offset for a packed X and Y coordinate, assuming the tower map base is already loaded.</t>
  </si>
  <si>
    <t>Encode_FloppyTrackForWrite</t>
  </si>
  <si>
    <t>Builds and MFM-encodes an eleven-sector raw floppy track, writes it through disk DMA, and waits for completion.</t>
  </si>
  <si>
    <t>FloppyDrive_OppositeDirectionStepPulse</t>
  </si>
  <si>
    <t>Issues a floppy head-step pulse in the direction opposite to the normal track-advance routine.</t>
  </si>
  <si>
    <t>Read_AndDecodeFloppyTrack</t>
  </si>
  <si>
    <t>Starts raw-track disk DMA, waits with a timeout, and decodes all eleven MFM sectors into the destination buffer.</t>
  </si>
  <si>
    <t>FloppyDrive_SeekToTrackZero</t>
  </si>
  <si>
    <t>Pulses the floppy head toward track zero until the track-zero sense line is asserted.</t>
  </si>
  <si>
    <t>Calculate_WrappedMouseCounterDelta</t>
  </si>
  <si>
    <t>Converts the difference between two eight-bit mouse counters into the signed wrapped movement delta.</t>
  </si>
  <si>
    <t>Update_JoystickCursorPosition</t>
  </si>
  <si>
    <t>Applies decoded joystick direction bits to a player's pointer, clamping vertical movement and wrapping horizontal movement.</t>
  </si>
  <si>
    <t>Decode_JoystickDirectionBits</t>
  </si>
  <si>
    <t>Converts the Amiga joystick quadrature bits into the four directional flags consumed by pointer movement.</t>
  </si>
  <si>
    <t>Clear_ViewportMessageBackground</t>
  </si>
  <si>
    <t>Clears the active player's framed viewport-message area before sleep, death, or completion text is drawn.</t>
  </si>
  <si>
    <t>Resolve_MonsterBodyPoseGeometry</t>
  </si>
  <si>
    <t>Resolves facing, mirroring, source offset, position, and dimensions for a monster body pose.</t>
  </si>
  <si>
    <t>Draw_BehemothClawStrip</t>
  </si>
  <si>
    <t>Selects and draws one Behemoth claw strip with its projected position and occlusion variant.</t>
  </si>
  <si>
    <t>Draw_Crab_DetailDispatch_Front</t>
  </si>
  <si>
    <t>Draws the Crab's front-view side detail or dispatches to the rear-view detail path.</t>
  </si>
  <si>
    <t>Draw_DragonSideDetail_Conditional</t>
  </si>
  <si>
    <t>Conditionally selects and draws the Dragon's second side-detail pass for eligible poses and facings.</t>
  </si>
  <si>
    <t>Select_DragonDetailVariant</t>
  </si>
  <si>
    <t>Selects the Dragon detail frame, mirroring state, and projected offsets from pose, facing, and occlusion.</t>
  </si>
  <si>
    <t>Draw_DragonSideDetail</t>
  </si>
  <si>
    <t>Selects and draws the Dragon's first table-driven side-detail pass.</t>
  </si>
  <si>
    <t>Resolve_CreatureLimbOffset</t>
  </si>
  <si>
    <t>Resolves a generic creature-limb source offset, projected position, dimensions, and mirrored variant.</t>
  </si>
  <si>
    <t>Draw_Monster_16PixelStrip_FromBodies</t>
  </si>
  <si>
    <t>Adds the Bodies graphics base to a relative source offset and enters the shared monster-strip blitter.</t>
  </si>
  <si>
    <t>Draw_ChampionSelectionDefaultPanel</t>
  </si>
  <si>
    <t>Resets champion selection to its default mode and draws the initial framed panel, armour bar, and scroll.</t>
  </si>
  <si>
    <t>HitTest_ChampionSelectionPanel</t>
  </si>
  <si>
    <t>Draw_ChampionSelectionModePanel</t>
  </si>
  <si>
    <t>Draws the current champion-selection mode icon and dispatches its inventory, spellbook, or statistics panel.</t>
  </si>
  <si>
    <t>Draw_ChampionSelectionButtonFrame</t>
  </si>
  <si>
    <t>Draws the nested outer and inner frames for one champion-selection command button.</t>
  </si>
  <si>
    <t>HitTest_SelectChampionRegion</t>
  </si>
  <si>
    <t>HitTest_ViewObjectRegion</t>
  </si>
  <si>
    <t>HitTest_PreviewSpellRegion</t>
  </si>
  <si>
    <t>Runs the spell-grid hit test only while champion selection is in spellbook mode.</t>
  </si>
  <si>
    <t>HitTest_SpellGridCell</t>
  </si>
  <si>
    <t>HitTest_ChampionRosterRow</t>
  </si>
  <si>
    <t>Print_SpellPointsText</t>
  </si>
  <si>
    <t>Formats and prints the selected champion's current and maximum spell points.</t>
  </si>
  <si>
    <t>Draw_SpellBookPageSpread</t>
  </si>
  <si>
    <t>Draws both rune pages in the currently selected spellbook spread.</t>
  </si>
  <si>
    <t>Draw_SelectedChampionClickedShield</t>
  </si>
  <si>
    <t>Draws the opaque clicked-shield template for the newly selected champion.</t>
  </si>
  <si>
    <t>Clear_LowerTextBackground</t>
  </si>
  <si>
    <t>Clears the two lower-text background words across all four bitplanes and resets text state.</t>
  </si>
  <si>
    <t>Print_TextCharacterLoop</t>
  </si>
  <si>
    <t>Consumes text bytes, dispatches extension commands, and draws ordinary glyphs until termination or width exhaustion.</t>
  </si>
  <si>
    <t>Position_NameFieldTextCursor</t>
  </si>
  <si>
    <t>Positions the shared name-like text cursor and applies the panel width and player-coloured background.</t>
  </si>
  <si>
    <t>Select_WordsTextTable</t>
  </si>
  <si>
    <t>Selects the WordsText string table and enters the shared indexed-string lookup.</t>
  </si>
  <si>
    <t>Write_FloppyTrackSequence</t>
  </si>
  <si>
    <t>Encodes, writes, and advances across the requested sequence of raw floppy tracks.</t>
  </si>
  <si>
    <t>Read_FloppyTrackSequence</t>
  </si>
  <si>
    <t>Reads, decodes, and advances across the requested sequence of raw floppy tracks.</t>
  </si>
  <si>
    <t>Select_FloppySideSignalHigh</t>
  </si>
  <si>
    <t>Selects drive zero with the floppy side-control signal high and waits for the hardware to settle.</t>
  </si>
  <si>
    <t>Seek_FloppyToTrack</t>
  </si>
  <si>
    <t>Recalibrates to track zero and then steps the requested number of tracks.</t>
  </si>
  <si>
    <t>Update_CopperBitplanePointersForOppositeScreenBuffer</t>
  </si>
  <si>
    <t>Rewrites the four Copper bitplane pointers to the screen buffer opposite the current drawing buffer.</t>
  </si>
  <si>
    <t>Load_GamePaletteIntoColourRegisters</t>
  </si>
  <si>
    <t>Copies all 32 game palette words into the Amiga custom colour registers.</t>
  </si>
  <si>
    <t>Refresh_ActivePlayerDungeonViewport</t>
  </si>
  <si>
    <t>Skips unavailable player states, resolves the viewer record and perception, and redraws the active player's dungeon viewport.</t>
  </si>
  <si>
    <t>Run_SelectedCommsAction</t>
  </si>
  <si>
    <t>Shared communications response trampoline that enters Comms_RunAction with the action selected in D1.</t>
  </si>
  <si>
    <t>Draw_BlankCommandIconsAndMenu</t>
  </si>
  <si>
    <t>Draws the two blank command-panel icons and returns to the root party-command menu.</t>
  </si>
  <si>
    <t>Decrease_CommsAttitudeAndPrintMessage</t>
  </si>
  <si>
    <t>Decrements the NPC attitude with a zero clamp, stages the selected response text, and prints the NPC message.</t>
  </si>
  <si>
    <t>Finish_LoadSaveAndRedrawInterface</t>
  </si>
  <si>
    <t>Restores the saved periodic counter, clears the keyboard code, and redraws the initial game interface after load, save, or cancel.</t>
  </si>
  <si>
    <t>Validate_CommsTargetThenDispatchPlayerAction</t>
  </si>
  <si>
    <t>Cancels an invalid communications target when necessary, then dispatches the active player's pending interface action.</t>
  </si>
  <si>
    <t>Wait_ForFloppyDriveReady</t>
  </si>
  <si>
    <t>Polls the CIAA ready-sense bit until the selected floppy drive reports ready.</t>
  </si>
  <si>
    <t>Restore_PlayerDialogueTextColour</t>
  </si>
  <si>
    <t>Restores the active player's cached dialogue colour to hardware palette register 15.</t>
  </si>
  <si>
    <t>Commit_MonsterMovementAndRotation</t>
  </si>
  <si>
    <t>Prepare_RangedAttackFromPockets</t>
  </si>
  <si>
    <t>Calculates the attacker's level contribution, scans the relevant pockets for bow and arrow candidates, and prepares ranged-attack state.</t>
  </si>
  <si>
    <t>Init_CustomChipRegisters</t>
  </si>
  <si>
    <t>Programs the game palette and display-window, bitplane, Copper-list, and hardware-sprite state during display initialisation.</t>
  </si>
  <si>
    <t>Copper_SpriteOffsetTable</t>
  </si>
  <si>
    <t>Per-sprite offsets used while initialising Copper sprite-pointer words.</t>
  </si>
  <si>
    <t>Sprite_PositionPointerTable</t>
  </si>
  <si>
    <t>Pointers to the hardware sprite-position records installed into the Copper list.</t>
  </si>
  <si>
    <t>Level2Int_LastKeyScratch</t>
  </si>
  <si>
    <t>Scratch byte holding the raw key code captured by the level-two keyboard interrupt.</t>
  </si>
  <si>
    <t>Init_BitReverseTableAndSpellPracticeData</t>
  </si>
  <si>
    <t>Builds the 256-byte bit-reversal lookup and clears the 512-byte spell-practice table for a new game.</t>
  </si>
  <si>
    <t>NoChampions_DelayAndFallbackToLoadGame</t>
  </si>
  <si>
    <t>Handles an invalid no-champion setup by delaying, resetting shield-highlight timers, redrawing the interface, and opening Load Game.</t>
  </si>
  <si>
    <t>Flush_DirtyUIRegions_BothPlayers</t>
  </si>
  <si>
    <t>Flushes dirty interface regions for Player 1 and then Player 2 once per main-loop pass.</t>
  </si>
  <si>
    <t>Flush_DirtyUIRegions</t>
  </si>
  <si>
    <t>Copies only the player interface regions selected by the dirty-region byte from the draw buffer to the visible buffer.</t>
  </si>
  <si>
    <t>Copy_8RowScreenBand</t>
  </si>
  <si>
    <t>Copies a fixed eight-row, four-plane screen band from the draw buffer to the visible buffer.</t>
  </si>
  <si>
    <t>Copy_VariableHeightScreenBand</t>
  </si>
  <si>
    <t>Copies a dirty-region-selected variable-height screen band from the draw buffer to the visible buffer.</t>
  </si>
  <si>
    <t>Update_ChampionStatRegeneration</t>
  </si>
  <si>
    <t>Resolves a champion and owner, skips an ineligible dead record, and enters spell-point, hit-point, food, and vitality regeneration.</t>
  </si>
  <si>
    <t>Update_ChampionSpellPoints</t>
  </si>
  <si>
    <t>Increments current spell points toward the maximum, then continues into hit-point recovery.</t>
  </si>
  <si>
    <t>Update_ChampionHitPointRecovery</t>
  </si>
  <si>
    <t>Recovers hit points from champion level, doubles the rate when object $5B is in either leading pocket, and clamps to maximum.</t>
  </si>
  <si>
    <t>Apply_StarvationDamage</t>
  </si>
  <si>
    <t>Applies a random level-influenced hit-point loss when food exhaustion has already reduced vitality to zero.</t>
  </si>
  <si>
    <t>Update_ChampionFoodAndVitality</t>
  </si>
  <si>
    <t>Recovers vitality according to food level or decrements vitality while starving.</t>
  </si>
  <si>
    <t>Stat_UpdateLoop</t>
  </si>
  <si>
    <t>Runs the slow global cycle for champion regeneration, party food drain, and worn-spell decay.</t>
  </si>
  <si>
    <t>Drain_PartyFoodLevel</t>
  </si>
  <si>
    <t>Drains one food point from each eligible party member before entering the worn-spell decay pass.</t>
  </si>
  <si>
    <t>FloorTrigger_Handler</t>
  </si>
  <si>
    <t>FloorTriggerDetectedFlag</t>
  </si>
  <si>
    <t>Set when the forward map cell is the regeneration floor feature and consumed by the same stat-update pulse.</t>
  </si>
  <si>
    <t>ActorScanRecordIndex</t>
  </si>
  <si>
    <t>Current live monster-record index during the actor scan; $FFFF marks no active record.</t>
  </si>
  <si>
    <t>PartyFormationActivationFlag</t>
  </si>
  <si>
    <t>Distinguishes activation through a party formation slot from activation during the ordinary monster scan.</t>
  </si>
  <si>
    <t>Gate_AirborneEntityFormRange</t>
  </si>
  <si>
    <t>Routes airborne entity forms $88-$8A to the special impact path and forms $8B or above to the alternate dispatch.</t>
  </si>
  <si>
    <t>AirborneSpellSplashFlag</t>
  </si>
  <si>
    <t>When nonzero, an airborne spell impact is spread across the target monster group instead of one occupant.</t>
  </si>
  <si>
    <t>Swap_FormationSlotEntries</t>
  </si>
  <si>
    <t>Swaps formation-slot scratch entries when party leader or survivor ordering changes.</t>
  </si>
  <si>
    <t>Loop_TeamAvatarSlots</t>
  </si>
  <si>
    <t>Scans all four formation slots and draws pending wound-flash numbers for flagged slots.</t>
  </si>
  <si>
    <t>FormationSlot_ScratchBytes</t>
  </si>
  <si>
    <t>Four reusable per-formation-slot scratch bytes shared by resistance, damage staging, leader swapping, and wound-flash paths.</t>
  </si>
  <si>
    <t>Draw_CombatWoundFlashNumber</t>
  </si>
  <si>
    <t>Draws the wound-flash backing sprite and one-to-three-digit hit count, then arms the slot highlight timer.</t>
  </si>
  <si>
    <t>WoundFlashPopup_XOffsetTable</t>
  </si>
  <si>
    <t>Alternate base into the interleaved wound-flash origin table; indexed by slot times four to read each X coordinate.</t>
  </si>
  <si>
    <t>WoundFlashPopup_YOffsetTable</t>
  </si>
  <si>
    <t>Alternate base into the interleaved wound-flash origin table; indexed by slot times four to read each Y coordinate.</t>
  </si>
  <si>
    <t>PostDoorToggle_Enter</t>
  </si>
  <si>
    <t>Checks the current and forward map cells for a facing-matched door during the multifunction action path.</t>
  </si>
  <si>
    <t>Comms_SmalltalkPatternIndexTable</t>
  </si>
  <si>
    <t>Maps the selected smalltalk probability band to the sentence-pattern index used by communications.</t>
  </si>
  <si>
    <t>SaveData_StartTrackNumber</t>
  </si>
  <si>
    <t>Starting floppy track for champion save data: $3C in one-player mode and $46 in two-player mode.</t>
  </si>
  <si>
    <t>adrEA00463E</t>
  </si>
  <si>
    <t>SpellShop_CandidateSpellBitTable</t>
  </si>
  <si>
    <t>Eight candidate spell-bit identifiers per class, scanned by the Fairy spell-shop to offer the first spell the champion does not know.</t>
  </si>
  <si>
    <t>SpellPurchasePromptTemplate</t>
  </si>
  <si>
    <t>Mutable spell-purchase prompt containing LEVEL, GOLD, and confirmation fields patched before display.</t>
  </si>
  <si>
    <t>SpellShop_ChampionIndexScratch</t>
  </si>
  <si>
    <t>Stores the selected spell-shop champion identifier and is read back by the level-growth continuation at $4AE8.</t>
  </si>
  <si>
    <t>LevelUpXPThresholdTable</t>
  </si>
  <si>
    <t>Byte-indexed experience thresholds reloaded on level-up and halved for Fairy spell-offer eligibility.</t>
  </si>
  <si>
    <t>ChampionLevelUp_StatGrowthDieTable</t>
  </si>
  <si>
    <t>Per-class, per-stat die selectors used when growing champion statistics on level-up.</t>
  </si>
  <si>
    <t>MainInterfacePanelModeJumpTable</t>
  </si>
  <si>
    <t>Five-entry dispatch table indexed by the active main-interface panel mode.</t>
  </si>
  <si>
    <t>RandomSeed</t>
  </si>
  <si>
    <t>Persistent byte seed updated by the game random-number generator.</t>
  </si>
  <si>
    <t>PartyNavigationField_CellPassabilityTable</t>
  </si>
  <si>
    <t>Maps the three-bit map-cell type to passable or blocked during party navigation-field expansion.</t>
  </si>
  <si>
    <t>ObjectSubpositionRotationTable</t>
  </si>
  <si>
    <t>Maps an absolute floor-object corner to its player-relative corner after facing rotation.</t>
  </si>
  <si>
    <t>ProfessionGlyphClassInkTable</t>
  </si>
  <si>
    <t>Maps champion profession class to the ink used for combat-outcome profession glyphs.</t>
  </si>
  <si>
    <t>ProfessionGlyphScreenOffsetTable</t>
  </si>
  <si>
    <t>Per-formation-slot framebuffer offsets for combat-outcome profession glyphs.</t>
  </si>
  <si>
    <t>CombatOutcomeSlotPositionTableX</t>
  </si>
  <si>
    <t>Per-formation-slot X positions for combat-outcome background redraws.</t>
  </si>
  <si>
    <t>CombatOutcomeSlotPositionTableY</t>
  </si>
  <si>
    <t>Per-formation-slot Y positions paired with the combat-outcome X table.</t>
  </si>
  <si>
    <t>CombatOutcomeText_ScreenOffsetTable</t>
  </si>
  <si>
    <t>Per-formation-slot framebuffer destinations for combat-outcome text.</t>
  </si>
  <si>
    <t>Double_SpellQualityThresholdAndAdvanceTier</t>
  </si>
  <si>
    <t>Doubles the current spell-practice threshold, advances its tier counter, and loops to the next quality comparison.</t>
  </si>
  <si>
    <t>Clear_PartyWornSpellsOnFloorTransition</t>
  </si>
  <si>
    <t>Clears worn spells from every present party member after stair or team-pad travel, then redraws the party commands.</t>
  </si>
  <si>
    <t>Trigger_WaitFlag</t>
  </si>
  <si>
    <t>Pending trigger delay word; $FFFF means no delayed action, while small positive values defer sound/effect completion.</t>
  </si>
  <si>
    <t>Trigger_Action38_ToggleCellTypeLowBits</t>
  </si>
  <si>
    <t>Trigger action $38 XORs bits 0-1 of the target map cell type while preserving the other cell bits.</t>
  </si>
  <si>
    <t>Trigger_Action36_RotateWoodEdges</t>
  </si>
  <si>
    <t>Trigger action $36 rotates the four two-bit wooden-edge fields in the target cell byte by one side.</t>
  </si>
  <si>
    <t>PartyCommandMenu_ModeJumpTable</t>
  </si>
  <si>
    <t>Mode-indexed pointer table selecting the party-command descriptor stream.</t>
  </si>
  <si>
    <t>ActivePartyChampionShieldDrawParameters_YField</t>
  </si>
  <si>
    <t>Interior alias for the Y field of each six-byte active-party shield draw-parameter record.</t>
  </si>
  <si>
    <t>ActivePartyChampionShieldDrawParameters_DistField</t>
  </si>
  <si>
    <t>Interior alias for the distance field of each six-byte active-party shield draw-parameter record.</t>
  </si>
  <si>
    <t>PocketIconCodeTable</t>
  </si>
  <si>
    <t>Maps a pocket-slot index to the icon code drawn for that slot.</t>
  </si>
  <si>
    <t>ProfessionIconGrid_ScreenOffsetTable</t>
  </si>
  <si>
    <t>Raw framebuffer byte offsets for the four profession-icon grid positions.</t>
  </si>
  <si>
    <t>PartyIcon_DeadMemberColourMask</t>
  </si>
  <si>
    <t>Four-colour replacement mask used for dead or neutral party profession icons.</t>
  </si>
  <si>
    <t>SavedScreenPointer</t>
  </si>
  <si>
    <t>Temporarily preserves screen_ptr while the screen buffer is reused for raw floppy-track transfers.</t>
  </si>
  <si>
    <t>FloppySideSelectFlag</t>
  </si>
  <si>
    <t>Selects which CIAB side-control pulse pattern the low-level floppy step and seek routines emit.</t>
  </si>
  <si>
    <t>MouseControl_PreviousJoyState</t>
  </si>
  <si>
    <t>Previous JOY0DAT sample retained so mouse counter movement can be decoded on the next poll.</t>
  </si>
  <si>
    <t>JoystickControl_PreviousButtonStateBase</t>
  </si>
  <si>
    <t>Base used by JoystickControl to index the per-player previous fire-button bytes.</t>
  </si>
  <si>
    <t>PreviousFireButtonState</t>
  </si>
  <si>
    <t>Per-player fire-button edge-latch bytes used by joystick and mouse control.</t>
  </si>
  <si>
    <t>FrameSyncFlag</t>
  </si>
  <si>
    <t>Frame-ready byte polled and cleared by render/raster paths; word writes at this address also modify the adjacent input-enable flag.</t>
  </si>
  <si>
    <t>InputProcessingEnabledFlag</t>
  </si>
  <si>
    <t>Enables per-frame input dispatch after champion selection reaches live play.</t>
  </si>
  <si>
    <t>SpritePosition_03</t>
  </si>
  <si>
    <t>Two-word hardware sprite-position record referenced as sprite channel 3 during Copper initialisation.</t>
  </si>
  <si>
    <t>DungeonViewportColumnInkTable</t>
  </si>
  <si>
    <t>Maps a dungeon-view column key to the player-state ink used before viewport drawing.</t>
  </si>
  <si>
    <t>CrabFarSideClaw_XOffsetTableA</t>
  </si>
  <si>
    <t>First alternate base for signed X adjustments used by the normal Crab far-side claw pass.</t>
  </si>
  <si>
    <t>CrabFarSideClaw_XOffsetTableB</t>
  </si>
  <si>
    <t>Second alternate base for signed X adjustments used by the mirrored Crab far-side claw pass.</t>
  </si>
  <si>
    <t>CrabFarSideClaw_StripHeightMinusOneTable</t>
  </si>
  <si>
    <t>DBRA height-minus-one values for the Crab far-side claw strip at the two far distance groups.</t>
  </si>
  <si>
    <t>BehemothClawStrip_YOffsetTable</t>
  </si>
  <si>
    <t>Signed Y adjustments used when drawing the reused Behemoth claw strips.</t>
  </si>
  <si>
    <t>BehemothClawStrip_XOffsetTable</t>
  </si>
  <si>
    <t>Signed X adjustments used when drawing the normal or mirrored Behemoth claw strips.</t>
  </si>
  <si>
    <t>CrabCloseFrontClaw_StripHeightMinusOneTable</t>
  </si>
  <si>
    <t>DBRA height-minus-one values for the closest front-facing Crab claw strip.</t>
  </si>
  <si>
    <t>BeholderEye_YOffsetTable</t>
  </si>
  <si>
    <t>Signed Y adjustments for the optional Beholder eye-component strips; also reused by the Crab rear-detail path.</t>
  </si>
  <si>
    <t>CrabHiddenClaws_StripHeightMinusOneTable</t>
  </si>
  <si>
    <t>DBRA height-minus-one values for the Crab hidden-claw strips drawn through the shared Beholder component helper.</t>
  </si>
  <si>
    <t>CrabBody_XOffsetTableB</t>
  </si>
  <si>
    <t>Alternate base of the mirrored second-pass Crab body X-adjustment table.</t>
  </si>
  <si>
    <t>CrabBody_DistanceRenderParameters</t>
  </si>
  <si>
    <t>Parallel per-distance Crab body Y-adjustment, width-minus-one, and height-minus-one values.</t>
  </si>
  <si>
    <t>GFX_Crab_FrontClawSourceOffsets</t>
  </si>
  <si>
    <t>Source offsets within GFX_Crab used for the front claw strips.</t>
  </si>
  <si>
    <t>GFX_Crab_HiddenClawSourceOffsets</t>
  </si>
  <si>
    <t>Source offsets within GFX_Crab used for the hidden claw strips.</t>
  </si>
  <si>
    <t>GFX_Crab_FarSideClaw_MirroredSourceOffsets</t>
  </si>
  <si>
    <t>Source offsets within GFX_Crab used for the mirrored far-side claw strips.</t>
  </si>
  <si>
    <t>GFX_Crab_DetailDispatchFar_SourceOffsets</t>
  </si>
  <si>
    <t>Source offsets within GFX_Crab used by the far-distance detail dispatcher.</t>
  </si>
  <si>
    <t>DragonDetail_HeightMinusOneTable</t>
  </si>
  <si>
    <t>Height-minus-one values packed into the low word of D7 for Dragon detail bitmap draws.</t>
  </si>
  <si>
    <t>DragonDetailYOffsetTable</t>
  </si>
  <si>
    <t>Signed Y adjustments for table-driven Dragon detail bitmap draws.</t>
  </si>
  <si>
    <t>DragonDetailXOffsetTable</t>
  </si>
  <si>
    <t>Signed X adjustments for normal and mirrored Dragon detail bitmap draws.</t>
  </si>
  <si>
    <t>DragonSideDetailVariantOffsetTable</t>
  </si>
  <si>
    <t>Selects a Dragon side-detail variant and uses bit 7 to request the mirrored alternative.</t>
  </si>
  <si>
    <t>DragonSideDetail_HeightMinusOneTable</t>
  </si>
  <si>
    <t>Height-minus-one values packed into the low word of D7 for Dragon side-detail bitmap draws.</t>
  </si>
  <si>
    <t>GFX_Dragon_DetailSourceOffsets</t>
  </si>
  <si>
    <t>Source offsets within GFX_Dragon used by the conditional detail renderer.</t>
  </si>
  <si>
    <t>CharacterPart_DefaultColourMaskTable</t>
  </si>
  <si>
    <t>Base of four-byte planar recolour masks; the wound-flash digit path uses its leading identity mask.</t>
  </si>
  <si>
    <t>DistantCharacter_FrontColourMaskTable</t>
  </si>
  <si>
    <t>Four-byte colour masks selected for distant front-facing character components before armour and race substitutions.</t>
  </si>
  <si>
    <t>DistantCharacter_SideColourMaskTable</t>
  </si>
  <si>
    <t>Four-byte colour masks selected for distant side-facing character components before armour and race substitutions.</t>
  </si>
  <si>
    <t>ChampionSelectionModeJumpTable</t>
  </si>
  <si>
    <t>Three-entry dispatch table for inventory, spellbook, and statistics champion-selection panels.</t>
  </si>
  <si>
    <t>ChampionSelectionHeaderEnabledFlag</t>
  </si>
  <si>
    <t>Nonzero makes Click_SelectChampion print the SELECT CHAMPION heading; multiplayer setup and a committed live selection clear it.</t>
  </si>
  <si>
    <t>SpellClassInkTable</t>
  </si>
  <si>
    <t>Four profession-class ink values used when drawing spellbook rune glyphs.</t>
  </si>
  <si>
    <t>NumericMessageScratchBuffer</t>
  </si>
  <si>
    <t>Small shared text buffer used for patched decimal output and short generated messages.</t>
  </si>
  <si>
    <t>TraceCipher_ActiveInstructionState</t>
  </si>
  <si>
    <t>CurrentTextInk</t>
  </si>
  <si>
    <t>Current text foreground ink word consumed by the text and glyph blitters.</t>
  </si>
  <si>
    <t>CurrentTextInk_LowByte</t>
  </si>
  <si>
    <t>Low-byte alias of the current text foreground ink word.</t>
  </si>
  <si>
    <t>CurrentTextBackgroundInk</t>
  </si>
  <si>
    <t>Current text background ink word set by the text-extension command stream.</t>
  </si>
  <si>
    <t>CurrentTextBackgroundInk_LowByte</t>
  </si>
  <si>
    <t>Low-byte alias of the current text background ink word.</t>
  </si>
  <si>
    <t>FoodStatusMessageTemplate</t>
  </si>
  <si>
    <t>Mutable colour-and-text stream used by the food-status display.</t>
  </si>
  <si>
    <t>SpellPointsMessageTemplate</t>
  </si>
  <si>
    <t>Mutable SP.PTS colour-and-text stream containing current and maximum spell-point fields.</t>
  </si>
  <si>
    <t>InventoryPanelHeaderTemplate</t>
  </si>
  <si>
    <t>Colour-and-text stream for the INVENTORY panel heading.</t>
  </si>
  <si>
    <t>ArmourHeaderMessageTemplate</t>
  </si>
  <si>
    <t>Colour-and-text stream for the ARMOUR heading and value field.</t>
  </si>
  <si>
    <t>CostMessageTemplate</t>
  </si>
  <si>
    <t>Mutable COST colour-and-text stream containing the patched two-digit value.</t>
  </si>
  <si>
    <t>CastQualityMessageTemplate</t>
  </si>
  <si>
    <t>Mutable CAST percentage colour-and-text stream containing the patched quality field.</t>
  </si>
  <si>
    <t>ChampionSelectionLiveActionFlag</t>
  </si>
  <si>
    <t>Distinguishes the champion-selection confirmation pass from the live action that exits into play.</t>
  </si>
  <si>
    <t>WorldTick_300UnitCountdown</t>
  </si>
  <si>
    <t>Reloaded to 300 to gate linked-magic decay, floor-trigger work, navigation rebuilds, and party maintenance.</t>
  </si>
  <si>
    <t>ActionSubcycleCountdown</t>
  </si>
  <si>
    <t>Seven-unit divider controlling party timers and the full unpacked-actor traversal.</t>
  </si>
  <si>
    <t>WornSpellDecayGraceCountdown</t>
  </si>
  <si>
    <t>Grace countdown that temporarily suppresses party food drain and worn-spell decay.</t>
  </si>
  <si>
    <t>CastingFatigueSubcycleCountdown</t>
  </si>
  <si>
    <t>Subcycle countdown controlling how often casting-fatigue recovery runs.</t>
  </si>
  <si>
    <t>StatUpdateLoop_AlternateTickGate</t>
  </si>
  <si>
    <t>Bit gate toggled by actor scans so the slow stat-update loop runs on alternate passes.</t>
  </si>
  <si>
    <t>Resolve_DiagonalPillarSourceCell_ScratchTable</t>
  </si>
  <si>
    <t>Indexed scratch words used by Resolve_DiagonalPillarSourceCell.</t>
  </si>
  <si>
    <t>Compute_StairAlignedDestination_ScratchTable</t>
  </si>
  <si>
    <t>Indexed scratch words used by Compute_StairAlignedDestination.</t>
  </si>
  <si>
    <t>CurrentFloorWidth</t>
  </si>
  <si>
    <t>Word-sized cached width of the currently selected floor.</t>
  </si>
  <si>
    <t>CurrentFloorWidth_LowByte</t>
  </si>
  <si>
    <t>Low-byte alias written when caching the selected floor width.</t>
  </si>
  <si>
    <t>CurrentFloorHeight</t>
  </si>
  <si>
    <t>Word-sized cached height of the currently selected floor.</t>
  </si>
  <si>
    <t>CurrentFloorHeight_LowByte</t>
  </si>
  <si>
    <t>Low-byte alias written when caching the selected floor height.</t>
  </si>
  <si>
    <t>Player1_PauseInputFlag</t>
  </si>
  <si>
    <t>Player 1 pause wake flag; bit 7 resumes the paused input loop.</t>
  </si>
  <si>
    <t>Player1_MousePosition</t>
  </si>
  <si>
    <t>Player 1 packed mouse position, with X in the high word and Y in the low word.</t>
  </si>
  <si>
    <t>Player1_CurrentChampionNumber</t>
  </si>
  <si>
    <t>Word-valued Player 1 active champion number; its low byte is reused as selection-stage count state.</t>
  </si>
  <si>
    <t>Player1_ChampionCount_PendingCommit</t>
  </si>
  <si>
    <t>Low byte staged during champion selection and copied to Player1_ChampionCount when setup completes.</t>
  </si>
  <si>
    <t>Player1_InterfacePanelYOffset</t>
  </si>
  <si>
    <t>Player 1 vertical panel offset added to interface drawing and hit-test coordinates.</t>
  </si>
  <si>
    <t>AttackTypeNoSpells_FixedOriginPosition</t>
  </si>
  <si>
    <t>Packed fixed-origin coordinate substituted by AttackType_NoSpells for the configured monster form.</t>
  </si>
  <si>
    <t>RasterInterruptCountdownA</t>
  </si>
  <si>
    <t>First raster-interrupt countdown, decremented and clamped at zero each Player 1 frame service.</t>
  </si>
  <si>
    <t>Player1_ControlledActorScanIndex</t>
  </si>
  <si>
    <t>Player 1 controlled-actor scan index; matching actor records skip their ordinary attack processing.</t>
  </si>
  <si>
    <t>Player1_MouseYClampBounds</t>
  </si>
  <si>
    <t>Player 1 packed maximum/minimum mouse-Y clamp bounds.</t>
  </si>
  <si>
    <t>Player1_DialogueFadeTimer</t>
  </si>
  <si>
    <t>Player 1 dialogue colour-ramp step countdown.</t>
  </si>
  <si>
    <t>Player1_DialogueRampColour</t>
  </si>
  <si>
    <t>Player 1 cached dialogue-ramp colour written to hardware palette register 15.</t>
  </si>
  <si>
    <t>Player1_DialogueFadeControl</t>
  </si>
  <si>
    <t>Player 1 dialogue-fade control byte; bit 7 disables the fade path.</t>
  </si>
  <si>
    <t>AttackTypeNoSpells_FixedOriginFormCode</t>
  </si>
  <si>
    <t>Monster form code that enables AttackType_NoSpells fixed-origin distance checks.</t>
  </si>
  <si>
    <t>Player1_ShieldHighlightCountdowns</t>
  </si>
  <si>
    <t>Base of Player 1 per-formation-slot shield-highlight countdown bytes.</t>
  </si>
  <si>
    <t>Player2_PauseInputFlag</t>
  </si>
  <si>
    <t>Player 2 pause wake flag; bit 7 resumes the paused input loop.</t>
  </si>
  <si>
    <t>Player2_MousePosition</t>
  </si>
  <si>
    <t>Player 2 packed mouse position, with X in the high word and Y in the low word.</t>
  </si>
  <si>
    <t>Player2_CurrentChampionNumber</t>
  </si>
  <si>
    <t>Word-valued Player 2 active champion number.</t>
  </si>
  <si>
    <t>Player2_SelectionUIMode</t>
  </si>
  <si>
    <t>Player 2 champion-selection panel mode word; -1 marks inactive or ready-to-exit.</t>
  </si>
  <si>
    <t>AttackTypeArcBoltMachine_FixedOriginPosition</t>
  </si>
  <si>
    <t>Packed fixed-origin coordinate substituted by AttackType_ArcBoltMachine for the configured monster form.</t>
  </si>
  <si>
    <t>RasterInterruptCountdownB</t>
  </si>
  <si>
    <t>Second raster-interrupt countdown, decremented and clamped at zero beside the first.</t>
  </si>
  <si>
    <t>Player2_ChampionRosterShadowCopy</t>
  </si>
  <si>
    <t>Shadow copy of the packed Player 2 champion roster written during normal and quick-start setup.</t>
  </si>
  <si>
    <t>Player2_ControlledActorScanIndex</t>
  </si>
  <si>
    <t>Player 2 controlled-actor scan index; matching actor records skip their ordinary attack processing.</t>
  </si>
  <si>
    <t>Player2_MouseYClampBounds</t>
  </si>
  <si>
    <t>Player 2 packed maximum/minimum mouse-Y clamp bounds.</t>
  </si>
  <si>
    <t>AttackTypeArcBoltMachine_FixedOriginFormCode</t>
  </si>
  <si>
    <t>Monster form code that enables AttackType_ArcBoltMachine fixed-origin distance checks.</t>
  </si>
  <si>
    <t>Player2_ShieldHighlightCountdowns</t>
  </si>
  <si>
    <t>Base of Player 2 per-formation-slot shield-highlight countdown bytes.</t>
  </si>
  <si>
    <t>PartyNavigationField_FrontierBufferA</t>
  </si>
  <si>
    <t>First breadth-first navigation frontier buffer, ping-ponged with the second buffer each expansion layer.</t>
  </si>
  <si>
    <t>PartyNavigationField_FrontierBufferB</t>
  </si>
  <si>
    <t>Second breadth-first navigation frontier buffer, ping-ponged with the first buffer each expansion layer.</t>
  </si>
  <si>
    <t>ProjectileImpact_MonsterRecordScratch</t>
  </si>
  <si>
    <t>Sixteen-byte projectile monster-record copy retained while the live record is removed and impact damage is resolved.</t>
  </si>
  <si>
    <t>LinkedMagicRecordListLength</t>
  </si>
  <si>
    <t>Active byte length of the four-byte linked-magic record list.</t>
  </si>
  <si>
    <t>LinkedMagicRecordList</t>
  </si>
  <si>
    <t>Four-byte linked-magic records containing map offset and lifetime or kind state.</t>
  </si>
  <si>
    <t>MapCellImpactList</t>
  </si>
  <si>
    <t>Spell and attack impact records allocated per map cell, aged by the engine, and rendered in phases 2, 1, and 0.</t>
  </si>
  <si>
    <t>Begin_MonsterAttackBehaviour</t>
  </si>
  <si>
    <t>Normalise_MonsterFacingState</t>
  </si>
  <si>
    <t>Copies the current facing into both nibbles of the live monster rotation/state byte when its form requires normalisation.</t>
  </si>
  <si>
    <t>Dispatch_MonsterActionState</t>
  </si>
  <si>
    <t>Select_MonsterAttackType</t>
  </si>
  <si>
    <t>Dispatches live monster type byte $0A through the five-entry attack-type table.</t>
  </si>
  <si>
    <t>Five signed displacements for No Spells, Spells, Drone, Drone Spells and Arc Bolt Machine behaviours.</t>
  </si>
  <si>
    <t>Gives a spellcasting drone a one-in-sixteen chance to enter spell selection; otherwise it uses Drone movement.</t>
  </si>
  <si>
    <t>monsters.spellbook.lookup</t>
  </si>
  <si>
    <t>Sixteen raw monster-spell selectors or complete airborne entity codes used by the spellcasting attack types.</t>
  </si>
  <si>
    <t>Allows a normal spellcasting monster to select a spell on two outcomes of the shared random test; all other outcomes use no-spells behaviour.</t>
  </si>
  <si>
    <t>Select_MonsterAttackSpell</t>
  </si>
  <si>
    <t>Selects one of sixteen monster spellbook entries, biasing lower-level monsters toward earlier entries.</t>
  </si>
  <si>
    <t>Create_MonsterAttackSpell</t>
  </si>
  <si>
    <t>Normalises the selected airborne code and calculates the projectile power from the supplied seed.</t>
  </si>
  <si>
    <t>Initialise_MonsterAttackSpellEntity</t>
  </si>
  <si>
    <t>Packs the live monster's facing, floor and X/Y position and calls the common live-entity constructor.</t>
  </si>
  <si>
    <t>Fixed type-4 attack entry: selects monster spellbook index $0B with base power $0C, producing Arc Bolt code $82 at final power $12.</t>
  </si>
  <si>
    <t>Begins pursuit logic by measuring the monster against the first fixed player origin when the floor matches.</t>
  </si>
  <si>
    <t>Check_SecondFixedMonsterOrigin</t>
  </si>
  <si>
    <t>Preserves the first fixed-origin distance and measures the second; this is shared logic, not the Arc Bolt machine entry.</t>
  </si>
  <si>
    <t>Choose_MonsterNavigationMap</t>
  </si>
  <si>
    <t>Adjusts a valid second-origin distance and prepares selection of the nearer fixed-origin navigation field.</t>
  </si>
  <si>
    <t>Select_MonsterNavigationMapByDistance</t>
  </si>
  <si>
    <t>Selects the navigation field associated with the nearer valid fixed player origin.</t>
  </si>
  <si>
    <t>Use_SelectedMonsterNavigationMap</t>
  </si>
  <si>
    <t>Reads the selected navigation direction and turns or advances the live monster accordingly.</t>
  </si>
  <si>
    <t>Handle_SpecialMonsterFormMovement</t>
  </si>
  <si>
    <t>Handles the special movement preparation used by airborne entity forms $84 and $88.</t>
  </si>
  <si>
    <t>Validate_SpecialMonsterDestination</t>
  </si>
  <si>
    <t>Accepts eligible empty or matching destination-cell states for special-form movement.</t>
  </si>
  <si>
    <t>Convert_SpecialMonsterCellToMagicFeature</t>
  </si>
  <si>
    <t>Store_SpecialMonsterFeaturePower</t>
  </si>
  <si>
    <t>Clamps and stores special feature power before removing the source live entity.</t>
  </si>
  <si>
    <t>Attempts forward movement using the live monster facing and enters the blocked-turn path if movement fails.</t>
  </si>
  <si>
    <t>Writes the new packed coordinate, refreshes movement-table state and commits the resulting rotation byte.</t>
  </si>
  <si>
    <t>Resolve_MonsterEnteredCell</t>
  </si>
  <si>
    <t>Checks the entered cell for a linked feature record and dispatches its interaction.</t>
  </si>
  <si>
    <t>Find_MonsterLinkedFeatureLoop</t>
  </si>
  <si>
    <t>Scans linked feature records for the map offset of the monster's entered cell.</t>
  </si>
  <si>
    <t>Return_MonsterMovement</t>
  </si>
  <si>
    <t>Returns after the monster movement or entered-cell processing path.</t>
  </si>
  <si>
    <t>Handle_Form85BlockedMovement</t>
  </si>
  <si>
    <t>Handles form $85 movement when the first destination cannot accept it.</t>
  </si>
  <si>
    <t>Check_Form85AlternateCell</t>
  </si>
  <si>
    <t>Checks the alternate map cell and converts the form to $80 when it cannot move there.</t>
  </si>
  <si>
    <t>Swap_Form85CellOccupancy</t>
  </si>
  <si>
    <t>Moves form $85 occupancy between the two map cells and reverses its facing.</t>
  </si>
  <si>
    <t>Sixteen movement/rotation decisions indexed by current facing and the high nibble of the live movement byte.</t>
  </si>
  <si>
    <t>Builds a movement-table index from the live monster state and returns the corresponding movement value.</t>
  </si>
  <si>
    <t>Resolve_MonsterTargetType</t>
  </si>
  <si>
    <t>Add_MonsterToTargetTeam</t>
  </si>
  <si>
    <t>Find_EmptyTargetTeamSlot</t>
  </si>
  <si>
    <t>Prepares the four-slot target-team record scan.</t>
  </si>
  <si>
    <t>Find_EmptyTargetTeamSlotLoop</t>
  </si>
  <si>
    <t>Scans the target monster team for an unused member slot.</t>
  </si>
  <si>
    <t>Move_MonsterIntoTargetTeam</t>
  </si>
  <si>
    <t>Stores the attacker in the target team, clears its map-cell occupancy and removes its standalone position.</t>
  </si>
  <si>
    <t>Preserves the resolved target identifier before checking whether the attacking entity can process it.</t>
  </si>
  <si>
    <t>Resolve_MonsterHeldObjectTarget</t>
  </si>
  <si>
    <t>Resolves a champion target through its party slot and substitutes an applicable held-object result.</t>
  </si>
  <si>
    <t>Restore_MonsterHeldObjectContext</t>
  </si>
  <si>
    <t>Restores target and player context after the held-object lookup fails.</t>
  </si>
  <si>
    <t>Check_TargetWornSpell</t>
  </si>
  <si>
    <t>Checks whether the target's worn-spell state launches an airborne entity back toward the attacker.</t>
  </si>
  <si>
    <t>Launch_MonsterHeldSpell</t>
  </si>
  <si>
    <t>Builds and launches the reflected or worn airborne spell from the target toward the attacker.</t>
  </si>
  <si>
    <t>Attack_TargetMonsterTeam</t>
  </si>
  <si>
    <t>Applies the attack to one or two live members of the target monster team.</t>
  </si>
  <si>
    <t>Attack_TargetMonsterTeamLoop</t>
  </si>
  <si>
    <t>Iterates the target team member slots selected for the attack.</t>
  </si>
  <si>
    <t>Advance_TargetMonsterTeamSlot</t>
  </si>
  <si>
    <t>Advances to the next selected target-team member.</t>
  </si>
  <si>
    <t>Resolve_PlayerTargetAttack</t>
  </si>
  <si>
    <t>Resolves the forward player target and clears its queued attack state before applying the monster or entity attack.</t>
  </si>
  <si>
    <t>Handle_MonsterMovementBlocked</t>
  </si>
  <si>
    <t>Handles blocked monster movement, party-member separation, doors, occupants and random turns.</t>
  </si>
  <si>
    <t>Find_FreePartyAvatarSlot</t>
  </si>
  <si>
    <t>Prepares the scan for a free separated-party-member slot.</t>
  </si>
  <si>
    <t>Find_FreePartyAvatarSlotLoop</t>
  </si>
  <si>
    <t>Scans the four separated-party-member slots for an unused entry.</t>
  </si>
  <si>
    <t>Store_SeparatedChampion</t>
  </si>
  <si>
    <t>Stores the separated champion index and removes its current live actor record.</t>
  </si>
  <si>
    <t>Handle_BlockedMonsterAtDoor</t>
  </si>
  <si>
    <t>Check_BlockedDestinationOccupant</t>
  </si>
  <si>
    <t>Checks whether another occupant, rather than a closed door, caused the blocked move.</t>
  </si>
  <si>
    <t>Normalise_MonsterFacing</t>
  </si>
  <si>
    <t>Reduces the proposed facing to two bits before merging it into the live rotation byte.</t>
  </si>
  <si>
    <t>Merges the new facing with preserved rotation/state bits and stores the live monster rotation byte.</t>
  </si>
  <si>
    <t>Return_MonsterBehaviour</t>
  </si>
  <si>
    <t>Returns from the current monster behaviour without another action.</t>
  </si>
  <si>
    <t>Open_DoorForMonster</t>
  </si>
  <si>
    <t>Clears the relevant closed-door edge bit when the blocked monster is allowed to open the door.</t>
  </si>
  <si>
    <t>SpellEntity_CasterIndex</t>
  </si>
  <si>
    <t>Working caster index copied into byte $0C of newly allocated live entities; $FF denotes a monster or non-champion source.</t>
  </si>
  <si>
    <t>Apply_ChampionSelectionAndStartGame</t>
  </si>
  <si>
    <t>Copies the selected champion state into both player records before entering game setup.</t>
  </si>
  <si>
    <t>Start_GameAfterMainMenu</t>
  </si>
  <si>
    <t>Transfers control from the main-menu result to the common game-start path.</t>
  </si>
  <si>
    <t>Initialise_CopperSpritePointersLoop</t>
  </si>
  <si>
    <t>Writes eight sprite pointer pairs into the Copper list.</t>
  </si>
  <si>
    <t>Initialise_InterruptVectorsLoop</t>
  </si>
  <si>
    <t>Initialises the eight autovector entries before installing the game handlers.</t>
  </si>
  <si>
    <t>Build_BitReverseLookupLoop</t>
  </si>
  <si>
    <t>Builds one reversed-bit output byte for each input byte value.</t>
  </si>
  <si>
    <t>Reverse_ByteBitsLoop</t>
  </si>
  <si>
    <t>Shifts eight source bits into their reversed order.</t>
  </si>
  <si>
    <t>Clear_SpellPracticeTableLoop</t>
  </si>
  <si>
    <t>Clears the 512-byte spell-practice table after building the bit-reversal lookup.</t>
  </si>
  <si>
    <t>Wait_ForFrameSyncClear</t>
  </si>
  <si>
    <t>Waits for the interrupt-updated frame synchronisation byte to clear.</t>
  </si>
  <si>
    <t>MainGame_PlayerUpdateLoop</t>
  </si>
  <si>
    <t>Runs the per-frame input and interface update path for each active player.</t>
  </si>
  <si>
    <t>Finish_PlayerUpdatePass</t>
  </si>
  <si>
    <t>Finishes player drawing, requests the next frame and continues periodic game-state processing.</t>
  </si>
  <si>
    <t>Apply_MiddleViewportRefreshStrip</t>
  </si>
  <si>
    <t>Tests the next refresh-mask bit and copies the corresponding middle viewport strip when set.</t>
  </si>
  <si>
    <t>Apply_LowerViewportRefreshStrip</t>
  </si>
  <si>
    <t>Tests the final refresh-mask bit and selects the corresponding lower viewport copy region.</t>
  </si>
  <si>
    <t>Return_CharacterMaintenance</t>
  </si>
  <si>
    <t>Returns after completing the character and player status-maintenance pass.</t>
  </si>
  <si>
    <t>Process_ChampionWornSpellTimer</t>
  </si>
  <si>
    <t>Ages the champion's worn-spell timer and records shield-slot redraws when it expires.</t>
  </si>
  <si>
    <t>Redraw_FirstChampionShieldSlot</t>
  </si>
  <si>
    <t>Redraws an expired shield for the first party slot when the interface state permits it.</t>
  </si>
  <si>
    <t>Redraw_RemainingChampionShieldSlots</t>
  </si>
  <si>
    <t>Redraws expired shield slots two through four when any changed.</t>
  </si>
  <si>
    <t>Move_AirborneEntityAfterDeflection</t>
  </si>
  <si>
    <t>Turns an airborne entity, validates the new cell and commits its coordinate when clear.</t>
  </si>
  <si>
    <t>Reverse_HeadOnAirborneEntity</t>
  </si>
  <si>
    <t>Reverses the airborne entity when the collision is with its current destination cell.</t>
  </si>
  <si>
    <t>Resolve_AirborneEntityCollisionForm</t>
  </si>
  <si>
    <t>Reverse_AirborneEntityDirection</t>
  </si>
  <si>
    <t>Reverses the live airborne entity's facing and returns.</t>
  </si>
  <si>
    <t>Resolve_AirborneEntityCollision</t>
  </si>
  <si>
    <t>Validate_Form85CollisionCell</t>
  </si>
  <si>
    <t>Checks whether form $85 may persist in the collided map cell.</t>
  </si>
  <si>
    <t>Clear_AirborneDestinationOccupancy</t>
  </si>
  <si>
    <t>Clears the destination-cell occupancy bit before resolving the airborne entity impact.</t>
  </si>
  <si>
    <t>Pack_AirborneImpactCodeAndPower</t>
  </si>
  <si>
    <t>Packs live airborne power and form into the impact value, clearing power for non-airborne forms.</t>
  </si>
  <si>
    <t>Dispatch_AirborneEntityImpact</t>
  </si>
  <si>
    <t>Sets floor, caster and sound context before resolving the live airborne entity's cell impact.</t>
  </si>
  <si>
    <t>Advance_DepartedChampionSlotScan</t>
  </si>
  <si>
    <t>Advances the scan that marks champion slots affected by party-member departure.</t>
  </si>
  <si>
    <t>Choose_DepartedChampionReplacement</t>
  </si>
  <si>
    <t>Begins selection of a replacement when the active party slot departs.</t>
  </si>
  <si>
    <t>Find_ActiveChampionReplacementLoop</t>
  </si>
  <si>
    <t>Scans the four party slots for an eligible replacement active champion.</t>
  </si>
  <si>
    <t>Advance_ActiveChampionReplacementCandidate</t>
  </si>
  <si>
    <t>Advances or falls back after a party slot cannot replace the departed active champion.</t>
  </si>
  <si>
    <t>Continue_DepartedChampionSelectionScan</t>
  </si>
  <si>
    <t>Continues the fallback scan while the current slot remains unsuitable.</t>
  </si>
  <si>
    <t>Install_ActiveChampionReplacement</t>
  </si>
  <si>
    <t>Moves the selected champion into the active slot and transfers the associated party state.</t>
  </si>
  <si>
    <t>Handle_NoActiveChampionReplacement</t>
  </si>
  <si>
    <t>Externalises the remaining party members when no eligible active replacement exists.</t>
  </si>
  <si>
    <t>Reset_DepartedPartyState</t>
  </si>
  <si>
    <t>Clears transient party selection and interface state after departure handling.</t>
  </si>
  <si>
    <t>Finalise_DepartedPartyUpdate</t>
  </si>
  <si>
    <t>Resets selection words, redraws the interface and updates party hit-number displays.</t>
  </si>
  <si>
    <t>Advance_RemainsExternalisationLoop</t>
  </si>
  <si>
    <t>Advances the loop that converts departed champions into recoverable remains.</t>
  </si>
  <si>
    <t>Advance_PartyHitNumberLoop</t>
  </si>
  <si>
    <t>Advances the loop that redraws nonzero party damage counters.</t>
  </si>
  <si>
    <t>Reload_ChampionAttackTimer</t>
  </si>
  <si>
    <t>Reloads the champion's cyclic action timer and dispatches a queued attack when present.</t>
  </si>
  <si>
    <t>Restore_ChampionAttackRegisters</t>
  </si>
  <si>
    <t>Restores target, champion and party-slot registers after a rejected attack-clearance check.</t>
  </si>
  <si>
    <t>Handle_RejectedChampionAttack</t>
  </si>
  <si>
    <t>Cancels or returns from a champion attack that cannot proceed.</t>
  </si>
  <si>
    <t>Resolve_ChampionPhysicalAttack</t>
  </si>
  <si>
    <t>Runs a queued champion physical attack through the common combat and message paths.</t>
  </si>
  <si>
    <t>Check_ForwardAttackClearance</t>
  </si>
  <si>
    <t>Validates map bounds and the opposite door edge for an attack into the forward cell.</t>
  </si>
  <si>
    <t>Return_AttackClear</t>
  </si>
  <si>
    <t>Returns zero to report that the champion's forward attack path is clear.</t>
  </si>
  <si>
    <t>Return_AttackBlocked</t>
  </si>
  <si>
    <t>Returns minus one to report that the champion's forward attack path is blocked.</t>
  </si>
  <si>
    <t>Begin_PlayerStairTransition</t>
  </si>
  <si>
    <t>Clears the source stair occupancy and derives the destination floor from the stair direction.</t>
  </si>
  <si>
    <t>Resolve_PlayerStairDestination</t>
  </si>
  <si>
    <t>Calculates the paired stair coordinate and tests whether the destination is occupied.</t>
  </si>
  <si>
    <t>Commit_PlayerStairTransition</t>
  </si>
  <si>
    <t>Stores the new floor, occupancy, facing and packed player coordinate after stair movement.</t>
  </si>
  <si>
    <t>TextDoubleWidthFlag</t>
  </si>
  <si>
    <t>When set, the text blitter doubles the glyph column bit spacing; used by large hit numbers and the $FC text control.</t>
  </si>
  <si>
    <t>SpellEntity_BackgroundOriginFlag</t>
  </si>
  <si>
    <t>Low byte of the spell-creation context word; copied into live entity byte $03 and used to suppress interactive casting notices.</t>
  </si>
  <si>
    <t>Scans the 12-entry raw-key table for the keyboard interrupt's input code and dispatches the matching keyboard action; unmatched keys are ignored.</t>
  </si>
  <si>
    <t>Draws the text title menu and dispatches its raw function-key choices for normal start, Quickstart, and loading a saved game.</t>
  </si>
  <si>
    <t>Initialises Player 1's fixed Quickstart party: forces single-player mode and Quickstart menu state, writes champion IDs 0, 14, 5 and 3 into both party arrays, sets champion 0's stored X, Y and direction, and marks champions 3, 5 and 14 with X=$FF so normal champion selection treats them as already placed. QkPly2_Start calls this routine before initialising Player 2's fixed Quickstart party.</t>
  </si>
  <si>
    <t>Reduces a linked magic record's first byte by four on each 300-raster-unit update, removes the record on underflow, and applies the kind-1 occupant effect unless party levitation suppresses it.</t>
  </si>
  <si>
    <t>Decrements each impact record's phase once per global subcycle; phases 2, 1 and 0 remain drawable, and the record is removed when the three-bit phase underflows.</t>
  </si>
  <si>
    <t>Scans the allocation-ordered monster, Summon and spell records once per actor update; records created during the scan resolve their initial collision but do not receive another scheduled move in the same pass.</t>
  </si>
  <si>
    <t>Decrements one formation slot's combat-outcome lifetime during the main actor scan and clears/redraws the slot when the counter underflows.</t>
  </si>
  <si>
    <t>Handles completion of the stored low-nibble cooldown: a starting value of one decrements to zero and returns, while a starting zero underflows into the completion path.</t>
  </si>
  <si>
    <t>Handles projectile forms $88-$8A: forms $88 and $89 drop objects $03 and $04 at the direction-derived corner, while form $8A maps to object $05 but deliberately skips the drop call.</t>
  </si>
  <si>
    <t>Builds the temporary projectile attacker record, preserving projectile power as its monster-level input before entering the physical-damage resolver.</t>
  </si>
  <si>
    <t>Rolls (power+1) six-sided values in the range 0-5, adds a further (power+1), clamps the result to $FD, and stages the same damage byte for all four party slots.</t>
  </si>
  <si>
    <t>Seeds D5 with 1 and enters the shared resistance roll, returning D5=0 when resistance succeeds and D5=1 when the effect should be applied.</t>
  </si>
  <si>
    <t>Runs the shared champion, monster, or Antimage level-versus-power resistance check. Its ordinary threshold is 8*level+100-2*power, with negative results replaced by 10; a random byte at or below the threshold halves D5.</t>
  </si>
  <si>
    <t>Applies the single-player experience adjustment; the multiplayer-zero path skips the halving step.</t>
  </si>
  <si>
    <t>Applies D5 damage to target D0, dispatching values $10 and above to monster hit-point handling and lower values to champion hit-point handling.</t>
  </si>
  <si>
    <t>Resolves monster death and loot: damage must exceed the remaining HP, special forms select fixed or no drops, other forms roll the drop table, and any dropped object is placed in corner 0 of the slain monster's cell.</t>
  </si>
  <si>
    <t>Handles lethal damage to a standing champion by clearing current HP and vitality, dropping the champion's remains object at the stored map position, and refreshing affected party-shield slots.</t>
  </si>
  <si>
    <t>Marks an in-party champion dead after HP underflow, clears worn and selected spells, leaves the champion record available to the party, and plays the character-death sound.</t>
  </si>
  <si>
    <t>Draws the player's death frame and prints the two-line THOU / ART DEAD message when no living replacement leader remains.</t>
  </si>
  <si>
    <t>Advances communications state once per engine pulse: normalises attitude, counts down delayed replies, rotates the action history when due, and applies the Threat fear roll to the active player's currently selected occupant.</t>
  </si>
  <si>
    <t>Prints the standard recruitment refusal, including the case where the target champion already belongs to the other player.</t>
  </si>
  <si>
    <t>Resolves recruitment of a champion target: silently returns if already owned by the caller, refuses if owned by the other player, and otherwise continues to the attitude test.</t>
  </si>
  <si>
    <t>Selects the recruitment response from attitude: 10 or more succeeds, 5-9 asks the player to continue talking, and below 5 produces a retort.</t>
  </si>
  <si>
    <t>Prints the message addressed by A6 and returns; this shared tail serves several communications responses.</t>
  </si>
  <si>
    <t>Completes a successful recruitment when the party has room: prints acceptance, removes the champion's standing-world position and cell occupancy, and assigns the champion to the caller's ownership and formation arrays.</t>
  </si>
  <si>
    <t>Scans formation slots 3 down to 0 for a vacant entry to receive a newly recruited champion.</t>
  </si>
  <si>
    <t>Writes the recruited champion into the vacant formation slot, closes communications, and returns to the party-command interface.</t>
  </si>
  <si>
    <t>Prints the party-full response when recruitment cannot add another member.</t>
  </si>
  <si>
    <t>Clears the command-selection state and redraws the ordinary party shield/avatar presentation; it does not open a separate team screen.</t>
  </si>
  <si>
    <t>Loads pocket icon codes $76 and $75 and enters the shared icon-pair renderer for the communications-wait state.</t>
  </si>
  <si>
    <t>Pauses the shared game clock, marks the game paused, changes hardware palette entries 0 and 15 to red, waits for either player's resume input, then restores the clock, palette, pause flags, and both pending actions.</t>
  </si>
  <si>
    <t>Pauses world updates, presents the load/save function-key prompt for the active player panels, dispatches F1 to load and F2 to save, and restores the game interface when F10 exits.</t>
  </si>
  <si>
    <t>Selects the insert-disk prompt for loading or saving and tail-calls the text printer.</t>
  </si>
  <si>
    <t>Polls the keyboard during the load/save menu until a load, save, or exit key is received, returning the result to the caller.</t>
  </si>
  <si>
    <t>Selects save-data start track $3C in single-player mode or $46 in two-player mode for the following disk read or write.</t>
  </si>
  <si>
    <t>Initialises each active new-party member's spell state by clearing the worn spell and cast power and setting the selected spell to $FF.</t>
  </si>
  <si>
    <t>Draws the mirrored fairy portrait used by the spell-shop interface.</t>
  </si>
  <si>
    <t>Calculates signed casting quality before adding this attempt's fatigue, then accumulates the selected spell's cooldown up to 100.</t>
  </si>
  <si>
    <t>Validates the facing wooden edge and the opposite edge of the forward cell before placing Magelock, rejecting solid edges and incompatible keyed-door configurations.</t>
  </si>
  <si>
    <t>Scans eligible champions owned by the active player for worn-spell bytes whose low three bits match D1 and returns in D3 the matching champion with the highest upper-five-bit magnitude.</t>
  </si>
  <si>
    <t>Rolls three values from 0 to 5 and adds 3, producing the spell-casting quality roll range 3-18.</t>
  </si>
  <si>
    <t>Advances the adjacent two-byte six-sided seed state and returns a remainder from 0 to 5; updating that word also changes RandomOffsetValue.</t>
  </si>
  <si>
    <t>Generates a full-range random byte and adds the current RandomOffsetValue byte.</t>
  </si>
  <si>
    <t>Requests range 100 from the core generator and returns a value from 0 to 99.</t>
  </si>
  <si>
    <t>Advances the persistent eight-bit pseudo-random seed with a shift/XOR/rotate step and scales it to the caller-supplied range as floor(seed*range/256).</t>
  </si>
  <si>
    <t>Returns the current UI page to the default page and redraws the champion-name panel frame.</t>
  </si>
  <si>
    <t>Returns without performing a display-context action when the current context has no applicable handler.</t>
  </si>
  <si>
    <t>Converts D7 to a map offset and clears the cell's low three feature-type bits after the Dragon or Moon crystal socket effect resolves.</t>
  </si>
  <si>
    <t>Toggles the switch display bit and dispatches the tower-specific four-byte switch record; byte 0 is an even offset into the eight-entry handler table and bytes 2-3 provide target X/Y.</t>
  </si>
  <si>
    <t>Runs the target-removal preparation used by action $16, then falls through to the shared record-target wall/space toggle for action $1E.</t>
  </si>
  <si>
    <t>Resolves the record's target cell, ignores an occupied target, clears its first byte, and toggles the wall/space bit while preserving unrelated second-byte flags.</t>
  </si>
  <si>
    <t>Resolves the record's target cell and clears its low feature-type bits, with an additional flag cleanup for the affected cell type.</t>
  </si>
  <si>
    <t>Packs trigger-record bytes 2 and 3 as target X and Y and converts that coordinate to the current-floor map offset.</t>
  </si>
  <si>
    <t>Converts a display click into a target cell and one of its four object subpositions, then enters the shared floor-object pickup/drop handler.</t>
  </si>
  <si>
    <t>With an empty hand, removes the top object from the selected cell/subposition stack, caps counted-object quantity at $63, and compacts or removes the variable-length record when exhausted.</t>
  </si>
  <si>
    <t>Rotates absolute cell subposition D6 into the player's view according to the player's facing and a 4x4 permutation table.</t>
  </si>
  <si>
    <t>Walks variable-length floor-object records until their leading map-link word matches D0, returning A0 at the matching record.</t>
  </si>
  <si>
    <t>Searches the tower's variable-length floor-object stacks for the selected cell key and rotated subposition, returning the matching record and condition state.</t>
  </si>
  <si>
    <t>Arms player command bit 3 and enters the shared acting-champion selection path; combat uses this command state when deciding whether to double defence.</t>
  </si>
  <si>
    <t>Selects a party target for monster melee from the exposed formation side, tries the paired slot if vacant, falls back to the active champion, and prepares the defender and double-defence state.</t>
  </si>
  <si>
    <t>Determines whether the selected champion receives double defence from persistent command bits 1/3, formation-slot bit 4, and current HP at or below half maximum.</t>
  </si>
  <si>
    <t>Loads the champion's combat values and subtracts the fixed physical-combat cost of 3 vitality, clamping underflow to zero; this also occurs when loading a defending champion.</t>
  </si>
  <si>
    <t>Handles the context-sensitive command button: clears an active selected state, casts the selected champion's spell when appropriate, or resolves and toggles a usable facing wall feature or door before refreshing the champion map-position icon.</t>
  </si>
  <si>
    <t>Continues after multifunction or shelf interaction handling by refreshing the current champion's map-position icon.</t>
  </si>
  <si>
    <t>Resolves and validates the facing cell as a wooden edge or large door, rejecting out-of-bounds, occupied, unusable, and incorrectly keyed targets before state toggling.</t>
  </si>
  <si>
    <t>Tests the opposite wooden-door edge and enters common state toggling only when that edge is present.</t>
  </si>
  <si>
    <t>Returns when neither the current cell nor the facing cell contains a usable wall feature or door.</t>
  </si>
  <si>
    <t>Toggles lock bit 4 in the target cell's second byte and redraws the held-item panel when inventory mode is active.</t>
  </si>
  <si>
    <t>Rejects a still-locked target or toggles the validated wooden edge or large-door bit, plays the door click, and clears the lower text strip.</t>
  </si>
  <si>
    <t>Draws the empty spell-selection row as pocket icons $4F,$68,$69,$6A,$6B,$4F across the six fixed positions.</t>
  </si>
  <si>
    <t>Draws the selected spell's class-symbol icons and four $3B separators using their native pocket-graphic colours.</t>
  </si>
  <si>
    <t>Checks and consumes depletable-ring charges; a zero count still permits a power-zero cast and then wraps to $FF, which later calls reject.</t>
  </si>
  <si>
    <t>Draws the four vacant, dead, or profession-coloured party-member slot icons shown beside the held-item panel.</t>
  </si>
  <si>
    <t>Draws the temporary highlight for one of the six movement controls using direction-specific destination, source-offset, width and height tables, then restores the normal pad after its countdown expires.</t>
  </si>
  <si>
    <t>Draws the movement highlight, calculates the destination cell, and dispatches the party movement and collision handling.</t>
  </si>
  <si>
    <t>Reads the current floor-trigger record and dispatches its even action byte through the 31-entry trigger-action table.</t>
  </si>
  <si>
    <t>Null floor-trigger action; performs no map or player change.</t>
  </si>
  <si>
    <t>Handles the single-player tower-to-Keep entrance pad, selecting the destination Keep floor and midpoint from current-tower lookup tables.</t>
  </si>
  <si>
    <t>Handles the single-player Keep-to-tower entrance pad, using trigger-record byte 1 to select the authored tower and midpoint.</t>
  </si>
  <si>
    <t>For action $3C, tests the paired authored gate cells and removes the record's target only after both gate flag bits are set.</t>
  </si>
  <si>
    <t>Handles action $3A by running the complete game-ending picture, party-interface reset, text, and frame-synchronisation sequence.</t>
  </si>
  <si>
    <t>Resets both players' applicable interface state, redraws the party and bordered message presentation, and draws the ending picture used by the game-completion trigger.</t>
  </si>
  <si>
    <t>Teleports to the trigger record's floor/X/Y destination, falling back one cell north when the target cell is occupied.</t>
  </si>
  <si>
    <t>Performs the flash teleport to the record's floor/X/Y destination, falling back one cell east when occupied and queueing the associated impact effect.</t>
  </si>
  <si>
    <t>Resolves the trigger target and advances its two direction bits by one quarter-turn while preserving the other cell flags.</t>
  </si>
  <si>
    <t>Applies the first fixed wooden-trap map mutation to its authored target cells.</t>
  </si>
  <si>
    <t>Applies the second fixed wooden-trap map mutation to its authored target cells.</t>
  </si>
  <si>
    <t>Closes the trader's target door when the doorway is not occupied.</t>
  </si>
  <si>
    <t>Rotates the activating player's facing by 180 degrees.</t>
  </si>
  <si>
    <t>Sets the activating player's facing to a pseudo-random direction from 0 to 3.</t>
  </si>
  <si>
    <t>Rotates the activating player's facing 90 degrees to the right.</t>
  </si>
  <si>
    <t>Resolves the target cell, closes its Voidlock door, and applies the one-step trigger delay.</t>
  </si>
  <si>
    <t>Resolves the target cell, opens its locked door, and applies the one-step trigger delay.</t>
  </si>
  <si>
    <t>Clears the record target through the shared removal path, then creates the target pillar using the shared pillar-state handler.</t>
  </si>
  <si>
    <t>Resolves the target cell, sets its feature base state, and toggles the low pillar-state bits.</t>
  </si>
  <si>
    <t>Creates a pad at the record's target by preserving the first byte and setting feature-type bits 1 and 2 in the second byte.</t>
  </si>
  <si>
    <t>Resolves the target cell and toggles second-byte feature bits 1 and 2 for action $34.</t>
  </si>
  <si>
    <t>Uses record byte 1 to select a neighbouring direction and toggles that cell's pad-type bits, removing the original target when the neighbour cannot be changed.</t>
  </si>
  <si>
    <t>Moves a pillar from the northwest diagonal cell to the north cell relative to the activating pad.</t>
  </si>
  <si>
    <t>Runs the external Vivify machine: enforces its raster gate, creates the impact, finds matching remains, and revives or relocates the affected unowned or owned champion at the machine target.</t>
  </si>
  <si>
    <t>Revives a dead member of the caster's own party with current HP and vitality set to 5 and restores the champion to an available formation slot.</t>
  </si>
  <si>
    <t>Draws the party-command menu text followed by the continuous bottom-chain strip from GFX_Pockets+$3C60.</t>
  </si>
  <si>
    <t>Selects between the compact leader portrait/statistics presentation and the full-body party-leader presentation.</t>
  </si>
  <si>
    <t>Draws the selected leader's full-body composition with its two chain strips while retaining the compact statistics frame.</t>
  </si>
  <si>
    <t>Sets A6 to the current tower's map-data base and converts packed coordinate D7 to the current-floor map-cell offset using Y*width+X.</t>
  </si>
  <si>
    <t>Calculates the aligned destination coordinate and facing used when moving between paired stair cells.</t>
  </si>
  <si>
    <t>Reconstructs X/Y from the selected-floor and current-cell offsets to locate the diagonal source cell used by pillar movement.</t>
  </si>
  <si>
    <t>Per-frame input dispatcher: in two-player mode it reads the mouse path; in single-player mode it reads both joystick ports, updates the associated player cursor positions, and rewrites their hardware-sprite position words.</t>
  </si>
  <si>
    <t>Reads both joystick/mouse-counter ports and CIAA fire-button bits, decodes their directional deltas, and stores the combined per-player movement and button state.</t>
  </si>
  <si>
    <t>Draws stationary impact phases 1 and 0 from the same source picture for forms below $1C; phase 2 uses the airborne-form path selected earlier.</t>
  </si>
  <si>
    <t>Draws present members of another player's party in back-to-front formation order, rotating each draw slot by (2-partyFacing+viewerFacing+drawSlot)&amp;3.</t>
  </si>
  <si>
    <t>Composes Summon forms $64 and $65 from the main body and two independently selected appendages, using Illusion palettes when the colour-grade byte is negative.</t>
  </si>
  <si>
    <t>Selects each Summon appendage's normal or raised sprite and position from animation bits, distance, facing, and mirror-aware layout tables.</t>
  </si>
  <si>
    <t>Completes the Summon compositor after its body and appendage draws.</t>
  </si>
  <si>
    <t>Entry point for the table-driven Crab body and detail compositor.</t>
  </si>
  <si>
    <t>Selects the Crab's front, side, or claw detail path for the current distance class.</t>
  </si>
  <si>
    <t>Selects the Crab's normal or attacking side/claw pose from its animation bit.</t>
  </si>
  <si>
    <t>Continues Crab detail selection for the far-distance classes.</t>
  </si>
  <si>
    <t>Continues Crab detail selection for the rear orientation.</t>
  </si>
  <si>
    <t>Draws the Crab's rear base strip and overlays up to two independently animated hidden-claw strips when their animation bits are set.</t>
  </si>
  <si>
    <t>Draws the Crab's selected side/claw strip through the common 16-pixel monster-strip renderer.</t>
  </si>
  <si>
    <t>Draws the Crab shell/body sprite selected by the shared distance-group lookup.</t>
  </si>
  <si>
    <t>Selects the Beholder colour route and composes its body, upper eyes, and large lower eye/details for the current distance and facing.</t>
  </si>
  <si>
    <t>Draws the Beholder's large lower-eye assembly and its optional near-distance detail components, mirroring the appropriate side.</t>
  </si>
  <si>
    <t>Draws the smaller far-distance form of the Beholder's large lower eye.</t>
  </si>
  <si>
    <t>Draws the Beholder body and upper eye-stalk components, including the mirrored near-distance copy.</t>
  </si>
  <si>
    <t>Draws one Beholder component with the source offset, placement, and optional mirroring selected by the caller.</t>
  </si>
  <si>
    <t>Composes the Behemoth from its family-specific layout data.</t>
  </si>
  <si>
    <t>Composes Entropy using its family layout and the identity colour route rather than a monster-grade colour table.</t>
  </si>
  <si>
    <t>Shared body-and-arm compositor for Behemoth and Entropy, driven by the selected family's layout structure.</t>
  </si>
  <si>
    <t>Composes a character from five near-view body parts or dispatches to the single-sprite distant-view path.</t>
  </si>
  <si>
    <t>Selects the character body/armour category, flooring nonzero armoured bases at category 3 before applying the armour override.</t>
  </si>
  <si>
    <t>Applies the armour-category adjustment as (max(base,3)+2*override)&amp;$0F when an armour override is present.</t>
  </si>
  <si>
    <t>Runs the five-part near-character draw loop for legs, torso, head, and arms.</t>
  </si>
  <si>
    <t>Loads one character part's X/Y placement and selects its colour group before drawing the component.</t>
  </si>
  <si>
    <t>Selects the arm-specific colour group before the shared material-tier mask lookup.</t>
  </si>
  <si>
    <t>Reads the shared colour-group/material index used to recolour the selected character component.</t>
  </si>
  <si>
    <t>Draws the character's single-sprite portrait for distance class 4.</t>
  </si>
  <si>
    <t>Draws the character's single-sprite portrait for distance class 5.</t>
  </si>
  <si>
    <t>Skips destination word columns outside the eight-word dungeon viewport and otherwise enters the transparent four-plane word merger.</t>
  </si>
  <si>
    <t>Selects reverse source-row traversal before the normal aligned/shifted sprite setup; horizontal bit reversal is handled later.</t>
  </si>
  <si>
    <t>Draws the name strip's four upper edge lines across X=168-319 at Y=84-87 in colours 1-4 before the following loop draws the lower edge in reverse colour order.</t>
  </si>
  <si>
    <t>Initialises the champion-selection panels, moves the single-player panel 38 pixels lower, draws the roster and detail views into both buffers as applicable, enables input, and services the players until the selection-mode state signals exit.</t>
  </si>
  <si>
    <t>Redraws spellbook content through four overlapping 32x56 page-turn frames; previous-page animation uses phases 0-3 and next-page animation uses phases 3-0 before committing the spread.</t>
  </si>
  <si>
    <t>Replaces the rightmost phase-3 rune over a freshly restored bare spellbook cell so the opaque glyph write preserves the underlying page artwork.</t>
  </si>
  <si>
    <t>Cycles the champion-selection view through inventory, spellbook, and statistics states and redraws the corresponding pocket icon.</t>
  </si>
  <si>
    <t>Draws the champion-selection confirmation heading and BEGIN GAME scroll; during the live-action pass it marks that player's selection mode complete and suppresses the heading on subsequent use.</t>
  </si>
  <si>
    <t>Draws the champion-selection spellbook panel and prints the spell-points label below it; this path omits the in-game casting/detail icon row.</t>
  </si>
  <si>
    <t>Draws one of eight 16-byte rune pages as four rows of four lowercase GameFont glyphs, using champion ownership bits to choose missing, selected, or profession-coloured ink.</t>
  </si>
  <si>
    <t>Supplies a 15-row height and tail-calls the planar graphic renderer for the champion-statistics scroll decoration.</t>
  </si>
  <si>
    <t>Iterates champion indices 15 down to 0 and draws all sixteen shield portraits at their selection-screen positions.</t>
  </si>
  <si>
    <t>Rejects champion indices outside 0-15, otherwise resolves the shield position and enters the champion-selection avatar renderer.</t>
  </si>
  <si>
    <t>Clears the shared lower message strip and prints the text stream addressed by A6.</t>
  </si>
  <si>
    <t>Pads the remainder of the current text field with D6+1 blank glyphs, or returns immediately when the field is already full.</t>
  </si>
  <si>
    <t>Selects timed/fading text state $81 and enters the shared top-strip text writer.</t>
  </si>
  <si>
    <t>Selects fixed ink and enters WriteFText to print the A6 text stream in the top text strip.</t>
  </si>
  <si>
    <t>Stores the requested ink, initialises the top text strip, and prints the text stream addressed by A6.</t>
  </si>
  <si>
    <t>Initialises a fresh 40-character top text strip, resets its cursor and redraw state, and arms the timed colour-fade state.</t>
  </si>
  <si>
    <t>Prints an A6 byte stream character by character, dispatching bytes $80 and above through the text escape-code handler.</t>
  </si>
  <si>
    <t>Handles text-stream escape codes for foreground ink, background ink, cursor X/Y, and inline copy-protection; unsupported codes signal the caller to stop.</t>
  </si>
  <si>
    <t>Prints one party-command menu row, choosing normal or hovered inks and interpreting its word-stream separators, literal characters, and WordsText references.</t>
  </si>
  <si>
    <t>Walks a length-prefixed string table to entry D0 and returns A3 at the entry text with its character count in D5.</t>
  </si>
  <si>
    <t>Selects Objects_Texts and enters the shared word printer to draw object name D0.</t>
  </si>
  <si>
    <t>Looks up word D0 in WordsText and enters the shared counted-character printer.</t>
  </si>
  <si>
    <t>Draws D5+1 characters from A3 and reduces the caller's remaining field-width counter accordingly.</t>
  </si>
  <si>
    <t>Selects timed/fading ink state $81 and enters the shared top-strip message printer.</t>
  </si>
  <si>
    <t>Stores the message ink and timing flag, initialises the top text strip, and prints the word-stream addressed by A6.</t>
  </si>
  <si>
    <t>Blits one GameFont character using the current foreground/background colour masks; this standalone path draws combat wound-flash digits.</t>
  </si>
  <si>
    <t>Fills a solid rectangle by drawing one horizontal line for each row using inclusive width and height extents.</t>
  </si>
  <si>
    <t>Draws the champion-selection variant of a four-sided rectangle frame using horizontal and vertical line primitives.</t>
  </si>
  <si>
    <t>Draws a generic four-sided rectangle outline from two horizontal and two vertical lines.</t>
  </si>
  <si>
    <t>Draws one clipped vertical line across all four bitplanes with a masked AND/OR write on each screen row.</t>
  </si>
  <si>
    <t>Draws one clipped horizontal span using edge masks and the shared masked-byte writer across all four bitplanes.</t>
  </si>
  <si>
    <t>Converts screen X in D4 and Y in D5 to the byte offset (Y*320+X)/8 used by the planar drawing primitives.</t>
  </si>
  <si>
    <t>Handles the narrow defender-roll win while retaining damage tier $40, so the subsequent damage multiplier remains x1.</t>
  </si>
  <si>
    <t>Calculates base physical damage from a 0..range-1 weapon roll, level and fixed weapon bonuses using byte addition, then adds the effective-Strength contribution before backstab, armour, and hit-quality adjustments.</t>
  </si>
  <si>
    <t>Consumes a matching common or named key when required, toggles the target lock bit, and either reports that the door remains locked or continues to toggle the validated wooden edge or large door.</t>
  </si>
  <si>
    <t>Loads THE DOOR IS LOCKED and enters the timed top-strip text writer.</t>
  </si>
  <si>
    <t>Copies champion bytes $16/$17/$18/$1A as X, Y, direction, and floor into the active player record, then marks the champion's stored X and Y as $FF so the start position cannot be claimed again.</t>
  </si>
  <si>
    <t>Searches a requested tower/floor coordinate in strict priority order: Player 1, Player 2, standing champions, then unpacked monsters, returning the first matching occupant.</t>
  </si>
  <si>
    <t>RespondExchange_GetCounterItemValue</t>
  </si>
  <si>
    <t>KeyboardAction_StorePendingAction</t>
  </si>
  <si>
    <t>MainGameLoop_WaitFrameSync</t>
  </si>
  <si>
    <t>MainGameLoop_ArmConflictFlagAndTick</t>
  </si>
  <si>
    <t>CopyVariableHeightScreenBand_TestRowBit0</t>
  </si>
  <si>
    <t>CopyVariableHeightScreenBand_TestRowBit1</t>
  </si>
  <si>
    <t>CopyVariableHeightScreenBand_CheckRowCount</t>
  </si>
  <si>
    <t>CopyVariableHeightScreenBand_RowCopyLoop</t>
  </si>
  <si>
    <t>ScreenBandCopy_SharedReturn</t>
  </si>
  <si>
    <t>PlayerHeightCheck_MainViewportRowCount</t>
  </si>
  <si>
    <t>ScreenBandCopy_SharedRowLoop</t>
  </si>
  <si>
    <t>HitPointRecovery_AddToCurrentHP</t>
  </si>
  <si>
    <t>Clamp_AIProgressToMaximum</t>
  </si>
  <si>
    <t>ClampAIProgressToMaximum_StoreHP</t>
  </si>
  <si>
    <t>StarvationCheck_RestoreRegsAndContinue</t>
  </si>
  <si>
    <t>FoodAndVitality_RecoverFromFood</t>
  </si>
  <si>
    <t>FoodAndVitality_StoreClampedVitality</t>
  </si>
  <si>
    <t>UpdateChampionFoodAndVitality_Return</t>
  </si>
  <si>
    <t>StatUpdateLoop_PerChampionLoop</t>
  </si>
  <si>
    <t>DrainPartyFoodLevel_SlotLoop</t>
  </si>
  <si>
    <t>TeamAvatarUpdateLoop_CheckSlotBit</t>
  </si>
  <si>
    <t>DrainPartyFoodLevel_SlotLoopTail</t>
  </si>
  <si>
    <t>FloorTriggerHandler_InitSlotLoop</t>
  </si>
  <si>
    <t>FloorTriggerHandler_SlotLoop</t>
  </si>
  <si>
    <t>FloorTriggerHandler_ApplyRegeneration</t>
  </si>
  <si>
    <t>FloorTriggerHandler_RestoreLoopRegs</t>
  </si>
  <si>
    <t>FloorTriggerHandler_SlotLoopTail</t>
  </si>
  <si>
    <t>PlayerTick_DrawInterfaceAndDispatchPanel</t>
  </si>
  <si>
    <t>DecayCastingFatigue_ChampionLoop</t>
  </si>
  <si>
    <t>DecayCastingFatigue_AdvanceRecord</t>
  </si>
  <si>
    <t>PeriodicTick_SharedEarlyReturn</t>
  </si>
  <si>
    <t>MaintainMonsterGroupFormation_GroupLoop</t>
  </si>
  <si>
    <t>MaintainMonsterGroupFormation_MemberLoop</t>
  </si>
  <si>
    <t>MaintainMonsterGroupFormation_MemberLoopTail</t>
  </si>
  <si>
    <t>MaintainMonsterGroupFormation_RemoveGroupEntry</t>
  </si>
  <si>
    <t>MaintainMonsterGroupFormation_ShiftLoop</t>
  </si>
  <si>
    <t>MaintainMonsterGroupFormation_ShiftLoopTail</t>
  </si>
  <si>
    <t>MaintainMonsterGroupFormation_TestGroupFlags</t>
  </si>
  <si>
    <t>MaintainMonsterGroupFormation_SelectAltSlot</t>
  </si>
  <si>
    <t>MaintainMonsterGroupFormation_StoreSlotValue</t>
  </si>
  <si>
    <t>MaintainMonsterGroupFormation_RelocateRecord</t>
  </si>
  <si>
    <t>MaintainMonsterGroupFormation_AdvanceEntry</t>
  </si>
  <si>
    <t>MaintainMonsterGroupFormation_GroupLoopTail</t>
  </si>
  <si>
    <t>DecayLinkedMagicRecords_ScanLoop</t>
  </si>
  <si>
    <t>DecayLinkedMagicRecords_ProcessRecord</t>
  </si>
  <si>
    <t>DecayLinkedMagicRecords_NextRecord</t>
  </si>
  <si>
    <t>DecayLinkedMagicRecords_RemoveAndContinue</t>
  </si>
  <si>
    <t>LinkedMagicDamage_HitSingleOccupant</t>
  </si>
  <si>
    <t>LinkedMagicDamage_PartyLevitateCheck</t>
  </si>
  <si>
    <t>DamageLinkedMagicOccupant_Return</t>
  </si>
  <si>
    <t>RemoveLinkedMagicRecord_ShiftLoop</t>
  </si>
  <si>
    <t>RemoveLinkedMagicRecord_ShiftLoopTail</t>
  </si>
  <si>
    <t>Run300UnitGameTick_ActionSubcycleEntry</t>
  </si>
  <si>
    <t>MapCellImpactList_DecayLoop</t>
  </si>
  <si>
    <t>MapCellImpactList_CompactLoop</t>
  </si>
  <si>
    <t>MapCellImpactList_CompactLoopEnd</t>
  </si>
  <si>
    <t>MapCellImpactList_DecayLoopEnd</t>
  </si>
  <si>
    <t>ChampionCooldown_ScanLoop</t>
  </si>
  <si>
    <t>ChampionCooldown_ScanContinue</t>
  </si>
  <si>
    <t>UnpackedMonsters_AnimationAgeLoop</t>
  </si>
  <si>
    <t>Dispatch_PartyShieldHighlightDecay</t>
  </si>
  <si>
    <t>PartyShieldHighlightTimer_SlotLoop</t>
  </si>
  <si>
    <t>PartyShieldHighlightTimer_SlotLoopEnd</t>
  </si>
  <si>
    <t>CombatOutcomeSlotDecay_Init</t>
  </si>
  <si>
    <t>CombatOutcomeSlotDecay_Loop</t>
  </si>
  <si>
    <t>CombatOutcomeSlotDecay_LoopEnd</t>
  </si>
  <si>
    <t>Calculate_ManhattanDistance_AbsDeltaX</t>
  </si>
  <si>
    <t>Calculate_ManhattanDistance_AbsDeltaY</t>
  </si>
  <si>
    <t>SharedEarlyReturn_Rts</t>
  </si>
  <si>
    <t>ActorScan_ActivationGate</t>
  </si>
  <si>
    <t>FixedOriginForm_CooldownDecrement</t>
  </si>
  <si>
    <t>FixedOriginForm_EarlyReturn</t>
  </si>
  <si>
    <t>Confuse_RecoveryTick</t>
  </si>
  <si>
    <t>Terror_RecoveryTick</t>
  </si>
  <si>
    <t>Paralyze_RecoveryTick</t>
  </si>
  <si>
    <t>Paralyze_RemainsActive_EarlyReturn</t>
  </si>
  <si>
    <t>ActorScan_ResolveOwnPositionGate</t>
  </si>
  <si>
    <t>FormationSlot_SelectReserveSpace</t>
  </si>
  <si>
    <t>Test_LevelResistanceRoll_FromPointer_ChampionIndex</t>
  </si>
  <si>
    <t>Test_LevelResistanceRoll_FromPointer_TailJump</t>
  </si>
  <si>
    <t>ClearAdjacentCellStateBit_IfNotBlocked</t>
  </si>
  <si>
    <t>AirborneEntity_CheckCoordMatch</t>
  </si>
  <si>
    <t>AirborneEntity_ComputeDropDirection</t>
  </si>
  <si>
    <t>AirborneEntity_DropObjectAndRemoveMonster</t>
  </si>
  <si>
    <t>AirborneEntity_AllocateImpactCheckOccupant</t>
  </si>
  <si>
    <t>ResolvePhysicalDamage_FromScratchRecord</t>
  </si>
  <si>
    <t>CopyMonsterRecord_ToScratchLoop</t>
  </si>
  <si>
    <t>AirborneEntity_SharedReturn</t>
  </si>
  <si>
    <t>PrepareTeleportOrEquip_LoadAltSpellSound</t>
  </si>
  <si>
    <t>PrepareTeleportOrEquip_PlaySelectedSound</t>
  </si>
  <si>
    <t>PrepareTeleportOrEquip_RemoveThenResolve</t>
  </si>
  <si>
    <t>TeleportOrSpellEntry_SharedReturn</t>
  </si>
  <si>
    <t>AirborneSpell_PlayWallBounceSound</t>
  </si>
  <si>
    <t>AirborneSpell_RestoreAndDispatchDamage</t>
  </si>
  <si>
    <t>SpellPartyDamage_DiceRollLoop</t>
  </si>
  <si>
    <t>SpellPartyDamage_BeginScratchStore</t>
  </si>
  <si>
    <t>SpellPartyDamage_StoreScratchLoop</t>
  </si>
  <si>
    <t>AirborneSpell_DispatchSpecialForm</t>
  </si>
  <si>
    <t>AirborneSpell_HalveStatWithResistanceRoll</t>
  </si>
  <si>
    <t>AirborneSpell_HalveStat_SharedReturn</t>
  </si>
  <si>
    <t>SpelltapEffect_ClampSPAtZero</t>
  </si>
  <si>
    <t>SpelltapEffect_ClampFatigueAt100</t>
  </si>
  <si>
    <t>SpelltapEffect_ApplyToWholeParty_Begin</t>
  </si>
  <si>
    <t>SpelltapEffect_PartyMemberLoop</t>
  </si>
  <si>
    <t>SpelltapEffect_PartyLoopIterationEnd</t>
  </si>
  <si>
    <t>AirborneSpell_ResolveOccupantForFear</t>
  </si>
  <si>
    <t>ThreatFear_ConvertConfuseBitToTerror</t>
  </si>
  <si>
    <t>ThreatFear_SharedReturn</t>
  </si>
  <si>
    <t>AirborneSpell_ResolveOccupantForParalyze</t>
  </si>
  <si>
    <t>ParalyzeEffect_SharedReturn</t>
  </si>
  <si>
    <t>ParalyzeEffect_ApplyToWholeParty_Begin</t>
  </si>
  <si>
    <t>ParalyzeWholeParty_LoopHead</t>
  </si>
  <si>
    <t>ParalyzeWholeParty_LoopSkipSlot</t>
  </si>
  <si>
    <t>Apply_DisruptEffect</t>
  </si>
  <si>
    <t>DisruptEffect_TwoResistancePassTail</t>
  </si>
  <si>
    <t>DisruptEffect_OneResistancePassTail</t>
  </si>
  <si>
    <t>DisruptEffect_DispatchImpact</t>
  </si>
  <si>
    <t>Seed_DisruptDamage_EarlyReturn</t>
  </si>
  <si>
    <t>Seed_DisruptDamage_ChampionHP</t>
  </si>
  <si>
    <t>Seed_DisruptDamage_PartyEntry</t>
  </si>
  <si>
    <t>Seed_DisruptDamage_PartyLoopHead</t>
  </si>
  <si>
    <t>Seed_DisruptDamage_PartyLoopSkip</t>
  </si>
  <si>
    <t>Seed_DisruptDamage_PartyLoopReturn</t>
  </si>
  <si>
    <t>ConfuseSpell_ForwardCellEntry</t>
  </si>
  <si>
    <t>ConfuseEffect_ApplyFacingChange</t>
  </si>
  <si>
    <t>ConfuseFacingRoll_NoChangeReturn</t>
  </si>
  <si>
    <t>ConfuseEffect_PlayerFacingDispatch</t>
  </si>
  <si>
    <t>ResistanceRoll_ComputeThreshold</t>
  </si>
  <si>
    <t>ResistanceRoll_RollAndCompare</t>
  </si>
  <si>
    <t>Resolve_LevelResistanceRoll_Return</t>
  </si>
  <si>
    <t>Dispatch_AntimageResistancePasses</t>
  </si>
  <si>
    <t>AntimageResistancePasses_LoopHead</t>
  </si>
  <si>
    <t>Run_AntimageResistancePass_LoopHead</t>
  </si>
  <si>
    <t>Run_AntimageResistancePass_Return</t>
  </si>
  <si>
    <t>KillExperience_ApplySoloHalving</t>
  </si>
  <si>
    <t>KillExperience_LowLevelDoubleXP</t>
  </si>
  <si>
    <t>KillExperience_StoreAndGrantFairy</t>
  </si>
  <si>
    <t>KillExperience_OwnerPartyXPEntry</t>
  </si>
  <si>
    <t>KillExperience_OwnerPartyXPLoopHead</t>
  </si>
  <si>
    <t>KillExperience_OwnerXPSubtractMerge</t>
  </si>
  <si>
    <t>KillExperience_OwnerPartyXPLoopSkip</t>
  </si>
  <si>
    <t>Apply_KillExperience_Return</t>
  </si>
  <si>
    <t>FairySpellGrant_EvenLevelCheck</t>
  </si>
  <si>
    <t>FairySpellFlag_MarkPending</t>
  </si>
  <si>
    <t>Grant_PendingFairySpellFlag_Return</t>
  </si>
  <si>
    <t>Apply_AttackDamage</t>
  </si>
  <si>
    <t>AttackDamage_ChampionTargetDispatch</t>
  </si>
  <si>
    <t>AttackDamage_StandingChampionHit</t>
  </si>
  <si>
    <t>SpellImpact_TargetTypeDispatch</t>
  </si>
  <si>
    <t>MonsterHit_SplashDispatch</t>
  </si>
  <si>
    <t>SplashDamage_TeamLoopHead</t>
  </si>
  <si>
    <t>SplashDamage_LoopTailCheck</t>
  </si>
  <si>
    <t>ApplyMonsterDamage_CallKillExperience</t>
  </si>
  <si>
    <t>MonsterDamage_ReturnAlive</t>
  </si>
  <si>
    <t>Apply_MonsterDeath</t>
  </si>
  <si>
    <t>MonsterDeath_RollLootTable</t>
  </si>
  <si>
    <t>Apply_StandingChampionDamage</t>
  </si>
  <si>
    <t>StandingChampionDamage_Subtract</t>
  </si>
  <si>
    <t>Apply_StandingChampionDeath</t>
  </si>
  <si>
    <t>ChampionDeath_FinalizeAndDropRemains</t>
  </si>
  <si>
    <t>PartyDamage_AntimageResistanceCheck</t>
  </si>
  <si>
    <t>PartyDamage_FormationLoopSetup</t>
  </si>
  <si>
    <t>PartyDamage_FormationLoopHead</t>
  </si>
  <si>
    <t>ApplyPartyDamage_DamageSlotAndFlagDeath</t>
  </si>
  <si>
    <t>ApplyPartyDamage_StoreSlotHP</t>
  </si>
  <si>
    <t>ApplyPartyDamage_SlotLoopTail</t>
  </si>
  <si>
    <t>PartyDamage_ClearDeadMemberSlotLoop</t>
  </si>
  <si>
    <t>AdjustInventoryIndex_FindLeaderCandidateLoop</t>
  </si>
  <si>
    <t>Externalise_WipedParty_SlotLoop</t>
  </si>
  <si>
    <t>TeamAvatarSlots_ScanFlagLoop</t>
  </si>
  <si>
    <t>WoundFlashNumber_ApplyDigitXOffset</t>
  </si>
  <si>
    <t>WoundFlashNumber_DrawDigitLoop</t>
  </si>
  <si>
    <t>Draw_PlayerDeathMessage</t>
  </si>
  <si>
    <t>ViewportMessageFrame_ShrinkHeightStep</t>
  </si>
  <si>
    <t>ViewportMessageFrame_DrawFramePass</t>
  </si>
  <si>
    <t>PurgeTransientSummons_ScanLoop</t>
  </si>
  <si>
    <t>PurgeTransientSummons_DespawnEntry</t>
  </si>
  <si>
    <t>PurgeTransientSummons_LoopTail</t>
  </si>
  <si>
    <t>RemoveMonsterRecord_BeginCompaction</t>
  </si>
  <si>
    <t>RemoveMonsterRecord_CompactionCopyLoop</t>
  </si>
  <si>
    <t>RemoveMonsterRecord_CopyLoopCheck</t>
  </si>
  <si>
    <t>MonsterRemoval_SharedReturn</t>
  </si>
  <si>
    <t>AdjustPlayerTargetIndex_DecrementIfLater</t>
  </si>
  <si>
    <t>CleanUpMonsterRefs_GroupTableLoop</t>
  </si>
  <si>
    <t>AdjustMonsterTeamMemberIndex_ScanLoop</t>
  </si>
  <si>
    <t>AdjustMonsterTeamMemberIndex_Decrement</t>
  </si>
  <si>
    <t>AdjustMonsterTeamMemberIndex_LoopTail</t>
  </si>
  <si>
    <t>MonsterGroupCleanup_FindReplacementLoop</t>
  </si>
  <si>
    <t>MonsterGroupCleanup_AdvanceAndReturn</t>
  </si>
  <si>
    <t>MonsterGroupCleanup_PromoteReplacementMember</t>
  </si>
  <si>
    <t>MonsterGroupCleanup_CopyToReplacement</t>
  </si>
  <si>
    <t>PlayerSpellBarTick_SkipCastBarDraw</t>
  </si>
  <si>
    <t>PlayerSpellBarTick_MemberLoop</t>
  </si>
  <si>
    <t>PlayerSpellBarTick_UpdateActionTimers</t>
  </si>
  <si>
    <t>PlayerSpellBarTick_MemberLoopTail</t>
  </si>
  <si>
    <t>CharacterTimer_DecrementReturn</t>
  </si>
  <si>
    <t>CharacterActionTimer_SharedReturn</t>
  </si>
  <si>
    <t>CheckDoorToggle_DispatchAttackOrSpell</t>
  </si>
  <si>
    <t>CheckDoorToggle_PostInteractionCheck</t>
  </si>
  <si>
    <t>CheckDoorToggle_MeleeOrRangedGate</t>
  </si>
  <si>
    <t>DoorToggleRoutine_DrawOutcomeGlyph</t>
  </si>
  <si>
    <t>PhysicalAttack_FacingByteMerge</t>
  </si>
  <si>
    <t>ResolveRangedAttack_PocketScanLoop</t>
  </si>
  <si>
    <t>RangedAttack_ClearBowAndAmmoSlots</t>
  </si>
  <si>
    <t>CheckPocketForBowOrArrow_Return</t>
  </si>
  <si>
    <t>CheckPocketForBowOrArrow_ArrowRangeCheck</t>
  </si>
  <si>
    <t>PostAttack_CheckSpellSelected</t>
  </si>
  <si>
    <t>CommsPeriodicTick_EarlyReturn</t>
  </si>
  <si>
    <t>Comms_PeriodicTick</t>
  </si>
  <si>
    <t>CommsPeriodicTick_RestoreRegisters</t>
  </si>
  <si>
    <t>CommsPeriodicTick_DispatchResponse</t>
  </si>
  <si>
    <t>Comms_NoOpResponseHandler</t>
  </si>
  <si>
    <t>CommsPeriodicTick_SetMonsterActionCooldown</t>
  </si>
  <si>
    <t>Comms_PrintRecruitRefusal</t>
  </si>
  <si>
    <t>Comms_Respond_RecruitChampion</t>
  </si>
  <si>
    <t>Comms_Respond_RecruitThreshold</t>
  </si>
  <si>
    <t>Comms_PrintMessageAndReturn</t>
  </si>
  <si>
    <t>Comms_Respond_RecruitSuccess</t>
  </si>
  <si>
    <t>CommsRecruit_FindFreeSlotLoop</t>
  </si>
  <si>
    <t>Comms_WriteFormationSlot</t>
  </si>
  <si>
    <t>Comms_Respond_RecruitPartyFull</t>
  </si>
  <si>
    <t>Persons_RandomBoastOrRetort</t>
  </si>
  <si>
    <t>Offer_DispatchByTradeMode</t>
  </si>
  <si>
    <t>Offer_CoinageOffered_SetFlagAndRetort</t>
  </si>
  <si>
    <t>AcceptOffer_ClearHeldItemState</t>
  </si>
  <si>
    <t>Trade_FinishExchangeAndRefreshDisplay</t>
  </si>
  <si>
    <t>BuyOffer_LookupObjectBaseValue</t>
  </si>
  <si>
    <t>BuyOffer_ClampAttitudeMultiplier</t>
  </si>
  <si>
    <t>BuyOffer_ComparePriceToThreshold</t>
  </si>
  <si>
    <t>Comms_AcceptTrade_StoreNewHeldItem</t>
  </si>
  <si>
    <t>BuyOffer_PriceTooLow_RespondNo</t>
  </si>
  <si>
    <t>ExchangeOffer_LookupOfferedItemValue</t>
  </si>
  <si>
    <t>ExchangeOffer_GetMonsterItemValue</t>
  </si>
  <si>
    <t>ExchangeOffer_CompareItemValues</t>
  </si>
  <si>
    <t>RespondExchange_AcceptAndDispatchOffer</t>
  </si>
  <si>
    <t>Trade_RespondOfferTooLow</t>
  </si>
  <si>
    <t>Sell_NoItemOffered_ClearModeAndRetort</t>
  </si>
  <si>
    <t>Trade_DecrementPatience_RipOffPath</t>
  </si>
  <si>
    <t>Trade_PrintRipOffMessage</t>
  </si>
  <si>
    <t>Sell_HandlePermitObject</t>
  </si>
  <si>
    <t>Sell_CheckObjectValueRange</t>
  </si>
  <si>
    <t>Sell_LookupObjectBaseValue</t>
  </si>
  <si>
    <t>Sell_ComputeDefaultGoldOffer</t>
  </si>
  <si>
    <t>Sell_CheckIfPriceTooGreedy</t>
  </si>
  <si>
    <t>Sell_ComputeHighAttitudeGoldOffer</t>
  </si>
  <si>
    <t>Trade_ClearModeBeforeRejectUntradeable</t>
  </si>
  <si>
    <t>Comms_VeryLowAttitude_DispatchCurse</t>
  </si>
  <si>
    <t>GoldOffer_WriteOnesDigitAndFinish</t>
  </si>
  <si>
    <t>InitialiseMonsterTrader_RestoreAndReturn</t>
  </si>
  <si>
    <t>ShowTeamAvatars_CheckCommandState</t>
  </si>
  <si>
    <t>CommsWait_CheckCounterThreshold</t>
  </si>
  <si>
    <t>Draw_CommsWaitIndicatorIcons</t>
  </si>
  <si>
    <t>DispatchSelection_CountValidButtonsLoop</t>
  </si>
  <si>
    <t>DispatchSelection_LoopContinue</t>
  </si>
  <si>
    <t>DispatchSelection_FinalizeButtonIndex</t>
  </si>
  <si>
    <t>CheckCellInteraction_NoTargetReturn</t>
  </si>
  <si>
    <t>StartComms_ApplyTargetStateFlags</t>
  </si>
  <si>
    <t>StartComms_InitNewCommsRecord</t>
  </si>
  <si>
    <t>StartComms_InitialiseCommsFields</t>
  </si>
  <si>
    <t>StartComms_ApplyCharismaBonus</t>
  </si>
  <si>
    <t>StartComms_StoreInitialAttitude</t>
  </si>
  <si>
    <t>HandleMenuSelection_ResolveAndRunAction</t>
  </si>
  <si>
    <t>HandleMenuSelection_FinalizeAction</t>
  </si>
  <si>
    <t>HandleMenuSelection_Return</t>
  </si>
  <si>
    <t>ActionYes_SetBoastAndFinishTrade</t>
  </si>
  <si>
    <t>ActionYes_CompleteSaleForGold</t>
  </si>
  <si>
    <t>Trade_LoadWrapupMessage</t>
  </si>
  <si>
    <t>Comms_PrintBufferedNumericMessage</t>
  </si>
  <si>
    <t>Threat_CheckOriginalAttitudeLevel</t>
  </si>
  <si>
    <t>Threat_SelectFragmentBySpecialFlag</t>
  </si>
  <si>
    <t>Threat_ChooseAddresseeTitleWord</t>
  </si>
  <si>
    <t>Threat_AppendChosenTitleWord</t>
  </si>
  <si>
    <t>Threat_AppendConsequenceFragment</t>
  </si>
  <si>
    <t>Threat_TerminateAndPrint</t>
  </si>
  <si>
    <t>CopyThreatFragment_ByteLoop</t>
  </si>
  <si>
    <t>RevealSelf_PrintMessage</t>
  </si>
  <si>
    <t>TradeItem_CheckIfCoinage</t>
  </si>
  <si>
    <t>Offer_PromotePurchaseToExchange</t>
  </si>
  <si>
    <t>Offer_PrepareHeldItemMessage</t>
  </si>
  <si>
    <t>Sell_SetEmptyHandWordCode</t>
  </si>
  <si>
    <t>TradeMessage_PrintEmptyHandOffer</t>
  </si>
  <si>
    <t>TradeMessage_PrepareHeldItemTemplate</t>
  </si>
  <si>
    <t>TradeMessage_AppendObjectName</t>
  </si>
  <si>
    <t>TradeMessage_AppendSuffixAndPrint</t>
  </si>
  <si>
    <t>AppendObjectName_Exit</t>
  </si>
  <si>
    <t>Curse_LoadWordRanges</t>
  </si>
  <si>
    <t>PraiseCurse_BuildSmalltalkWords</t>
  </si>
  <si>
    <t>Smalltalk_OptionalWordLoop</t>
  </si>
  <si>
    <t>Smalltalk_AdvanceWordRange</t>
  </si>
  <si>
    <t>Smalltalk_ClearQualifierFlag</t>
  </si>
  <si>
    <t>Smalltalk_AppendRangeWord</t>
  </si>
  <si>
    <t>Smalltalk_FindPatternBandLoop</t>
  </si>
  <si>
    <t>Smalltalk_SelectPattern</t>
  </si>
  <si>
    <t>Smalltalk_RollSubjectWordIndex</t>
  </si>
  <si>
    <t>Smalltalk_StoreSubjectWord</t>
  </si>
  <si>
    <t>Smalltalk_CheckTrailingModifier</t>
  </si>
  <si>
    <t>Smalltalk_AppendTrailingWord</t>
  </si>
  <si>
    <t>Smalltalk_Return</t>
  </si>
  <si>
    <t>PocketItemMessage_AppendObjectName</t>
  </si>
  <si>
    <t>PocketItemMessage_AppendWordAndPrint</t>
  </si>
  <si>
    <t>Comms_FinishAction_RedrawMenu</t>
  </si>
  <si>
    <t>Call_ValidateOtherPlayerTarget</t>
  </si>
  <si>
    <t>Call_AppendDistantWord</t>
  </si>
  <si>
    <t>Call_AppendCallToThePhrase</t>
  </si>
  <si>
    <t>Call_SelectAxisComponent</t>
  </si>
  <si>
    <t>Call_ResolveDirectionWord</t>
  </si>
  <si>
    <t>Call_FinishNotice</t>
  </si>
  <si>
    <t>FinalizeWorldAction_PatchNoticeChampion</t>
  </si>
  <si>
    <t>RemoveSelectedChampion_FindSlot</t>
  </si>
  <si>
    <t>RemoveSelectedChampion_CompactSlotsLoop</t>
  </si>
  <si>
    <t>RemoveSelectedChampion_AdjustViewIndex</t>
  </si>
  <si>
    <t>RemoveSelectedChampion_Return</t>
  </si>
  <si>
    <t>FindFreeOwnershipSlot_ScanLoop</t>
  </si>
  <si>
    <t>OwnershipSlotScan_Return</t>
  </si>
  <si>
    <t>FindChampionInPlayerSlots_ScanLoop</t>
  </si>
  <si>
    <t>FindChampionInPlayerSlots_NextSlot</t>
  </si>
  <si>
    <t>FindChampionInPlayerSlots_Return</t>
  </si>
  <si>
    <t>FindChampionFormationSlot_ScanLoop</t>
  </si>
  <si>
    <t>FindChampionFormationSlot_Return</t>
  </si>
  <si>
    <t>InventoryActionSelector_OpenSelection</t>
  </si>
  <si>
    <t>PartyCommand_View_CountEligibleLoop</t>
  </si>
  <si>
    <t>PartyCommand_View_SlotScanContinue</t>
  </si>
  <si>
    <t>Draw_InitialGameInterface_Player2Gate</t>
  </si>
  <si>
    <t>Draw_InitialGameInterface_PreSwapJoin</t>
  </si>
  <si>
    <t>Click_LoadSaveGame_AfterPlayerPrompts</t>
  </si>
  <si>
    <t>Show_LoadSaveDiskPrompt_AwaitCurrentPlayer</t>
  </si>
  <si>
    <t>LoadSaveGame_Action_ApplyTrackSectorCount</t>
  </si>
  <si>
    <t>DiskIO_CopyProtectionFail_ReturnError</t>
  </si>
  <si>
    <t>Click_SleepParty_ResetSpellStateLoop</t>
  </si>
  <si>
    <t>Click_SleepParty_SkipUnusedSlot</t>
  </si>
  <si>
    <t>ShowAsleepNotice_ResetPageState</t>
  </si>
  <si>
    <t>ShowAsleepNotice_PrintText</t>
  </si>
  <si>
    <t>Draw_Fairy</t>
  </si>
  <si>
    <t>GFX_Fairy_ColourVariants</t>
  </si>
  <si>
    <t>FairyShop_DispatchByState</t>
  </si>
  <si>
    <t>FairyShop_WaitForNoticeTimerExpiry</t>
  </si>
  <si>
    <t>FairyShop_ScanChampionSlotsLoop</t>
  </si>
  <si>
    <t>FairyShop_CheckChampionEligibleCount</t>
  </si>
  <si>
    <t>FairyShop_AdvanceToNextChampionSlot</t>
  </si>
  <si>
    <t>FairyShop_ShowSpellPickPrompt</t>
  </si>
  <si>
    <t>FairyShop_DrawClassIconRow</t>
  </si>
  <si>
    <t>FairyShop_HandleClassSelectionClick</t>
  </si>
  <si>
    <t>FairyShop_OnClassSelected</t>
  </si>
  <si>
    <t>FairyShop_ScanCandidateSpellBitsLoop</t>
  </si>
  <si>
    <t>FairyShop_CandidateSpellLoopContinue</t>
  </si>
  <si>
    <t>FairyShop_StoreCandidateSpellChoice</t>
  </si>
  <si>
    <t>FairyShop_AllSpellsKnownMessage</t>
  </si>
  <si>
    <t>FairyShop_ShowSpellOfferResult</t>
  </si>
  <si>
    <t>Return_SkipSpellListEntryPrint</t>
  </si>
  <si>
    <t>FairyShop_HandleSpellOfferClick</t>
  </si>
  <si>
    <t>FairyShop_ProcessSpellSelectionClick</t>
  </si>
  <si>
    <t>FairyShop_StateHandlerReturn</t>
  </si>
  <si>
    <t>FairyShop_HandleLearnConfirmClick</t>
  </si>
  <si>
    <t>FairyShop_DeductSpellCostAndLearn</t>
  </si>
  <si>
    <t>FairyShop_InsufficientGoldMessage</t>
  </si>
  <si>
    <t>FairyShop_GrantLevelUp</t>
  </si>
  <si>
    <t>FairyShop_ResetInterfaceStateOnExit</t>
  </si>
  <si>
    <t>Return_FairyShopStateMachine</t>
  </si>
  <si>
    <t>LevelUp_ComputeHitPointsIncrease</t>
  </si>
  <si>
    <t>LevelUp_StoreClampedHitPoints</t>
  </si>
  <si>
    <t>LevelUp_StoreClampedVitality</t>
  </si>
  <si>
    <t>LevelUp_StatGrowthRollLoop</t>
  </si>
  <si>
    <t>LevelUp_RollStandardStatGrowth</t>
  </si>
  <si>
    <t>LevelUp_ApplyStatGrowthRoll</t>
  </si>
  <si>
    <t>LevelUp_StoreClampedStatGrowth</t>
  </si>
  <si>
    <t>Recalculate_ClampAndStoreActionSpeed</t>
  </si>
  <si>
    <t>PartyCommandRow_DispatchByPageState</t>
  </si>
  <si>
    <t>Return_PartyCommandRowIdle</t>
  </si>
  <si>
    <t>PartyCommandRow_HitTestCommandButtons</t>
  </si>
  <si>
    <t>PartyCommandRow_ComputeHoverHighlight</t>
  </si>
  <si>
    <t>PartyCommandRow_PackHighlightIndex</t>
  </si>
  <si>
    <t>PartyCommandRow_CompareHighlightChanged</t>
  </si>
  <si>
    <t>PartyCommandRow_SetHighlightAndRedraw</t>
  </si>
  <si>
    <t>DetectStairsCell_RepositionPartyLeader</t>
  </si>
  <si>
    <t>DispatchPanelMode_PendingAction</t>
  </si>
  <si>
    <t>PendingAction_RoutePointerX</t>
  </si>
  <si>
    <t>PendingMode1_RestoreNormalView</t>
  </si>
  <si>
    <t>PlayerInterfaceFlag_EarlyReturn</t>
  </si>
  <si>
    <t>HitTest_CompareYRange</t>
  </si>
  <si>
    <t>HitTest_CompareXRange</t>
  </si>
  <si>
    <t>HitTest_RestoreYWord</t>
  </si>
  <si>
    <t>HitTest_AdvanceToNextHitbox</t>
  </si>
  <si>
    <t>StoreContextAction_Return</t>
  </si>
  <si>
    <t>ResolvePlayerContext_CheckCastPowerRegion</t>
  </si>
  <si>
    <t>SetAction_CastPowerDisplayHit</t>
  </si>
  <si>
    <t>ResolveContextAction_NoMatchReturn</t>
  </si>
  <si>
    <t>CastPowerControls_CheckArrowBands</t>
  </si>
  <si>
    <t>DecrementCastPower_DownArrowHit</t>
  </si>
  <si>
    <t>AfterCastAttempt_SetContextActionMode</t>
  </si>
  <si>
    <t>CastSpell_EarlyReturn</t>
  </si>
  <si>
    <t>Conceal_Return</t>
  </si>
  <si>
    <t>Alchemy_CoinageLoop_Decrement</t>
  </si>
  <si>
    <t>Find_HighestRankedPartyMemberByCategory</t>
  </si>
  <si>
    <t>FindHighestRankedMember_ScanLoop</t>
  </si>
  <si>
    <t>FindHighestRankedMember_CompareCandidate</t>
  </si>
  <si>
    <t>FindHighestRankedMember_LoopContinue</t>
  </si>
  <si>
    <t>CastSpell_QualityRoll</t>
  </si>
  <si>
    <t>QualityRoll_SumDiceLoop</t>
  </si>
  <si>
    <t>RandomGen_SixSidedRoll</t>
  </si>
  <si>
    <t>SixSidedRoll_DivideBy1297</t>
  </si>
  <si>
    <t>SixSidedRoll_StoreNewSeed</t>
  </si>
  <si>
    <t>SixSidedRoll_DivideBySix</t>
  </si>
  <si>
    <t>SixSidedRoll_ReturnRemainder</t>
  </si>
  <si>
    <t>SixSidedRollSeed</t>
  </si>
  <si>
    <t>ClickViewSpell_InitCastPower</t>
  </si>
  <si>
    <t>ClickViewSpell_NegateStoreCastPower</t>
  </si>
  <si>
    <t>ClickViewSpell_DrawDetails</t>
  </si>
  <si>
    <t>ClickViewSpell_RedrawPageSpread</t>
  </si>
  <si>
    <t>Resolve_SpellCastingGridClick</t>
  </si>
  <si>
    <t>NoMatch_SharedReturn</t>
  </si>
  <si>
    <t>SetActionCommand_13</t>
  </si>
  <si>
    <t>SetActionCommand_SpellGridCellHit</t>
  </si>
  <si>
    <t>BuildNavigationField_InitCellScan</t>
  </si>
  <si>
    <t>BuildNavigationField_ScanCellsLoop</t>
  </si>
  <si>
    <t>BuildNavigationField_CheckType7Override</t>
  </si>
  <si>
    <t>BuildNavigationField_ForcePassable</t>
  </si>
  <si>
    <t>BuildNavigationField_WriteCellPassability</t>
  </si>
  <si>
    <t>BuildNavigationField_FrontierLayerLoop</t>
  </si>
  <si>
    <t>BuildNavigationField_FrontierEntryLoop</t>
  </si>
  <si>
    <t>BuildNavigationField_TestDirection0</t>
  </si>
  <si>
    <t>BuildNavigationField_TestDirection3</t>
  </si>
  <si>
    <t>BuildNavigationField_TestDirection1</t>
  </si>
  <si>
    <t>BuildNavigationField_EndOfFrontierLayer</t>
  </si>
  <si>
    <t>MarkNavigationFieldNeighbor_MarkVisited</t>
  </si>
  <si>
    <t>RestorePartyStatToMax_ScanLoop</t>
  </si>
  <si>
    <t>RestorePartyStatToMax_LoopContinue</t>
  </si>
  <si>
    <t>TeleportGem_ApplyDestination</t>
  </si>
  <si>
    <t>PickupOrDropFloorObjectFromDisplay</t>
  </si>
  <si>
    <t>PickupFloorObject_RefreshUI_SharedEntry</t>
  </si>
  <si>
    <t>HitTest_PickupDropQuadrant_TestY</t>
  </si>
  <si>
    <t>HitTest_PickupDropQuadrant_ApplyFacing</t>
  </si>
  <si>
    <t>PickupDrop_ResolveFarQuadrantCell</t>
  </si>
  <si>
    <t>PickupDrop_NoActionReturn</t>
  </si>
  <si>
    <t>PickupFloorObjectAtResolvedCorner</t>
  </si>
  <si>
    <t>PickupFloorObject_ApplyTakeQuantity</t>
  </si>
  <si>
    <t>ShiftDownFloorObjectEntries_CopyByte</t>
  </si>
  <si>
    <t>ShiftDownFloorObjectEntries_LoopTest</t>
  </si>
  <si>
    <t>RemoveFloorObjectStackEntry_RemoveRecord</t>
  </si>
  <si>
    <t>FindFloorObjectStack_ScanSubpositions</t>
  </si>
  <si>
    <t>RemoveFloorObjectStackEntry_ClearFlagReturn</t>
  </si>
  <si>
    <t>ResolvePickupDropTargetCell_NormalReturn</t>
  </si>
  <si>
    <t>ResolvePickupDropTargetCell_RestoreTypeCode</t>
  </si>
  <si>
    <t>ResolvePickupDropTargetCell_Exit</t>
  </si>
  <si>
    <t>DropHeldObject_AtResolvedCorner</t>
  </si>
  <si>
    <t>AddFloorObjectToStack_ScanMatchLoop</t>
  </si>
  <si>
    <t>AddFloorObjectToStack_InsertNewEntry</t>
  </si>
  <si>
    <t>AddFloorObjectToStack_ShiftUpLoop</t>
  </si>
  <si>
    <t>AddFloorObjectToStack_ShiftUpLoopTest</t>
  </si>
  <si>
    <t>AddFloorObjectToStack_CombineMatchedQuantity</t>
  </si>
  <si>
    <t>AddFloorObjectToStack_ReinsertMergedEntry</t>
  </si>
  <si>
    <t>AddFloorObjectToStack_CreateNewStack</t>
  </si>
  <si>
    <t>Rotate_ObjectSubpositionByPlayerFacing</t>
  </si>
  <si>
    <t>Find_FloorObjectRecordByMapLink</t>
  </si>
  <si>
    <t>FindFloorObjectRecordByMapLink_ScanLoop</t>
  </si>
  <si>
    <t>Find_FloorObjectStackAtCellSubposition</t>
  </si>
  <si>
    <t>FindFloorObjectStack_ScanLoop</t>
  </si>
  <si>
    <t>FindFloorObjectStack_AdvanceRecord</t>
  </si>
  <si>
    <t>FindFloorObjectStack_NotFoundFlag</t>
  </si>
  <si>
    <t>FindFloorObjectStack_SharedReturn</t>
  </si>
  <si>
    <t>Select_MonsterMeleePartyTarget</t>
  </si>
  <si>
    <t>SelectMeleeTarget_ResolveDefender</t>
  </si>
  <si>
    <t>SelectMeleeTarget_CheckHalfHP</t>
  </si>
  <si>
    <t>SelectMeleeTarget_SetDoubleDefence</t>
  </si>
  <si>
    <t>SelectMeleeTarget_RestoreRegisters</t>
  </si>
  <si>
    <t>SelectMeleeTarget_Return</t>
  </si>
  <si>
    <t>RedrawCombatOutcomeSlot_DrawBar</t>
  </si>
  <si>
    <t>FormatPartySlotCombatOutcome_Entry</t>
  </si>
  <si>
    <t>FormatCombatOutcome_CompanionFlag</t>
  </si>
  <si>
    <t>FormatCombatOutcome_SetupTextInk</t>
  </si>
  <si>
    <t>FormatCombatOutcome_ApplyMessageOffset</t>
  </si>
  <si>
    <t>FormatCombatOutcome_PrintMessage</t>
  </si>
  <si>
    <t>ConvertThreeDigitDecimalText_FormatRemainder</t>
  </si>
  <si>
    <t>ConvertThreeDigitDecimalText_WriteTensDigit</t>
  </si>
  <si>
    <t>ConvertThreeDigitDecimalText_WriteOnesDigit</t>
  </si>
  <si>
    <t>ClickPartyMember_SetSelectedSlot</t>
  </si>
  <si>
    <t>ClickPartyMember_SwapOrConfirmSlot</t>
  </si>
  <si>
    <t>ClickPartyMember_ActivateSelectedChampion</t>
  </si>
  <si>
    <t>ClickPartyMember_ClearSelectionAndRedraw</t>
  </si>
  <si>
    <t>LoadChampionStatRecord_Return</t>
  </si>
  <si>
    <t>SelectSpellBookPage_Return</t>
  </si>
  <si>
    <t>Draw_EmptySpellSelectionInnerIcons</t>
  </si>
  <si>
    <t>Draw_EmptySpellSelectionEdgeIcon</t>
  </si>
  <si>
    <t>Draw_SelectedSpellClassIcons</t>
  </si>
  <si>
    <t>DrawSelectedSpellClassIcons_SeparatorLoop</t>
  </si>
  <si>
    <t>Refresh_SpellCastCostDisplay</t>
  </si>
  <si>
    <t>Draw_SpellCastingBar_CheckIndexRange</t>
  </si>
  <si>
    <t>Draw_SpellCastingBar_EarlyReturn</t>
  </si>
  <si>
    <t>SpellCastQuality_AfterClassBonus</t>
  </si>
  <si>
    <t>SpellCastQuality_ApplyWandBonus</t>
  </si>
  <si>
    <t>SpellCastQuality_ThresholdLoopHead</t>
  </si>
  <si>
    <t>SpellCastQuality_ApplyPracticeBonus</t>
  </si>
  <si>
    <t>SpellCastQuality_ClearHandShift</t>
  </si>
  <si>
    <t>SpellCastQuality_ApplyStaffBonusAndPenalty</t>
  </si>
  <si>
    <t>SpellPointCost_FreeRingCast</t>
  </si>
  <si>
    <t>SpellPointCost_ReducePowerLoop</t>
  </si>
  <si>
    <t>SpellPointCost_ComputeAdjustment</t>
  </si>
  <si>
    <t>SpellPointCost_AddBaseCost</t>
  </si>
  <si>
    <t>SpellPointCost_ClampToMaximum</t>
  </si>
  <si>
    <t>IdlePanelAnimation_EarlyReturn</t>
  </si>
  <si>
    <t>IdlePanelAnimation_CheckPanelView</t>
  </si>
  <si>
    <t>IdlePanelAnimation_DrawFrame</t>
  </si>
  <si>
    <t>GameCompletion_WaitForFrameSync</t>
  </si>
  <si>
    <t>PackTowerBlock_FillNegativeOnesLoop</t>
  </si>
  <si>
    <t>PackTowerBlock_WriteRecordsLoop</t>
  </si>
  <si>
    <t>PackTowerBlock_TeamMemberLoop</t>
  </si>
  <si>
    <t>PackTowerBlock_TeamMemberLoopStep</t>
  </si>
  <si>
    <t>PackTowerBlock_AdvanceRecordLoop</t>
  </si>
  <si>
    <t>PackTowerBlock_ClearImpactListInit</t>
  </si>
  <si>
    <t>PackTowerBlock_ClearImpactListLoop</t>
  </si>
  <si>
    <t>PackTowerBlock_ClearImpactListCheck</t>
  </si>
  <si>
    <t>Pack_CurrentTowerMonsterBlock_DecayMagicLoop</t>
  </si>
  <si>
    <t>Pack_CurrentTowerMonsterBlock_Return</t>
  </si>
  <si>
    <t>Accept_WoodCellTraversal</t>
  </si>
  <si>
    <t>Redraw_GameInterface_DrawPlayer1Edge</t>
  </si>
  <si>
    <t>Draw_PartyCommandPanelEdge_GrowLoop</t>
  </si>
  <si>
    <t>Draw_PartyCommandPanelEdge_ShrinkLoop</t>
  </si>
  <si>
    <t>Draw_PartyCommandMenuAndContinuousChain</t>
  </si>
  <si>
    <t>Select_PartyCommandDescriptorStream_Mode0</t>
  </si>
  <si>
    <t>Build_EligibleCompanionList_ScanLoop</t>
  </si>
  <si>
    <t>Build_EligibleCompanionList_NextSlot</t>
  </si>
  <si>
    <t>Build_EligibleCompanionList_Reversed</t>
  </si>
  <si>
    <t>Build_EligibleCompanionList_Reversed_ScanLoop</t>
  </si>
  <si>
    <t>Build_EligibleCompanionList_Reversed_NextSlot</t>
  </si>
  <si>
    <t>Reset_ActionSelectionScratchBuffer_FillLoop</t>
  </si>
  <si>
    <t>Select_PartyCommandDescriptorStream_Mode4</t>
  </si>
  <si>
    <t>Select_PartyCommandDescriptorStream_Mode5</t>
  </si>
  <si>
    <t>Select_PartyCommandDescriptorStream_Mode6</t>
  </si>
  <si>
    <t>Select_PartyCommandDescriptorStream_Mode7</t>
  </si>
  <si>
    <t>Select_PartyCommandDescriptorStream_Mode8</t>
  </si>
  <si>
    <t>Select_PartyCommandDescriptorStream_Mode9</t>
  </si>
  <si>
    <t>Draw_PartyCommandMenu_RowLoop</t>
  </si>
  <si>
    <t>Draw_PartyCommandMenu_RowLoop_TestSelectedRow</t>
  </si>
  <si>
    <t>Draw_PartyCommandMenu_RowLoop_DrawLeftBar</t>
  </si>
  <si>
    <t>Draw_PartyCommandMenu_RowLoop_DrawRightBar</t>
  </si>
  <si>
    <t>Draw_PartyCommandMenu_RowLoop_NextRow</t>
  </si>
  <si>
    <t>Draw_PartyCommandMenu_PrintEntriesLoop</t>
  </si>
  <si>
    <t>Draw_PlanarGraphicCore_WithStride98</t>
  </si>
  <si>
    <t>Draw_ActivePartyChampionInShield_EarlyReturn</t>
  </si>
  <si>
    <t>Draw_ActivePartyChampionInShield_Render</t>
  </si>
  <si>
    <t>Refresh_PartyShieldSlotIfDirty_Dispatch</t>
  </si>
  <si>
    <t>Draw_LeaderPanelPresentation</t>
  </si>
  <si>
    <t>Draw_SelectedLeaderBodyPresentation</t>
  </si>
  <si>
    <t>Refresh_MapPositionIcon_DrawIcon</t>
  </si>
  <si>
    <t>Refresh_MapPositionIcon_WornItemIcon</t>
  </si>
  <si>
    <t>Show_QueuedPartyRejoinNotice</t>
  </si>
  <si>
    <t>Return_NoPanelUpdateNeeded</t>
  </si>
  <si>
    <t>Draw_NamePanelControlPadSprite</t>
  </si>
  <si>
    <t>Draw_PartyProfessionIconGrid_EarlyReturn</t>
  </si>
  <si>
    <t>Draw_PartyProfessionIconGrid_SlotLoop</t>
  </si>
  <si>
    <t>Draw_PartyProfessionIconGrid_CheckDeadSlot</t>
  </si>
  <si>
    <t>Draw_PartyProfessionIconGrid_DeadSlotColour</t>
  </si>
  <si>
    <t>Draw_PartyProfessionIconGrid_NextSlot</t>
  </si>
  <si>
    <t>ProfessionIconGrid_ColumnLookup</t>
  </si>
  <si>
    <t>ProfessionIconGrid_DrawSelectionFrame</t>
  </si>
  <si>
    <t>Compute_StairAlignedDestination</t>
  </si>
  <si>
    <t>Resolve_DiagonalPillarSourceCell</t>
  </si>
  <si>
    <t>Resolve_DiagonalPillarSourceCell_SearchLoop</t>
  </si>
  <si>
    <t>Encode_FloppyTrackForWrite_FillGapLoop</t>
  </si>
  <si>
    <t>Encode_FloppyTrackForWrite_SectorLoop</t>
  </si>
  <si>
    <t>Encode_FloppyTrackForWrite_SectorDataLoop</t>
  </si>
  <si>
    <t>Encode_FloppyTrackForWrite_WaitIndexPulse</t>
  </si>
  <si>
    <t>Encode_FloppyTrackForWrite_WaitDmaComplete</t>
  </si>
  <si>
    <t>Encode_MFMClockBits_FixupLoop</t>
  </si>
  <si>
    <t>LoadGame_ReadTracksLoop_StepPulseLoop</t>
  </si>
  <si>
    <t>SelectDrive0_SetDirTrue_SettleLoop</t>
  </si>
  <si>
    <t>SelectDrive0_ClearDirFalse_SettleLoop</t>
  </si>
  <si>
    <t>StepPulse_EmitDir1Pulse</t>
  </si>
  <si>
    <t>StepPulse_SettleAndWaitReady</t>
  </si>
  <si>
    <t>SeekPulse_EmitDir1Pulse</t>
  </si>
  <si>
    <t>SeekPulse_SettleAndWaitReady</t>
  </si>
  <si>
    <t>StartDMA_ProgramDiskRegisters</t>
  </si>
  <si>
    <t>StartDMA_WaitIndexPulse</t>
  </si>
  <si>
    <t>StartDMA_WaitDiskBlockOrTimeout</t>
  </si>
  <si>
    <t>StartDMA_BeginTrackDecode</t>
  </si>
  <si>
    <t>StartDMA_DecodeSectorLoop</t>
  </si>
  <si>
    <t>StartDMA_DecodeSectorLongwordLoop</t>
  </si>
  <si>
    <t>StartDMA_Cleanup_SharedExit</t>
  </si>
  <si>
    <t>SeekToTrackZero_AtZero_WaitReady</t>
  </si>
  <si>
    <t>SettleDelay_CountdownLoop</t>
  </si>
  <si>
    <t>SeekTrackZero_StepForwardLoop</t>
  </si>
  <si>
    <t>SeekTrackZero_StepForward_Exit</t>
  </si>
  <si>
    <t>MouseControl_YFloorClamp</t>
  </si>
  <si>
    <t>MouseControl_YUpperBoundClamp</t>
  </si>
  <si>
    <t>MouseControl_YClampDone_BeginX</t>
  </si>
  <si>
    <t>MouseControl_XNegativeWrapAdd</t>
  </si>
  <si>
    <t>MouseControl_XWrapClamp_Store</t>
  </si>
  <si>
    <t>MouseFireButton_StoreStateAndEdgeCheck</t>
  </si>
  <si>
    <t>MouseControl_ButtonEdgeExit</t>
  </si>
  <si>
    <t>CalcMouseDelta_TestSignNoBorrow</t>
  </si>
  <si>
    <t>CalcMouseDelta_NegateResult</t>
  </si>
  <si>
    <t>CalcMouseDelta_ReturnAbs</t>
  </si>
  <si>
    <t>ClampCursor_AfterYDecrementClamp</t>
  </si>
  <si>
    <t>ClampCursor_AfterYIncrementClamp</t>
  </si>
  <si>
    <t>ClampCursor_AfterXDecrementWrap</t>
  </si>
  <si>
    <t>ClampCursor_BeforeXWrapCheck</t>
  </si>
  <si>
    <t>ClampCursor_AfterXWrapCheck</t>
  </si>
  <si>
    <t>JoystickControl_PerPlayerLoop</t>
  </si>
  <si>
    <t>JoystickControl_StoreNewButtonState</t>
  </si>
  <si>
    <t>JoystickControl_StoreDeltaAndCheckEdge</t>
  </si>
  <si>
    <t>JoystickControl_LoopTail_NextPlayer</t>
  </si>
  <si>
    <t>DialogueColour_ComputeRampIndex</t>
  </si>
  <si>
    <t>DialogueColour_ApplyPlayerRampOffset</t>
  </si>
  <si>
    <t>DialogueColour_ApplyAltRampOffset</t>
  </si>
  <si>
    <t>DialogueColour_LookupAndWriteRamp</t>
  </si>
  <si>
    <t>DialogueColour_DecrementHoldCounter</t>
  </si>
  <si>
    <t>FrameUpdate_ClampCountdownB_Stage</t>
  </si>
  <si>
    <t>FrameUpdate_BeginWorldTickClampLoop</t>
  </si>
  <si>
    <t>FrameUpdate_WorldTickClampLoop</t>
  </si>
  <si>
    <t>FrameUpdate_WorldTickClamp_Continue</t>
  </si>
  <si>
    <t>FrameUpdate_RestoreRegs_SharedExit</t>
  </si>
  <si>
    <t>RasterInterrupt_SignalDoneAndExit_SharedTail</t>
  </si>
  <si>
    <t>SwapBuffers_SelectPrimaryScreen</t>
  </si>
  <si>
    <t>SwapBuffers_InitPlaneCounter</t>
  </si>
  <si>
    <t>SwapBuffers_CopperPointerLoop</t>
  </si>
  <si>
    <t>Blit_MaskedPocketsOverlayLoop_RowLoop</t>
  </si>
  <si>
    <t>Copy_DrawBufferToDisplayBuffer_CopyLoop</t>
  </si>
  <si>
    <t>ClearFourPlaneBuffer_SharedEntry</t>
  </si>
  <si>
    <t>ClearFourPlaneBuffer_ClearLoop</t>
  </si>
  <si>
    <t>Load_GamePalette_CopyLoop</t>
  </si>
  <si>
    <t>Calculate_ViewerObjectPerception_ZeroExit</t>
  </si>
  <si>
    <t>Calculate_ViewerObjectPerception_Trueview</t>
  </si>
  <si>
    <t>ViewportInk_CurrentChampionSetup</t>
  </si>
  <si>
    <t>ViewportInk_AfterPerception_LookupTile</t>
  </si>
  <si>
    <t>ViewportInk_LookupColumnInkByte</t>
  </si>
  <si>
    <t>Build_DungeonVisibilityMasks_CheckWallType2</t>
  </si>
  <si>
    <t>Build_DungeonVisibilityMasks_TestFacingBit</t>
  </si>
  <si>
    <t>Build_DungeonVisibilityMasks_TestFacingBit2</t>
  </si>
  <si>
    <t>Build_DungeonVisibilityMasks_MarkCellOpaque</t>
  </si>
  <si>
    <t>Build_DungeonVisibilityMasks_MarkCellVisible</t>
  </si>
  <si>
    <t>Build_DungeonVisibilityMasks_NextCell</t>
  </si>
  <si>
    <t>Apply_DungeonOcclusionMasks_NextCell</t>
  </si>
  <si>
    <t>Draw_VisibleDungeonCells_NextCell</t>
  </si>
  <si>
    <t>Draw_DungeonViewCell_CheckYBounds</t>
  </si>
  <si>
    <t>Draw_DungeonViewCell_LookupMapContent</t>
  </si>
  <si>
    <t>DungeonCellFeature_DrawSpellObject</t>
  </si>
  <si>
    <t>DungeonCellFeature_SpellObjectExit</t>
  </si>
  <si>
    <t>Draw_StoneWallFace_CallMainFace</t>
  </si>
  <si>
    <t>Draw_FirepathCell_Inactive</t>
  </si>
  <si>
    <t>Draw_FirepathCell_ReprocessAsType1</t>
  </si>
  <si>
    <t>Draw_FloorPitOrTriggerPad_DrawFloorPit</t>
  </si>
  <si>
    <t>Draw_FloorPitOrTriggerPad_CheckOccupants</t>
  </si>
  <si>
    <t>Draw_FloorFeature_SharedExit</t>
  </si>
  <si>
    <t>Draw_BedOrPillar_Return</t>
  </si>
  <si>
    <t>Resolve_DungeonWallFaceDirection_HighFacing</t>
  </si>
  <si>
    <t>Resolve_DungeonWallFaceDirection_MirrorFace</t>
  </si>
  <si>
    <t>Resolve_DungeonWallFaceDirection_ApplyOffset</t>
  </si>
  <si>
    <t>DungeonFloorObjects_ProcessSubpositions</t>
  </si>
  <si>
    <t>DungeonFloorObjects_InitSubpositionLoop</t>
  </si>
  <si>
    <t>Draw_DungeonCellObjectSubpositions_Advance</t>
  </si>
  <si>
    <t>DrawDungeonFloorObjects_SharedReturn</t>
  </si>
  <si>
    <t>Find_DungeonCellOccupant_CheckPlayer2</t>
  </si>
  <si>
    <t>Find_DungeonCellOccupant_ChampionSearchInit</t>
  </si>
  <si>
    <t>Find_DungeonCellOccupant_ChampionLoop</t>
  </si>
  <si>
    <t>Find_DungeonCellOccupant_ChampionLoop_Next</t>
  </si>
  <si>
    <t>Find_DungeonCellOccupant_MonsterLoop</t>
  </si>
  <si>
    <t>Find_DungeonCellOccupant_MonsterLoop_Next</t>
  </si>
  <si>
    <t>Find_DungeonCellOccupant_NotFound</t>
  </si>
  <si>
    <t>Find_DungeonCellOccupant_ChampionFound</t>
  </si>
  <si>
    <t>Find_DungeonCellOccupant_Found</t>
  </si>
  <si>
    <t>Prepare_Monster_ScreenPosition_ApplyDepth4Offset</t>
  </si>
  <si>
    <t>Prepare_Monster_ScreenPosition_Return</t>
  </si>
  <si>
    <t>Prepare_Monster_ScreenPosition_InvalidSlotReturn</t>
  </si>
  <si>
    <t>Resolve_MonsterBodyPoseGeometry_MaskVariantFlag</t>
  </si>
  <si>
    <t>Draw_Summon_BeginArmSetup</t>
  </si>
  <si>
    <t>Draw_Summon_AppendageSelect</t>
  </si>
  <si>
    <t>Draw_Summon_AppendageSelect_MaskVariantFlag</t>
  </si>
  <si>
    <t>Draw_Summon_AppendageSelect_AfterRaisedCheck</t>
  </si>
  <si>
    <t>Draw_Summon_AppendageSelect_AfterTableOffset</t>
  </si>
  <si>
    <t>Draw_Summon_End</t>
  </si>
  <si>
    <t>Draw_Crab_DetailDispatch</t>
  </si>
  <si>
    <t>Draw_Crab_DetailDispatch_ByPose</t>
  </si>
  <si>
    <t>Draw_Crab_DetailDispatch_Return</t>
  </si>
  <si>
    <t>Draw_CrabCloseFrontClaw_BehemothReuse</t>
  </si>
  <si>
    <t>Draw_BehemothClawStrip_AfterOcclusionCheck</t>
  </si>
  <si>
    <t>GFX_Crab_SideDetail_XAdjust</t>
  </si>
  <si>
    <t>GFX_Crab_SideDetail_YAdjust</t>
  </si>
  <si>
    <t>Draw_Crab_SidePoseSelect</t>
  </si>
  <si>
    <t>Draw_Crab_SidePoseSelect_MergeMirrorFlag</t>
  </si>
  <si>
    <t>Draw_Crab_SidePoseSelect_DrawDetail</t>
  </si>
  <si>
    <t>GFX_Crab_SideDetail_Coords1</t>
  </si>
  <si>
    <t>GFX_Crab_SideY_Table</t>
  </si>
  <si>
    <t>Draw_Crab_DetailDispatch_Far</t>
  </si>
  <si>
    <t>Draw_Crab_DetailDispatch_Far_ApplyXOffset</t>
  </si>
  <si>
    <t>GFX_Crab_SideDetail_Coords2</t>
  </si>
  <si>
    <t>Draw_CrabDetail_SharedDrawStrip</t>
  </si>
  <si>
    <t>Draw_CrabDetail_SharedReturn</t>
  </si>
  <si>
    <t>Draw_Crab_DetailDispatch_Rear</t>
  </si>
  <si>
    <t>Draw_Crab_DetailDispatch_Rear_ApplyXOffset</t>
  </si>
  <si>
    <t>Draw_Crab_HiddenClaws</t>
  </si>
  <si>
    <t>GFX_Beholder_Return</t>
  </si>
  <si>
    <t>Draw_Crab_SideClaw</t>
  </si>
  <si>
    <t>Draw_Crab_Body</t>
  </si>
  <si>
    <t>GFX_Crab_SideDetail_SourceOffsets</t>
  </si>
  <si>
    <t>Draw_Beholder_Exit</t>
  </si>
  <si>
    <t>Draw_Beholder_CentralEye_MergeIndexBit</t>
  </si>
  <si>
    <t>Draw_Beholder_CentralEye_Far_DrawStrip</t>
  </si>
  <si>
    <t>Draw_Beholder_BodyAndUpperEyes_Return</t>
  </si>
  <si>
    <t>Draw_Dragon_ComputeBodyPosition</t>
  </si>
  <si>
    <t>Draw_Dragon_ColourAndDetailDraw</t>
  </si>
  <si>
    <t>Draw_Dragon_Return</t>
  </si>
  <si>
    <t>Select_DragonDetailVariant_MergeIndex</t>
  </si>
  <si>
    <t>Select_DragonDetailVariant_LoadFrame</t>
  </si>
  <si>
    <t>Select_DragonDetailVariant_ApplyXOffset</t>
  </si>
  <si>
    <t>Draw_DragonSideDetail_MergeVariantIndex</t>
  </si>
  <si>
    <t>Draw_DragonSideDetail_Return</t>
  </si>
  <si>
    <t>Draw_LargeMonster_Body</t>
  </si>
  <si>
    <t>Draw_LargeMonster_Body_DrawBody</t>
  </si>
  <si>
    <t>Draw_LargeMonster_Body_AfterBodyDraw</t>
  </si>
  <si>
    <t>Resolve_CreatureLimbOffset_AfterOcclusion</t>
  </si>
  <si>
    <t>Resolve_CreatureLimbOffset_ToggleMirrorByFacing</t>
  </si>
  <si>
    <t>Resolve_CreatureLimbOffset_MirrorAdjustIndex</t>
  </si>
  <si>
    <t>Resolve_CreatureLimbOffset_DrawStrip</t>
  </si>
  <si>
    <t>Draw_LargeMonster_Body_Return</t>
  </si>
  <si>
    <t>Draw_Monster_CompositeBitmap_BitReversedPath</t>
  </si>
  <si>
    <t>Draw_Monster_CompositeBitmap_Return</t>
  </si>
  <si>
    <t>Draw_DungeonOccupant_ResolvePosition</t>
  </si>
  <si>
    <t>Draw_DungeonOccupant_CheckAirborneSpell</t>
  </si>
  <si>
    <t>Draw_DungeonOccupant_DispatchByType</t>
  </si>
  <si>
    <t>Select_CharacterBodyArmourCategory</t>
  </si>
  <si>
    <t>Draw_Character_ArmourCategoryShift</t>
  </si>
  <si>
    <t>CharacterBodyArmourCategory_ResolveLayout</t>
  </si>
  <si>
    <t>Draw_Character_SelectRenderLayout</t>
  </si>
  <si>
    <t>Draw_Character_BeginPartLoop</t>
  </si>
  <si>
    <t>Draw_Character_PartLoop</t>
  </si>
  <si>
    <t>Draw_CharacterComponent_CheckSuppressed</t>
  </si>
  <si>
    <t>Draw_CharacterComponent_CheckArmAnimation</t>
  </si>
  <si>
    <t>Draw_CharacterComponent_ResolveFrameIndex</t>
  </si>
  <si>
    <t>Draw_CharacterComponent_ClampGroupIndex</t>
  </si>
  <si>
    <t>Draw_CharacterComponent_LoadGroupOffset</t>
  </si>
  <si>
    <t>Draw_CharacterComponent_PartOffsetAndColourGroup</t>
  </si>
  <si>
    <t>Draw_CharacterComponent_CheckArmAnimFlag</t>
  </si>
  <si>
    <t>Draw_CharacterComponent_ApplyArmAnimOffset</t>
  </si>
  <si>
    <t>Draw_CharacterComponent_ArmColourGroup</t>
  </si>
  <si>
    <t>Draw_CharacterComponent_ColourGroupContinue</t>
  </si>
  <si>
    <t>CharacterComponent_ArmourColourMaskLookup</t>
  </si>
  <si>
    <t>CharacterComponent_NoArmourColourOverride</t>
  </si>
  <si>
    <t>CharacterComponent_ColourOffset_SharedTail</t>
  </si>
  <si>
    <t>Draw_CharacterComponent_DispatchStripDraw</t>
  </si>
  <si>
    <t>PrepareColourMask_MaterialTintLoop</t>
  </si>
  <si>
    <t>PrepareColourMask_WriteMaterialTint</t>
  </si>
  <si>
    <t>PrepareColourMask_MaterialTintLoop_Next</t>
  </si>
  <si>
    <t>PrepareColourMask_RaceColourSetup</t>
  </si>
  <si>
    <t>PrepareColourMask_RaceTintLoop</t>
  </si>
  <si>
    <t>PrepareColourMask_RaceTintLoop_Next</t>
  </si>
  <si>
    <t>Character_ArmourColourMask_Table</t>
  </si>
  <si>
    <t>Character_ArmourRaceColour_Table</t>
  </si>
  <si>
    <t>Draw_Character_Distant4</t>
  </si>
  <si>
    <t>Draw_CharacterDistant4_StandardPositions</t>
  </si>
  <si>
    <t>Draw_Character_Distant5</t>
  </si>
  <si>
    <t>Draw_CharacterDistant5_StandardPositions</t>
  </si>
  <si>
    <t>DistantCharacter_PositionOffset_SharedTail</t>
  </si>
  <si>
    <t>DistantCharacter_ScalePositionOffset</t>
  </si>
  <si>
    <t>DistantCharacter_PrepareColourMask</t>
  </si>
  <si>
    <t>DistantCharacter_DefaultColourTable</t>
  </si>
  <si>
    <t>DistantCharacter_DrawStrip_SharedTail</t>
  </si>
  <si>
    <t>MonsterStrip_AfterBottomYClip</t>
  </si>
  <si>
    <t>Draw_MonsterStrip_Shifted_RowLoop</t>
  </si>
  <si>
    <t>Draw_MonsterStrip_Shifted_AfterMirror</t>
  </si>
  <si>
    <t>Merge_ShiftedSpriteTrailingWord</t>
  </si>
  <si>
    <t>Advance_ShiftedSpriteRow</t>
  </si>
  <si>
    <t>Merge_PlanarSpriteWord_IfVisible</t>
  </si>
  <si>
    <t>Skip_ClippedPlanarSpriteWord</t>
  </si>
  <si>
    <t>PlanarSprite_ReverseRowOrderFlag</t>
  </si>
  <si>
    <t>Draw_PlanarSprite_RowsReversed</t>
  </si>
  <si>
    <t>Draw_PlanarSprite_Normal_RowLoop</t>
  </si>
  <si>
    <t>Draw_PlanarSprite_Normal_WordLoop</t>
  </si>
  <si>
    <t>Draw_PlanarSprite_Normal_AfterColourRemap</t>
  </si>
  <si>
    <t>Merge_NormalSpriteTrailingWord</t>
  </si>
  <si>
    <t>Advance_NormalSpriteRow</t>
  </si>
  <si>
    <t>Advance_NormalSpriteDestinationRow</t>
  </si>
  <si>
    <t>Draw_PlanarSprite_BitReversed_RowLoop</t>
  </si>
  <si>
    <t>Draw_PlanarSprite_BitReversed_WordLoop</t>
  </si>
  <si>
    <t>Merge_BitReversedSpriteTrailingWord</t>
  </si>
  <si>
    <t>Advance_BitReversedSpriteRow</t>
  </si>
  <si>
    <t>Remap_PlanarSpriteColours_AfterColour0</t>
  </si>
  <si>
    <t>Remap_PlanarSpriteColours_AfterColour1</t>
  </si>
  <si>
    <t>Remap_PlanarSpriteColours_AfterColour2</t>
  </si>
  <si>
    <t>Remap_PlanarSpriteColours_AfterColour3</t>
  </si>
  <si>
    <t>Remap_PlanarSpriteColours_Exit</t>
  </si>
  <si>
    <t>Accumulate_PlanarColourMask_SharedReturn</t>
  </si>
  <si>
    <t>MainWallOverlay_SharedReturn</t>
  </si>
  <si>
    <t>Draw_MainDoor_CheckOccupants_SharedTail</t>
  </si>
  <si>
    <t>Draw_MainStairs_CheckOccupants_SharedTail</t>
  </si>
  <si>
    <t>Draw_WallComponentFace_SharedReturn</t>
  </si>
  <si>
    <t>WallComponentTransformed_PerspectiveTrim</t>
  </si>
  <si>
    <t>WallComponentTransformed_RowLoop</t>
  </si>
  <si>
    <t>WallComponentTransformed_ColumnLoop</t>
  </si>
  <si>
    <t>WallComponentTransformed_Finish</t>
  </si>
  <si>
    <t>Draw_WallComponent_EdgeTransform_RowLoop</t>
  </si>
  <si>
    <t>Draw_WallSprite_Normal_WordLoop</t>
  </si>
  <si>
    <t>Draw_WallSprite_Normal_SkipTransparentWord</t>
  </si>
  <si>
    <t>Draw_WallSprite_Normal_WordLoop_Next</t>
  </si>
  <si>
    <t>MainWallTransformed_PerspectiveTrim</t>
  </si>
  <si>
    <t>MainWallTransformed_RowLoop</t>
  </si>
  <si>
    <t>MainWallTransformed_ColumnLoop</t>
  </si>
  <si>
    <t>MainWallTransformed_Finish</t>
  </si>
  <si>
    <t>Draw_MainWall_EdgeTransform_RowLoop</t>
  </si>
  <si>
    <t>WallSpriteBitReversed_SkipTransparentWord</t>
  </si>
  <si>
    <t>CompositeBitReversedWallSprite_LoopTail</t>
  </si>
  <si>
    <t>Draw_FloorAndCeiling_CopyRows_PlanesLoop</t>
  </si>
  <si>
    <t>Clear_FloorCeiling_ViewGap_RowLoop</t>
  </si>
  <si>
    <t>Draw_FloorAndCeiling_BitReversed_PlanesLoop</t>
  </si>
  <si>
    <t>ChampionSelectionDetailsPanel_NoticeMerge</t>
  </si>
  <si>
    <t>ChampionPanel_NameStrip_TopLines_Loop</t>
  </si>
  <si>
    <t>ChampionPanel_NameStrip_BottomLines_Loop</t>
  </si>
  <si>
    <t>Draw_BevelledPanelFrame_InsetOutlines_Loop</t>
  </si>
  <si>
    <t>ChampionSelection_Main_AfterSetup</t>
  </si>
  <si>
    <t>ChampionSelection_Main_ProcessLoop</t>
  </si>
  <si>
    <t>ChampionSelection_Main_WaitForFrameSync</t>
  </si>
  <si>
    <t>Process_ChampionSelectionAction_StoreIndex</t>
  </si>
  <si>
    <t>Click_PreviewSpell_PrintSpellName</t>
  </si>
  <si>
    <t>Select_SpellBookRune_ClearSelection</t>
  </si>
  <si>
    <t>SpellBookRune_SharedTail</t>
  </si>
  <si>
    <t>Click_TurnSpellBookPage_AfterPageAdvance</t>
  </si>
  <si>
    <t>Click_TurnSpellBookPage_PrepareRedraw</t>
  </si>
  <si>
    <t>Draw_SpellBookPageTurn_ResolvePhase</t>
  </si>
  <si>
    <t>Draw_SpellBookPageTurn_ReplacementRuneLoop</t>
  </si>
  <si>
    <t>Draw_SpellBookPageTurn_DrawReplacementPage</t>
  </si>
  <si>
    <t>Build_SpellBookPageTurnColourMask_Loop</t>
  </si>
  <si>
    <t>Draw_SelectedSpellMarker_Return</t>
  </si>
  <si>
    <t>Draw_ChampionSelectionModePanel_Return</t>
  </si>
  <si>
    <t>Click_SelectChampion_PatchPlayerNumber</t>
  </si>
  <si>
    <t>Click_SelectChampion_DrawReadyScroll</t>
  </si>
  <si>
    <t>Click_SelectChampion_Return</t>
  </si>
  <si>
    <t>Click_SelectionAvatar_AfterButtonFrames</t>
  </si>
  <si>
    <t>Click_SelectionAvatar_DrawModePanel</t>
  </si>
  <si>
    <t>Click_SelectionAvatar_Return</t>
  </si>
  <si>
    <t>HitTest_SelectChampionRegion_Return</t>
  </si>
  <si>
    <t>HitTest_ChampionSelectionPanel_NoHitReturn</t>
  </si>
  <si>
    <t>HitTest_SpellBookControls_ResolvePageArrow</t>
  </si>
  <si>
    <t>HitTest_SpellBookControls_TestExtraButtons</t>
  </si>
  <si>
    <t>HitTest_SpellBookControls_StoreButtonHit</t>
  </si>
  <si>
    <t>HitTest_SpellBookControls_SetHitMode</t>
  </si>
  <si>
    <t>HitTest_SpellBookControls_Return</t>
  </si>
  <si>
    <t>HitTest_SpellGridCell_ResolveRow</t>
  </si>
  <si>
    <t>HitTest_SpellGridCell_Return</t>
  </si>
  <si>
    <t>HitTest_ChampionRosterRow_BandScanLoop</t>
  </si>
  <si>
    <t>HitTest_ChampionRosterRow_CheckRowRange</t>
  </si>
  <si>
    <t>HitTest_ChampionRosterRow_ColumnScanLoop</t>
  </si>
  <si>
    <t>HitTest_ChampionRosterRow_RejectClaimed</t>
  </si>
  <si>
    <t>HitTest_ChampionRosterRow_SetHitAction</t>
  </si>
  <si>
    <t>HitTest_ChampionRosterRow_SwapResult</t>
  </si>
  <si>
    <t>HitTest_ChampionRosterRow_Return</t>
  </si>
  <si>
    <t>Draw_SpellBookPanel</t>
  </si>
  <si>
    <t>Draw_SpellBookRunePage_LeftColumnRowLoop</t>
  </si>
  <si>
    <t>Draw_SpellBookRunePage_LeftColumn_GlyphLoop</t>
  </si>
  <si>
    <t>Draw_SpellBookRunePage_RightColumnSetup</t>
  </si>
  <si>
    <t>Draw_SpellBookRunePage_RightColumnRowLoop</t>
  </si>
  <si>
    <t>Draw_SpellBookRunePage_RightColumn_GlyphLoop</t>
  </si>
  <si>
    <t>Select_SpellRuneInk_Exit</t>
  </si>
  <si>
    <t>InventoryArmourRating_FormatValue</t>
  </si>
  <si>
    <t>EmptyInventorySlot_AddGraphicBankOffset</t>
  </si>
  <si>
    <t>InventoryPocketSlot_DrawGraphic</t>
  </si>
  <si>
    <t>InventoryPocketSlot_CheckItemCount</t>
  </si>
  <si>
    <t>InventoryPocketSlot_DrawItemGraphic</t>
  </si>
  <si>
    <t>InventoryPocketSlotLoop_AdvanceIndex</t>
  </si>
  <si>
    <t>InventoryPocketSlotLoop_CheckDone</t>
  </si>
  <si>
    <t>NumberedObject_PrintCountText</t>
  </si>
  <si>
    <t>PocketGraphicBank_ComputeOffsetAndDraw</t>
  </si>
  <si>
    <t>Draw_ChampionStatsScrollDecoration</t>
  </si>
  <si>
    <t>ChampionStats_HPCurrent_HundredsToAscii</t>
  </si>
  <si>
    <t>ChampionStats_HPMax_WriteDigitPair</t>
  </si>
  <si>
    <t>AvatarFrame_SharedSkipReturn</t>
  </si>
  <si>
    <t>PlanarGraphicCore_RowLoop</t>
  </si>
  <si>
    <t>PlanarGraphicCore_ColumnLoop</t>
  </si>
  <si>
    <t>PlanarGraphicCore_ReplaceInk15</t>
  </si>
  <si>
    <t>ConvertNibbleToASCII_ApplyOffset</t>
  </si>
  <si>
    <t>PrintTextCharacterLoop_DrawGlyph</t>
  </si>
  <si>
    <t>TerminateText_PadLoop</t>
  </si>
  <si>
    <t>TerminateText_Exit</t>
  </si>
  <si>
    <t>WriteMessage_SwitchToOtherPlayerContext</t>
  </si>
  <si>
    <t>WriteMessage_RelayToOtherPlayer</t>
  </si>
  <si>
    <t>PrintMessage_SwitchToOtherPlayerContext</t>
  </si>
  <si>
    <t>PrintMessage_RelayToOtherPlayer</t>
  </si>
  <si>
    <t>PrintNewLine_SpaceOrTerminate</t>
  </si>
  <si>
    <t>PrintNewLine_DispatchControlCode</t>
  </si>
  <si>
    <t>PrintNewLine_DrawLiteralGlyph</t>
  </si>
  <si>
    <t>DrawTextGlyph_InvertRowByte</t>
  </si>
  <si>
    <t>DrawTextGlyph_SelectBackgroundPlaneBit</t>
  </si>
  <si>
    <t>DrawTextGlyph_SelectForegroundPlaneBit</t>
  </si>
  <si>
    <t>DrawTextGlyph_WriteCombinedPlaneByte</t>
  </si>
  <si>
    <t>BlitHorizLine_DrawLeftEdgeByte</t>
  </si>
  <si>
    <t>BlitHorizLine_SetupFullByteRun</t>
  </si>
  <si>
    <t>BlitHorizLine_PlaneFillLoop</t>
  </si>
  <si>
    <t>BlitHorizLine_FillByteRun</t>
  </si>
  <si>
    <t>BlitHorizLine_DrawRightEdgeByte</t>
  </si>
  <si>
    <t>BlitHorizLine_RestoreAndReturn</t>
  </si>
  <si>
    <t>Live_PlayerPosition</t>
  </si>
  <si>
    <t>Clears the target's speed nibble, applies Confuse, then converts the same champion or monster status byte from Confuse to Terror; dormant monsters receive no status conversion.</t>
  </si>
  <si>
    <t>For a champion at least halfway to the next level and without an existing pending offer, marks a fairy-spell offer with $81; professions 1-2 always qualify, while professions 0 and 3 qualify only at even levels.</t>
  </si>
  <si>
    <t>Builds the active party's breadth-first navigation or scent field for up to 12 layers, reducing the range by 2*(the strongest Vanish magnitude+1).</t>
  </si>
  <si>
    <t>For one cardinal neighbour, computes Y*width+X; if its field byte is zero, stores direction|$80 and appends the packed coordinate to the next BFS frontier. Negative or other nonzero cells are skipped.</t>
  </si>
  <si>
    <t>Inputs: A4 champion-stat record and D0 candidate hit points. Clamps D0 to ChampionStat_HitPointsMaximum before falling through to the store.</t>
  </si>
  <si>
    <t>Inputs: A4 champion-stat record and D0 clamped hit points. Stores current HP, then applies level-influenced starvation damage only when vitality is already zero; continues into food/vitality maintenance.</t>
  </si>
  <si>
    <t>Input: A5 PlayerData. Draws the main interface, then uses the word at PlayerData_InterfaceContextState to dispatch context 1 to champion statistics or context 2 to spell-point values; other contexts return.</t>
  </si>
  <si>
    <t>No caller inputs. Compacts the four-member live team-index table, renumbers surviving group indices, dissolves one-member teams, repairs empty leading slots by relocating live-record state and updates MonsterTeamGroupCount; clobbers D0-D7/A0-A3.</t>
  </si>
  <si>
    <t>Inputs: A4 champion-stat record and D4=$16 champion-field bias. Ages attack cooldown only when ChampionStat_Tower matches CurrentTower, then tail-dispatches through the shared actor activation gate.</t>
  </si>
  <si>
    <t>Input: A4 live actor record, with D4=0 for monsters. Airborne forms take special movement; Zendik, Behemoth-or-later forms and team members first copy current facing into both nibbles of the rotation/state byte, then continue to action dispatch.</t>
  </si>
  <si>
    <t>Input: A4 live monster record with current scan/map context. Applies movement-table and controlled-actor gates, forces Confuse/Terror to Drone behaviour, conditionally advances an effective level below base via resistance testing, then dispatches behaviour byte $0A through the five-entry attack table.</t>
  </si>
  <si>
    <t>Inputs: A4 Blaze or Firepath entity, A6 map base and D0 destination offset. Converts the destination to Firepath subtype 1, doubles and clamps Blaze power to $3F, preserves Firepath power, creates the linked feature with the caster ID and continues into Drone movement.</t>
  </si>
  <si>
    <t>Input: A4 attacking live actor with forward-cell map context. Resolves the occupant; IDs 0-15 are champions and 16+ are live monster/entity records, then dispatches player attack, Summon caster handling, target-team logic or a blocked turn.</t>
  </si>
  <si>
    <t>Inputs: A4 attacker, A1 resolved target live record, D0 target occupant ID and D2 attacker form. Routes Summons specially, prevents Zendik and Behemoth-or-later attackers joining teams, joins ordinary targets and handles only Blaze-derived Fireball form $85 through the airborne collision path.</t>
  </si>
  <si>
    <t>Inputs: A4 attacker, A1 target, D0 target occupant ID and D2 target form. Rejects Zendik, Behemoth-or-later forms and already-grouped attackers; otherwise creates or extends the target's four-slot team, clears standalone map occupancy and marks the attacker unpositioned.</t>
  </si>
  <si>
    <t>Inputs: A4 attacking actor/entity and D1 resolved target occupant ID. Ordinary monsters proceed to team/melee handling; airborne attacks against champion IDs 0-15 resolve the owning party and allow a selected champion's Deflect worn spell to relaunch the entity back toward its attacker.</t>
  </si>
  <si>
    <t>Inputs: A4 blocked actor, A6 map base and D0/D2 attempted cell offsets. Sends airborne forms to collision handling, makes weapon and potion traders turn instead of opening doors, opens an eligible non-Magelocked door or dispatches occupant collision/random turning.</t>
  </si>
  <si>
    <t>Input: A4 colliding airborne entity. Converts Blaze $84 to the special Fireball state $85, transforms power to (old power + 4) * 4 and reverses direction; all other forms continue to common collision handling unchanged.</t>
  </si>
  <si>
    <t>Inputs: A4 airborne entity, A6 map base and D0/D2 collision cell offsets. Deflects Arc Bolt $82 on a head-on collision, reverses or preserves the Blaze-derived Fireball $85 according to cell compatibility, then routes arrows/missiles to physical impact and later spell codes to spell-effect dispatch.</t>
  </si>
  <si>
    <t>Input: A5 PlayerData. Clears interface command/engaged-actor state and active champions' worn/selected spell state, marks the party sleeping, initialises the Fairy-offer delay and prepares the asleep notice; modifies A4 while scanning champion records.</t>
  </si>
  <si>
    <t>Input: A5 PlayerData containing the click latch, packed mouse position and panel offset. Accepts one of four class icons, scans that class's eight candidate spells and records up to two unknown offers; the separate pre-click scan grants catch-up levels only below level 14 when progress is at least $EC.</t>
  </si>
  <si>
    <t>Inputs: A1 ungrouped live monster record and A3 dungeon-render stack frame. Loads the monster's packed facing/mini-space byte into D1 and falls through to shared occupant render preparation.</t>
  </si>
  <si>
    <t>Inputs: A1 live monster record, A3 dungeon-render stack frame and D1 packed facing/mini-space. Stores absolute facing, rotates mini-space relative to the viewer and returns the resulting draw position in D1; traders, Zendik, Behemoth-or-later forms and airborne forms are forced to the centred position.</t>
  </si>
  <si>
    <t>Inputs: A1 points to the live monster record, A3 points to the dungeon-render stack frame, and D1 holds packed facing/mini-space data. Copies the live monster form into the render-local occupant code. For Demon/Beastman form $1A, a random bit selects render graphic $1A or $1B to create its flicker effect without changing the live monster record; then execution falls through to load animation state and grade.</t>
  </si>
  <si>
    <t>Input: A5 points to PlayerData. While the party sleeps, checks whether the forward cell is a bed (map type 3, first-byte subtype 0), then reduces each active champion's spell cooldown and runs regeneration once, or twice on a bed after decrementing current spell points; finally redraws the interface.</t>
  </si>
  <si>
    <t>Input: A5 points to PlayerData. Converts panel-relative mouse X/Y into one of four near/far pickup/drop quadrants in D6, applies player facing to the party coordinate, validates a far cell when needed, then enters the shared floor-object pickup/drop handler.</t>
  </si>
  <si>
    <t>Inputs: D3 attacker combatant index; D1 defender combatant index. Builds opposed scores, rolls attack and defence, applies weapon, level, Strength, backstab, armour and hit-quality modifiers, and returns with A6 pointing to PhysicalAttack_WorkingValues whose result word is zero for a miss/absorbed hit or positive damage.</t>
  </si>
  <si>
    <t>Inputs: D0 champion index; A4 champion-stat record. Output: D3 effective armour, taking the greater of innate armour and active Armour-spell magnitude, then applying body armour, worn hand armour and shield contributions from the champion's pocket/stat records.</t>
  </si>
  <si>
    <t>Inputs: A1 champion-pockets record; A4 champion-stat record; D4-D7 default combat modifiers. Checks the left hand then right hand for weapon objects $30-$3F. Outputs the selected weapon's random range, fixed damage, attack and defence bonuses in D4-D7, including Ace of Swords restrictions.</t>
  </si>
  <si>
    <t>Inputs: D3 attacker combatant index; D1 defender combatant index. Output: A6 points to PhysicalAttack_WorkingValues containing cached attacker/defender scores, weapon modifiers and effective armour for Resolve_PhysicalAttack.</t>
  </si>
  <si>
    <t>Inputs: D0 attacker combatant index; A6 PhysicalAttack_WorkingValues. Caches effective level, Strength and weapon modifiers, calculates the score from level, thresholded Strength/Agility and weapon attack bonus, doubles it for an eligible backstab, and stores the result at +$02.</t>
  </si>
  <si>
    <t>Input: A5 points to PlayerData. Consumes the click latch and dispatches roster, Select Champion, View Object, spell-preview and spellbook hit tests; a hit writes PlayerData_ActionCommand and the applicable action parameter/context state.</t>
  </si>
  <si>
    <t>Inputs: A5 points to PlayerData; D2 carries the negative no-hit sentinel. Tests the Select Champion rectangle; on a hit writes action 2, clears D2 and returns a non-negative condition result.</t>
  </si>
  <si>
    <t>Inputs: A5 points to PlayerData; D2 carries the negative no-hit sentinel. Tests the View Object rectangle; on a hit writes action 3, clears D2 and returns a non-negative condition result.</t>
  </si>
  <si>
    <t>Inputs: A5 points to PlayerData; D2 carries the no-hit state. In spellbook context 2, resolves page/rune and extra button regions; on a hit writes action $05-$08, its parameter/context state and repeat delay, returning a non-negative condition result.</t>
  </si>
  <si>
    <t>Inputs: A5 points to PlayerData; D2 carries the negative no-hit sentinel. Resolves a spell-grid row/column; on a hit writes preview action 4 and the selected cell parameter, returning a non-negative condition result.</t>
  </si>
  <si>
    <t>Input: A5 points to PlayerData. Resolves the champion roster cell under the mouse, rejects gutters, current selections and a champion claimed by the other player; on a hit writes action 1 and the champion index, returning a non-negative condition result.</t>
  </si>
  <si>
    <t>Inputs: A5 points to PlayerData; D7 is the selected champion index. Draws all twelve pocket slots, using semantic empty equipment placeholders, separately worn glove graphics for empty hands, counted-object quantities and ordinary object graphics.</t>
  </si>
  <si>
    <t>Inputs: A5 points to PlayerData; D7 packs champion index in the high word and slot index in the low word. Outputs D0 Pockets graphic index and D3 secondary UI colour, choosing equipment-specific placeholders for slots 0-$03 and generic empty graphic 0 for slots 4-$0B.</t>
  </si>
  <si>
    <t>Input: D0 is the equipment-placeholder offset selected from slot and champion parity. Adds Pockets graphic base $6C and falls through to draw the semantic empty hand, body-armour or shield placeholder.</t>
  </si>
  <si>
    <t>Inputs: D0 object code; D1 quantity for counted objects; A0 destination. Draws the Pockets graphic, overlays quantities for objects $01-$04, and substitutes generic depleted-ring graphic $68 when a rechargeable ring $69-$6C has negative uses.</t>
  </si>
  <si>
    <t>Inputs: D0 counted-object code $01-$04; D1 quantity; A0 destination. Draws the object and decimal quantity using the coin/key or arrow text position, then returns with A0 advanced by two bytes.</t>
  </si>
  <si>
    <t>Inputs: A1 champion-pockets record; D3 current base armour. Reads body-armour slot 2 and outputs D3 as the greater of the current value or 3 plus twice the armour tier counted from Leather Armour $1B.</t>
  </si>
  <si>
    <t>Inputs: A4 champion-stat record; D3 current armour. Reads the separate worn-hand-armour field and adds its tier counted from Chaos Gloves $2B to D3.</t>
  </si>
  <si>
    <t>Inputs: A1 champion-pockets record; D3 current armour. Reads shield slot 3, accepts the seven shield objects beginning with Leather Shield $24, and adds the corresponding Shield_ArmourBonuses value to D3.</t>
  </si>
  <si>
    <t>Input: A1 champion-pockets record. Reached when the left hand is not a recognised weapon; checks right-hand slot 1 for a weapon object $30-$3F and continues to modifier loading on success.</t>
  </si>
  <si>
    <t>Inputs: D0 selected weapon-record byte offset; A4 champion-stat record; D5-D7 weapon modifiers. If the weapon is the Ace of Swords and Chaos Gloves are not in the separate worn-hand-armour field, outputs fixed damage 0 and attack/defence bonuses 5/5; D4 random range is unchanged.</t>
  </si>
  <si>
    <t>Eighteen-byte physical-attack scratch block: +$00 result damage word, +$02 attacker score word, +$04 defender score word, +$06 random-range high byte with +$07 cleared low byte, +$08 attacker level, +$09 effective Strength, +$0A fixed damage, +$0B weapon attack bonus, +$0C weapon defence bonus, +$0D defender armour; +$0E-$0F and initial $FFFF word at +$10 are unused by the audited attack path.</t>
  </si>
  <si>
    <t>Inputs: A5 PlayerData; A6 first four-word inclusive hitbox record (X min/max, Y min/max); D0 first action ID; D2 exclusive action-ID ceiling. On a hit writes D0 to PlayerData_ActionCommand; otherwise scans eight-byte records until D0 reaches D2.</t>
  </si>
  <si>
    <t>Input: A5 points to PlayerData. Clears the pending action to $FFFF and invokes the shared hit tester with display actions starting at $22 and ceiling $26; explicit records map actions $22-$24, while the no-hit path makes one final nonmatching read at the following routine bytes.</t>
  </si>
  <si>
    <t>$CDB4</t>
  </si>
  <si>
    <t>Saves A4-A6 and enters the self-decrypting copy-protection check.</t>
  </si>
  <si>
    <t>CopyProtection_RawTrackBuffer</t>
  </si>
  <si>
    <t>$CDBC</t>
  </si>
  <si>
    <t>Zero-filled $46-byte raw-track capture and scan buffer.</t>
  </si>
  <si>
    <t>CopyProtection_StateWorkspace</t>
  </si>
  <si>
    <t>CopyProtection_StateWorkspace.block</t>
  </si>
  <si>
    <t>$CE02</t>
  </si>
  <si>
    <t>Saved registers, exception-vector scratch, cache state and initialized drive/head working state.</t>
  </si>
  <si>
    <t>$CE6C</t>
  </si>
  <si>
    <t>Holds the address and original longword for the currently decrypted instruction window.</t>
  </si>
  <si>
    <t>CopyProtection_SavedCPUCacheControl</t>
  </si>
  <si>
    <t>$CE74</t>
  </si>
  <si>
    <t>CopyProtection_SaveStateAndEnterTraceCipher</t>
  </si>
  <si>
    <t>$CE78</t>
  </si>
  <si>
    <t>Saves CPU state, redirects the illegal-instruction vector and enters the trace cipher.</t>
  </si>
  <si>
    <t>CopyProtection_TraceCipherBootstrap</t>
  </si>
  <si>
    <t>CopyProtection_TraceCipherBootstrap.block</t>
  </si>
  <si>
    <t>$CE9C</t>
  </si>
  <si>
    <t>CPU and cache setup followed by the encrypted branch maze entered after the deliberate illegal instruction.</t>
  </si>
  <si>
    <t>TraceCipher_IllegalInstructionHandler</t>
  </si>
  <si>
    <t>$CF4E</t>
  </si>
  <si>
    <t>Illegal-instruction handler that installs the trace and privilege handlers and starts instruction stepping.</t>
  </si>
  <si>
    <t>TraceCipher_ToggleTraceAndRestoreInstruction</t>
  </si>
  <si>
    <t>$CF66</t>
  </si>
  <si>
    <t>Advances the saved PC, toggles trace mode and restores the preceding encrypted instruction window.</t>
  </si>
  <si>
    <t>TraceCipher_TraceExceptionHandler</t>
  </si>
  <si>
    <t>$CF88</t>
  </si>
  <si>
    <t>Handles each trace exception by restoring the previous window and decrypting the next instruction.</t>
  </si>
  <si>
    <t>TraceCipher_LoadExceptionPC</t>
  </si>
  <si>
    <t>$CF9A</t>
  </si>
  <si>
    <t>Loads the next instruction address from the saved exception frame.</t>
  </si>
  <si>
    <t>TraceCipher_DecryptInstructionLongword</t>
  </si>
  <si>
    <t>$CF9E</t>
  </si>
  <si>
    <t>Saves and decrypts the next four-byte instruction window using the preceding ciphertext.</t>
  </si>
  <si>
    <t>TraceCipher_RestoreRegistersAndReturn</t>
  </si>
  <si>
    <t>$CFAE</t>
  </si>
  <si>
    <t>Restores the trace-handler registers and returns from the exception.</t>
  </si>
  <si>
    <t>CopyProtection_EncryptedDiskCheck</t>
  </si>
  <si>
    <t>CopyProtection_EncryptedDiskCheck.block</t>
  </si>
  <si>
    <t>$CFB4</t>
  </si>
  <si>
    <t>Trace-cipher-encrypted main Copylock disk check, including raw-track reads, signature checks, timing tests and serial accumulation.</t>
  </si>
  <si>
    <t>CopyProtection_WaitForIndexPulse</t>
  </si>
  <si>
    <t>$D19A</t>
  </si>
  <si>
    <t>Waits for a floppy index pulse on CIA-B FLAG before starting the raw-track transfer.</t>
  </si>
  <si>
    <t>CopyProtection_WaitForDiskSyncOrTimeout</t>
  </si>
  <si>
    <t>$D1B8</t>
  </si>
  <si>
    <t>Waits for DSKBYTR WORDEQUAL or for the raw disk-read timeout to expire.</t>
  </si>
  <si>
    <t>CopyProtection_Capture50TrackBytes</t>
  </si>
  <si>
    <t>$D1C8</t>
  </si>
  <si>
    <t>Captures fifty ready bytes from the raw disk stream.</t>
  </si>
  <si>
    <t>CopyProtection_CountRemainingTrackWords</t>
  </si>
  <si>
    <t>$D1DA</t>
  </si>
  <si>
    <t>Counts $03CE following disk words to measure the remainder of the protected sector.</t>
  </si>
  <si>
    <t>CopyProtection_FinalizeRawTrackRead</t>
  </si>
  <si>
    <t>$D1E6</t>
  </si>
  <si>
    <t>Stops disk DMA, tests transfer completion and prepares the measured result.</t>
  </si>
  <si>
    <t>CopyProtection_DiskSyncWords</t>
  </si>
  <si>
    <t>CopyProtection_DiskSyncWords.lookup</t>
  </si>
  <si>
    <t>$D200</t>
  </si>
  <si>
    <t>Eleven Copylock disk-sync words indexed by the encrypted raw-track scanner.</t>
  </si>
  <si>
    <t>CopyProtection_ReturnTrackTimingSample</t>
  </si>
  <si>
    <t>$D216</t>
  </si>
  <si>
    <t>Passes the measured disk-word count into the encrypted scanner through another illegal instruction.</t>
  </si>
  <si>
    <t>CopyProtection_EncryptedDriveAndExitCode</t>
  </si>
  <si>
    <t>CopyProtection_EncryptedDriveAndExitCode.block</t>
  </si>
  <si>
    <t>$D21A</t>
  </si>
  <si>
    <t>CopyProtection_PrivilegeExitHandler</t>
  </si>
  <si>
    <t>$D3BC</t>
  </si>
  <si>
    <t>Bow_ActionBitShiftCounts.stats</t>
  </si>
  <si>
    <t>Bow_ActionValueAdjustments.stats</t>
  </si>
  <si>
    <t>Weapon_CombatModifiers.stats</t>
  </si>
  <si>
    <t>Sixteen four-byte records for weapons $30-$3F: random damage range, fixed damage bonus, attack bonus and defence bonus.</t>
  </si>
  <si>
    <t>Shield_ArmourBonuses.stats</t>
  </si>
  <si>
    <t>Trace-cipher-encrypted drive selection, head stepping, track-zero sensing, timing and protected-exit setup. The following RTE remains executable source.</t>
  </si>
  <si>
    <t>Restores A4-A6 and subtracts the SPS 439 Copylock constant from D0 before returning. The exact success-result semantics remain unresolved.</t>
  </si>
  <si>
    <t>SpellPractice_FromCharacterStatsOffset</t>
  </si>
  <si>
    <t>Displacement from Character_Stats_DataTable to Spells_Practiced_DataTable; adding it to a champion-record pointer selects that champion's 32-byte spell-practice row.</t>
  </si>
  <si>
    <t>Complete_PlayerInterfaceAction</t>
  </si>
  <si>
    <t>Synthetic return target pushed before the interface-action jump-table dispatch; after the handler returns, it updates the idle panel, shows any queued rejoin notice and refreshes the mode-dependent champion display.</t>
  </si>
  <si>
    <t>AudioChannel0_Interrupt</t>
  </si>
  <si>
    <t>Level-four Paula audio-channel-0 completion handler; stops channel-0 DMA, disables and acknowledges its interrupt, then returns from exception.</t>
  </si>
  <si>
    <t>Default_InterruptHandler</t>
  </si>
  <si>
    <t>Single RTE installed across vectors $60-$7C before the level-two, level-three and level-four handlers are replaced; also serves as the shared return of the Copper/frame interrupt path.</t>
  </si>
  <si>
    <t>PartyShieldRefresh_UnusedWord</t>
  </si>
  <si>
    <t>Word immediately after the 256-byte champion-pockets table; non-leader party-shield refreshes clear it, but SPS 439 contains no read or other direct use.</t>
  </si>
  <si>
    <t>adrEA00463A</t>
  </si>
  <si>
    <t>FairyShop_ClassInkTable</t>
  </si>
  <si>
    <t>Maps Fairy-shop class indices 0-3 to text inks $06, $0D, $0C and $08 for offered spell names and the purchase view; the values match the class accent inks in the adjacent fairy colour variants.</t>
  </si>
  <si>
    <t>Sixteen-byte compound layout for the two nearest side-facing Crab distance groups: four strip height-minus-one values, eight signed X adjustments selected by side and animation, and four signed Y adjustments.</t>
  </si>
  <si>
    <t>Saved 68020-or-later cache-control value used by the Copylock bootstrap and exit path; $FFFFFFFF marks an unavailable value.</t>
  </si>
  <si>
    <t>False disassembly label created because the disk-read timeout constant $000186A0 happened to equal an address inside the monster-data allocation.</t>
  </si>
  <si>
    <t>Interface_Hitboxes_Display.lookup</t>
  </si>
  <si>
    <t>MainWall_Action.lookup</t>
  </si>
  <si>
    <t>MapType_TraversalDispatch.lookup</t>
  </si>
  <si>
    <t>GFX_Dragon_Composite_XYPositions</t>
  </si>
  <si>
    <t>Dragon_Composite_XY.positions</t>
  </si>
  <si>
    <t>monsters/Dragon_Composite_XY.positions</t>
  </si>
  <si>
    <t>$9FB8</t>
  </si>
  <si>
    <t>Sixteen signed X and Y placement bytes: eight for small Dragon bodies followed by eight for large Dragon bodies across four size groups.</t>
  </si>
  <si>
    <t>GFX_Dragon_Claws_Layout</t>
  </si>
  <si>
    <t>Dragon_Claws.layout</t>
  </si>
  <si>
    <t>monsters/Dragon_Claws.layout</t>
  </si>
  <si>
    <t>$A094</t>
  </si>
  <si>
    <t>3C</t>
  </si>
  <si>
    <t>Sixty-byte compound layout containing Dragon claw width-minus-one, height-minus-one, signed Y, and normal and mirrored X tables.</t>
  </si>
  <si>
    <t>GFX_Dragon_Body_Layout</t>
  </si>
  <si>
    <t>Dragon_Body.layout</t>
  </si>
  <si>
    <t>monsters/Dragon_Body.layout</t>
  </si>
  <si>
    <t>$A0D0</t>
  </si>
  <si>
    <t>Packed Dragon body widths and heights plus the facing-to-variant and mirroring lookup.</t>
  </si>
  <si>
    <t>GFX_Dragon_LookupTables</t>
  </si>
  <si>
    <t>Dragon.offsets</t>
  </si>
  <si>
    <t>monsters/Dragon.offsets</t>
  </si>
  <si>
    <t>$A150</t>
  </si>
  <si>
    <t>Offsets of fifteen Dragon body pictures followed by twelve claw pictures in Dragon.gfx.</t>
  </si>
  <si>
    <t>GFX_Crab_Front_Layout</t>
  </si>
  <si>
    <t>Crab_Front.layout</t>
  </si>
  <si>
    <t>monsters/Crab_Front.layout</t>
  </si>
  <si>
    <t>$9BF6</t>
  </si>
  <si>
    <t>Compound front-facing Crab layout containing distant detail-strip placement and the near reused-Behemoth-claw placement and height values.</t>
  </si>
  <si>
    <t>GFX_Crab_SideFar_Layout</t>
  </si>
  <si>
    <t>Crab_SideFar.layout</t>
  </si>
  <si>
    <t>monsters/Crab_SideFar.layout</t>
  </si>
  <si>
    <t>$9CA4</t>
  </si>
  <si>
    <t>Packed heights and signed X and Y positions for distant side-facing Crab components.</t>
  </si>
  <si>
    <t>GFX_Crab_FaceAndSideClaw_Layout</t>
  </si>
  <si>
    <t>Crab_FaceAndSideClaw.layout</t>
  </si>
  <si>
    <t>monsters/Crab_FaceAndSideClaw.layout</t>
  </si>
  <si>
    <t>$9CD6</t>
  </si>
  <si>
    <t>Crab face heights and Y positions followed by the closest side-claw horizontal positions.</t>
  </si>
  <si>
    <t>GFX_Crab_BackClaw_Layout</t>
  </si>
  <si>
    <t>Crab_BackClaw.layout</t>
  </si>
  <si>
    <t>monsters/Crab_BackClaw.layout</t>
  </si>
  <si>
    <t>$9D28</t>
  </si>
  <si>
    <t>Packed signed X and Y positions and heights for rear-facing Crab claws.</t>
  </si>
  <si>
    <t>GFX_Crab_Body_Layout</t>
  </si>
  <si>
    <t>Crab_Body.layout</t>
  </si>
  <si>
    <t>monsters/Crab_Body.layout</t>
  </si>
  <si>
    <t>$9DD0</t>
  </si>
  <si>
    <t>Packed Crab body X and Y positions, widths, and heights across four distance groups.</t>
  </si>
  <si>
    <t>GFX_Crab_LookupTables</t>
  </si>
  <si>
    <t>Crab.offsets</t>
  </si>
  <si>
    <t>monsters/Crab.offsets</t>
  </si>
  <si>
    <t>$9DE4</t>
  </si>
  <si>
    <t>Seventeen offsets for Crab body, face, front, rear, and side components across Crab.gfx and CrabClaw.gfx.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</si>
</sst>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amp;\ ##"/>
    <numFmt numFmtId="165" formatCode="[$-407]General"/>
  </numFmts>
  <fonts count="8" x14ac:knownFonts="1">
    <font>
      <sz val="12"/>
      <color theme="1"/>
      <name val="Aptos Narrow"/>
      <family val="2"/>
      <scheme val="minor"/>
    </font>
    <font>
      <b/>
      <sz val="11"/>
      <color theme="1"/>
      <name val="Aptos Narrow"/>
      <family val="2"/>
      <scheme val="minor"/>
    </font>
    <font>
      <sz val="11"/>
      <color rgb="FF000000"/>
      <name val="Aptos Narrow"/>
      <family val="2"/>
      <scheme val="minor"/>
    </font>
    <font>
      <sz val="11"/>
      <color rgb="FF000000"/>
      <name val="Calibri"/>
      <family val="2"/>
    </font>
    <font>
      <sz val="8"/>
      <name val="Aptos Narrow"/>
      <family val="2"/>
      <scheme val="minor"/>
    </font>
    <font>
      <sz val="10"/>
      <color theme="1"/>
      <name val="Arial Unicode MS"/>
      <family val="2"/>
    </font>
    <font>
      <sz val="20"/>
      <color theme="1"/>
      <name val="Aptos Narrow"/>
      <family val="2"/>
      <scheme val="minor"/>
    </font>
    <font>
      <b/>
      <sz val="12"/>
      <color theme="1"/>
      <name val="Aptos Narrow"/>
      <family val="2"/>
      <scheme val="minor"/>
    </font>
  </fonts>
  <fills count="8">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3" tint="0.749992370372631"/>
        <bgColor indexed="64"/>
      </patternFill>
    </fill>
    <fill>
      <patternFill patternType="solid">
        <fgColor rgb="FFFF0000"/>
        <bgColor indexed="64"/>
      </patternFill>
    </fill>
    <fill>
      <patternFill patternType="solid">
        <fgColor theme="9" tint="0.79998168889431442"/>
        <bgColor indexed="64"/>
      </patternFill>
    </fill>
    <fill>
      <patternFill patternType="solid">
        <fgColor rgb="FFFFC000"/>
        <bgColor indexed="64"/>
      </patternFill>
    </fill>
  </fills>
  <borders count="1">
    <border>
      <left/>
      <right/>
      <top/>
      <bottom/>
      <diagonal/>
    </border>
  </borders>
  <cellStyleXfs count="2">
    <xf numFmtId="0" fontId="0" fillId="0" borderId="0"/>
    <xf numFmtId="165" fontId="3" fillId="0" borderId="0"/>
  </cellStyleXfs>
  <cellXfs count="33">
    <xf numFmtId="0" fontId="0" fillId="0" borderId="0" xfId="0"/>
    <xf numFmtId="0" fontId="1" fillId="2" borderId="0" xfId="0" applyFont="1" applyFill="1" applyAlignment="1">
      <alignment horizontal="center" vertical="center"/>
    </xf>
    <xf numFmtId="0" fontId="1" fillId="2" borderId="0" xfId="0" applyFont="1" applyFill="1" applyAlignment="1">
      <alignment vertical="center" wrapText="1"/>
    </xf>
    <xf numFmtId="0" fontId="1" fillId="2" borderId="0" xfId="0" applyFont="1" applyFill="1" applyAlignment="1">
      <alignment horizontal="center" vertical="center" wrapText="1"/>
    </xf>
    <xf numFmtId="164" fontId="1" fillId="2" borderId="0" xfId="0" applyNumberFormat="1" applyFont="1" applyFill="1" applyAlignment="1">
      <alignment horizontal="center" vertical="center" wrapText="1"/>
    </xf>
    <xf numFmtId="0" fontId="0" fillId="0" borderId="0" xfId="0" applyAlignment="1">
      <alignment horizontal="center"/>
    </xf>
    <xf numFmtId="164" fontId="0" fillId="0" borderId="0" xfId="0" applyNumberFormat="1" applyAlignment="1">
      <alignment horizontal="center"/>
    </xf>
    <xf numFmtId="0" fontId="2" fillId="0" borderId="0" xfId="0" applyFont="1" applyAlignment="1">
      <alignment horizontal="center"/>
    </xf>
    <xf numFmtId="0" fontId="0" fillId="3" borderId="0" xfId="0" applyFill="1"/>
    <xf numFmtId="0" fontId="1" fillId="4" borderId="0" xfId="0" applyFont="1" applyFill="1" applyAlignment="1">
      <alignment vertical="center" wrapText="1"/>
    </xf>
    <xf numFmtId="0" fontId="1" fillId="4" borderId="0" xfId="0" applyFont="1" applyFill="1" applyAlignment="1">
      <alignment horizontal="center" vertical="center" wrapText="1"/>
    </xf>
    <xf numFmtId="0" fontId="0" fillId="5" borderId="0" xfId="0" applyFill="1"/>
    <xf numFmtId="0" fontId="0" fillId="5" borderId="0" xfId="0" applyFill="1" applyAlignment="1">
      <alignment horizontal="center"/>
    </xf>
    <xf numFmtId="164" fontId="0" fillId="5" borderId="0" xfId="0" applyNumberFormat="1" applyFill="1" applyAlignment="1">
      <alignment horizontal="center"/>
    </xf>
    <xf numFmtId="0" fontId="0" fillId="6" borderId="0" xfId="0" applyFill="1"/>
    <xf numFmtId="0" fontId="0" fillId="0" borderId="0" xfId="0" applyAlignment="1">
      <alignment horizontal="left"/>
    </xf>
    <xf numFmtId="0" fontId="5" fillId="0" borderId="0" xfId="0" applyFont="1" applyAlignment="1">
      <alignment horizontal="center"/>
    </xf>
    <xf numFmtId="0" fontId="5" fillId="0" borderId="0" xfId="0" applyFont="1"/>
    <xf numFmtId="164" fontId="1" fillId="2" borderId="0" xfId="0" applyNumberFormat="1" applyFont="1" applyFill="1" applyAlignment="1">
      <alignment horizontal="left" vertical="center" wrapText="1"/>
    </xf>
    <xf numFmtId="164" fontId="0" fillId="0" borderId="0" xfId="0" applyNumberFormat="1" applyAlignment="1">
      <alignment horizontal="left"/>
    </xf>
    <xf numFmtId="164" fontId="0" fillId="5" borderId="0" xfId="0" applyNumberFormat="1" applyFill="1" applyAlignment="1">
      <alignment horizontal="left"/>
    </xf>
    <xf numFmtId="0" fontId="5" fillId="0" borderId="0" xfId="0" applyFont="1" applyAlignment="1">
      <alignment horizontal="left"/>
    </xf>
    <xf numFmtId="0" fontId="0" fillId="7" borderId="0" xfId="0" applyFill="1"/>
    <xf numFmtId="0" fontId="0" fillId="7" borderId="0" xfId="0" applyFill="1" applyAlignment="1">
      <alignment horizontal="center"/>
    </xf>
    <xf numFmtId="164" fontId="0" fillId="0" borderId="0" xfId="0" applyNumberFormat="1"/>
    <xf numFmtId="164" fontId="0" fillId="0" borderId="0" xfId="0" applyNumberFormat="1" applyAlignment="1">
      <alignment horizontal="left" wrapText="1"/>
    </xf>
    <xf numFmtId="11" fontId="0" fillId="0" borderId="0" xfId="0" applyNumberFormat="1" applyAlignment="1">
      <alignment horizontal="center"/>
    </xf>
    <xf numFmtId="0" fontId="0" fillId="3" borderId="0" xfId="0" applyFill="1" applyAlignment="1">
      <alignment horizontal="center"/>
    </xf>
    <xf numFmtId="164" fontId="1" fillId="2" borderId="0" xfId="0" applyNumberFormat="1" applyFont="1" applyFill="1" applyAlignment="1">
      <alignment vertical="center" wrapText="1"/>
    </xf>
    <xf numFmtId="164" fontId="0" fillId="5" borderId="0" xfId="0" applyNumberFormat="1" applyFill="1"/>
    <xf numFmtId="0" fontId="6" fillId="0" borderId="0" xfId="0" applyFont="1"/>
    <xf numFmtId="10" fontId="6" fillId="0" borderId="0" xfId="0" applyNumberFormat="1" applyFont="1"/>
    <xf numFmtId="0" fontId="7" fillId="0" borderId="0" xfId="0" applyFont="1"/>
  </cellXfs>
  <cellStyles count="2">
    <cellStyle name="Excel Built-in Normal" xfId="1" xr:uid="{ACE51F02-8306-284E-B6CB-6CB2D79D3F1F}"/>
    <cellStyle name="Normal" xfId="0" builtinId="0"/>
  </cellStyles>
  <dxfs count="51">
    <dxf>
      <font>
        <color theme="5" tint="-0.24994659260841701"/>
      </font>
      <fill>
        <patternFill>
          <bgColor theme="5" tint="0.59996337778862885"/>
        </patternFill>
      </fill>
    </dxf>
    <dxf>
      <font>
        <color theme="3" tint="0.24994659260841701"/>
      </font>
      <fill>
        <patternFill>
          <bgColor theme="3" tint="0.749961851863155"/>
        </patternFill>
      </fill>
    </dxf>
    <dxf>
      <font>
        <color theme="5" tint="-0.24994659260841701"/>
      </font>
      <fill>
        <patternFill>
          <bgColor theme="5" tint="0.59996337778862885"/>
        </patternFill>
      </fill>
    </dxf>
    <dxf>
      <font>
        <color theme="3" tint="0.24994659260841701"/>
      </font>
      <fill>
        <patternFill>
          <bgColor theme="3" tint="0.749961851863155"/>
        </patternFill>
      </fill>
    </dxf>
    <dxf>
      <font>
        <color theme="5" tint="-0.24994659260841701"/>
      </font>
      <fill>
        <patternFill>
          <bgColor theme="5" tint="0.59996337778862885"/>
        </patternFill>
      </fill>
    </dxf>
    <dxf>
      <font>
        <color theme="3" tint="0.24994659260841701"/>
      </font>
      <fill>
        <patternFill>
          <bgColor theme="3" tint="0.749961851863155"/>
        </patternFill>
      </fill>
    </dxf>
    <dxf>
      <font>
        <color theme="5" tint="-0.24994659260841701"/>
      </font>
      <fill>
        <patternFill>
          <bgColor theme="5" tint="0.59996337778862885"/>
        </patternFill>
      </fill>
    </dxf>
    <dxf>
      <font>
        <color theme="3" tint="0.24994659260841701"/>
      </font>
      <fill>
        <patternFill>
          <bgColor theme="3" tint="0.749961851863155"/>
        </patternFill>
      </fill>
    </dxf>
    <dxf>
      <font>
        <color theme="5" tint="-0.24994659260841701"/>
      </font>
      <fill>
        <patternFill>
          <bgColor theme="5" tint="0.59996337778862885"/>
        </patternFill>
      </fill>
    </dxf>
    <dxf>
      <font>
        <color theme="3" tint="0.24994659260841701"/>
      </font>
      <fill>
        <patternFill>
          <bgColor theme="3" tint="0.749961851863155"/>
        </patternFill>
      </fill>
    </dxf>
    <dxf>
      <font>
        <color theme="5" tint="-0.24994659260841701"/>
      </font>
      <fill>
        <patternFill>
          <bgColor theme="5" tint="0.59996337778862885"/>
        </patternFill>
      </fill>
    </dxf>
    <dxf>
      <font>
        <color theme="3" tint="0.24994659260841701"/>
      </font>
      <fill>
        <patternFill>
          <bgColor theme="3" tint="0.749961851863155"/>
        </patternFill>
      </fill>
    </dxf>
    <dxf>
      <font>
        <color theme="5" tint="-0.24994659260841701"/>
      </font>
      <fill>
        <patternFill>
          <bgColor theme="5" tint="0.59996337778862885"/>
        </patternFill>
      </fill>
    </dxf>
    <dxf>
      <font>
        <color theme="3" tint="0.24994659260841701"/>
      </font>
      <fill>
        <patternFill>
          <bgColor theme="3" tint="0.749961851863155"/>
        </patternFill>
      </fill>
    </dxf>
    <dxf>
      <font>
        <color theme="5" tint="-0.24994659260841701"/>
      </font>
      <fill>
        <patternFill>
          <bgColor theme="5" tint="0.59996337778862885"/>
        </patternFill>
      </fill>
    </dxf>
    <dxf>
      <font>
        <color theme="3" tint="0.24994659260841701"/>
      </font>
      <fill>
        <patternFill>
          <bgColor theme="3" tint="0.749961851863155"/>
        </patternFill>
      </fill>
    </dxf>
    <dxf>
      <font>
        <color theme="3" tint="0.24994659260841701"/>
      </font>
      <fill>
        <patternFill>
          <bgColor theme="3" tint="0.749961851863155"/>
        </patternFill>
      </fill>
    </dxf>
    <dxf>
      <font>
        <color theme="3" tint="0.24994659260841701"/>
      </font>
      <fill>
        <patternFill>
          <bgColor theme="3" tint="0.749961851863155"/>
        </patternFill>
      </fill>
    </dxf>
    <dxf>
      <font>
        <color theme="5" tint="-0.24994659260841701"/>
      </font>
      <fill>
        <patternFill>
          <bgColor theme="5" tint="0.59996337778862885"/>
        </patternFill>
      </fill>
    </dxf>
    <dxf>
      <font>
        <color theme="5" tint="-0.24994659260841701"/>
      </font>
      <fill>
        <patternFill>
          <bgColor theme="5" tint="0.59996337778862885"/>
        </patternFill>
      </fill>
    </dxf>
    <dxf>
      <font>
        <color theme="3" tint="0.24994659260841701"/>
      </font>
      <fill>
        <patternFill>
          <bgColor theme="3" tint="0.749961851863155"/>
        </patternFill>
      </fill>
    </dxf>
    <dxf>
      <font>
        <color theme="5" tint="-0.24994659260841701"/>
      </font>
      <fill>
        <patternFill>
          <bgColor theme="5" tint="0.59996337778862885"/>
        </patternFill>
      </fill>
    </dxf>
    <dxf>
      <font>
        <color theme="5" tint="-0.24994659260841701"/>
      </font>
      <fill>
        <patternFill>
          <bgColor theme="5" tint="0.59996337778862885"/>
        </patternFill>
      </fill>
    </dxf>
    <dxf>
      <font>
        <color theme="5" tint="-0.24994659260841701"/>
      </font>
      <fill>
        <patternFill>
          <bgColor theme="5" tint="0.59996337778862885"/>
        </patternFill>
      </fill>
    </dxf>
    <dxf>
      <font>
        <color theme="5" tint="-0.24994659260841701"/>
      </font>
      <fill>
        <patternFill>
          <bgColor theme="5" tint="0.59996337778862885"/>
        </patternFill>
      </fill>
    </dxf>
    <dxf>
      <font>
        <color theme="3" tint="0.24994659260841701"/>
      </font>
      <fill>
        <patternFill>
          <bgColor theme="3" tint="0.749961851863155"/>
        </patternFill>
      </fill>
    </dxf>
    <dxf>
      <font>
        <color theme="3" tint="0.24994659260841701"/>
      </font>
      <fill>
        <patternFill>
          <bgColor theme="3" tint="0.749961851863155"/>
        </patternFill>
      </fill>
    </dxf>
    <dxf>
      <font>
        <color theme="3" tint="0.24994659260841701"/>
      </font>
      <fill>
        <patternFill>
          <bgColor theme="3" tint="0.749961851863155"/>
        </patternFill>
      </fill>
    </dxf>
    <dxf>
      <font>
        <color theme="5" tint="0.79998168889431442"/>
      </font>
      <fill>
        <patternFill>
          <bgColor theme="5" tint="-0.499984740745262"/>
        </patternFill>
      </fill>
    </dxf>
    <dxf>
      <font>
        <color theme="3" tint="0.24994659260841701"/>
      </font>
      <fill>
        <patternFill>
          <bgColor theme="3" tint="0.749961851863155"/>
        </patternFill>
      </fill>
    </dxf>
    <dxf>
      <font>
        <color theme="5" tint="-0.24994659260841701"/>
      </font>
      <fill>
        <patternFill>
          <bgColor theme="5" tint="0.59996337778862885"/>
        </patternFill>
      </fill>
    </dxf>
    <dxf>
      <font>
        <color theme="5" tint="0.79998168889431442"/>
      </font>
      <fill>
        <patternFill>
          <bgColor theme="5" tint="-0.499984740745262"/>
        </patternFill>
      </fill>
    </dxf>
    <dxf>
      <font>
        <color theme="5" tint="0.79998168889431442"/>
      </font>
      <fill>
        <patternFill>
          <bgColor theme="5" tint="-0.499984740745262"/>
        </patternFill>
      </fill>
    </dxf>
    <dxf>
      <font>
        <color theme="5" tint="-0.24994659260841701"/>
      </font>
      <fill>
        <patternFill>
          <bgColor theme="5" tint="0.59996337778862885"/>
        </patternFill>
      </fill>
    </dxf>
    <dxf>
      <font>
        <color theme="3" tint="0.24994659260841701"/>
      </font>
      <fill>
        <patternFill>
          <bgColor theme="3" tint="0.749961851863155"/>
        </patternFill>
      </fill>
    </dxf>
    <dxf>
      <font>
        <color theme="5" tint="-0.24994659260841701"/>
      </font>
      <fill>
        <patternFill>
          <bgColor theme="5" tint="0.59996337778862885"/>
        </patternFill>
      </fill>
    </dxf>
    <dxf>
      <font>
        <color theme="3" tint="0.24994659260841701"/>
      </font>
      <fill>
        <patternFill>
          <bgColor theme="3" tint="0.749961851863155"/>
        </patternFill>
      </fill>
    </dxf>
    <dxf>
      <font>
        <color theme="5" tint="-0.24994659260841701"/>
      </font>
      <fill>
        <patternFill>
          <bgColor theme="5" tint="0.59996337778862885"/>
        </patternFill>
      </fill>
    </dxf>
    <dxf>
      <font>
        <color theme="3" tint="0.24994659260841701"/>
      </font>
      <fill>
        <patternFill>
          <bgColor theme="3" tint="0.749961851863155"/>
        </patternFill>
      </fill>
    </dxf>
    <dxf>
      <fill>
        <patternFill>
          <bgColor theme="7" tint="0.79998168889431442"/>
        </patternFill>
      </fill>
    </dxf>
    <dxf>
      <fill>
        <patternFill>
          <bgColor theme="7" tint="0.79998168889431442"/>
        </patternFill>
      </fill>
    </dxf>
    <dxf>
      <font>
        <color rgb="FF9C5700"/>
      </font>
      <fill>
        <patternFill>
          <bgColor rgb="FFFFEB9C"/>
        </patternFill>
      </fill>
    </dxf>
    <dxf>
      <font>
        <color rgb="FF006100"/>
      </font>
      <fill>
        <patternFill>
          <bgColor rgb="FFC6EFCE"/>
        </patternFill>
      </fill>
    </dxf>
    <dxf>
      <font>
        <color theme="6" tint="-0.24994659260841701"/>
      </font>
      <fill>
        <patternFill>
          <bgColor theme="6" tint="0.59996337778862885"/>
        </patternFill>
      </fill>
    </dxf>
    <dxf>
      <font>
        <color theme="8" tint="-0.24994659260841701"/>
      </font>
      <fill>
        <patternFill>
          <bgColor theme="8" tint="0.59996337778862885"/>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6" tint="-0.24994659260841701"/>
      </font>
      <fill>
        <patternFill>
          <bgColor theme="6" tint="0.59996337778862885"/>
        </patternFill>
      </fill>
    </dxf>
    <dxf>
      <font>
        <color theme="8" tint="-0.24994659260841701"/>
      </font>
      <fill>
        <patternFill>
          <bgColor theme="8"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U2672"/>
  <sheetViews>
    <sheetView tabSelected="1" zoomScale="135" zoomScaleNormal="120" workbookViewId="0">
      <pane xSplit="2" ySplit="1" topLeftCell="C644" activePane="bottomRight" state="frozen"/>
      <selection pane="topRight" activeCell="C1" sqref="C1"/>
      <selection pane="bottomLeft" activeCell="A2" sqref="A2"/>
      <selection pane="bottomRight" activeCell="B652" sqref="B652"/>
    </sheetView>
  </sheetViews>
  <sheetFormatPr baseColWidth="10" defaultColWidth="10.83203125" defaultRowHeight="16" x14ac:dyDescent="0.2"/>
  <cols>
    <col min="1" max="1" width="37.1640625" customWidth="1"/>
    <col min="2" max="2" width="54.5" customWidth="1"/>
    <col min="3" max="3" width="22.83203125" style="5" customWidth="1"/>
    <col min="4" max="4" width="45.5" customWidth="1"/>
    <col min="5" max="5" width="61.5" customWidth="1"/>
    <col min="6" max="6" width="19.5" style="5" customWidth="1"/>
    <col min="7" max="8" width="10.83203125" style="5" customWidth="1"/>
    <col min="9" max="9" width="14.83203125" style="6" customWidth="1"/>
    <col min="10" max="10" width="26.83203125" style="6" customWidth="1"/>
    <col min="11" max="11" width="103.33203125" style="19" bestFit="1" customWidth="1"/>
    <col min="12" max="13" width="14.83203125" style="24" customWidth="1"/>
    <col min="14" max="14" width="70.83203125" customWidth="1"/>
  </cols>
  <sheetData>
    <row r="1" spans="1:14" ht="32" customHeight="1" x14ac:dyDescent="0.2">
      <c r="A1" s="10" t="s">
        <v>7</v>
      </c>
      <c r="B1" s="10" t="s">
        <v>291</v>
      </c>
      <c r="C1" s="1" t="s">
        <v>0</v>
      </c>
      <c r="D1" s="2" t="s">
        <v>1</v>
      </c>
      <c r="E1" s="9" t="s">
        <v>2</v>
      </c>
      <c r="F1" s="3" t="s">
        <v>3</v>
      </c>
      <c r="G1" s="10" t="s">
        <v>4</v>
      </c>
      <c r="H1" s="10" t="s">
        <v>5</v>
      </c>
      <c r="I1" s="4" t="s">
        <v>6</v>
      </c>
      <c r="J1" s="4" t="s">
        <v>3410</v>
      </c>
      <c r="K1" s="18" t="s">
        <v>3500</v>
      </c>
      <c r="L1" s="28" t="s">
        <v>3438</v>
      </c>
      <c r="M1" s="28" t="s">
        <v>3438</v>
      </c>
    </row>
    <row r="2" spans="1:14" x14ac:dyDescent="0.2">
      <c r="A2" t="s">
        <v>11</v>
      </c>
      <c r="B2" t="s">
        <v>11</v>
      </c>
      <c r="C2" s="5" t="s">
        <v>8</v>
      </c>
      <c r="D2" t="s">
        <v>9</v>
      </c>
      <c r="E2" t="str">
        <f t="shared" ref="E2:E65" si="0">IF(D2&lt;&gt;"",C2&amp;"/"&amp;D2,"")</f>
        <v>maps/gem-tan.locations</v>
      </c>
      <c r="F2" s="5" t="s">
        <v>10</v>
      </c>
      <c r="G2" s="5">
        <f t="shared" ref="G2:G64" si="1">IF(F2&lt;&gt;"",HEX2DEC(SUBSTITUTE(SUBSTITUTE(F2,"adrEA",""),"$","")),"")</f>
        <v>22390</v>
      </c>
      <c r="H2" s="5">
        <v>24</v>
      </c>
      <c r="I2" s="6" t="str">
        <f t="shared" ref="I2:I64" si="2">IFERROR(DEC2HEX(H2),"")</f>
        <v>18</v>
      </c>
    </row>
    <row r="3" spans="1:14" x14ac:dyDescent="0.2">
      <c r="A3" t="s">
        <v>13</v>
      </c>
      <c r="B3" t="s">
        <v>13</v>
      </c>
      <c r="C3" s="5" t="s">
        <v>8</v>
      </c>
      <c r="D3" t="s">
        <v>12</v>
      </c>
      <c r="E3" t="str">
        <f t="shared" si="0"/>
        <v>maps/gem-blu.locations</v>
      </c>
      <c r="F3" s="5" t="s">
        <v>290</v>
      </c>
      <c r="G3" s="5">
        <f t="shared" si="1"/>
        <v>22414</v>
      </c>
      <c r="H3" s="5">
        <v>24</v>
      </c>
      <c r="I3" s="6" t="str">
        <f t="shared" si="2"/>
        <v>18</v>
      </c>
    </row>
    <row r="4" spans="1:14" x14ac:dyDescent="0.2">
      <c r="A4" t="s">
        <v>16</v>
      </c>
      <c r="B4" t="s">
        <v>16</v>
      </c>
      <c r="C4" s="5" t="s">
        <v>8</v>
      </c>
      <c r="D4" t="s">
        <v>14</v>
      </c>
      <c r="E4" t="str">
        <f t="shared" si="0"/>
        <v>maps/mod0.switches</v>
      </c>
      <c r="F4" s="5" t="s">
        <v>15</v>
      </c>
      <c r="G4" s="5">
        <f t="shared" si="1"/>
        <v>22516</v>
      </c>
      <c r="H4" s="5">
        <v>64</v>
      </c>
      <c r="I4" s="6" t="str">
        <f t="shared" si="2"/>
        <v>40</v>
      </c>
    </row>
    <row r="5" spans="1:14" x14ac:dyDescent="0.2">
      <c r="A5" t="s">
        <v>19</v>
      </c>
      <c r="B5" t="s">
        <v>19</v>
      </c>
      <c r="C5" s="5" t="s">
        <v>8</v>
      </c>
      <c r="D5" t="s">
        <v>17</v>
      </c>
      <c r="E5" t="str">
        <f t="shared" si="0"/>
        <v>maps/serp.switches</v>
      </c>
      <c r="F5" s="5" t="s">
        <v>18</v>
      </c>
      <c r="G5" s="5">
        <f t="shared" si="1"/>
        <v>22580</v>
      </c>
      <c r="H5" s="5">
        <v>64</v>
      </c>
      <c r="I5" s="6" t="str">
        <f t="shared" si="2"/>
        <v>40</v>
      </c>
    </row>
    <row r="6" spans="1:14" x14ac:dyDescent="0.2">
      <c r="A6" t="s">
        <v>21</v>
      </c>
      <c r="B6" t="s">
        <v>21</v>
      </c>
      <c r="C6" s="5" t="s">
        <v>8</v>
      </c>
      <c r="D6" t="s">
        <v>20</v>
      </c>
      <c r="E6" t="str">
        <f t="shared" si="0"/>
        <v>maps/moon.switches</v>
      </c>
      <c r="F6" s="5" t="s">
        <v>3056</v>
      </c>
      <c r="G6" s="5">
        <f t="shared" si="1"/>
        <v>22644</v>
      </c>
      <c r="H6" s="5">
        <v>64</v>
      </c>
      <c r="I6" s="6" t="str">
        <f t="shared" si="2"/>
        <v>40</v>
      </c>
      <c r="N6" t="str">
        <f t="shared" ref="N6:N15" si="3">"$"&amp;DEC2HEX(G6)</f>
        <v>$5874</v>
      </c>
    </row>
    <row r="7" spans="1:14" x14ac:dyDescent="0.2">
      <c r="A7" t="s">
        <v>23</v>
      </c>
      <c r="B7" t="s">
        <v>23</v>
      </c>
      <c r="C7" s="5" t="s">
        <v>8</v>
      </c>
      <c r="D7" t="s">
        <v>22</v>
      </c>
      <c r="E7" t="str">
        <f t="shared" si="0"/>
        <v>maps/drag.switches</v>
      </c>
      <c r="F7" s="5" t="s">
        <v>3057</v>
      </c>
      <c r="G7" s="5">
        <f t="shared" si="1"/>
        <v>22708</v>
      </c>
      <c r="H7" s="5">
        <v>64</v>
      </c>
      <c r="I7" s="6" t="str">
        <f t="shared" si="2"/>
        <v>40</v>
      </c>
      <c r="N7" t="str">
        <f t="shared" si="3"/>
        <v>$58B4</v>
      </c>
    </row>
    <row r="8" spans="1:14" x14ac:dyDescent="0.2">
      <c r="A8" t="s">
        <v>25</v>
      </c>
      <c r="B8" t="s">
        <v>25</v>
      </c>
      <c r="C8" s="5" t="s">
        <v>8</v>
      </c>
      <c r="D8" t="s">
        <v>24</v>
      </c>
      <c r="E8" t="str">
        <f t="shared" si="0"/>
        <v>maps/chaos.switches</v>
      </c>
      <c r="F8" s="5" t="s">
        <v>3058</v>
      </c>
      <c r="G8" s="5">
        <f t="shared" si="1"/>
        <v>22772</v>
      </c>
      <c r="H8" s="5">
        <v>64</v>
      </c>
      <c r="I8" s="6" t="str">
        <f t="shared" si="2"/>
        <v>40</v>
      </c>
      <c r="N8" t="str">
        <f t="shared" si="3"/>
        <v>$58F4</v>
      </c>
    </row>
    <row r="9" spans="1:14" x14ac:dyDescent="0.2">
      <c r="A9" t="s">
        <v>27</v>
      </c>
      <c r="B9" t="s">
        <v>27</v>
      </c>
      <c r="C9" s="5" t="s">
        <v>8</v>
      </c>
      <c r="D9" t="s">
        <v>26</v>
      </c>
      <c r="E9" t="str">
        <f t="shared" si="0"/>
        <v>maps/zendik.switches</v>
      </c>
      <c r="F9" s="5" t="s">
        <v>3059</v>
      </c>
      <c r="G9" s="5">
        <f t="shared" si="1"/>
        <v>22836</v>
      </c>
      <c r="H9" s="5">
        <v>64</v>
      </c>
      <c r="I9" s="6" t="str">
        <f t="shared" si="2"/>
        <v>40</v>
      </c>
      <c r="N9" t="str">
        <f t="shared" si="3"/>
        <v>$5934</v>
      </c>
    </row>
    <row r="10" spans="1:14" x14ac:dyDescent="0.2">
      <c r="A10" t="s">
        <v>30</v>
      </c>
      <c r="B10" t="s">
        <v>30</v>
      </c>
      <c r="C10" s="5" t="s">
        <v>8</v>
      </c>
      <c r="D10" t="s">
        <v>28</v>
      </c>
      <c r="E10" t="str">
        <f t="shared" si="0"/>
        <v>maps/mod0.triggers</v>
      </c>
      <c r="F10" s="5" t="s">
        <v>29</v>
      </c>
      <c r="G10" s="5">
        <f t="shared" si="1"/>
        <v>27858</v>
      </c>
      <c r="H10" s="5">
        <v>128</v>
      </c>
      <c r="I10" s="6" t="str">
        <f t="shared" si="2"/>
        <v>80</v>
      </c>
      <c r="N10" t="str">
        <f t="shared" si="3"/>
        <v>$6CD2</v>
      </c>
    </row>
    <row r="11" spans="1:14" x14ac:dyDescent="0.2">
      <c r="A11" t="s">
        <v>33</v>
      </c>
      <c r="B11" t="s">
        <v>33</v>
      </c>
      <c r="C11" s="5" t="s">
        <v>8</v>
      </c>
      <c r="D11" t="s">
        <v>31</v>
      </c>
      <c r="E11" t="str">
        <f t="shared" si="0"/>
        <v>maps/serp.triggers</v>
      </c>
      <c r="F11" s="5" t="s">
        <v>32</v>
      </c>
      <c r="G11" s="5">
        <f t="shared" si="1"/>
        <v>27986</v>
      </c>
      <c r="H11" s="5">
        <v>128</v>
      </c>
      <c r="I11" s="6" t="str">
        <f t="shared" si="2"/>
        <v>80</v>
      </c>
      <c r="N11" t="str">
        <f t="shared" si="3"/>
        <v>$6D52</v>
      </c>
    </row>
    <row r="12" spans="1:14" x14ac:dyDescent="0.2">
      <c r="A12" t="s">
        <v>36</v>
      </c>
      <c r="B12" t="s">
        <v>36</v>
      </c>
      <c r="C12" s="5" t="s">
        <v>8</v>
      </c>
      <c r="D12" t="s">
        <v>34</v>
      </c>
      <c r="E12" t="str">
        <f t="shared" si="0"/>
        <v>maps/moon.triggers</v>
      </c>
      <c r="F12" s="5" t="s">
        <v>35</v>
      </c>
      <c r="G12" s="5">
        <f t="shared" si="1"/>
        <v>28114</v>
      </c>
      <c r="H12" s="5">
        <v>128</v>
      </c>
      <c r="I12" s="6" t="str">
        <f t="shared" si="2"/>
        <v>80</v>
      </c>
      <c r="N12" t="str">
        <f t="shared" si="3"/>
        <v>$6DD2</v>
      </c>
    </row>
    <row r="13" spans="1:14" x14ac:dyDescent="0.2">
      <c r="A13" t="s">
        <v>39</v>
      </c>
      <c r="B13" t="s">
        <v>39</v>
      </c>
      <c r="C13" s="5" t="s">
        <v>8</v>
      </c>
      <c r="D13" t="s">
        <v>37</v>
      </c>
      <c r="E13" t="str">
        <f t="shared" si="0"/>
        <v>maps/drag.triggers</v>
      </c>
      <c r="F13" s="5" t="s">
        <v>38</v>
      </c>
      <c r="G13" s="5">
        <f t="shared" si="1"/>
        <v>28242</v>
      </c>
      <c r="H13" s="5">
        <v>128</v>
      </c>
      <c r="I13" s="6" t="str">
        <f t="shared" si="2"/>
        <v>80</v>
      </c>
      <c r="N13" t="str">
        <f t="shared" si="3"/>
        <v>$6E52</v>
      </c>
    </row>
    <row r="14" spans="1:14" x14ac:dyDescent="0.2">
      <c r="A14" t="s">
        <v>42</v>
      </c>
      <c r="B14" t="s">
        <v>42</v>
      </c>
      <c r="C14" s="5" t="s">
        <v>8</v>
      </c>
      <c r="D14" t="s">
        <v>40</v>
      </c>
      <c r="E14" t="str">
        <f t="shared" si="0"/>
        <v>maps/chaos.triggers</v>
      </c>
      <c r="F14" s="5" t="s">
        <v>41</v>
      </c>
      <c r="G14" s="5">
        <f t="shared" si="1"/>
        <v>28370</v>
      </c>
      <c r="H14" s="5">
        <v>128</v>
      </c>
      <c r="I14" s="6" t="str">
        <f t="shared" si="2"/>
        <v>80</v>
      </c>
      <c r="N14" t="str">
        <f t="shared" si="3"/>
        <v>$6ED2</v>
      </c>
    </row>
    <row r="15" spans="1:14" x14ac:dyDescent="0.2">
      <c r="A15" t="s">
        <v>45</v>
      </c>
      <c r="B15" t="s">
        <v>45</v>
      </c>
      <c r="C15" s="5" t="s">
        <v>8</v>
      </c>
      <c r="D15" t="s">
        <v>43</v>
      </c>
      <c r="E15" t="str">
        <f t="shared" si="0"/>
        <v>maps/zendik.triggers</v>
      </c>
      <c r="F15" s="5" t="s">
        <v>44</v>
      </c>
      <c r="G15" s="5">
        <f t="shared" si="1"/>
        <v>28498</v>
      </c>
      <c r="H15" s="5">
        <v>128</v>
      </c>
      <c r="I15" s="6" t="str">
        <f t="shared" si="2"/>
        <v>80</v>
      </c>
      <c r="N15" t="str">
        <f t="shared" si="3"/>
        <v>$6F52</v>
      </c>
    </row>
    <row r="16" spans="1:14" x14ac:dyDescent="0.2">
      <c r="A16" t="s">
        <v>1718</v>
      </c>
      <c r="B16" t="s">
        <v>3149</v>
      </c>
      <c r="C16" s="5" t="s">
        <v>8</v>
      </c>
      <c r="D16" t="s">
        <v>3148</v>
      </c>
      <c r="E16" t="str">
        <f t="shared" si="0"/>
        <v>maps/keep.floors</v>
      </c>
      <c r="F16" s="5" t="s">
        <v>47</v>
      </c>
      <c r="G16" s="5">
        <f t="shared" si="1"/>
        <v>28744</v>
      </c>
      <c r="H16" s="5">
        <v>2</v>
      </c>
      <c r="I16" s="6" t="str">
        <f t="shared" si="2"/>
        <v>2</v>
      </c>
    </row>
    <row r="17" spans="1:11" x14ac:dyDescent="0.2">
      <c r="A17" t="s">
        <v>1719</v>
      </c>
      <c r="B17" t="s">
        <v>3150</v>
      </c>
      <c r="C17" s="5" t="s">
        <v>8</v>
      </c>
      <c r="D17" t="s">
        <v>46</v>
      </c>
      <c r="E17" t="str">
        <f t="shared" si="0"/>
        <v>maps/keep.entrances</v>
      </c>
      <c r="F17" s="5" t="s">
        <v>3152</v>
      </c>
      <c r="G17" s="5">
        <f t="shared" si="1"/>
        <v>28746</v>
      </c>
      <c r="H17" s="5">
        <v>24</v>
      </c>
      <c r="I17" s="6" t="str">
        <f t="shared" si="2"/>
        <v>18</v>
      </c>
    </row>
    <row r="18" spans="1:11" x14ac:dyDescent="0.2">
      <c r="A18" t="s">
        <v>1727</v>
      </c>
      <c r="B18" t="s">
        <v>3151</v>
      </c>
      <c r="C18" s="5" t="s">
        <v>48</v>
      </c>
      <c r="D18" t="s">
        <v>49</v>
      </c>
      <c r="E18" t="str">
        <f t="shared" si="0"/>
        <v>data/tower.entrances</v>
      </c>
      <c r="F18" s="5" t="s">
        <v>50</v>
      </c>
      <c r="G18" s="5">
        <f t="shared" si="1"/>
        <v>29030</v>
      </c>
      <c r="H18" s="5">
        <v>24</v>
      </c>
      <c r="I18" s="6" t="str">
        <f t="shared" si="2"/>
        <v>18</v>
      </c>
    </row>
    <row r="19" spans="1:11" x14ac:dyDescent="0.2">
      <c r="A19" t="s">
        <v>2223</v>
      </c>
      <c r="B19" t="s">
        <v>3192</v>
      </c>
      <c r="C19" s="7" t="s">
        <v>51</v>
      </c>
      <c r="D19" t="s">
        <v>3202</v>
      </c>
      <c r="E19" t="str">
        <f t="shared" si="0"/>
        <v>monsters/illusion.palette</v>
      </c>
      <c r="F19" s="5" t="s">
        <v>52</v>
      </c>
      <c r="G19" s="5">
        <f t="shared" si="1"/>
        <v>39640</v>
      </c>
      <c r="H19" s="5">
        <v>4</v>
      </c>
      <c r="I19" s="6" t="str">
        <f t="shared" si="2"/>
        <v>4</v>
      </c>
    </row>
    <row r="20" spans="1:11" x14ac:dyDescent="0.2">
      <c r="A20" t="s">
        <v>2224</v>
      </c>
      <c r="B20" t="s">
        <v>3191</v>
      </c>
      <c r="C20" s="7" t="s">
        <v>51</v>
      </c>
      <c r="D20" t="s">
        <v>3201</v>
      </c>
      <c r="E20" t="str">
        <f t="shared" si="0"/>
        <v>monsters/monsters.palette</v>
      </c>
      <c r="F20" s="5" t="s">
        <v>53</v>
      </c>
      <c r="G20" s="5">
        <f t="shared" si="1"/>
        <v>39644</v>
      </c>
      <c r="H20" s="5">
        <v>52</v>
      </c>
      <c r="I20" s="6" t="str">
        <f t="shared" si="2"/>
        <v>34</v>
      </c>
    </row>
    <row r="21" spans="1:11" x14ac:dyDescent="0.2">
      <c r="A21" t="s">
        <v>2235</v>
      </c>
      <c r="B21" t="s">
        <v>3193</v>
      </c>
      <c r="C21" s="5" t="s">
        <v>51</v>
      </c>
      <c r="D21" t="s">
        <v>54</v>
      </c>
      <c r="E21" t="str">
        <f t="shared" si="0"/>
        <v>monsters/crab.colours</v>
      </c>
      <c r="F21" s="5" t="s">
        <v>55</v>
      </c>
      <c r="G21" s="5">
        <f t="shared" si="1"/>
        <v>39836</v>
      </c>
      <c r="H21" s="5">
        <v>8</v>
      </c>
      <c r="I21" s="6" t="str">
        <f t="shared" si="2"/>
        <v>8</v>
      </c>
    </row>
    <row r="22" spans="1:11" x14ac:dyDescent="0.2">
      <c r="A22" t="s">
        <v>2288</v>
      </c>
      <c r="B22" t="s">
        <v>3194</v>
      </c>
      <c r="C22" s="5" t="s">
        <v>51</v>
      </c>
      <c r="D22" t="s">
        <v>56</v>
      </c>
      <c r="E22" t="str">
        <f t="shared" si="0"/>
        <v>monsters/beholder.colours</v>
      </c>
      <c r="F22" s="26" t="s">
        <v>57</v>
      </c>
      <c r="G22" s="5">
        <f t="shared" si="1"/>
        <v>40488</v>
      </c>
      <c r="H22" s="5">
        <v>8</v>
      </c>
      <c r="I22" s="6" t="str">
        <f t="shared" si="2"/>
        <v>8</v>
      </c>
    </row>
    <row r="23" spans="1:11" x14ac:dyDescent="0.2">
      <c r="A23" t="s">
        <v>3065</v>
      </c>
      <c r="B23" t="s">
        <v>3195</v>
      </c>
      <c r="C23" s="5" t="s">
        <v>51</v>
      </c>
      <c r="D23" t="s">
        <v>3067</v>
      </c>
      <c r="E23" t="str">
        <f t="shared" si="0"/>
        <v>monsters/summon.colours</v>
      </c>
      <c r="F23" s="26" t="s">
        <v>3158</v>
      </c>
      <c r="G23" s="5">
        <f t="shared" si="1"/>
        <v>39476</v>
      </c>
      <c r="H23" s="5">
        <v>8</v>
      </c>
      <c r="I23" s="6" t="str">
        <f t="shared" si="2"/>
        <v>8</v>
      </c>
    </row>
    <row r="24" spans="1:11" x14ac:dyDescent="0.2">
      <c r="A24" t="s">
        <v>2324</v>
      </c>
      <c r="B24" t="s">
        <v>3196</v>
      </c>
      <c r="C24" s="5" t="s">
        <v>51</v>
      </c>
      <c r="D24" t="s">
        <v>3066</v>
      </c>
      <c r="E24" t="str">
        <f t="shared" si="0"/>
        <v>monsters/dragon.colours</v>
      </c>
      <c r="F24" s="26" t="s">
        <v>3159</v>
      </c>
      <c r="G24" s="5">
        <f t="shared" si="1"/>
        <v>40994</v>
      </c>
      <c r="H24" s="5">
        <v>8</v>
      </c>
      <c r="I24" s="6" t="str">
        <f t="shared" si="2"/>
        <v>8</v>
      </c>
    </row>
    <row r="25" spans="1:11" x14ac:dyDescent="0.2">
      <c r="A25" t="s">
        <v>2345</v>
      </c>
      <c r="B25" t="s">
        <v>3197</v>
      </c>
      <c r="C25" s="5" t="s">
        <v>51</v>
      </c>
      <c r="D25" t="s">
        <v>3068</v>
      </c>
      <c r="E25" t="str">
        <f t="shared" si="0"/>
        <v>monsters/behemoth.colours</v>
      </c>
      <c r="F25" s="26" t="s">
        <v>3160</v>
      </c>
      <c r="G25" s="5">
        <f t="shared" si="1"/>
        <v>41386</v>
      </c>
      <c r="H25" s="5">
        <v>8</v>
      </c>
      <c r="I25" s="6" t="str">
        <f t="shared" si="2"/>
        <v>8</v>
      </c>
    </row>
    <row r="26" spans="1:11" x14ac:dyDescent="0.2">
      <c r="A26" t="s">
        <v>2372</v>
      </c>
      <c r="B26" t="s">
        <v>2372</v>
      </c>
      <c r="C26" s="5" t="s">
        <v>48</v>
      </c>
      <c r="D26" t="s">
        <v>58</v>
      </c>
      <c r="E26" t="str">
        <f t="shared" si="0"/>
        <v>data/characters.bodies</v>
      </c>
      <c r="F26" s="5" t="s">
        <v>59</v>
      </c>
      <c r="G26" s="5">
        <f t="shared" si="1"/>
        <v>42008</v>
      </c>
      <c r="H26" s="5">
        <v>86</v>
      </c>
      <c r="I26" s="6" t="str">
        <f t="shared" si="2"/>
        <v>56</v>
      </c>
    </row>
    <row r="27" spans="1:11" x14ac:dyDescent="0.2">
      <c r="A27" t="s">
        <v>2380</v>
      </c>
      <c r="B27" t="s">
        <v>2380</v>
      </c>
      <c r="C27" s="5" t="s">
        <v>48</v>
      </c>
      <c r="D27" t="s">
        <v>60</v>
      </c>
      <c r="E27" t="str">
        <f t="shared" si="0"/>
        <v>data/characters.heads</v>
      </c>
      <c r="F27" s="5" t="s">
        <v>3162</v>
      </c>
      <c r="G27" s="5">
        <f t="shared" si="1"/>
        <v>42390</v>
      </c>
      <c r="H27" s="5">
        <v>86</v>
      </c>
      <c r="I27" s="6" t="str">
        <f t="shared" si="2"/>
        <v>56</v>
      </c>
    </row>
    <row r="28" spans="1:11" x14ac:dyDescent="0.2">
      <c r="A28" t="s">
        <v>2860</v>
      </c>
      <c r="B28" t="s">
        <v>3227</v>
      </c>
      <c r="C28" s="5" t="s">
        <v>48</v>
      </c>
      <c r="D28" t="s">
        <v>61</v>
      </c>
      <c r="E28" t="str">
        <f t="shared" si="0"/>
        <v>data/objectflooricons.block</v>
      </c>
      <c r="F28" s="5" t="s">
        <v>62</v>
      </c>
      <c r="G28" s="5">
        <f t="shared" si="1"/>
        <v>58102</v>
      </c>
      <c r="H28" s="5">
        <v>110</v>
      </c>
      <c r="I28" s="6" t="str">
        <f t="shared" si="2"/>
        <v>6E</v>
      </c>
    </row>
    <row r="29" spans="1:11" x14ac:dyDescent="0.2">
      <c r="A29" t="s">
        <v>2854</v>
      </c>
      <c r="B29" t="s">
        <v>3189</v>
      </c>
      <c r="C29" s="5" t="s">
        <v>48</v>
      </c>
      <c r="D29" t="s">
        <v>63</v>
      </c>
      <c r="E29" t="str">
        <f t="shared" si="0"/>
        <v>data/objecttext.block</v>
      </c>
      <c r="F29" s="5" t="s">
        <v>64</v>
      </c>
      <c r="G29" s="5">
        <f t="shared" si="1"/>
        <v>56986</v>
      </c>
      <c r="H29" s="5">
        <v>610</v>
      </c>
      <c r="I29" s="6" t="str">
        <f t="shared" si="2"/>
        <v>262</v>
      </c>
    </row>
    <row r="30" spans="1:11" ht="17" customHeight="1" x14ac:dyDescent="0.2">
      <c r="A30" t="s">
        <v>2862</v>
      </c>
      <c r="B30" t="s">
        <v>3198</v>
      </c>
      <c r="C30" s="5" t="s">
        <v>48</v>
      </c>
      <c r="D30" t="s">
        <v>3190</v>
      </c>
      <c r="E30" t="str">
        <f t="shared" si="0"/>
        <v>data/objectfloor.colours</v>
      </c>
      <c r="F30" s="5" t="s">
        <v>3231</v>
      </c>
      <c r="G30" s="5">
        <f t="shared" si="1"/>
        <v>58348</v>
      </c>
      <c r="H30" s="5">
        <v>110</v>
      </c>
      <c r="I30" s="6" t="str">
        <f t="shared" si="2"/>
        <v>6E</v>
      </c>
    </row>
    <row r="31" spans="1:11" x14ac:dyDescent="0.2">
      <c r="A31" t="s">
        <v>2863</v>
      </c>
      <c r="B31" t="s">
        <v>3199</v>
      </c>
      <c r="C31" s="5" t="s">
        <v>48</v>
      </c>
      <c r="D31" t="s">
        <v>3200</v>
      </c>
      <c r="E31" t="str">
        <f t="shared" si="0"/>
        <v>data/objectfloor.palette</v>
      </c>
      <c r="F31" s="5" t="s">
        <v>3230</v>
      </c>
      <c r="G31" s="5">
        <f t="shared" si="1"/>
        <v>58458</v>
      </c>
      <c r="H31" s="5">
        <v>172</v>
      </c>
      <c r="I31" s="6" t="str">
        <f t="shared" si="2"/>
        <v>AC</v>
      </c>
    </row>
    <row r="32" spans="1:11" x14ac:dyDescent="0.2">
      <c r="A32" t="s">
        <v>3012</v>
      </c>
      <c r="B32" t="s">
        <v>3012</v>
      </c>
      <c r="C32" s="5" t="s">
        <v>121</v>
      </c>
      <c r="D32" t="s">
        <v>163</v>
      </c>
      <c r="E32" t="str">
        <f t="shared" si="0"/>
        <v>gfx/ObjectsOnFloor.gfx</v>
      </c>
      <c r="F32" s="5" t="s">
        <v>3237</v>
      </c>
      <c r="G32" s="5">
        <f t="shared" si="1"/>
        <v>207836</v>
      </c>
      <c r="H32" s="5">
        <v>6168</v>
      </c>
      <c r="I32" s="6" t="str">
        <f t="shared" si="2"/>
        <v>1818</v>
      </c>
      <c r="K32" s="19" t="s">
        <v>4489</v>
      </c>
    </row>
    <row r="33" spans="1:11" x14ac:dyDescent="0.2">
      <c r="A33" t="s">
        <v>2864</v>
      </c>
      <c r="B33" t="s">
        <v>3143</v>
      </c>
      <c r="C33" s="5" t="s">
        <v>121</v>
      </c>
      <c r="D33" t="s">
        <v>164</v>
      </c>
      <c r="E33" t="str">
        <f t="shared" si="0"/>
        <v>gfx/ObjectsOnFloor.offsets</v>
      </c>
      <c r="F33" s="5" t="s">
        <v>3229</v>
      </c>
      <c r="G33" s="5">
        <f t="shared" si="1"/>
        <v>58630</v>
      </c>
      <c r="H33" s="5">
        <v>270</v>
      </c>
      <c r="I33" s="6" t="str">
        <f t="shared" si="2"/>
        <v>10E</v>
      </c>
    </row>
    <row r="34" spans="1:11" x14ac:dyDescent="0.2">
      <c r="A34" t="s">
        <v>2861</v>
      </c>
      <c r="B34" t="s">
        <v>3144</v>
      </c>
      <c r="C34" s="5" t="s">
        <v>121</v>
      </c>
      <c r="D34" t="s">
        <v>165</v>
      </c>
      <c r="E34" t="str">
        <f t="shared" si="0"/>
        <v>gfx/ObjectsOnFloor.heights</v>
      </c>
      <c r="F34" s="5" t="s">
        <v>3228</v>
      </c>
      <c r="G34" s="5">
        <f t="shared" si="1"/>
        <v>58212</v>
      </c>
      <c r="H34" s="5">
        <v>136</v>
      </c>
      <c r="I34" s="6" t="str">
        <f t="shared" si="2"/>
        <v>88</v>
      </c>
    </row>
    <row r="35" spans="1:11" ht="17" x14ac:dyDescent="0.25">
      <c r="A35" t="s">
        <v>2877</v>
      </c>
      <c r="B35" t="s">
        <v>3257</v>
      </c>
      <c r="C35" s="7" t="s">
        <v>48</v>
      </c>
      <c r="D35" t="s">
        <v>65</v>
      </c>
      <c r="E35" t="str">
        <f t="shared" si="0"/>
        <v>data/champions.stats</v>
      </c>
      <c r="F35" s="5" t="s">
        <v>66</v>
      </c>
      <c r="G35" s="5">
        <f t="shared" si="1"/>
        <v>59302</v>
      </c>
      <c r="H35" s="5">
        <v>512</v>
      </c>
      <c r="I35" s="6" t="str">
        <f t="shared" si="2"/>
        <v>200</v>
      </c>
      <c r="K35" s="19" t="s">
        <v>5257</v>
      </c>
    </row>
    <row r="36" spans="1:11" x14ac:dyDescent="0.2">
      <c r="A36" s="8" t="s">
        <v>2881</v>
      </c>
      <c r="B36" t="s">
        <v>3258</v>
      </c>
      <c r="C36" s="5" t="s">
        <v>48</v>
      </c>
      <c r="D36" t="s">
        <v>67</v>
      </c>
      <c r="E36" t="str">
        <f t="shared" si="0"/>
        <v>data/champions.pockets</v>
      </c>
      <c r="F36" s="5" t="s">
        <v>68</v>
      </c>
      <c r="G36" s="5">
        <f t="shared" si="1"/>
        <v>59814</v>
      </c>
      <c r="H36" s="5">
        <v>256</v>
      </c>
      <c r="I36" s="6" t="str">
        <f t="shared" si="2"/>
        <v>100</v>
      </c>
    </row>
    <row r="37" spans="1:11" x14ac:dyDescent="0.2">
      <c r="A37" t="s">
        <v>2992</v>
      </c>
      <c r="B37" t="s">
        <v>3155</v>
      </c>
      <c r="C37" s="5" t="s">
        <v>48</v>
      </c>
      <c r="D37" t="s">
        <v>69</v>
      </c>
      <c r="E37" t="str">
        <f t="shared" si="0"/>
        <v>data/scrolls.text</v>
      </c>
      <c r="F37" s="5" t="s">
        <v>72</v>
      </c>
      <c r="G37" s="5">
        <f t="shared" si="1"/>
        <v>106538</v>
      </c>
      <c r="H37" s="5">
        <v>3234</v>
      </c>
      <c r="I37" s="6" t="str">
        <f t="shared" si="2"/>
        <v>CA2</v>
      </c>
    </row>
    <row r="38" spans="1:11" x14ac:dyDescent="0.2">
      <c r="A38" t="s">
        <v>2991</v>
      </c>
      <c r="B38" t="s">
        <v>3154</v>
      </c>
      <c r="C38" s="5" t="s">
        <v>48</v>
      </c>
      <c r="D38" t="s">
        <v>71</v>
      </c>
      <c r="E38" t="str">
        <f t="shared" si="0"/>
        <v>data/scrolls.offsets</v>
      </c>
      <c r="F38" s="5" t="s">
        <v>70</v>
      </c>
      <c r="G38" s="5">
        <f t="shared" si="1"/>
        <v>106392</v>
      </c>
      <c r="H38" s="5">
        <v>146</v>
      </c>
      <c r="I38" s="6" t="str">
        <f t="shared" si="2"/>
        <v>92</v>
      </c>
    </row>
    <row r="39" spans="1:11" x14ac:dyDescent="0.2">
      <c r="A39" t="s">
        <v>1398</v>
      </c>
      <c r="B39" t="s">
        <v>3153</v>
      </c>
      <c r="C39" s="5" t="s">
        <v>48</v>
      </c>
      <c r="D39" t="s">
        <v>3156</v>
      </c>
      <c r="E39" t="str">
        <f t="shared" si="0"/>
        <v>data/scrollstowers.data</v>
      </c>
      <c r="F39" s="5" t="s">
        <v>3157</v>
      </c>
      <c r="G39" s="5">
        <f t="shared" si="1"/>
        <v>21966</v>
      </c>
      <c r="H39" s="5">
        <v>6</v>
      </c>
      <c r="I39" s="6" t="str">
        <f t="shared" si="2"/>
        <v>6</v>
      </c>
    </row>
    <row r="40" spans="1:11" x14ac:dyDescent="0.2">
      <c r="A40" t="s">
        <v>2940</v>
      </c>
      <c r="B40" t="s">
        <v>2940</v>
      </c>
      <c r="C40" s="5" t="s">
        <v>8</v>
      </c>
      <c r="D40" t="s">
        <v>73</v>
      </c>
      <c r="E40" t="str">
        <f t="shared" si="0"/>
        <v>maps/mod0.map</v>
      </c>
      <c r="F40" s="5" t="s">
        <v>74</v>
      </c>
      <c r="G40" s="5">
        <f t="shared" si="1"/>
        <v>60348</v>
      </c>
      <c r="H40" s="5">
        <v>4096</v>
      </c>
      <c r="I40" s="6" t="str">
        <f t="shared" si="2"/>
        <v>1000</v>
      </c>
    </row>
    <row r="41" spans="1:11" x14ac:dyDescent="0.2">
      <c r="A41" t="s">
        <v>2941</v>
      </c>
      <c r="B41" t="s">
        <v>2941</v>
      </c>
      <c r="C41" s="5" t="s">
        <v>8</v>
      </c>
      <c r="D41" t="s">
        <v>75</v>
      </c>
      <c r="E41" t="str">
        <f t="shared" si="0"/>
        <v>maps/mod0.obj</v>
      </c>
      <c r="F41" s="5" t="s">
        <v>76</v>
      </c>
      <c r="G41" s="5">
        <f t="shared" si="1"/>
        <v>64444</v>
      </c>
      <c r="H41" s="5">
        <v>1026</v>
      </c>
      <c r="I41" s="6" t="str">
        <f t="shared" si="2"/>
        <v>402</v>
      </c>
    </row>
    <row r="42" spans="1:11" x14ac:dyDescent="0.2">
      <c r="A42" t="s">
        <v>2944</v>
      </c>
      <c r="B42" t="s">
        <v>2944</v>
      </c>
      <c r="C42" s="5" t="s">
        <v>8</v>
      </c>
      <c r="D42" t="s">
        <v>77</v>
      </c>
      <c r="E42" t="str">
        <f t="shared" si="0"/>
        <v>maps/serp.map</v>
      </c>
      <c r="F42" s="5" t="s">
        <v>78</v>
      </c>
      <c r="G42" s="5">
        <f t="shared" si="1"/>
        <v>65470</v>
      </c>
      <c r="H42" s="5">
        <v>4096</v>
      </c>
      <c r="I42" s="6" t="str">
        <f t="shared" si="2"/>
        <v>1000</v>
      </c>
    </row>
    <row r="43" spans="1:11" x14ac:dyDescent="0.2">
      <c r="A43" t="s">
        <v>2945</v>
      </c>
      <c r="B43" t="s">
        <v>2945</v>
      </c>
      <c r="C43" s="5" t="s">
        <v>8</v>
      </c>
      <c r="D43" t="s">
        <v>79</v>
      </c>
      <c r="E43" t="str">
        <f t="shared" si="0"/>
        <v>maps/serp.obj</v>
      </c>
      <c r="F43" s="5" t="s">
        <v>80</v>
      </c>
      <c r="G43" s="5">
        <f t="shared" si="1"/>
        <v>69566</v>
      </c>
      <c r="H43" s="5">
        <v>1026</v>
      </c>
      <c r="I43" s="6" t="str">
        <f t="shared" si="2"/>
        <v>402</v>
      </c>
    </row>
    <row r="44" spans="1:11" x14ac:dyDescent="0.2">
      <c r="A44" t="s">
        <v>3263</v>
      </c>
      <c r="B44" t="s">
        <v>3064</v>
      </c>
      <c r="C44" s="5" t="s">
        <v>8</v>
      </c>
      <c r="D44" t="s">
        <v>81</v>
      </c>
      <c r="E44" t="str">
        <f t="shared" si="0"/>
        <v>maps/moon.map</v>
      </c>
      <c r="F44" s="5" t="s">
        <v>82</v>
      </c>
      <c r="G44" s="5">
        <f t="shared" si="1"/>
        <v>70592</v>
      </c>
      <c r="H44" s="5">
        <v>4096</v>
      </c>
      <c r="I44" s="6" t="str">
        <f t="shared" si="2"/>
        <v>1000</v>
      </c>
    </row>
    <row r="45" spans="1:11" x14ac:dyDescent="0.2">
      <c r="A45" t="s">
        <v>2946</v>
      </c>
      <c r="B45" t="s">
        <v>2946</v>
      </c>
      <c r="C45" s="5" t="s">
        <v>8</v>
      </c>
      <c r="D45" t="s">
        <v>83</v>
      </c>
      <c r="E45" t="str">
        <f t="shared" si="0"/>
        <v>maps/moon.obj</v>
      </c>
      <c r="F45" s="5" t="s">
        <v>84</v>
      </c>
      <c r="G45" s="5">
        <f t="shared" si="1"/>
        <v>74688</v>
      </c>
      <c r="H45" s="5">
        <v>1026</v>
      </c>
      <c r="I45" s="6" t="str">
        <f t="shared" si="2"/>
        <v>402</v>
      </c>
    </row>
    <row r="46" spans="1:11" x14ac:dyDescent="0.2">
      <c r="A46" t="s">
        <v>2947</v>
      </c>
      <c r="B46" t="s">
        <v>2947</v>
      </c>
      <c r="C46" s="5" t="s">
        <v>8</v>
      </c>
      <c r="D46" t="s">
        <v>85</v>
      </c>
      <c r="E46" t="str">
        <f t="shared" si="0"/>
        <v>maps/drag.map</v>
      </c>
      <c r="F46" s="5" t="s">
        <v>86</v>
      </c>
      <c r="G46" s="5">
        <f t="shared" si="1"/>
        <v>75714</v>
      </c>
      <c r="H46" s="5">
        <v>4096</v>
      </c>
      <c r="I46" s="6" t="str">
        <f t="shared" si="2"/>
        <v>1000</v>
      </c>
    </row>
    <row r="47" spans="1:11" x14ac:dyDescent="0.2">
      <c r="A47" t="s">
        <v>2948</v>
      </c>
      <c r="B47" t="s">
        <v>2948</v>
      </c>
      <c r="C47" s="5" t="s">
        <v>8</v>
      </c>
      <c r="D47" t="s">
        <v>87</v>
      </c>
      <c r="E47" t="str">
        <f t="shared" si="0"/>
        <v>maps/drag.obj</v>
      </c>
      <c r="F47" s="5" t="s">
        <v>88</v>
      </c>
      <c r="G47" s="5">
        <f t="shared" si="1"/>
        <v>79810</v>
      </c>
      <c r="H47" s="5">
        <v>1026</v>
      </c>
      <c r="I47" s="6" t="str">
        <f t="shared" si="2"/>
        <v>402</v>
      </c>
    </row>
    <row r="48" spans="1:11" x14ac:dyDescent="0.2">
      <c r="A48" t="s">
        <v>2949</v>
      </c>
      <c r="B48" t="s">
        <v>2949</v>
      </c>
      <c r="C48" s="5" t="s">
        <v>8</v>
      </c>
      <c r="D48" t="s">
        <v>89</v>
      </c>
      <c r="E48" t="str">
        <f t="shared" si="0"/>
        <v>maps/chaos.map</v>
      </c>
      <c r="F48" s="5" t="s">
        <v>90</v>
      </c>
      <c r="G48" s="5">
        <f t="shared" si="1"/>
        <v>80836</v>
      </c>
      <c r="H48" s="5">
        <v>4096</v>
      </c>
      <c r="I48" s="6" t="str">
        <f t="shared" si="2"/>
        <v>1000</v>
      </c>
    </row>
    <row r="49" spans="1:13" x14ac:dyDescent="0.2">
      <c r="A49" t="s">
        <v>2950</v>
      </c>
      <c r="B49" t="s">
        <v>2950</v>
      </c>
      <c r="C49" s="5" t="s">
        <v>8</v>
      </c>
      <c r="D49" t="s">
        <v>91</v>
      </c>
      <c r="E49" t="str">
        <f t="shared" si="0"/>
        <v>maps/chaos.obj</v>
      </c>
      <c r="F49" s="5" t="s">
        <v>92</v>
      </c>
      <c r="G49" s="5">
        <f t="shared" si="1"/>
        <v>84932</v>
      </c>
      <c r="H49" s="5">
        <v>1026</v>
      </c>
      <c r="I49" s="6" t="str">
        <f t="shared" si="2"/>
        <v>402</v>
      </c>
    </row>
    <row r="50" spans="1:13" x14ac:dyDescent="0.2">
      <c r="A50" t="s">
        <v>2951</v>
      </c>
      <c r="B50" t="s">
        <v>2951</v>
      </c>
      <c r="C50" s="5" t="s">
        <v>8</v>
      </c>
      <c r="D50" t="s">
        <v>93</v>
      </c>
      <c r="E50" t="str">
        <f t="shared" si="0"/>
        <v>maps/zendik.map</v>
      </c>
      <c r="F50" s="5" t="s">
        <v>94</v>
      </c>
      <c r="G50" s="5">
        <f t="shared" si="1"/>
        <v>85958</v>
      </c>
      <c r="H50" s="5">
        <v>4096</v>
      </c>
      <c r="I50" s="6" t="str">
        <f t="shared" si="2"/>
        <v>1000</v>
      </c>
    </row>
    <row r="51" spans="1:13" x14ac:dyDescent="0.2">
      <c r="A51" t="s">
        <v>2952</v>
      </c>
      <c r="B51" t="s">
        <v>2952</v>
      </c>
      <c r="C51" s="5" t="s">
        <v>8</v>
      </c>
      <c r="D51" t="s">
        <v>95</v>
      </c>
      <c r="E51" t="str">
        <f t="shared" si="0"/>
        <v>maps/zendik.obj</v>
      </c>
      <c r="F51" s="5" t="s">
        <v>96</v>
      </c>
      <c r="G51" s="5">
        <f t="shared" si="1"/>
        <v>90054</v>
      </c>
      <c r="H51" s="5">
        <v>1026</v>
      </c>
      <c r="I51" s="6" t="str">
        <f t="shared" si="2"/>
        <v>402</v>
      </c>
    </row>
    <row r="52" spans="1:13" x14ac:dyDescent="0.2">
      <c r="A52" t="s">
        <v>2967</v>
      </c>
      <c r="B52" s="22" t="s">
        <v>2967</v>
      </c>
      <c r="C52" s="23" t="s">
        <v>8</v>
      </c>
      <c r="D52" s="22" t="s">
        <v>97</v>
      </c>
      <c r="E52" t="str">
        <f t="shared" si="0"/>
        <v>maps/monsters.totals</v>
      </c>
      <c r="F52" s="23" t="s">
        <v>98</v>
      </c>
      <c r="G52" s="5">
        <f t="shared" si="1"/>
        <v>94708</v>
      </c>
      <c r="H52" s="23">
        <v>12</v>
      </c>
      <c r="I52" s="6" t="str">
        <f t="shared" si="2"/>
        <v>C</v>
      </c>
      <c r="J52" s="6" t="s">
        <v>3419</v>
      </c>
    </row>
    <row r="53" spans="1:13" x14ac:dyDescent="0.2">
      <c r="A53" t="s">
        <v>2967</v>
      </c>
      <c r="B53" t="s">
        <v>3420</v>
      </c>
      <c r="C53" s="7" t="s">
        <v>8</v>
      </c>
      <c r="D53" t="s">
        <v>99</v>
      </c>
      <c r="E53" t="str">
        <f t="shared" si="0"/>
        <v>maps/mod0.monstercount</v>
      </c>
      <c r="F53" s="5" t="s">
        <v>98</v>
      </c>
      <c r="G53" s="5">
        <f t="shared" si="1"/>
        <v>94708</v>
      </c>
      <c r="H53" s="5">
        <v>2</v>
      </c>
      <c r="I53" s="6" t="str">
        <f t="shared" si="2"/>
        <v>2</v>
      </c>
      <c r="J53" s="6" t="s">
        <v>3409</v>
      </c>
      <c r="K53" s="19" t="s">
        <v>5255</v>
      </c>
    </row>
    <row r="54" spans="1:13" ht="17" x14ac:dyDescent="0.25">
      <c r="A54" s="11" t="s">
        <v>2967</v>
      </c>
      <c r="B54" s="8" t="s">
        <v>3421</v>
      </c>
      <c r="C54" s="5" t="s">
        <v>8</v>
      </c>
      <c r="D54" t="s">
        <v>100</v>
      </c>
      <c r="E54" t="str">
        <f t="shared" si="0"/>
        <v>maps/serp.monstercount</v>
      </c>
      <c r="F54" s="5" t="s">
        <v>101</v>
      </c>
      <c r="G54" s="5">
        <f t="shared" si="1"/>
        <v>94710</v>
      </c>
      <c r="H54" s="5">
        <v>2</v>
      </c>
      <c r="I54" s="6" t="str">
        <f t="shared" si="2"/>
        <v>2</v>
      </c>
      <c r="J54" s="16" t="s">
        <v>3414</v>
      </c>
      <c r="K54" s="21"/>
      <c r="L54" s="17"/>
      <c r="M54" s="17"/>
    </row>
    <row r="55" spans="1:13" ht="17" x14ac:dyDescent="0.25">
      <c r="A55" s="11" t="s">
        <v>2967</v>
      </c>
      <c r="B55" s="8" t="s">
        <v>3422</v>
      </c>
      <c r="C55" s="5" t="s">
        <v>8</v>
      </c>
      <c r="D55" t="s">
        <v>102</v>
      </c>
      <c r="E55" t="str">
        <f t="shared" si="0"/>
        <v>maps/moon.monstercount</v>
      </c>
      <c r="F55" s="5" t="s">
        <v>103</v>
      </c>
      <c r="G55" s="5">
        <f t="shared" si="1"/>
        <v>94712</v>
      </c>
      <c r="H55" s="5">
        <v>2</v>
      </c>
      <c r="I55" s="6" t="str">
        <f t="shared" si="2"/>
        <v>2</v>
      </c>
      <c r="J55" s="16" t="s">
        <v>3414</v>
      </c>
      <c r="K55" s="21"/>
      <c r="L55" s="17"/>
      <c r="M55" s="17"/>
    </row>
    <row r="56" spans="1:13" ht="17" x14ac:dyDescent="0.25">
      <c r="A56" s="11" t="s">
        <v>2967</v>
      </c>
      <c r="B56" s="8" t="s">
        <v>3423</v>
      </c>
      <c r="C56" s="5" t="s">
        <v>8</v>
      </c>
      <c r="D56" t="s">
        <v>104</v>
      </c>
      <c r="E56" t="str">
        <f t="shared" si="0"/>
        <v>maps/drag.monstercount</v>
      </c>
      <c r="F56" s="5" t="s">
        <v>105</v>
      </c>
      <c r="G56" s="5">
        <f t="shared" si="1"/>
        <v>94714</v>
      </c>
      <c r="H56" s="5">
        <v>2</v>
      </c>
      <c r="I56" s="6" t="str">
        <f t="shared" si="2"/>
        <v>2</v>
      </c>
      <c r="J56" s="16" t="s">
        <v>3414</v>
      </c>
      <c r="K56" s="21"/>
      <c r="L56" s="17"/>
      <c r="M56" s="17"/>
    </row>
    <row r="57" spans="1:13" ht="17" x14ac:dyDescent="0.25">
      <c r="A57" s="11" t="s">
        <v>2967</v>
      </c>
      <c r="B57" s="8" t="s">
        <v>3424</v>
      </c>
      <c r="C57" s="5" t="s">
        <v>8</v>
      </c>
      <c r="D57" t="s">
        <v>106</v>
      </c>
      <c r="E57" t="str">
        <f t="shared" si="0"/>
        <v>maps/chaos.monstercount</v>
      </c>
      <c r="F57" s="5" t="s">
        <v>107</v>
      </c>
      <c r="G57" s="5">
        <f t="shared" si="1"/>
        <v>94716</v>
      </c>
      <c r="H57" s="5">
        <v>2</v>
      </c>
      <c r="I57" s="6" t="str">
        <f t="shared" si="2"/>
        <v>2</v>
      </c>
      <c r="J57" s="16" t="s">
        <v>3414</v>
      </c>
      <c r="K57" s="21"/>
      <c r="L57" s="17"/>
      <c r="M57" s="17"/>
    </row>
    <row r="58" spans="1:13" ht="17" x14ac:dyDescent="0.25">
      <c r="A58" s="11" t="s">
        <v>2967</v>
      </c>
      <c r="B58" s="8" t="s">
        <v>3425</v>
      </c>
      <c r="C58" s="5" t="s">
        <v>8</v>
      </c>
      <c r="D58" t="s">
        <v>108</v>
      </c>
      <c r="E58" t="str">
        <f t="shared" si="0"/>
        <v>maps/zendik.monstercount</v>
      </c>
      <c r="F58" s="5" t="s">
        <v>109</v>
      </c>
      <c r="G58" s="5">
        <f t="shared" si="1"/>
        <v>94718</v>
      </c>
      <c r="H58" s="5">
        <v>2</v>
      </c>
      <c r="I58" s="6" t="str">
        <f t="shared" si="2"/>
        <v>2</v>
      </c>
      <c r="J58" s="16" t="s">
        <v>3414</v>
      </c>
      <c r="K58" s="21"/>
      <c r="L58" s="17"/>
      <c r="M58" s="17"/>
    </row>
    <row r="59" spans="1:13" ht="17" x14ac:dyDescent="0.25">
      <c r="A59" t="s">
        <v>2968</v>
      </c>
      <c r="B59" s="8"/>
      <c r="E59" t="str">
        <f t="shared" ref="E59" si="4">IF(D59&lt;&gt;"",C59&amp;"/"&amp;D59,"")</f>
        <v/>
      </c>
      <c r="G59" s="5" t="str">
        <f t="shared" si="1"/>
        <v/>
      </c>
      <c r="I59" s="6" t="str">
        <f t="shared" si="2"/>
        <v>0</v>
      </c>
      <c r="J59" s="16"/>
      <c r="K59" s="21"/>
      <c r="L59" s="17"/>
      <c r="M59" s="17"/>
    </row>
    <row r="60" spans="1:13" x14ac:dyDescent="0.2">
      <c r="A60" t="s">
        <v>2968</v>
      </c>
      <c r="B60" t="s">
        <v>3689</v>
      </c>
      <c r="C60" s="7" t="s">
        <v>8</v>
      </c>
      <c r="D60" t="s">
        <v>110</v>
      </c>
      <c r="E60" t="str">
        <f t="shared" si="0"/>
        <v>maps/mod0.monsters</v>
      </c>
      <c r="F60" s="5" t="s">
        <v>111</v>
      </c>
      <c r="G60" s="5">
        <f t="shared" si="1"/>
        <v>94720</v>
      </c>
      <c r="H60" s="27">
        <v>768</v>
      </c>
      <c r="I60" s="6" t="str">
        <f t="shared" si="2"/>
        <v>300</v>
      </c>
      <c r="J60" s="6" t="s">
        <v>3409</v>
      </c>
      <c r="K60" s="19" t="s">
        <v>5256</v>
      </c>
    </row>
    <row r="61" spans="1:13" ht="17" x14ac:dyDescent="0.25">
      <c r="A61" t="s">
        <v>2968</v>
      </c>
      <c r="B61" s="8" t="s">
        <v>3690</v>
      </c>
      <c r="C61" s="5" t="s">
        <v>8</v>
      </c>
      <c r="D61" t="s">
        <v>112</v>
      </c>
      <c r="E61" t="str">
        <f t="shared" si="0"/>
        <v>maps/serp.monsters</v>
      </c>
      <c r="F61" s="5" t="s">
        <v>113</v>
      </c>
      <c r="G61" s="5">
        <f t="shared" si="1"/>
        <v>95488</v>
      </c>
      <c r="H61" s="5">
        <v>768</v>
      </c>
      <c r="I61" s="6" t="str">
        <f t="shared" si="2"/>
        <v>300</v>
      </c>
      <c r="J61" s="16" t="s">
        <v>3414</v>
      </c>
    </row>
    <row r="62" spans="1:13" ht="17" x14ac:dyDescent="0.25">
      <c r="A62" t="s">
        <v>2968</v>
      </c>
      <c r="B62" s="8" t="s">
        <v>3691</v>
      </c>
      <c r="C62" s="5" t="s">
        <v>8</v>
      </c>
      <c r="D62" t="s">
        <v>114</v>
      </c>
      <c r="E62" t="str">
        <f t="shared" si="0"/>
        <v>maps/moon.monsters</v>
      </c>
      <c r="F62" s="5" t="s">
        <v>115</v>
      </c>
      <c r="G62" s="5">
        <f t="shared" si="1"/>
        <v>96256</v>
      </c>
      <c r="H62" s="5">
        <v>768</v>
      </c>
      <c r="I62" s="6" t="str">
        <f t="shared" si="2"/>
        <v>300</v>
      </c>
      <c r="J62" s="16" t="s">
        <v>3414</v>
      </c>
    </row>
    <row r="63" spans="1:13" ht="17" x14ac:dyDescent="0.25">
      <c r="A63" t="s">
        <v>2968</v>
      </c>
      <c r="B63" s="8" t="s">
        <v>3692</v>
      </c>
      <c r="C63" s="5" t="s">
        <v>8</v>
      </c>
      <c r="D63" t="s">
        <v>116</v>
      </c>
      <c r="E63" t="str">
        <f t="shared" si="0"/>
        <v>maps/drag.monsters</v>
      </c>
      <c r="F63" s="5" t="s">
        <v>117</v>
      </c>
      <c r="G63" s="5">
        <f t="shared" si="1"/>
        <v>97024</v>
      </c>
      <c r="H63" s="5">
        <v>768</v>
      </c>
      <c r="I63" s="6" t="str">
        <f t="shared" si="2"/>
        <v>300</v>
      </c>
      <c r="J63" s="16" t="s">
        <v>3414</v>
      </c>
    </row>
    <row r="64" spans="1:13" ht="17" x14ac:dyDescent="0.25">
      <c r="A64" t="s">
        <v>2968</v>
      </c>
      <c r="B64" s="8" t="s">
        <v>3693</v>
      </c>
      <c r="C64" s="5" t="s">
        <v>8</v>
      </c>
      <c r="D64" t="s">
        <v>118</v>
      </c>
      <c r="E64" t="str">
        <f t="shared" si="0"/>
        <v>maps/chaos.monsters</v>
      </c>
      <c r="F64" s="5" t="s">
        <v>119</v>
      </c>
      <c r="G64" s="5">
        <f t="shared" si="1"/>
        <v>97792</v>
      </c>
      <c r="H64" s="5">
        <v>768</v>
      </c>
      <c r="I64" s="6" t="str">
        <f t="shared" si="2"/>
        <v>300</v>
      </c>
      <c r="J64" s="16" t="s">
        <v>3414</v>
      </c>
    </row>
    <row r="65" spans="1:16" ht="17" x14ac:dyDescent="0.25">
      <c r="A65" t="s">
        <v>2968</v>
      </c>
      <c r="B65" s="8" t="s">
        <v>3694</v>
      </c>
      <c r="C65" s="5" t="s">
        <v>8</v>
      </c>
      <c r="D65" t="s">
        <v>120</v>
      </c>
      <c r="E65" t="str">
        <f t="shared" si="0"/>
        <v>maps/zendik.monsters</v>
      </c>
      <c r="F65" s="5" t="s">
        <v>3714</v>
      </c>
      <c r="G65" s="5">
        <f t="shared" ref="G65:G128" si="5">IF(F65&lt;&gt;"",HEX2DEC(SUBSTITUTE(SUBSTITUTE(F65,"adrEA",""),"$","")),"")</f>
        <v>98560</v>
      </c>
      <c r="H65" s="5">
        <v>768</v>
      </c>
      <c r="I65" s="6" t="str">
        <f t="shared" ref="I65:I128" si="6">IFERROR(DEC2HEX(H65),"")</f>
        <v>300</v>
      </c>
      <c r="J65" s="16" t="s">
        <v>3414</v>
      </c>
    </row>
    <row r="66" spans="1:16" x14ac:dyDescent="0.2">
      <c r="A66" t="s">
        <v>302</v>
      </c>
      <c r="B66" t="s">
        <v>122</v>
      </c>
      <c r="C66" s="5" t="s">
        <v>121</v>
      </c>
      <c r="D66" t="s">
        <v>122</v>
      </c>
      <c r="E66" t="str">
        <f t="shared" ref="E66:E103" si="7">IF(D66&lt;&gt;"",C66&amp;"/"&amp;D66,"")</f>
        <v>gfx/GameFont</v>
      </c>
      <c r="F66" s="5" t="s">
        <v>303</v>
      </c>
      <c r="G66" s="5">
        <f t="shared" si="5"/>
        <v>100602</v>
      </c>
      <c r="H66" s="5">
        <v>640</v>
      </c>
      <c r="I66" s="6" t="str">
        <f t="shared" si="6"/>
        <v>280</v>
      </c>
      <c r="K66" s="19" t="s">
        <v>4490</v>
      </c>
    </row>
    <row r="67" spans="1:16" x14ac:dyDescent="0.2">
      <c r="A67" t="s">
        <v>2981</v>
      </c>
      <c r="B67" t="s">
        <v>3137</v>
      </c>
      <c r="C67" s="5" t="s">
        <v>121</v>
      </c>
      <c r="D67" t="s">
        <v>123</v>
      </c>
      <c r="E67" t="str">
        <f t="shared" si="7"/>
        <v>gfx/ButtonHighlights.gfx</v>
      </c>
      <c r="F67" s="5" t="s">
        <v>3164</v>
      </c>
      <c r="G67" s="5">
        <f t="shared" si="5"/>
        <v>101242</v>
      </c>
      <c r="H67" s="5" t="s">
        <v>124</v>
      </c>
      <c r="I67" s="6" t="str">
        <f t="shared" si="6"/>
        <v>2C0</v>
      </c>
      <c r="N67" t="e">
        <f>DEC2HEX(#REF!+#REF!)</f>
        <v>#REF!</v>
      </c>
      <c r="O67" t="e">
        <f>DEC2HEX(#REF!+#REF!)</f>
        <v>#REF!</v>
      </c>
      <c r="P67" t="s">
        <v>3163</v>
      </c>
    </row>
    <row r="68" spans="1:16" x14ac:dyDescent="0.2">
      <c r="A68" t="s">
        <v>2982</v>
      </c>
      <c r="B68" t="s">
        <v>3138</v>
      </c>
      <c r="C68" s="5" t="s">
        <v>121</v>
      </c>
      <c r="D68" t="s">
        <v>125</v>
      </c>
      <c r="E68" t="str">
        <f t="shared" si="7"/>
        <v>gfx/Scroll_Edge_Top.gfx</v>
      </c>
      <c r="F68" s="5" t="s">
        <v>3165</v>
      </c>
      <c r="G68" s="5">
        <f t="shared" si="5"/>
        <v>101946</v>
      </c>
      <c r="H68" s="5" t="s">
        <v>126</v>
      </c>
      <c r="I68" s="6" t="str">
        <f t="shared" si="6"/>
        <v>2D0</v>
      </c>
      <c r="N68" t="str">
        <f>DEC2HEX(G67+H67)</f>
        <v>18E3A</v>
      </c>
      <c r="O68" t="e">
        <f>DEC2HEX(#REF!+#REF!)</f>
        <v>#REF!</v>
      </c>
    </row>
    <row r="69" spans="1:16" x14ac:dyDescent="0.2">
      <c r="A69" t="s">
        <v>2983</v>
      </c>
      <c r="B69" t="s">
        <v>3140</v>
      </c>
      <c r="C69" s="5" t="s">
        <v>121</v>
      </c>
      <c r="D69" t="s">
        <v>127</v>
      </c>
      <c r="E69" t="str">
        <f t="shared" si="7"/>
        <v>gfx/Scroll_Edge_Bottom.gfx</v>
      </c>
      <c r="F69" s="5" t="s">
        <v>3166</v>
      </c>
      <c r="G69" s="5">
        <f t="shared" si="5"/>
        <v>102666</v>
      </c>
      <c r="H69" s="5" t="s">
        <v>126</v>
      </c>
      <c r="I69" s="6" t="str">
        <f t="shared" si="6"/>
        <v>2D0</v>
      </c>
      <c r="N69" t="str">
        <f>DEC2HEX(G68+H68)</f>
        <v>1910A</v>
      </c>
      <c r="O69" t="e">
        <f>DEC2HEX(#REF!+#REF!)</f>
        <v>#REF!</v>
      </c>
    </row>
    <row r="70" spans="1:16" x14ac:dyDescent="0.2">
      <c r="A70" t="s">
        <v>2984</v>
      </c>
      <c r="B70" t="s">
        <v>3139</v>
      </c>
      <c r="C70" s="5" t="s">
        <v>121</v>
      </c>
      <c r="D70" t="s">
        <v>128</v>
      </c>
      <c r="E70" t="str">
        <f t="shared" si="7"/>
        <v>gfx/Scroll_Edge_Left.gfx</v>
      </c>
      <c r="F70" s="5" t="s">
        <v>3167</v>
      </c>
      <c r="G70" s="5">
        <f t="shared" si="5"/>
        <v>103386</v>
      </c>
      <c r="H70" s="5" t="s">
        <v>129</v>
      </c>
      <c r="I70" s="6" t="str">
        <f t="shared" si="6"/>
        <v>1D0</v>
      </c>
      <c r="N70" t="str">
        <f>DEC2HEX(G69+H69)</f>
        <v>193DA</v>
      </c>
      <c r="O70" t="e">
        <f>DEC2HEX(#REF!+#REF!)</f>
        <v>#REF!</v>
      </c>
    </row>
    <row r="71" spans="1:16" ht="17" x14ac:dyDescent="0.25">
      <c r="A71" t="s">
        <v>2985</v>
      </c>
      <c r="B71" s="17" t="s">
        <v>3141</v>
      </c>
      <c r="C71" s="5" t="s">
        <v>121</v>
      </c>
      <c r="D71" s="17" t="s">
        <v>130</v>
      </c>
      <c r="E71" t="str">
        <f t="shared" si="7"/>
        <v>gfx/Scroll_Edge_Right.gfx</v>
      </c>
      <c r="F71" s="16" t="s">
        <v>3168</v>
      </c>
      <c r="G71" s="5">
        <f t="shared" si="5"/>
        <v>103850</v>
      </c>
      <c r="H71" s="5">
        <v>464</v>
      </c>
      <c r="I71" s="6" t="str">
        <f t="shared" si="6"/>
        <v>1D0</v>
      </c>
    </row>
    <row r="72" spans="1:16" x14ac:dyDescent="0.2">
      <c r="A72" t="s">
        <v>2986</v>
      </c>
      <c r="B72" t="s">
        <v>3142</v>
      </c>
      <c r="C72" s="5" t="s">
        <v>121</v>
      </c>
      <c r="D72" t="s">
        <v>131</v>
      </c>
      <c r="E72" t="str">
        <f t="shared" si="7"/>
        <v>gfx/Shield_Clicked.gfx</v>
      </c>
      <c r="F72" s="5" t="s">
        <v>3169</v>
      </c>
      <c r="G72" s="5">
        <f t="shared" si="5"/>
        <v>104570</v>
      </c>
      <c r="H72" s="5" t="s">
        <v>132</v>
      </c>
      <c r="I72" s="6" t="str">
        <f t="shared" si="6"/>
        <v>290</v>
      </c>
      <c r="N72" t="e">
        <f>DEC2HEX(#REF!+#REF!)</f>
        <v>#REF!</v>
      </c>
      <c r="O72" t="e">
        <f>DEC2HEX(#REF!+#REF!)</f>
        <v>#REF!</v>
      </c>
    </row>
    <row r="73" spans="1:16" x14ac:dyDescent="0.2">
      <c r="A73" t="s">
        <v>2993</v>
      </c>
      <c r="B73" t="s">
        <v>3111</v>
      </c>
      <c r="C73" s="5" t="s">
        <v>121</v>
      </c>
      <c r="D73" t="s">
        <v>133</v>
      </c>
      <c r="E73" t="str">
        <f t="shared" si="7"/>
        <v>gfx/Main_Walls.gfx</v>
      </c>
      <c r="F73" s="5" t="s">
        <v>134</v>
      </c>
      <c r="G73" s="5">
        <f t="shared" si="5"/>
        <v>109772</v>
      </c>
      <c r="H73" s="5">
        <v>18736</v>
      </c>
      <c r="I73" s="6" t="str">
        <f t="shared" si="6"/>
        <v>4930</v>
      </c>
      <c r="N73" t="str">
        <f>RIGHT(A73,5)</f>
        <v>1B050</v>
      </c>
    </row>
    <row r="74" spans="1:16" x14ac:dyDescent="0.2">
      <c r="A74" t="s">
        <v>2994</v>
      </c>
      <c r="B74" t="s">
        <v>3131</v>
      </c>
      <c r="C74" s="5" t="s">
        <v>121</v>
      </c>
      <c r="D74" t="s">
        <v>135</v>
      </c>
      <c r="E74" t="str">
        <f t="shared" si="7"/>
        <v>gfx/Wooden_Wall.gfx</v>
      </c>
      <c r="F74" s="5" t="s">
        <v>136</v>
      </c>
      <c r="G74" s="5">
        <f t="shared" si="5"/>
        <v>128508</v>
      </c>
      <c r="H74" s="5">
        <v>18736</v>
      </c>
      <c r="I74" s="6" t="str">
        <f t="shared" si="6"/>
        <v>4930</v>
      </c>
    </row>
    <row r="75" spans="1:16" x14ac:dyDescent="0.2">
      <c r="A75" t="s">
        <v>2995</v>
      </c>
      <c r="B75" t="s">
        <v>3112</v>
      </c>
      <c r="C75" s="5" t="s">
        <v>121</v>
      </c>
      <c r="D75" t="s">
        <v>137</v>
      </c>
      <c r="E75" t="str">
        <f t="shared" si="7"/>
        <v>gfx/Wooden_Doors.gfx</v>
      </c>
      <c r="F75" s="5" t="s">
        <v>138</v>
      </c>
      <c r="G75" s="5">
        <f t="shared" si="5"/>
        <v>147244</v>
      </c>
      <c r="H75" s="5">
        <v>4576</v>
      </c>
      <c r="I75" s="6" t="str">
        <f t="shared" si="6"/>
        <v>11E0</v>
      </c>
    </row>
    <row r="76" spans="1:16" x14ac:dyDescent="0.2">
      <c r="A76" t="s">
        <v>2996</v>
      </c>
      <c r="B76" t="s">
        <v>3119</v>
      </c>
      <c r="C76" s="5" t="s">
        <v>121</v>
      </c>
      <c r="D76" t="s">
        <v>139</v>
      </c>
      <c r="E76" t="str">
        <f t="shared" si="7"/>
        <v>gfx/Main_Shelf.gfx</v>
      </c>
      <c r="F76" s="5" t="s">
        <v>140</v>
      </c>
      <c r="G76" s="5">
        <f t="shared" si="5"/>
        <v>151820</v>
      </c>
      <c r="H76" s="5">
        <v>2120</v>
      </c>
      <c r="I76" s="6" t="str">
        <f t="shared" si="6"/>
        <v>848</v>
      </c>
    </row>
    <row r="77" spans="1:16" x14ac:dyDescent="0.2">
      <c r="A77" t="s">
        <v>2997</v>
      </c>
      <c r="B77" t="s">
        <v>3120</v>
      </c>
      <c r="C77" s="5" t="s">
        <v>121</v>
      </c>
      <c r="D77" t="s">
        <v>141</v>
      </c>
      <c r="E77" t="str">
        <f t="shared" si="7"/>
        <v>gfx/Main_Sign.gfx</v>
      </c>
      <c r="F77" s="5" t="s">
        <v>142</v>
      </c>
      <c r="G77" s="5">
        <f t="shared" si="5"/>
        <v>153940</v>
      </c>
      <c r="H77" s="5">
        <v>4048</v>
      </c>
      <c r="I77" s="6" t="str">
        <f t="shared" si="6"/>
        <v>FD0</v>
      </c>
    </row>
    <row r="78" spans="1:16" x14ac:dyDescent="0.2">
      <c r="A78" t="s">
        <v>2998</v>
      </c>
      <c r="B78" t="s">
        <v>3121</v>
      </c>
      <c r="C78" s="5" t="s">
        <v>121</v>
      </c>
      <c r="D78" t="s">
        <v>143</v>
      </c>
      <c r="E78" t="str">
        <f t="shared" si="7"/>
        <v>gfx/Main_SignOverlay.gfx</v>
      </c>
      <c r="F78" s="5" t="s">
        <v>144</v>
      </c>
      <c r="G78" s="5">
        <f t="shared" si="5"/>
        <v>157988</v>
      </c>
      <c r="H78" s="5">
        <v>6208</v>
      </c>
      <c r="I78" s="6" t="str">
        <f t="shared" si="6"/>
        <v>1840</v>
      </c>
    </row>
    <row r="79" spans="1:16" x14ac:dyDescent="0.2">
      <c r="A79" t="s">
        <v>2999</v>
      </c>
      <c r="B79" t="s">
        <v>3122</v>
      </c>
      <c r="C79" s="5" t="s">
        <v>121</v>
      </c>
      <c r="D79" t="s">
        <v>145</v>
      </c>
      <c r="E79" t="str">
        <f t="shared" si="7"/>
        <v>gfx/Main_Switches.gfx</v>
      </c>
      <c r="F79" s="5" t="s">
        <v>146</v>
      </c>
      <c r="G79" s="5">
        <f t="shared" si="5"/>
        <v>164196</v>
      </c>
      <c r="H79" s="5">
        <v>696</v>
      </c>
      <c r="I79" s="6" t="str">
        <f t="shared" si="6"/>
        <v>2B8</v>
      </c>
    </row>
    <row r="80" spans="1:16" x14ac:dyDescent="0.2">
      <c r="A80" t="s">
        <v>3000</v>
      </c>
      <c r="B80" t="s">
        <v>3123</v>
      </c>
      <c r="C80" s="5" t="s">
        <v>121</v>
      </c>
      <c r="D80" t="s">
        <v>147</v>
      </c>
      <c r="E80" t="str">
        <f t="shared" si="7"/>
        <v>gfx/Main_Slots.gfx</v>
      </c>
      <c r="F80" s="5" t="s">
        <v>148</v>
      </c>
      <c r="G80" s="5">
        <f t="shared" si="5"/>
        <v>164892</v>
      </c>
      <c r="H80" s="5">
        <v>1160</v>
      </c>
      <c r="I80" s="6" t="str">
        <f t="shared" si="6"/>
        <v>488</v>
      </c>
      <c r="K80" s="19" t="s">
        <v>3680</v>
      </c>
    </row>
    <row r="81" spans="1:15" x14ac:dyDescent="0.2">
      <c r="A81" t="s">
        <v>3001</v>
      </c>
      <c r="B81" t="s">
        <v>3124</v>
      </c>
      <c r="C81" s="5" t="s">
        <v>121</v>
      </c>
      <c r="D81" t="s">
        <v>149</v>
      </c>
      <c r="E81" t="str">
        <f t="shared" si="7"/>
        <v>gfx/Misc_Bed.gfx</v>
      </c>
      <c r="F81" s="5" t="s">
        <v>150</v>
      </c>
      <c r="G81" s="5">
        <f t="shared" si="5"/>
        <v>166052</v>
      </c>
      <c r="H81" s="5">
        <v>2680</v>
      </c>
      <c r="I81" s="6" t="str">
        <f t="shared" si="6"/>
        <v>A78</v>
      </c>
    </row>
    <row r="82" spans="1:15" x14ac:dyDescent="0.2">
      <c r="A82" t="s">
        <v>3002</v>
      </c>
      <c r="B82" t="s">
        <v>3125</v>
      </c>
      <c r="C82" s="5" t="s">
        <v>121</v>
      </c>
      <c r="D82" t="s">
        <v>151</v>
      </c>
      <c r="E82" t="str">
        <f t="shared" si="7"/>
        <v>gfx/Misc_Pillar.gfx</v>
      </c>
      <c r="F82" s="5" t="s">
        <v>152</v>
      </c>
      <c r="G82" s="5">
        <f t="shared" si="5"/>
        <v>168732</v>
      </c>
      <c r="H82" s="5">
        <v>5272</v>
      </c>
      <c r="I82" s="6" t="str">
        <f t="shared" si="6"/>
        <v>1498</v>
      </c>
    </row>
    <row r="83" spans="1:15" x14ac:dyDescent="0.2">
      <c r="A83" t="s">
        <v>3003</v>
      </c>
      <c r="B83" t="s">
        <v>3126</v>
      </c>
      <c r="C83" s="5" t="s">
        <v>121</v>
      </c>
      <c r="D83" t="s">
        <v>153</v>
      </c>
      <c r="E83" t="str">
        <f t="shared" si="7"/>
        <v>gfx/Stairs_Up.gfx</v>
      </c>
      <c r="F83" s="5" t="s">
        <v>3170</v>
      </c>
      <c r="G83" s="5">
        <f t="shared" si="5"/>
        <v>174004</v>
      </c>
      <c r="H83" s="5">
        <v>7848</v>
      </c>
      <c r="I83" s="6" t="str">
        <f t="shared" si="6"/>
        <v>1EA8</v>
      </c>
    </row>
    <row r="84" spans="1:15" x14ac:dyDescent="0.2">
      <c r="A84" t="s">
        <v>3004</v>
      </c>
      <c r="B84" t="s">
        <v>3127</v>
      </c>
      <c r="C84" s="5" t="s">
        <v>121</v>
      </c>
      <c r="D84" t="s">
        <v>154</v>
      </c>
      <c r="E84" t="str">
        <f t="shared" si="7"/>
        <v>gfx/Stairs_Down.gfx</v>
      </c>
      <c r="F84" s="5" t="s">
        <v>155</v>
      </c>
      <c r="G84" s="5">
        <f t="shared" si="5"/>
        <v>181852</v>
      </c>
      <c r="H84" s="5">
        <v>3200</v>
      </c>
      <c r="I84" s="6" t="str">
        <f t="shared" si="6"/>
        <v>C80</v>
      </c>
      <c r="O84" t="e">
        <f>#REF!-#REF!</f>
        <v>#REF!</v>
      </c>
    </row>
    <row r="85" spans="1:15" x14ac:dyDescent="0.2">
      <c r="A85" t="s">
        <v>3005</v>
      </c>
      <c r="B85" t="s">
        <v>3128</v>
      </c>
      <c r="C85" s="5" t="s">
        <v>121</v>
      </c>
      <c r="D85" t="s">
        <v>156</v>
      </c>
      <c r="E85" t="str">
        <f t="shared" si="7"/>
        <v>gfx/Door_Open.gfx</v>
      </c>
      <c r="F85" s="5" t="s">
        <v>157</v>
      </c>
      <c r="G85" s="5">
        <f t="shared" si="5"/>
        <v>185052</v>
      </c>
      <c r="H85" s="5">
        <v>7016</v>
      </c>
      <c r="I85" s="6" t="str">
        <f t="shared" si="6"/>
        <v>1B68</v>
      </c>
    </row>
    <row r="86" spans="1:15" x14ac:dyDescent="0.2">
      <c r="A86" t="s">
        <v>3006</v>
      </c>
      <c r="B86" t="s">
        <v>3129</v>
      </c>
      <c r="C86" s="5" t="s">
        <v>121</v>
      </c>
      <c r="D86" t="s">
        <v>158</v>
      </c>
      <c r="E86" t="str">
        <f t="shared" si="7"/>
        <v>gfx/Door_Metal.gfx</v>
      </c>
      <c r="F86" s="5" t="s">
        <v>159</v>
      </c>
      <c r="G86" s="5">
        <f t="shared" si="5"/>
        <v>192068</v>
      </c>
      <c r="H86" s="5">
        <v>5256</v>
      </c>
      <c r="I86" s="6" t="str">
        <f t="shared" si="6"/>
        <v>1488</v>
      </c>
    </row>
    <row r="87" spans="1:15" x14ac:dyDescent="0.2">
      <c r="A87" t="s">
        <v>3007</v>
      </c>
      <c r="B87" t="s">
        <v>3130</v>
      </c>
      <c r="C87" s="5" t="s">
        <v>121</v>
      </c>
      <c r="D87" t="s">
        <v>160</v>
      </c>
      <c r="E87" t="str">
        <f t="shared" si="7"/>
        <v>gfx/Door_PortCullis.gfx</v>
      </c>
      <c r="F87" s="5" t="s">
        <v>161</v>
      </c>
      <c r="G87" s="5">
        <f t="shared" si="5"/>
        <v>197324</v>
      </c>
      <c r="H87" s="5">
        <v>5256</v>
      </c>
      <c r="I87" s="6" t="str">
        <f t="shared" si="6"/>
        <v>1488</v>
      </c>
    </row>
    <row r="88" spans="1:15" x14ac:dyDescent="0.2">
      <c r="A88" t="s">
        <v>3008</v>
      </c>
      <c r="B88" t="s">
        <v>3715</v>
      </c>
      <c r="C88" s="5" t="s">
        <v>121</v>
      </c>
      <c r="D88" t="s">
        <v>3716</v>
      </c>
      <c r="E88" t="str">
        <f t="shared" si="7"/>
        <v>gfx/Floor_Pit.gfx</v>
      </c>
      <c r="F88" s="5" t="s">
        <v>3234</v>
      </c>
      <c r="G88" s="5">
        <f t="shared" si="5"/>
        <v>202580</v>
      </c>
      <c r="H88" s="5">
        <v>584</v>
      </c>
      <c r="I88" s="6" t="str">
        <f t="shared" si="6"/>
        <v>248</v>
      </c>
      <c r="K88" s="19" t="s">
        <v>3717</v>
      </c>
    </row>
    <row r="89" spans="1:15" x14ac:dyDescent="0.2">
      <c r="A89" t="s">
        <v>3009</v>
      </c>
      <c r="B89" t="s">
        <v>3718</v>
      </c>
      <c r="C89" s="5" t="s">
        <v>121</v>
      </c>
      <c r="D89" t="s">
        <v>3719</v>
      </c>
      <c r="E89" t="str">
        <f t="shared" si="7"/>
        <v>gfx/Trigger_Pad.gfx</v>
      </c>
      <c r="F89" s="5" t="s">
        <v>3235</v>
      </c>
      <c r="G89" s="5">
        <f t="shared" si="5"/>
        <v>203164</v>
      </c>
      <c r="H89" s="5">
        <v>584</v>
      </c>
      <c r="I89" s="6" t="str">
        <f t="shared" si="6"/>
        <v>248</v>
      </c>
      <c r="K89" s="19" t="s">
        <v>3720</v>
      </c>
    </row>
    <row r="90" spans="1:15" ht="18" customHeight="1" x14ac:dyDescent="0.2">
      <c r="A90" t="s">
        <v>3010</v>
      </c>
      <c r="B90" t="s">
        <v>3721</v>
      </c>
      <c r="C90" s="5" t="s">
        <v>121</v>
      </c>
      <c r="D90" t="s">
        <v>3722</v>
      </c>
      <c r="E90" t="str">
        <f t="shared" si="7"/>
        <v>gfx/Ceiling_Hole.gfx</v>
      </c>
      <c r="F90" s="5" t="s">
        <v>3236</v>
      </c>
      <c r="G90" s="5">
        <f t="shared" si="5"/>
        <v>203748</v>
      </c>
      <c r="H90" s="5">
        <v>440</v>
      </c>
      <c r="I90" s="6" t="str">
        <f t="shared" si="6"/>
        <v>1B8</v>
      </c>
      <c r="K90" s="19" t="s">
        <v>3723</v>
      </c>
    </row>
    <row r="91" spans="1:15" x14ac:dyDescent="0.2">
      <c r="A91" t="s">
        <v>3011</v>
      </c>
      <c r="B91" t="s">
        <v>3011</v>
      </c>
      <c r="C91" s="5" t="s">
        <v>121</v>
      </c>
      <c r="D91" t="s">
        <v>162</v>
      </c>
      <c r="E91" t="str">
        <f t="shared" si="7"/>
        <v>gfx/FloorCeiling.gfx</v>
      </c>
      <c r="F91" s="5" t="s">
        <v>3161</v>
      </c>
      <c r="G91" s="5">
        <f t="shared" si="5"/>
        <v>204188</v>
      </c>
      <c r="H91" s="5">
        <v>3648</v>
      </c>
      <c r="I91" s="6" t="str">
        <f t="shared" si="6"/>
        <v>E40</v>
      </c>
      <c r="K91" s="19" t="s">
        <v>4491</v>
      </c>
    </row>
    <row r="92" spans="1:15" x14ac:dyDescent="0.2">
      <c r="A92" t="s">
        <v>3013</v>
      </c>
      <c r="B92" t="s">
        <v>3013</v>
      </c>
      <c r="C92" s="5" t="s">
        <v>121</v>
      </c>
      <c r="D92" t="s">
        <v>166</v>
      </c>
      <c r="E92" t="str">
        <f t="shared" si="7"/>
        <v>gfx/AirbourneFireball.gfx</v>
      </c>
      <c r="F92" s="5" t="s">
        <v>3429</v>
      </c>
      <c r="G92" s="5">
        <f t="shared" si="5"/>
        <v>214004</v>
      </c>
      <c r="H92" s="5">
        <v>696</v>
      </c>
      <c r="I92" s="6" t="str">
        <f t="shared" si="6"/>
        <v>2B8</v>
      </c>
      <c r="K92" s="19" t="s">
        <v>4492</v>
      </c>
    </row>
    <row r="93" spans="1:15" x14ac:dyDescent="0.2">
      <c r="A93" t="s">
        <v>3014</v>
      </c>
      <c r="B93" t="s">
        <v>3014</v>
      </c>
      <c r="C93" s="5" t="s">
        <v>121</v>
      </c>
      <c r="D93" t="s">
        <v>167</v>
      </c>
      <c r="E93" t="str">
        <f t="shared" si="7"/>
        <v>gfx/AirbourneSpells.gfx</v>
      </c>
      <c r="F93" s="5" t="s">
        <v>3430</v>
      </c>
      <c r="G93" s="5">
        <f t="shared" si="5"/>
        <v>214700</v>
      </c>
      <c r="H93" s="5">
        <v>1944</v>
      </c>
      <c r="I93" s="6" t="str">
        <f t="shared" si="6"/>
        <v>798</v>
      </c>
      <c r="K93" s="19" t="s">
        <v>4493</v>
      </c>
    </row>
    <row r="94" spans="1:15" x14ac:dyDescent="0.2">
      <c r="A94" t="s">
        <v>3015</v>
      </c>
      <c r="B94" t="s">
        <v>3015</v>
      </c>
      <c r="C94" s="5" t="s">
        <v>48</v>
      </c>
      <c r="D94" t="s">
        <v>168</v>
      </c>
      <c r="E94" t="str">
        <f t="shared" si="7"/>
        <v>data/characters.colours</v>
      </c>
      <c r="F94" s="27" t="s">
        <v>3431</v>
      </c>
      <c r="G94" s="5">
        <f t="shared" si="5"/>
        <v>216644</v>
      </c>
      <c r="H94" s="5">
        <v>1720</v>
      </c>
      <c r="I94" s="6" t="str">
        <f t="shared" si="6"/>
        <v>6B8</v>
      </c>
    </row>
    <row r="95" spans="1:15" x14ac:dyDescent="0.2">
      <c r="A95" t="s">
        <v>3017</v>
      </c>
      <c r="B95" t="s">
        <v>3090</v>
      </c>
      <c r="C95" s="5" t="s">
        <v>121</v>
      </c>
      <c r="D95" t="s">
        <v>169</v>
      </c>
      <c r="E95" t="str">
        <f t="shared" si="7"/>
        <v>gfx/HeadParts.gfx</v>
      </c>
      <c r="F95" s="5" t="s">
        <v>3432</v>
      </c>
      <c r="G95" s="5">
        <f t="shared" si="5"/>
        <v>218364</v>
      </c>
      <c r="H95" s="5">
        <v>15984</v>
      </c>
      <c r="I95" s="6" t="str">
        <f t="shared" si="6"/>
        <v>3E70</v>
      </c>
    </row>
    <row r="96" spans="1:15" x14ac:dyDescent="0.2">
      <c r="A96" t="s">
        <v>3018</v>
      </c>
      <c r="B96" t="s">
        <v>3118</v>
      </c>
      <c r="C96" s="5" t="s">
        <v>121</v>
      </c>
      <c r="D96" t="s">
        <v>170</v>
      </c>
      <c r="E96" t="str">
        <f t="shared" si="7"/>
        <v>gfx/BodyParts.gfx</v>
      </c>
      <c r="F96" s="5" t="s">
        <v>3433</v>
      </c>
      <c r="G96" s="5">
        <f t="shared" si="5"/>
        <v>234348</v>
      </c>
      <c r="H96" s="5">
        <v>34368</v>
      </c>
      <c r="I96" s="6" t="str">
        <f t="shared" si="6"/>
        <v>8640</v>
      </c>
    </row>
    <row r="97" spans="1:21" x14ac:dyDescent="0.2">
      <c r="A97" t="s">
        <v>3020</v>
      </c>
      <c r="B97" t="s">
        <v>3117</v>
      </c>
      <c r="C97" s="5" t="s">
        <v>121</v>
      </c>
      <c r="D97" t="s">
        <v>3108</v>
      </c>
      <c r="E97" t="str">
        <f t="shared" si="7"/>
        <v>gfx/Avatars_Large.gfx</v>
      </c>
      <c r="F97" s="5" t="s">
        <v>3434</v>
      </c>
      <c r="G97" s="5">
        <f t="shared" si="5"/>
        <v>268716</v>
      </c>
      <c r="H97" s="5">
        <v>7680</v>
      </c>
      <c r="I97" s="6" t="str">
        <f t="shared" si="6"/>
        <v>1E00</v>
      </c>
    </row>
    <row r="98" spans="1:21" x14ac:dyDescent="0.2">
      <c r="A98" t="s">
        <v>3021</v>
      </c>
      <c r="B98" t="s">
        <v>3116</v>
      </c>
      <c r="C98" s="5" t="s">
        <v>121</v>
      </c>
      <c r="D98" t="s">
        <v>171</v>
      </c>
      <c r="E98" t="str">
        <f t="shared" si="7"/>
        <v>gfx/Shield_Avatars.gfx</v>
      </c>
      <c r="F98" s="5" t="s">
        <v>3435</v>
      </c>
      <c r="G98" s="5">
        <f t="shared" si="5"/>
        <v>276396</v>
      </c>
      <c r="H98" s="5">
        <v>4096</v>
      </c>
      <c r="I98" s="6" t="str">
        <f t="shared" si="6"/>
        <v>1000</v>
      </c>
    </row>
    <row r="99" spans="1:21" x14ac:dyDescent="0.2">
      <c r="A99" t="s">
        <v>3022</v>
      </c>
      <c r="B99" t="s">
        <v>3115</v>
      </c>
      <c r="C99" s="5" t="s">
        <v>121</v>
      </c>
      <c r="D99" t="s">
        <v>172</v>
      </c>
      <c r="E99" t="str">
        <f t="shared" si="7"/>
        <v>gfx/ShieldTop.gfx</v>
      </c>
      <c r="F99" s="5" t="s">
        <v>3436</v>
      </c>
      <c r="G99" s="5">
        <f t="shared" si="5"/>
        <v>280492</v>
      </c>
      <c r="H99" s="5" t="s">
        <v>173</v>
      </c>
      <c r="I99" s="6" t="str">
        <f t="shared" si="6"/>
        <v>50</v>
      </c>
    </row>
    <row r="100" spans="1:21" x14ac:dyDescent="0.2">
      <c r="A100" t="s">
        <v>3023</v>
      </c>
      <c r="B100" t="s">
        <v>3114</v>
      </c>
      <c r="C100" s="5" t="s">
        <v>121</v>
      </c>
      <c r="D100" t="s">
        <v>174</v>
      </c>
      <c r="E100" t="str">
        <f t="shared" si="7"/>
        <v>gfx/ShieldBottom.gfx</v>
      </c>
      <c r="F100" s="5" t="s">
        <v>3437</v>
      </c>
      <c r="G100" s="5">
        <f t="shared" si="5"/>
        <v>280572</v>
      </c>
      <c r="H100" s="5" t="s">
        <v>175</v>
      </c>
      <c r="I100" s="6" t="str">
        <f t="shared" si="6"/>
        <v>90</v>
      </c>
    </row>
    <row r="101" spans="1:21" x14ac:dyDescent="0.2">
      <c r="A101" t="s">
        <v>3024</v>
      </c>
      <c r="B101" t="s">
        <v>3113</v>
      </c>
      <c r="C101" s="5" t="s">
        <v>121</v>
      </c>
      <c r="D101" t="s">
        <v>176</v>
      </c>
      <c r="E101" t="str">
        <f t="shared" si="7"/>
        <v>gfx/ShieldClasses.gfx</v>
      </c>
      <c r="F101" s="5" t="s">
        <v>3238</v>
      </c>
      <c r="G101" s="5">
        <f t="shared" si="5"/>
        <v>280716</v>
      </c>
      <c r="H101" s="5">
        <v>704</v>
      </c>
      <c r="I101" s="6" t="str">
        <f t="shared" si="6"/>
        <v>2C0</v>
      </c>
    </row>
    <row r="102" spans="1:21" x14ac:dyDescent="0.2">
      <c r="A102" t="s">
        <v>3025</v>
      </c>
      <c r="B102" t="s">
        <v>3091</v>
      </c>
      <c r="C102" s="5" t="s">
        <v>121</v>
      </c>
      <c r="D102" t="s">
        <v>177</v>
      </c>
      <c r="E102" t="str">
        <f t="shared" si="7"/>
        <v>gfx/Fairy.gfx</v>
      </c>
      <c r="F102" s="5" t="s">
        <v>3239</v>
      </c>
      <c r="G102" s="5">
        <f t="shared" si="5"/>
        <v>281420</v>
      </c>
      <c r="H102" s="5" t="s">
        <v>178</v>
      </c>
      <c r="I102" s="6" t="str">
        <f t="shared" si="6"/>
        <v>148</v>
      </c>
    </row>
    <row r="103" spans="1:21" x14ac:dyDescent="0.2">
      <c r="A103" t="s">
        <v>3262</v>
      </c>
      <c r="C103" s="7" t="s">
        <v>51</v>
      </c>
      <c r="D103" t="s">
        <v>289</v>
      </c>
      <c r="E103" t="str">
        <f t="shared" si="7"/>
        <v>monsters/behemoth.gradeoffset</v>
      </c>
      <c r="G103" s="5" t="str">
        <f t="shared" si="5"/>
        <v/>
      </c>
      <c r="H103" s="5">
        <v>1</v>
      </c>
      <c r="I103" s="6" t="str">
        <f t="shared" si="6"/>
        <v>1</v>
      </c>
    </row>
    <row r="104" spans="1:21" x14ac:dyDescent="0.2">
      <c r="A104" t="s">
        <v>3033</v>
      </c>
      <c r="B104" s="15" t="s">
        <v>3321</v>
      </c>
      <c r="E104" t="str">
        <f t="shared" ref="E104:E148" si="8">IF(D104&lt;&gt;"",C104&amp;"/"&amp;D104,"")</f>
        <v/>
      </c>
      <c r="F104" s="5" t="str">
        <f t="shared" ref="F104:F116" si="9">"$"&amp;RIGHT(A104,5)</f>
        <v>$50302</v>
      </c>
      <c r="G104" s="5">
        <f t="shared" si="5"/>
        <v>328450</v>
      </c>
      <c r="I104" s="6" t="str">
        <f t="shared" si="6"/>
        <v>0</v>
      </c>
      <c r="N104" t="e">
        <f>#REF!-#REF!</f>
        <v>#REF!</v>
      </c>
      <c r="O104" t="e">
        <f>HEX2DEC(#REF!)-HEX2DEC(#REF!)</f>
        <v>#REF!</v>
      </c>
      <c r="S104" s="14" t="s">
        <v>3171</v>
      </c>
      <c r="U104" t="str">
        <f t="shared" ref="U104:U116" si="10">RIGHT(S104,4)</f>
        <v>3C00</v>
      </c>
    </row>
    <row r="105" spans="1:21" x14ac:dyDescent="0.2">
      <c r="A105" t="s">
        <v>3034</v>
      </c>
      <c r="B105" s="15" t="s">
        <v>3322</v>
      </c>
      <c r="E105" t="str">
        <f t="shared" si="8"/>
        <v/>
      </c>
      <c r="F105" s="5" t="str">
        <f t="shared" si="9"/>
        <v>$50332</v>
      </c>
      <c r="G105" s="5">
        <f t="shared" si="5"/>
        <v>328498</v>
      </c>
      <c r="I105" s="6" t="str">
        <f t="shared" si="6"/>
        <v>0</v>
      </c>
      <c r="N105" t="e">
        <f>#REF!-#REF!</f>
        <v>#REF!</v>
      </c>
      <c r="O105" t="e">
        <f>HEX2DEC(#REF!)-HEX2DEC(#REF!)</f>
        <v>#REF!</v>
      </c>
      <c r="S105" s="14" t="s">
        <v>3172</v>
      </c>
      <c r="U105" t="str">
        <f t="shared" si="10"/>
        <v>3C30</v>
      </c>
    </row>
    <row r="106" spans="1:21" x14ac:dyDescent="0.2">
      <c r="A106" t="s">
        <v>3035</v>
      </c>
      <c r="B106" s="15" t="s">
        <v>3323</v>
      </c>
      <c r="E106" t="str">
        <f t="shared" si="8"/>
        <v/>
      </c>
      <c r="F106" s="5" t="str">
        <f t="shared" si="9"/>
        <v>$50362</v>
      </c>
      <c r="G106" s="5">
        <f t="shared" si="5"/>
        <v>328546</v>
      </c>
      <c r="I106" s="6" t="str">
        <f t="shared" si="6"/>
        <v>0</v>
      </c>
      <c r="N106" t="e">
        <f>#REF!-#REF!</f>
        <v>#REF!</v>
      </c>
      <c r="O106" t="e">
        <f>HEX2DEC(#REF!)-HEX2DEC(#REF!)</f>
        <v>#REF!</v>
      </c>
      <c r="S106" s="14" t="s">
        <v>3173</v>
      </c>
      <c r="U106" t="str">
        <f t="shared" si="10"/>
        <v>3C60</v>
      </c>
    </row>
    <row r="107" spans="1:21" x14ac:dyDescent="0.2">
      <c r="A107" t="s">
        <v>3036</v>
      </c>
      <c r="B107" s="15" t="s">
        <v>3324</v>
      </c>
      <c r="E107" t="str">
        <f t="shared" si="8"/>
        <v/>
      </c>
      <c r="F107" s="5" t="str">
        <f t="shared" si="9"/>
        <v>$50802</v>
      </c>
      <c r="G107" s="5">
        <f t="shared" si="5"/>
        <v>329730</v>
      </c>
      <c r="I107" s="6" t="str">
        <f t="shared" si="6"/>
        <v>0</v>
      </c>
      <c r="N107" t="e">
        <f>#REF!-#REF!</f>
        <v>#REF!</v>
      </c>
      <c r="O107" t="e">
        <f>HEX2DEC(#REF!)-HEX2DEC(#REF!)</f>
        <v>#REF!</v>
      </c>
      <c r="S107" s="14" t="s">
        <v>3174</v>
      </c>
      <c r="U107" t="str">
        <f t="shared" si="10"/>
        <v>4100</v>
      </c>
    </row>
    <row r="108" spans="1:21" x14ac:dyDescent="0.2">
      <c r="A108" t="s">
        <v>3037</v>
      </c>
      <c r="B108" s="15" t="s">
        <v>3325</v>
      </c>
      <c r="E108" t="str">
        <f t="shared" si="8"/>
        <v/>
      </c>
      <c r="F108" s="5" t="str">
        <f t="shared" si="9"/>
        <v>$50832</v>
      </c>
      <c r="G108" s="5">
        <f t="shared" si="5"/>
        <v>329778</v>
      </c>
      <c r="I108" s="6" t="str">
        <f t="shared" si="6"/>
        <v>0</v>
      </c>
      <c r="N108" t="e">
        <f>#REF!-#REF!</f>
        <v>#REF!</v>
      </c>
      <c r="O108" t="e">
        <f>HEX2DEC(#REF!)-HEX2DEC(#REF!)</f>
        <v>#REF!</v>
      </c>
      <c r="S108" s="14" t="s">
        <v>3175</v>
      </c>
      <c r="U108" t="str">
        <f t="shared" si="10"/>
        <v>4130</v>
      </c>
    </row>
    <row r="109" spans="1:21" x14ac:dyDescent="0.2">
      <c r="A109" t="s">
        <v>3038</v>
      </c>
      <c r="B109" s="15" t="s">
        <v>3326</v>
      </c>
      <c r="E109" t="str">
        <f t="shared" si="8"/>
        <v/>
      </c>
      <c r="F109" s="5" t="str">
        <f t="shared" si="9"/>
        <v>$51772</v>
      </c>
      <c r="G109" s="5">
        <f t="shared" si="5"/>
        <v>333682</v>
      </c>
      <c r="I109" s="6" t="str">
        <f t="shared" si="6"/>
        <v>0</v>
      </c>
      <c r="N109" t="e">
        <f>#REF!-#REF!</f>
        <v>#REF!</v>
      </c>
      <c r="O109" t="e">
        <f>HEX2DEC(#REF!)-HEX2DEC(#REF!)</f>
        <v>#REF!</v>
      </c>
      <c r="S109" s="14" t="s">
        <v>3176</v>
      </c>
      <c r="U109" t="str">
        <f t="shared" si="10"/>
        <v>5070</v>
      </c>
    </row>
    <row r="110" spans="1:21" x14ac:dyDescent="0.2">
      <c r="A110" t="s">
        <v>3039</v>
      </c>
      <c r="B110" s="15" t="s">
        <v>3327</v>
      </c>
      <c r="E110" t="str">
        <f t="shared" si="8"/>
        <v/>
      </c>
      <c r="F110" s="5" t="str">
        <f t="shared" si="9"/>
        <v>$52C02</v>
      </c>
      <c r="G110" s="5">
        <f t="shared" si="5"/>
        <v>338946</v>
      </c>
      <c r="I110" s="6" t="str">
        <f t="shared" si="6"/>
        <v>0</v>
      </c>
      <c r="N110" t="e">
        <f>#REF!-#REF!</f>
        <v>#REF!</v>
      </c>
      <c r="O110" t="e">
        <f>HEX2DEC(#REF!)-HEX2DEC(#REF!)</f>
        <v>#REF!</v>
      </c>
      <c r="S110" s="14" t="s">
        <v>3177</v>
      </c>
      <c r="U110" t="str">
        <f t="shared" si="10"/>
        <v>6500</v>
      </c>
    </row>
    <row r="111" spans="1:21" x14ac:dyDescent="0.2">
      <c r="A111" t="s">
        <v>3040</v>
      </c>
      <c r="B111" s="15" t="s">
        <v>3328</v>
      </c>
      <c r="E111" t="str">
        <f t="shared" si="8"/>
        <v/>
      </c>
      <c r="F111" s="5" t="str">
        <f t="shared" si="9"/>
        <v>$52C0A</v>
      </c>
      <c r="G111" s="5">
        <f t="shared" si="5"/>
        <v>338954</v>
      </c>
      <c r="I111" s="6" t="str">
        <f t="shared" si="6"/>
        <v>0</v>
      </c>
      <c r="N111" t="e">
        <f>#REF!-#REF!</f>
        <v>#REF!</v>
      </c>
      <c r="O111" t="e">
        <f>HEX2DEC(#REF!)-HEX2DEC(#REF!)</f>
        <v>#REF!</v>
      </c>
      <c r="S111" s="14" t="s">
        <v>3178</v>
      </c>
      <c r="U111" t="str">
        <f t="shared" si="10"/>
        <v>6508</v>
      </c>
    </row>
    <row r="112" spans="1:21" x14ac:dyDescent="0.2">
      <c r="A112" t="s">
        <v>3041</v>
      </c>
      <c r="B112" s="15" t="s">
        <v>3329</v>
      </c>
      <c r="E112" t="str">
        <f t="shared" si="8"/>
        <v/>
      </c>
      <c r="F112" s="5" t="str">
        <f t="shared" si="9"/>
        <v>$52EC2</v>
      </c>
      <c r="G112" s="5">
        <f t="shared" si="5"/>
        <v>339650</v>
      </c>
      <c r="I112" s="6" t="str">
        <f t="shared" si="6"/>
        <v>0</v>
      </c>
      <c r="N112" t="e">
        <f>#REF!-#REF!</f>
        <v>#REF!</v>
      </c>
      <c r="O112" t="e">
        <f>HEX2DEC(#REF!)-HEX2DEC(#REF!)</f>
        <v>#REF!</v>
      </c>
      <c r="S112" s="14" t="s">
        <v>3179</v>
      </c>
      <c r="U112" t="str">
        <f t="shared" si="10"/>
        <v>67C0</v>
      </c>
    </row>
    <row r="113" spans="1:21" x14ac:dyDescent="0.2">
      <c r="A113" t="s">
        <v>3042</v>
      </c>
      <c r="B113" s="15" t="s">
        <v>3330</v>
      </c>
      <c r="E113" t="str">
        <f t="shared" si="8"/>
        <v/>
      </c>
      <c r="F113" s="5" t="str">
        <f t="shared" si="9"/>
        <v>$52EE2</v>
      </c>
      <c r="G113" s="5">
        <f t="shared" si="5"/>
        <v>339682</v>
      </c>
      <c r="I113" s="6" t="str">
        <f t="shared" si="6"/>
        <v>0</v>
      </c>
      <c r="N113" t="e">
        <f>#REF!-#REF!</f>
        <v>#REF!</v>
      </c>
      <c r="O113" t="e">
        <f>HEX2DEC(#REF!)-HEX2DEC(#REF!)</f>
        <v>#REF!</v>
      </c>
      <c r="S113" s="14" t="s">
        <v>3180</v>
      </c>
      <c r="U113" t="str">
        <f t="shared" si="10"/>
        <v>67E0</v>
      </c>
    </row>
    <row r="114" spans="1:21" x14ac:dyDescent="0.2">
      <c r="A114" t="s">
        <v>3043</v>
      </c>
      <c r="B114" s="15" t="s">
        <v>3331</v>
      </c>
      <c r="E114" t="str">
        <f t="shared" si="8"/>
        <v/>
      </c>
      <c r="F114" s="5" t="str">
        <f t="shared" si="9"/>
        <v>$53162</v>
      </c>
      <c r="G114" s="5">
        <f t="shared" si="5"/>
        <v>340322</v>
      </c>
      <c r="I114" s="6" t="str">
        <f t="shared" si="6"/>
        <v>0</v>
      </c>
      <c r="N114" t="e">
        <f>#REF!-#REF!</f>
        <v>#REF!</v>
      </c>
      <c r="O114" t="e">
        <f>HEX2DEC(#REF!)-HEX2DEC(#REF!)</f>
        <v>#REF!</v>
      </c>
      <c r="S114" s="14" t="s">
        <v>3181</v>
      </c>
      <c r="U114" t="str">
        <f t="shared" si="10"/>
        <v>6A60</v>
      </c>
    </row>
    <row r="115" spans="1:21" x14ac:dyDescent="0.2">
      <c r="A115" t="s">
        <v>3044</v>
      </c>
      <c r="B115" s="15" t="s">
        <v>3332</v>
      </c>
      <c r="E115" t="str">
        <f t="shared" si="8"/>
        <v/>
      </c>
      <c r="F115" s="5" t="str">
        <f t="shared" si="9"/>
        <v>$53C82</v>
      </c>
      <c r="G115" s="5">
        <f t="shared" si="5"/>
        <v>343170</v>
      </c>
      <c r="I115" s="6" t="str">
        <f t="shared" si="6"/>
        <v>0</v>
      </c>
      <c r="N115" t="e">
        <f>#REF!-#REF!</f>
        <v>#REF!</v>
      </c>
      <c r="O115" t="e">
        <f>HEX2DEC(#REF!)-HEX2DEC(#REF!)</f>
        <v>#REF!</v>
      </c>
      <c r="S115" s="14" t="s">
        <v>3182</v>
      </c>
      <c r="U115" t="str">
        <f t="shared" si="10"/>
        <v>7580</v>
      </c>
    </row>
    <row r="116" spans="1:21" x14ac:dyDescent="0.2">
      <c r="A116" t="s">
        <v>3045</v>
      </c>
      <c r="B116" s="15" t="s">
        <v>3333</v>
      </c>
      <c r="E116" t="str">
        <f t="shared" si="8"/>
        <v/>
      </c>
      <c r="F116" s="5" t="str">
        <f t="shared" si="9"/>
        <v>$53D8A</v>
      </c>
      <c r="G116" s="5">
        <f t="shared" si="5"/>
        <v>343434</v>
      </c>
      <c r="I116" s="6" t="str">
        <f t="shared" si="6"/>
        <v>0</v>
      </c>
      <c r="N116" t="e">
        <f>#REF!-#REF!</f>
        <v>#REF!</v>
      </c>
      <c r="O116" t="e">
        <f>HEX2DEC(#REF!)-HEX2DEC(#REF!)</f>
        <v>#REF!</v>
      </c>
      <c r="S116" s="14" t="s">
        <v>3183</v>
      </c>
      <c r="U116" t="str">
        <f t="shared" si="10"/>
        <v>7688</v>
      </c>
    </row>
    <row r="117" spans="1:21" x14ac:dyDescent="0.2">
      <c r="A117" t="s">
        <v>204</v>
      </c>
      <c r="B117" t="s">
        <v>3147</v>
      </c>
      <c r="C117" s="5" t="s">
        <v>121</v>
      </c>
      <c r="D117" t="s">
        <v>202</v>
      </c>
      <c r="E117" t="str">
        <f t="shared" si="8"/>
        <v>gfx/Main_Walls.offsets</v>
      </c>
      <c r="F117" s="5" t="s">
        <v>203</v>
      </c>
      <c r="G117" s="5">
        <f t="shared" si="5"/>
        <v>100186</v>
      </c>
      <c r="H117" s="5">
        <v>56</v>
      </c>
      <c r="I117" s="6" t="str">
        <f t="shared" si="6"/>
        <v>38</v>
      </c>
    </row>
    <row r="118" spans="1:21" x14ac:dyDescent="0.2">
      <c r="A118" t="s">
        <v>207</v>
      </c>
      <c r="B118" t="s">
        <v>3146</v>
      </c>
      <c r="C118" s="5" t="s">
        <v>121</v>
      </c>
      <c r="D118" t="s">
        <v>205</v>
      </c>
      <c r="E118" t="str">
        <f t="shared" si="8"/>
        <v>gfx/Misc_Pillar.offsets</v>
      </c>
      <c r="F118" s="5" t="s">
        <v>206</v>
      </c>
      <c r="G118" s="5">
        <f t="shared" si="5"/>
        <v>100242</v>
      </c>
      <c r="H118" s="5">
        <v>22</v>
      </c>
      <c r="I118" s="6" t="str">
        <f t="shared" si="6"/>
        <v>16</v>
      </c>
    </row>
    <row r="119" spans="1:21" x14ac:dyDescent="0.2">
      <c r="A119" t="s">
        <v>210</v>
      </c>
      <c r="B119" t="s">
        <v>3145</v>
      </c>
      <c r="C119" s="5" t="s">
        <v>121</v>
      </c>
      <c r="D119" t="s">
        <v>208</v>
      </c>
      <c r="E119" t="str">
        <f t="shared" si="8"/>
        <v>gfx/Misc_Bed.offsets</v>
      </c>
      <c r="F119" s="5" t="s">
        <v>209</v>
      </c>
      <c r="G119" s="5">
        <f t="shared" si="5"/>
        <v>100264</v>
      </c>
      <c r="H119" s="5">
        <v>36</v>
      </c>
      <c r="I119" s="6" t="str">
        <f t="shared" si="6"/>
        <v>24</v>
      </c>
    </row>
    <row r="120" spans="1:21" x14ac:dyDescent="0.2">
      <c r="A120" t="s">
        <v>213</v>
      </c>
      <c r="B120" t="s">
        <v>3225</v>
      </c>
      <c r="C120" s="5" t="s">
        <v>121</v>
      </c>
      <c r="D120" t="s">
        <v>211</v>
      </c>
      <c r="E120" t="str">
        <f t="shared" si="8"/>
        <v>gfx/Wooden_Doors.offsets</v>
      </c>
      <c r="F120" s="5" t="s">
        <v>212</v>
      </c>
      <c r="G120" s="5">
        <f t="shared" si="5"/>
        <v>100300</v>
      </c>
      <c r="H120" s="5">
        <v>32</v>
      </c>
      <c r="I120" s="6" t="str">
        <f t="shared" si="6"/>
        <v>20</v>
      </c>
    </row>
    <row r="121" spans="1:21" x14ac:dyDescent="0.2">
      <c r="A121" t="s">
        <v>216</v>
      </c>
      <c r="B121" t="s">
        <v>3203</v>
      </c>
      <c r="C121" s="5" t="s">
        <v>121</v>
      </c>
      <c r="D121" t="s">
        <v>214</v>
      </c>
      <c r="E121" t="str">
        <f t="shared" si="8"/>
        <v>gfx/Wooden_Wall.offsets</v>
      </c>
      <c r="F121" s="5" t="s">
        <v>215</v>
      </c>
      <c r="G121" s="5">
        <f t="shared" si="5"/>
        <v>100332</v>
      </c>
      <c r="H121" s="5">
        <v>32</v>
      </c>
      <c r="I121" s="6" t="str">
        <f t="shared" si="6"/>
        <v>20</v>
      </c>
    </row>
    <row r="122" spans="1:21" x14ac:dyDescent="0.2">
      <c r="A122" t="s">
        <v>219</v>
      </c>
      <c r="B122" t="s">
        <v>3204</v>
      </c>
      <c r="C122" s="5" t="s">
        <v>121</v>
      </c>
      <c r="D122" t="s">
        <v>217</v>
      </c>
      <c r="E122" t="str">
        <f t="shared" si="8"/>
        <v>gfx/Main_Shelf.offsets</v>
      </c>
      <c r="F122" s="5" t="s">
        <v>218</v>
      </c>
      <c r="G122" s="5">
        <f t="shared" si="5"/>
        <v>100364</v>
      </c>
      <c r="H122" s="5">
        <v>32</v>
      </c>
      <c r="I122" s="6" t="str">
        <f t="shared" si="6"/>
        <v>20</v>
      </c>
    </row>
    <row r="123" spans="1:21" x14ac:dyDescent="0.2">
      <c r="A123" t="s">
        <v>222</v>
      </c>
      <c r="B123" t="s">
        <v>3205</v>
      </c>
      <c r="C123" s="5" t="s">
        <v>121</v>
      </c>
      <c r="D123" t="s">
        <v>220</v>
      </c>
      <c r="E123" t="str">
        <f t="shared" si="8"/>
        <v>gfx/Main_Sign.offsets</v>
      </c>
      <c r="F123" s="5" t="s">
        <v>221</v>
      </c>
      <c r="G123" s="5">
        <f t="shared" si="5"/>
        <v>100396</v>
      </c>
      <c r="H123" s="5">
        <v>32</v>
      </c>
      <c r="I123" s="6" t="str">
        <f t="shared" si="6"/>
        <v>20</v>
      </c>
    </row>
    <row r="124" spans="1:21" x14ac:dyDescent="0.2">
      <c r="A124" t="s">
        <v>225</v>
      </c>
      <c r="B124" t="s">
        <v>3206</v>
      </c>
      <c r="C124" s="5" t="s">
        <v>121</v>
      </c>
      <c r="D124" t="s">
        <v>223</v>
      </c>
      <c r="E124" t="str">
        <f t="shared" si="8"/>
        <v>gfx/Stairs_Up.offsets</v>
      </c>
      <c r="F124" s="5" t="s">
        <v>224</v>
      </c>
      <c r="G124" s="5">
        <f t="shared" si="5"/>
        <v>100428</v>
      </c>
      <c r="H124" s="5">
        <v>34</v>
      </c>
      <c r="I124" s="6" t="str">
        <f t="shared" si="6"/>
        <v>22</v>
      </c>
    </row>
    <row r="125" spans="1:21" x14ac:dyDescent="0.2">
      <c r="A125" t="s">
        <v>228</v>
      </c>
      <c r="B125" t="s">
        <v>3207</v>
      </c>
      <c r="C125" s="5" t="s">
        <v>121</v>
      </c>
      <c r="D125" t="s">
        <v>226</v>
      </c>
      <c r="E125" t="str">
        <f t="shared" si="8"/>
        <v>gfx/Stairs_Down.offsets</v>
      </c>
      <c r="F125" s="5" t="s">
        <v>227</v>
      </c>
      <c r="G125" s="5">
        <f t="shared" si="5"/>
        <v>100462</v>
      </c>
      <c r="H125" s="5">
        <v>34</v>
      </c>
      <c r="I125" s="6" t="str">
        <f t="shared" si="6"/>
        <v>22</v>
      </c>
    </row>
    <row r="126" spans="1:21" x14ac:dyDescent="0.2">
      <c r="A126" t="s">
        <v>231</v>
      </c>
      <c r="B126" t="s">
        <v>3208</v>
      </c>
      <c r="C126" s="5" t="s">
        <v>121</v>
      </c>
      <c r="D126" t="s">
        <v>229</v>
      </c>
      <c r="E126" t="str">
        <f t="shared" si="8"/>
        <v>gfx/Door.offsets</v>
      </c>
      <c r="F126" s="5" t="s">
        <v>230</v>
      </c>
      <c r="G126" s="5">
        <f t="shared" si="5"/>
        <v>100496</v>
      </c>
      <c r="H126" s="5">
        <v>26</v>
      </c>
      <c r="I126" s="6" t="str">
        <f t="shared" si="6"/>
        <v>1A</v>
      </c>
    </row>
    <row r="127" spans="1:21" x14ac:dyDescent="0.2">
      <c r="A127" t="s">
        <v>234</v>
      </c>
      <c r="B127" t="s">
        <v>3209</v>
      </c>
      <c r="C127" s="5" t="s">
        <v>121</v>
      </c>
      <c r="D127" t="s">
        <v>232</v>
      </c>
      <c r="E127" t="str">
        <f t="shared" si="8"/>
        <v>gfx/Main_Switches.offsets</v>
      </c>
      <c r="F127" s="5" t="s">
        <v>233</v>
      </c>
      <c r="G127" s="5">
        <f t="shared" si="5"/>
        <v>100522</v>
      </c>
      <c r="H127" s="5">
        <v>32</v>
      </c>
      <c r="I127" s="6" t="str">
        <f t="shared" si="6"/>
        <v>20</v>
      </c>
    </row>
    <row r="128" spans="1:21" x14ac:dyDescent="0.2">
      <c r="A128" t="s">
        <v>236</v>
      </c>
      <c r="B128" t="s">
        <v>3724</v>
      </c>
      <c r="C128" s="5" t="s">
        <v>121</v>
      </c>
      <c r="D128" t="s">
        <v>3725</v>
      </c>
      <c r="E128" t="str">
        <f t="shared" si="8"/>
        <v>gfx/FloorPit_TriggerPad.offsets</v>
      </c>
      <c r="F128" s="5" t="s">
        <v>235</v>
      </c>
      <c r="G128" s="5">
        <f t="shared" si="5"/>
        <v>100554</v>
      </c>
      <c r="H128" s="5">
        <v>24</v>
      </c>
      <c r="I128" s="6" t="str">
        <f t="shared" si="6"/>
        <v>18</v>
      </c>
      <c r="K128" s="19" t="s">
        <v>3726</v>
      </c>
    </row>
    <row r="129" spans="1:11" x14ac:dyDescent="0.2">
      <c r="A129" t="s">
        <v>238</v>
      </c>
      <c r="B129" t="s">
        <v>3727</v>
      </c>
      <c r="C129" s="5" t="s">
        <v>121</v>
      </c>
      <c r="D129" t="s">
        <v>3728</v>
      </c>
      <c r="E129" t="str">
        <f t="shared" si="8"/>
        <v>gfx/Ceiling_Hole.offsets</v>
      </c>
      <c r="F129" s="5" t="s">
        <v>237</v>
      </c>
      <c r="G129" s="5">
        <f t="shared" ref="G129:G192" si="11">IF(F129&lt;&gt;"",HEX2DEC(SUBSTITUTE(SUBSTITUTE(F129,"adrEA",""),"$","")),"")</f>
        <v>100578</v>
      </c>
      <c r="H129" s="5">
        <v>24</v>
      </c>
      <c r="I129" s="6" t="str">
        <f t="shared" ref="I129:I192" si="12">IFERROR(DEC2HEX(H129),"")</f>
        <v>18</v>
      </c>
      <c r="K129" s="19" t="s">
        <v>3729</v>
      </c>
    </row>
    <row r="130" spans="1:11" x14ac:dyDescent="0.2">
      <c r="A130" t="s">
        <v>241</v>
      </c>
      <c r="B130" t="s">
        <v>3210</v>
      </c>
      <c r="C130" s="5" t="s">
        <v>121</v>
      </c>
      <c r="D130" t="s">
        <v>239</v>
      </c>
      <c r="E130" t="str">
        <f t="shared" si="8"/>
        <v>gfx/Main_Walls.positions</v>
      </c>
      <c r="F130" s="5" t="s">
        <v>240</v>
      </c>
      <c r="G130" s="5">
        <f t="shared" si="11"/>
        <v>46778</v>
      </c>
      <c r="H130" s="5">
        <v>112</v>
      </c>
      <c r="I130" s="6" t="str">
        <f t="shared" si="12"/>
        <v>70</v>
      </c>
    </row>
    <row r="131" spans="1:11" x14ac:dyDescent="0.2">
      <c r="A131" t="s">
        <v>244</v>
      </c>
      <c r="B131" t="s">
        <v>3211</v>
      </c>
      <c r="C131" s="5" t="s">
        <v>121</v>
      </c>
      <c r="D131" t="s">
        <v>242</v>
      </c>
      <c r="E131" t="str">
        <f t="shared" si="8"/>
        <v>gfx/Wooden_Wall.positions</v>
      </c>
      <c r="F131" s="5" t="s">
        <v>243</v>
      </c>
      <c r="G131" s="5">
        <f t="shared" si="11"/>
        <v>46890</v>
      </c>
      <c r="H131" s="5">
        <v>112</v>
      </c>
      <c r="I131" s="6" t="str">
        <f t="shared" si="12"/>
        <v>70</v>
      </c>
    </row>
    <row r="132" spans="1:11" x14ac:dyDescent="0.2">
      <c r="A132" t="s">
        <v>247</v>
      </c>
      <c r="B132" t="s">
        <v>3212</v>
      </c>
      <c r="C132" s="5" t="s">
        <v>121</v>
      </c>
      <c r="D132" t="s">
        <v>245</v>
      </c>
      <c r="E132" t="str">
        <f t="shared" si="8"/>
        <v>gfx/Stairs_Up.positions</v>
      </c>
      <c r="F132" s="5" t="s">
        <v>246</v>
      </c>
      <c r="G132" s="5">
        <f t="shared" si="11"/>
        <v>47002</v>
      </c>
      <c r="H132" s="5">
        <v>116</v>
      </c>
      <c r="I132" s="6" t="str">
        <f t="shared" si="12"/>
        <v>74</v>
      </c>
    </row>
    <row r="133" spans="1:11" x14ac:dyDescent="0.2">
      <c r="A133" t="s">
        <v>250</v>
      </c>
      <c r="B133" t="s">
        <v>3213</v>
      </c>
      <c r="C133" s="5" t="s">
        <v>121</v>
      </c>
      <c r="D133" t="s">
        <v>248</v>
      </c>
      <c r="E133" t="str">
        <f t="shared" si="8"/>
        <v>gfx/Stairs_Down.positions</v>
      </c>
      <c r="F133" s="5" t="s">
        <v>249</v>
      </c>
      <c r="G133" s="5">
        <f t="shared" si="11"/>
        <v>47118</v>
      </c>
      <c r="H133" s="5">
        <v>116</v>
      </c>
      <c r="I133" s="6" t="str">
        <f t="shared" si="12"/>
        <v>74</v>
      </c>
    </row>
    <row r="134" spans="1:11" x14ac:dyDescent="0.2">
      <c r="A134" t="s">
        <v>253</v>
      </c>
      <c r="B134" t="s">
        <v>3214</v>
      </c>
      <c r="C134" s="5" t="s">
        <v>121</v>
      </c>
      <c r="D134" t="s">
        <v>251</v>
      </c>
      <c r="E134" t="str">
        <f t="shared" si="8"/>
        <v>gfx/Misc_Pillar.positions</v>
      </c>
      <c r="F134" s="5" t="s">
        <v>252</v>
      </c>
      <c r="G134" s="5">
        <f t="shared" si="11"/>
        <v>47234</v>
      </c>
      <c r="H134" s="5">
        <v>72</v>
      </c>
      <c r="I134" s="6" t="str">
        <f t="shared" si="12"/>
        <v>48</v>
      </c>
    </row>
    <row r="135" spans="1:11" x14ac:dyDescent="0.2">
      <c r="A135" t="s">
        <v>256</v>
      </c>
      <c r="B135" t="s">
        <v>3215</v>
      </c>
      <c r="C135" s="5" t="s">
        <v>121</v>
      </c>
      <c r="D135" t="s">
        <v>254</v>
      </c>
      <c r="E135" t="str">
        <f t="shared" si="8"/>
        <v>gfx/Door.Positions</v>
      </c>
      <c r="F135" s="5" t="s">
        <v>255</v>
      </c>
      <c r="G135" s="5">
        <f t="shared" si="11"/>
        <v>47306</v>
      </c>
      <c r="H135" s="5">
        <v>80</v>
      </c>
      <c r="I135" s="6" t="str">
        <f t="shared" si="12"/>
        <v>50</v>
      </c>
    </row>
    <row r="136" spans="1:11" x14ac:dyDescent="0.2">
      <c r="A136" t="s">
        <v>259</v>
      </c>
      <c r="B136" t="s">
        <v>3216</v>
      </c>
      <c r="C136" s="5" t="s">
        <v>121</v>
      </c>
      <c r="D136" t="s">
        <v>257</v>
      </c>
      <c r="E136" t="str">
        <f t="shared" si="8"/>
        <v>gfx/Misc_Bed.positions</v>
      </c>
      <c r="F136" s="5" t="s">
        <v>258</v>
      </c>
      <c r="G136" s="5">
        <f t="shared" si="11"/>
        <v>47386</v>
      </c>
      <c r="H136" s="5">
        <v>72</v>
      </c>
      <c r="I136" s="6" t="str">
        <f t="shared" si="12"/>
        <v>48</v>
      </c>
    </row>
    <row r="137" spans="1:11" x14ac:dyDescent="0.2">
      <c r="A137" t="s">
        <v>262</v>
      </c>
      <c r="B137" t="s">
        <v>3217</v>
      </c>
      <c r="C137" s="5" t="s">
        <v>121</v>
      </c>
      <c r="D137" t="s">
        <v>260</v>
      </c>
      <c r="E137" t="str">
        <f t="shared" si="8"/>
        <v>gfx/Main_Shelf.positions</v>
      </c>
      <c r="F137" s="5" t="s">
        <v>261</v>
      </c>
      <c r="G137" s="5">
        <f t="shared" si="11"/>
        <v>47458</v>
      </c>
      <c r="H137" s="5">
        <v>112</v>
      </c>
      <c r="I137" s="6" t="str">
        <f t="shared" si="12"/>
        <v>70</v>
      </c>
    </row>
    <row r="138" spans="1:11" x14ac:dyDescent="0.2">
      <c r="A138" t="s">
        <v>265</v>
      </c>
      <c r="B138" t="s">
        <v>3218</v>
      </c>
      <c r="C138" s="5" t="s">
        <v>121</v>
      </c>
      <c r="D138" t="s">
        <v>263</v>
      </c>
      <c r="E138" t="str">
        <f t="shared" si="8"/>
        <v>gfx/Main_Sign.positions</v>
      </c>
      <c r="F138" s="5" t="s">
        <v>264</v>
      </c>
      <c r="G138" s="5">
        <f t="shared" si="11"/>
        <v>47570</v>
      </c>
      <c r="H138" s="5">
        <v>112</v>
      </c>
      <c r="I138" s="6" t="str">
        <f t="shared" si="12"/>
        <v>70</v>
      </c>
    </row>
    <row r="139" spans="1:11" x14ac:dyDescent="0.2">
      <c r="A139" t="s">
        <v>268</v>
      </c>
      <c r="B139" t="s">
        <v>3219</v>
      </c>
      <c r="C139" s="5" t="s">
        <v>121</v>
      </c>
      <c r="D139" t="s">
        <v>266</v>
      </c>
      <c r="E139" t="str">
        <f t="shared" si="8"/>
        <v>gfx/Main_SignOverlay.positions</v>
      </c>
      <c r="F139" s="5" t="s">
        <v>267</v>
      </c>
      <c r="G139" s="5">
        <f t="shared" si="11"/>
        <v>47682</v>
      </c>
      <c r="H139" s="5">
        <v>112</v>
      </c>
      <c r="I139" s="6" t="str">
        <f t="shared" si="12"/>
        <v>70</v>
      </c>
    </row>
    <row r="140" spans="1:11" x14ac:dyDescent="0.2">
      <c r="A140" t="s">
        <v>271</v>
      </c>
      <c r="B140" t="s">
        <v>3220</v>
      </c>
      <c r="C140" s="5" t="s">
        <v>121</v>
      </c>
      <c r="D140" t="s">
        <v>269</v>
      </c>
      <c r="E140" t="str">
        <f t="shared" si="8"/>
        <v>gfx/Main_SignOverlay.offsets</v>
      </c>
      <c r="F140" s="5" t="s">
        <v>270</v>
      </c>
      <c r="G140" s="5">
        <f t="shared" si="11"/>
        <v>44800</v>
      </c>
      <c r="H140" s="5">
        <v>32</v>
      </c>
      <c r="I140" s="6" t="str">
        <f t="shared" si="12"/>
        <v>20</v>
      </c>
      <c r="K140" s="19" t="s">
        <v>4474</v>
      </c>
    </row>
    <row r="141" spans="1:11" x14ac:dyDescent="0.2">
      <c r="A141" t="s">
        <v>274</v>
      </c>
      <c r="B141" t="s">
        <v>3221</v>
      </c>
      <c r="C141" s="5" t="s">
        <v>121</v>
      </c>
      <c r="D141" t="s">
        <v>272</v>
      </c>
      <c r="E141" t="str">
        <f t="shared" si="8"/>
        <v>gfx/Main_Slots.positions</v>
      </c>
      <c r="F141" s="5" t="s">
        <v>273</v>
      </c>
      <c r="G141" s="5">
        <f t="shared" si="11"/>
        <v>47794</v>
      </c>
      <c r="H141" s="5">
        <v>112</v>
      </c>
      <c r="I141" s="6" t="str">
        <f t="shared" si="12"/>
        <v>70</v>
      </c>
      <c r="K141" s="19" t="s">
        <v>3682</v>
      </c>
    </row>
    <row r="142" spans="1:11" x14ac:dyDescent="0.2">
      <c r="A142" t="s">
        <v>277</v>
      </c>
      <c r="B142" t="s">
        <v>3222</v>
      </c>
      <c r="C142" s="5" t="s">
        <v>121</v>
      </c>
      <c r="D142" t="s">
        <v>275</v>
      </c>
      <c r="E142" t="str">
        <f t="shared" si="8"/>
        <v>gfx/Main_Switches.positions</v>
      </c>
      <c r="F142" s="5" t="s">
        <v>276</v>
      </c>
      <c r="G142" s="5">
        <f t="shared" si="11"/>
        <v>47906</v>
      </c>
      <c r="H142" s="5">
        <v>112</v>
      </c>
      <c r="I142" s="6" t="str">
        <f t="shared" si="12"/>
        <v>70</v>
      </c>
    </row>
    <row r="143" spans="1:11" x14ac:dyDescent="0.2">
      <c r="A143" t="s">
        <v>279</v>
      </c>
      <c r="B143" t="s">
        <v>3730</v>
      </c>
      <c r="C143" s="5" t="s">
        <v>121</v>
      </c>
      <c r="D143" t="s">
        <v>3731</v>
      </c>
      <c r="E143" t="str">
        <f t="shared" si="8"/>
        <v>gfx/FloorPit_TriggerPad.positions</v>
      </c>
      <c r="F143" s="5" t="s">
        <v>278</v>
      </c>
      <c r="G143" s="5">
        <f t="shared" si="11"/>
        <v>48018</v>
      </c>
      <c r="H143" s="5">
        <v>76</v>
      </c>
      <c r="I143" s="6" t="str">
        <f t="shared" si="12"/>
        <v>4C</v>
      </c>
      <c r="K143" s="19" t="s">
        <v>3732</v>
      </c>
    </row>
    <row r="144" spans="1:11" x14ac:dyDescent="0.2">
      <c r="A144" t="s">
        <v>281</v>
      </c>
      <c r="B144" t="s">
        <v>3733</v>
      </c>
      <c r="C144" s="5" t="s">
        <v>121</v>
      </c>
      <c r="D144" t="s">
        <v>3734</v>
      </c>
      <c r="E144" t="str">
        <f t="shared" si="8"/>
        <v>gfx/Ceiling_Hole.positions</v>
      </c>
      <c r="F144" s="5" t="s">
        <v>280</v>
      </c>
      <c r="G144" s="5">
        <f t="shared" si="11"/>
        <v>48094</v>
      </c>
      <c r="H144" s="5">
        <v>76</v>
      </c>
      <c r="I144" s="6" t="str">
        <f t="shared" si="12"/>
        <v>4C</v>
      </c>
      <c r="K144" s="19" t="s">
        <v>3735</v>
      </c>
    </row>
    <row r="145" spans="1:14" x14ac:dyDescent="0.2">
      <c r="A145" t="s">
        <v>284</v>
      </c>
      <c r="B145" t="s">
        <v>3223</v>
      </c>
      <c r="C145" s="5" t="s">
        <v>121</v>
      </c>
      <c r="D145" t="s">
        <v>282</v>
      </c>
      <c r="E145" t="str">
        <f t="shared" si="8"/>
        <v>gfx/Wooden_Doors.positions</v>
      </c>
      <c r="F145" s="5" t="s">
        <v>283</v>
      </c>
      <c r="G145" s="5">
        <f t="shared" si="11"/>
        <v>48170</v>
      </c>
      <c r="H145" s="5">
        <v>112</v>
      </c>
      <c r="I145" s="6" t="str">
        <f t="shared" si="12"/>
        <v>70</v>
      </c>
    </row>
    <row r="146" spans="1:14" x14ac:dyDescent="0.2">
      <c r="A146" t="s">
        <v>286</v>
      </c>
      <c r="B146" t="s">
        <v>3224</v>
      </c>
      <c r="C146" s="5" t="s">
        <v>121</v>
      </c>
      <c r="D146" t="s">
        <v>285</v>
      </c>
      <c r="E146" t="str">
        <f t="shared" si="8"/>
        <v>gfx/Main_Slots.offsets</v>
      </c>
      <c r="F146" s="5" t="s">
        <v>3240</v>
      </c>
      <c r="G146" s="5">
        <f t="shared" si="11"/>
        <v>44704</v>
      </c>
      <c r="H146" s="5">
        <v>32</v>
      </c>
      <c r="I146" s="6" t="str">
        <f t="shared" si="12"/>
        <v>20</v>
      </c>
      <c r="K146" s="19" t="s">
        <v>3681</v>
      </c>
    </row>
    <row r="147" spans="1:14" x14ac:dyDescent="0.2">
      <c r="A147" t="s">
        <v>287</v>
      </c>
      <c r="B147" t="s">
        <v>3132</v>
      </c>
      <c r="C147" s="5" t="s">
        <v>121</v>
      </c>
      <c r="D147" t="s">
        <v>3133</v>
      </c>
      <c r="E147" t="str">
        <f t="shared" si="8"/>
        <v>gfx/Switches.colours</v>
      </c>
      <c r="F147" s="5" t="s">
        <v>3241</v>
      </c>
      <c r="G147" s="5">
        <f t="shared" si="11"/>
        <v>44736</v>
      </c>
      <c r="H147" s="5">
        <v>32</v>
      </c>
      <c r="I147" s="6" t="str">
        <f t="shared" si="12"/>
        <v>20</v>
      </c>
      <c r="K147" s="19" t="s">
        <v>4472</v>
      </c>
    </row>
    <row r="148" spans="1:14" x14ac:dyDescent="0.2">
      <c r="A148" t="s">
        <v>288</v>
      </c>
      <c r="B148" t="s">
        <v>3226</v>
      </c>
      <c r="C148" s="5" t="s">
        <v>121</v>
      </c>
      <c r="D148" t="s">
        <v>3061</v>
      </c>
      <c r="E148" t="str">
        <f t="shared" si="8"/>
        <v>gfx/Main_Sign.colours</v>
      </c>
      <c r="F148" s="5" t="s">
        <v>3242</v>
      </c>
      <c r="G148" s="5">
        <f t="shared" si="11"/>
        <v>44768</v>
      </c>
      <c r="H148" s="5">
        <v>32</v>
      </c>
      <c r="I148" s="6" t="str">
        <f t="shared" si="12"/>
        <v>20</v>
      </c>
      <c r="K148" s="19" t="s">
        <v>4473</v>
      </c>
    </row>
    <row r="149" spans="1:14" x14ac:dyDescent="0.2">
      <c r="A149" t="s">
        <v>3016</v>
      </c>
      <c r="B149" t="s">
        <v>3079</v>
      </c>
      <c r="C149" s="5" t="s">
        <v>121</v>
      </c>
      <c r="E149" t="str">
        <f>IF(D149&lt;&gt;"",C149&amp;"/"&amp;D149,"")</f>
        <v/>
      </c>
      <c r="G149" s="5" t="str">
        <f t="shared" si="11"/>
        <v/>
      </c>
      <c r="I149" s="6" t="str">
        <f t="shared" si="12"/>
        <v>0</v>
      </c>
    </row>
    <row r="150" spans="1:14" s="11" customFormat="1" x14ac:dyDescent="0.2">
      <c r="A150" s="11" t="s">
        <v>3019</v>
      </c>
      <c r="B150" s="11" t="s">
        <v>3105</v>
      </c>
      <c r="C150" s="12"/>
      <c r="E150" t="str">
        <f>IF(D150&lt;&gt;"",C150&amp;"/"&amp;D150,"")</f>
        <v/>
      </c>
      <c r="F150" s="12"/>
      <c r="G150" s="5" t="str">
        <f t="shared" si="11"/>
        <v/>
      </c>
      <c r="H150" s="12"/>
      <c r="I150" s="6" t="str">
        <f t="shared" si="12"/>
        <v>0</v>
      </c>
      <c r="J150" s="13"/>
      <c r="K150" s="20"/>
      <c r="L150" s="29"/>
      <c r="M150" s="29"/>
    </row>
    <row r="151" spans="1:14" x14ac:dyDescent="0.2">
      <c r="A151" t="s">
        <v>3026</v>
      </c>
      <c r="B151" t="s">
        <v>3095</v>
      </c>
      <c r="C151" s="5" t="s">
        <v>51</v>
      </c>
      <c r="D151" t="s">
        <v>179</v>
      </c>
      <c r="E151" t="str">
        <f t="shared" ref="E151:E174" si="13">IF(D151&lt;&gt;"",C151&amp;"/"&amp;D151,"")</f>
        <v>monsters/Summon.gfx</v>
      </c>
      <c r="F151" s="5" t="s">
        <v>3247</v>
      </c>
      <c r="G151" s="5">
        <f t="shared" si="11"/>
        <v>281748</v>
      </c>
      <c r="H151" s="5">
        <v>5816</v>
      </c>
      <c r="I151" s="6" t="str">
        <f t="shared" si="12"/>
        <v>16B8</v>
      </c>
      <c r="K151" s="19" t="s">
        <v>4495</v>
      </c>
    </row>
    <row r="152" spans="1:14" x14ac:dyDescent="0.2">
      <c r="A152" t="s">
        <v>3027</v>
      </c>
      <c r="B152" t="s">
        <v>3092</v>
      </c>
      <c r="C152" s="5" t="s">
        <v>51</v>
      </c>
      <c r="D152" t="s">
        <v>180</v>
      </c>
      <c r="E152" t="str">
        <f t="shared" si="13"/>
        <v>monsters/Behemoth.gfx</v>
      </c>
      <c r="F152" s="5" t="s">
        <v>3248</v>
      </c>
      <c r="G152" s="5">
        <f t="shared" si="11"/>
        <v>287564</v>
      </c>
      <c r="H152" s="5">
        <v>5096</v>
      </c>
      <c r="I152" s="6" t="str">
        <f t="shared" si="12"/>
        <v>13E8</v>
      </c>
      <c r="K152" s="19" t="s">
        <v>4496</v>
      </c>
    </row>
    <row r="153" spans="1:14" x14ac:dyDescent="0.2">
      <c r="A153" t="s">
        <v>3028</v>
      </c>
      <c r="B153" t="s">
        <v>3093</v>
      </c>
      <c r="C153" s="5" t="s">
        <v>51</v>
      </c>
      <c r="D153" t="s">
        <v>181</v>
      </c>
      <c r="E153" t="str">
        <f t="shared" si="13"/>
        <v>monsters/Crab.gfx</v>
      </c>
      <c r="F153" s="5" t="s">
        <v>3249</v>
      </c>
      <c r="G153" s="5">
        <f t="shared" si="11"/>
        <v>292660</v>
      </c>
      <c r="H153" s="5">
        <v>1112</v>
      </c>
      <c r="I153" s="6" t="str">
        <f t="shared" si="12"/>
        <v>458</v>
      </c>
      <c r="K153" s="19" t="s">
        <v>4497</v>
      </c>
    </row>
    <row r="154" spans="1:14" x14ac:dyDescent="0.2">
      <c r="A154" t="s">
        <v>3029</v>
      </c>
      <c r="B154" t="s">
        <v>3094</v>
      </c>
      <c r="C154" s="7" t="s">
        <v>51</v>
      </c>
      <c r="D154" t="s">
        <v>182</v>
      </c>
      <c r="E154" t="str">
        <f t="shared" si="13"/>
        <v>monsters/CrabClaw.gfx</v>
      </c>
      <c r="F154" s="5" t="s">
        <v>3250</v>
      </c>
      <c r="G154" s="5">
        <f t="shared" si="11"/>
        <v>293772</v>
      </c>
      <c r="H154" s="5" t="s">
        <v>183</v>
      </c>
      <c r="I154" s="6" t="str">
        <f t="shared" si="12"/>
        <v>350</v>
      </c>
      <c r="N154" t="e">
        <f>#REF!+#REF!</f>
        <v>#REF!</v>
      </c>
    </row>
    <row r="155" spans="1:14" x14ac:dyDescent="0.2">
      <c r="A155" t="s">
        <v>2310</v>
      </c>
      <c r="B155" t="s">
        <v>3334</v>
      </c>
      <c r="C155" s="7" t="s">
        <v>51</v>
      </c>
      <c r="D155" t="s">
        <v>3335</v>
      </c>
      <c r="E155" t="str">
        <f t="shared" si="13"/>
        <v>monsters/Beholder_Body.offsets</v>
      </c>
      <c r="F155" s="5" t="s">
        <v>3342</v>
      </c>
      <c r="G155" s="5">
        <f t="shared" si="11"/>
        <v>40816</v>
      </c>
      <c r="H155" s="5">
        <v>12</v>
      </c>
      <c r="I155" s="6" t="str">
        <f t="shared" si="12"/>
        <v>C</v>
      </c>
      <c r="N155">
        <f>G154+H154</f>
        <v>294620</v>
      </c>
    </row>
    <row r="156" spans="1:14" x14ac:dyDescent="0.2">
      <c r="A156" t="s">
        <v>2311</v>
      </c>
      <c r="B156" t="s">
        <v>3385</v>
      </c>
      <c r="C156" s="7" t="s">
        <v>51</v>
      </c>
      <c r="D156" t="s">
        <v>3386</v>
      </c>
      <c r="E156" t="str">
        <f t="shared" si="13"/>
        <v>monsters/Beholder_UpperEyes.offsets</v>
      </c>
      <c r="F156" s="5" t="s">
        <v>3343</v>
      </c>
      <c r="G156" s="5">
        <f t="shared" si="11"/>
        <v>40828</v>
      </c>
      <c r="H156" s="5">
        <v>8</v>
      </c>
      <c r="I156" s="6" t="str">
        <f t="shared" si="12"/>
        <v>8</v>
      </c>
    </row>
    <row r="157" spans="1:14" x14ac:dyDescent="0.2">
      <c r="A157" t="s">
        <v>2312</v>
      </c>
      <c r="B157" t="s">
        <v>3336</v>
      </c>
      <c r="C157" s="7" t="s">
        <v>51</v>
      </c>
      <c r="D157" t="s">
        <v>3339</v>
      </c>
      <c r="E157" t="str">
        <f t="shared" si="13"/>
        <v>monsters/Beholder_CentralEye_Near.offsets</v>
      </c>
      <c r="F157" s="5" t="s">
        <v>3344</v>
      </c>
      <c r="G157" s="5">
        <f t="shared" si="11"/>
        <v>40836</v>
      </c>
      <c r="H157" s="5">
        <v>32</v>
      </c>
      <c r="I157" s="6" t="str">
        <f t="shared" si="12"/>
        <v>20</v>
      </c>
    </row>
    <row r="158" spans="1:14" x14ac:dyDescent="0.2">
      <c r="A158" t="s">
        <v>2313</v>
      </c>
      <c r="B158" t="s">
        <v>3337</v>
      </c>
      <c r="C158" s="7" t="s">
        <v>51</v>
      </c>
      <c r="D158" t="s">
        <v>3338</v>
      </c>
      <c r="E158" t="str">
        <f t="shared" si="13"/>
        <v>monsters/Beholder_CentralEye_Far.offsets</v>
      </c>
      <c r="F158" s="5" t="s">
        <v>3345</v>
      </c>
      <c r="G158" s="5">
        <f t="shared" si="11"/>
        <v>40868</v>
      </c>
      <c r="H158" s="5">
        <v>8</v>
      </c>
      <c r="I158" s="6" t="str">
        <f t="shared" si="12"/>
        <v>8</v>
      </c>
    </row>
    <row r="159" spans="1:14" x14ac:dyDescent="0.2">
      <c r="A159" t="s">
        <v>2289</v>
      </c>
      <c r="B159" t="s">
        <v>3346</v>
      </c>
      <c r="C159" s="7" t="s">
        <v>51</v>
      </c>
      <c r="D159" t="s">
        <v>3387</v>
      </c>
      <c r="E159" t="str">
        <f t="shared" si="13"/>
        <v>monsters/Beholder_CentralEye_Near_Front.heights</v>
      </c>
      <c r="F159" s="5" t="s">
        <v>3347</v>
      </c>
      <c r="G159" s="5">
        <f t="shared" si="11"/>
        <v>40496</v>
      </c>
      <c r="H159" s="5">
        <v>4</v>
      </c>
      <c r="I159" s="6" t="str">
        <f t="shared" si="12"/>
        <v>4</v>
      </c>
      <c r="K159" t="s">
        <v>3348</v>
      </c>
    </row>
    <row r="160" spans="1:14" x14ac:dyDescent="0.2">
      <c r="A160" t="s">
        <v>2290</v>
      </c>
      <c r="B160" t="s">
        <v>3388</v>
      </c>
      <c r="C160" s="7" t="s">
        <v>51</v>
      </c>
      <c r="D160" t="s">
        <v>3389</v>
      </c>
      <c r="E160" t="str">
        <f t="shared" si="13"/>
        <v>monsters/Beholder_CentralEye_Near_Y.positions</v>
      </c>
      <c r="F160" s="5" t="s">
        <v>3349</v>
      </c>
      <c r="G160" s="5">
        <f t="shared" si="11"/>
        <v>40500</v>
      </c>
      <c r="H160" s="5">
        <v>4</v>
      </c>
      <c r="I160" s="6" t="str">
        <f t="shared" si="12"/>
        <v>4</v>
      </c>
      <c r="K160" t="s">
        <v>3350</v>
      </c>
    </row>
    <row r="161" spans="1:14" x14ac:dyDescent="0.2">
      <c r="A161" t="s">
        <v>2293</v>
      </c>
      <c r="B161" t="s">
        <v>3351</v>
      </c>
      <c r="C161" s="7" t="s">
        <v>51</v>
      </c>
      <c r="D161" t="s">
        <v>3390</v>
      </c>
      <c r="E161" t="str">
        <f t="shared" si="13"/>
        <v>monsters/Beholder_CentralEye_Near_Side.heights</v>
      </c>
      <c r="F161" s="5" t="s">
        <v>3352</v>
      </c>
      <c r="G161" s="5">
        <f t="shared" si="11"/>
        <v>40560</v>
      </c>
      <c r="H161" s="5">
        <v>4</v>
      </c>
      <c r="I161" s="6" t="str">
        <f t="shared" si="12"/>
        <v>4</v>
      </c>
      <c r="K161" t="s">
        <v>3353</v>
      </c>
    </row>
    <row r="162" spans="1:14" x14ac:dyDescent="0.2">
      <c r="A162" t="s">
        <v>2294</v>
      </c>
      <c r="B162" t="s">
        <v>3391</v>
      </c>
      <c r="C162" s="7" t="s">
        <v>51</v>
      </c>
      <c r="D162" t="s">
        <v>3392</v>
      </c>
      <c r="E162" t="str">
        <f t="shared" si="13"/>
        <v>monsters/Beholder_CentralEye_Near_Side_Mirrored_X.positions</v>
      </c>
      <c r="F162" s="5" t="s">
        <v>3354</v>
      </c>
      <c r="G162" s="5">
        <f t="shared" si="11"/>
        <v>40564</v>
      </c>
      <c r="H162" s="5">
        <v>4</v>
      </c>
      <c r="I162" s="6" t="str">
        <f t="shared" si="12"/>
        <v>4</v>
      </c>
      <c r="K162" t="s">
        <v>3355</v>
      </c>
    </row>
    <row r="163" spans="1:14" x14ac:dyDescent="0.2">
      <c r="A163" t="s">
        <v>2295</v>
      </c>
      <c r="B163" t="s">
        <v>3393</v>
      </c>
      <c r="C163" s="7" t="s">
        <v>51</v>
      </c>
      <c r="D163" t="s">
        <v>3394</v>
      </c>
      <c r="E163" t="str">
        <f t="shared" si="13"/>
        <v>monsters/Beholder_CentralEye_Near_Side_Y.positions</v>
      </c>
      <c r="F163" s="5" t="s">
        <v>3356</v>
      </c>
      <c r="G163" s="5">
        <f t="shared" si="11"/>
        <v>40568</v>
      </c>
      <c r="H163" s="5">
        <v>4</v>
      </c>
      <c r="I163" s="6" t="str">
        <f t="shared" si="12"/>
        <v>4</v>
      </c>
      <c r="K163" t="s">
        <v>3357</v>
      </c>
    </row>
    <row r="164" spans="1:14" x14ac:dyDescent="0.2">
      <c r="A164" t="s">
        <v>2297</v>
      </c>
      <c r="B164" t="s">
        <v>3395</v>
      </c>
      <c r="C164" s="7" t="s">
        <v>51</v>
      </c>
      <c r="D164" t="s">
        <v>3396</v>
      </c>
      <c r="E164" t="str">
        <f t="shared" si="13"/>
        <v>monsters/Beholder_CentralEye_Far_Y.positions</v>
      </c>
      <c r="F164" s="5" t="s">
        <v>3358</v>
      </c>
      <c r="G164" s="5">
        <f t="shared" si="11"/>
        <v>40606</v>
      </c>
      <c r="H164" s="5">
        <v>2</v>
      </c>
      <c r="I164" s="6" t="str">
        <f t="shared" si="12"/>
        <v>2</v>
      </c>
      <c r="K164" t="s">
        <v>3359</v>
      </c>
    </row>
    <row r="165" spans="1:14" x14ac:dyDescent="0.2">
      <c r="A165" t="s">
        <v>2298</v>
      </c>
      <c r="B165" t="s">
        <v>3397</v>
      </c>
      <c r="C165" s="7" t="s">
        <v>51</v>
      </c>
      <c r="D165" t="s">
        <v>3398</v>
      </c>
      <c r="E165" t="str">
        <f t="shared" si="13"/>
        <v>monsters/Beholder_CentralEye_Far_Side_Mirrored_X.positions</v>
      </c>
      <c r="F165" s="5" t="s">
        <v>3360</v>
      </c>
      <c r="G165" s="5">
        <f t="shared" si="11"/>
        <v>40608</v>
      </c>
      <c r="H165" s="5">
        <v>2</v>
      </c>
      <c r="I165" s="6" t="str">
        <f t="shared" si="12"/>
        <v>2</v>
      </c>
      <c r="K165" t="s">
        <v>3361</v>
      </c>
    </row>
    <row r="166" spans="1:14" x14ac:dyDescent="0.2">
      <c r="A166" t="s">
        <v>2301</v>
      </c>
      <c r="B166" t="s">
        <v>3362</v>
      </c>
      <c r="C166" s="7" t="s">
        <v>51</v>
      </c>
      <c r="D166" t="s">
        <v>3399</v>
      </c>
      <c r="E166" t="str">
        <f t="shared" si="13"/>
        <v>monsters/Beholder_Body.heights</v>
      </c>
      <c r="F166" s="5" t="s">
        <v>3363</v>
      </c>
      <c r="G166" s="5">
        <f t="shared" si="11"/>
        <v>40660</v>
      </c>
      <c r="H166" s="5">
        <v>6</v>
      </c>
      <c r="I166" s="6" t="str">
        <f t="shared" si="12"/>
        <v>6</v>
      </c>
      <c r="K166" t="s">
        <v>3364</v>
      </c>
    </row>
    <row r="167" spans="1:14" x14ac:dyDescent="0.2">
      <c r="A167" t="s">
        <v>2302</v>
      </c>
      <c r="B167" t="s">
        <v>3400</v>
      </c>
      <c r="C167" s="7" t="s">
        <v>51</v>
      </c>
      <c r="D167" t="s">
        <v>3401</v>
      </c>
      <c r="E167" t="str">
        <f t="shared" si="13"/>
        <v>monsters/Beholder_Composite_X.positions</v>
      </c>
      <c r="F167" s="5" t="s">
        <v>3365</v>
      </c>
      <c r="G167" s="5">
        <f t="shared" si="11"/>
        <v>40666</v>
      </c>
      <c r="H167" s="5">
        <v>6</v>
      </c>
      <c r="I167" s="6" t="str">
        <f t="shared" si="12"/>
        <v>6</v>
      </c>
      <c r="K167" t="s">
        <v>3366</v>
      </c>
    </row>
    <row r="168" spans="1:14" x14ac:dyDescent="0.2">
      <c r="A168" t="s">
        <v>2303</v>
      </c>
      <c r="B168" t="s">
        <v>3402</v>
      </c>
      <c r="C168" s="7" t="s">
        <v>51</v>
      </c>
      <c r="D168" t="s">
        <v>3403</v>
      </c>
      <c r="E168" t="str">
        <f t="shared" si="13"/>
        <v>monsters/Beholder_Composite_Y.positions</v>
      </c>
      <c r="F168" s="5" t="s">
        <v>3367</v>
      </c>
      <c r="G168" s="5">
        <f t="shared" si="11"/>
        <v>40672</v>
      </c>
      <c r="H168" s="5">
        <v>6</v>
      </c>
      <c r="I168" s="6" t="str">
        <f t="shared" si="12"/>
        <v>6</v>
      </c>
      <c r="K168" t="s">
        <v>3368</v>
      </c>
    </row>
    <row r="169" spans="1:14" x14ac:dyDescent="0.2">
      <c r="A169" t="s">
        <v>2304</v>
      </c>
      <c r="B169" t="s">
        <v>3369</v>
      </c>
      <c r="C169" s="7" t="s">
        <v>51</v>
      </c>
      <c r="D169" t="s">
        <v>3404</v>
      </c>
      <c r="E169" t="str">
        <f t="shared" si="13"/>
        <v>monsters/Beholder_UpperEyes.heights</v>
      </c>
      <c r="F169" s="5" t="s">
        <v>3370</v>
      </c>
      <c r="G169" s="5">
        <f t="shared" si="11"/>
        <v>40678</v>
      </c>
      <c r="H169" s="5">
        <v>4</v>
      </c>
      <c r="I169" s="6" t="str">
        <f t="shared" si="12"/>
        <v>4</v>
      </c>
      <c r="K169" t="s">
        <v>3371</v>
      </c>
    </row>
    <row r="170" spans="1:14" x14ac:dyDescent="0.2">
      <c r="A170" t="s">
        <v>2308</v>
      </c>
      <c r="B170" t="s">
        <v>3405</v>
      </c>
      <c r="C170" s="7" t="s">
        <v>51</v>
      </c>
      <c r="D170" t="s">
        <v>3406</v>
      </c>
      <c r="E170" t="str">
        <f t="shared" si="13"/>
        <v>monsters/Beholder_Near_MirroredHalf_X.positions</v>
      </c>
      <c r="F170" s="5" t="s">
        <v>3372</v>
      </c>
      <c r="G170" s="5">
        <f t="shared" si="11"/>
        <v>40798</v>
      </c>
      <c r="H170" s="5">
        <v>2</v>
      </c>
      <c r="I170" s="6" t="str">
        <f t="shared" si="12"/>
        <v>2</v>
      </c>
      <c r="K170" t="s">
        <v>3373</v>
      </c>
    </row>
    <row r="171" spans="1:14" x14ac:dyDescent="0.2">
      <c r="A171" t="s">
        <v>3078</v>
      </c>
      <c r="B171" t="s">
        <v>3407</v>
      </c>
      <c r="C171" s="7" t="s">
        <v>51</v>
      </c>
      <c r="D171" t="s">
        <v>3408</v>
      </c>
      <c r="E171" t="str">
        <f t="shared" si="13"/>
        <v>monsters/Beholder_Body.gfx</v>
      </c>
      <c r="F171" s="5" t="s">
        <v>3251</v>
      </c>
      <c r="G171" s="5">
        <f t="shared" si="11"/>
        <v>294620</v>
      </c>
      <c r="H171" s="5">
        <v>672</v>
      </c>
      <c r="I171" s="6" t="str">
        <f t="shared" si="12"/>
        <v>2A0</v>
      </c>
      <c r="J171" s="6" t="s">
        <v>3409</v>
      </c>
    </row>
    <row r="172" spans="1:14" x14ac:dyDescent="0.2">
      <c r="A172" t="s">
        <v>3078</v>
      </c>
      <c r="B172" t="s">
        <v>3411</v>
      </c>
      <c r="C172" s="7" t="s">
        <v>51</v>
      </c>
      <c r="D172" t="s">
        <v>3413</v>
      </c>
      <c r="E172" t="str">
        <f t="shared" si="13"/>
        <v>monsters/Beholder_UpperEyes.gfx</v>
      </c>
      <c r="F172" s="5" t="s">
        <v>3252</v>
      </c>
      <c r="G172" s="5">
        <f t="shared" si="11"/>
        <v>295292</v>
      </c>
      <c r="H172" s="5">
        <v>160</v>
      </c>
      <c r="I172" s="6" t="str">
        <f t="shared" si="12"/>
        <v>A0</v>
      </c>
      <c r="J172" s="6" t="s">
        <v>3414</v>
      </c>
    </row>
    <row r="173" spans="1:14" x14ac:dyDescent="0.2">
      <c r="A173" t="s">
        <v>3078</v>
      </c>
      <c r="B173" t="s">
        <v>3412</v>
      </c>
      <c r="C173" s="7" t="s">
        <v>51</v>
      </c>
      <c r="D173" t="s">
        <v>3415</v>
      </c>
      <c r="E173" t="str">
        <f t="shared" si="13"/>
        <v>monsters/Beholder_CentralEye_Near.gfx</v>
      </c>
      <c r="F173" s="5" t="s">
        <v>3416</v>
      </c>
      <c r="G173" s="5">
        <f t="shared" si="11"/>
        <v>295452</v>
      </c>
      <c r="H173" s="5">
        <v>864</v>
      </c>
      <c r="I173" s="6" t="str">
        <f t="shared" si="12"/>
        <v>360</v>
      </c>
      <c r="J173" s="6" t="s">
        <v>3414</v>
      </c>
    </row>
    <row r="174" spans="1:14" x14ac:dyDescent="0.2">
      <c r="A174" t="s">
        <v>3078</v>
      </c>
      <c r="B174" t="s">
        <v>3417</v>
      </c>
      <c r="C174" s="7" t="s">
        <v>51</v>
      </c>
      <c r="D174" t="s">
        <v>3418</v>
      </c>
      <c r="E174" t="str">
        <f t="shared" si="13"/>
        <v>monsters/Beholder_CentralEye_Far.gfx</v>
      </c>
      <c r="F174" s="5" t="s">
        <v>3341</v>
      </c>
      <c r="G174" s="5">
        <f t="shared" si="11"/>
        <v>296316</v>
      </c>
      <c r="H174" s="5">
        <v>96</v>
      </c>
      <c r="I174" s="6" t="str">
        <f t="shared" si="12"/>
        <v>60</v>
      </c>
      <c r="J174" s="6" t="s">
        <v>3414</v>
      </c>
    </row>
    <row r="175" spans="1:14" x14ac:dyDescent="0.2">
      <c r="A175" t="s">
        <v>3069</v>
      </c>
      <c r="C175" s="7"/>
      <c r="E175" t="str">
        <f t="shared" ref="E175:E191" si="14">IF(D175&lt;&gt;"",C175&amp;"/"&amp;D175,"")</f>
        <v/>
      </c>
      <c r="G175" s="5" t="str">
        <f t="shared" si="11"/>
        <v/>
      </c>
      <c r="I175" s="6" t="str">
        <f t="shared" si="12"/>
        <v>0</v>
      </c>
      <c r="N175">
        <f>G171+H171</f>
        <v>295292</v>
      </c>
    </row>
    <row r="176" spans="1:14" x14ac:dyDescent="0.2">
      <c r="A176" t="s">
        <v>3070</v>
      </c>
      <c r="C176" s="7"/>
      <c r="E176" t="str">
        <f t="shared" si="14"/>
        <v/>
      </c>
      <c r="G176" s="5" t="str">
        <f t="shared" si="11"/>
        <v/>
      </c>
      <c r="I176" s="6" t="str">
        <f t="shared" si="12"/>
        <v>0</v>
      </c>
      <c r="N176">
        <f t="shared" ref="N176:N183" si="15">N175+H175</f>
        <v>295292</v>
      </c>
    </row>
    <row r="177" spans="1:14" x14ac:dyDescent="0.2">
      <c r="A177" t="s">
        <v>3071</v>
      </c>
      <c r="C177" s="7"/>
      <c r="E177" t="str">
        <f t="shared" si="14"/>
        <v/>
      </c>
      <c r="G177" s="5" t="str">
        <f t="shared" si="11"/>
        <v/>
      </c>
      <c r="I177" s="6" t="str">
        <f t="shared" si="12"/>
        <v>0</v>
      </c>
      <c r="N177">
        <f t="shared" si="15"/>
        <v>295292</v>
      </c>
    </row>
    <row r="178" spans="1:14" x14ac:dyDescent="0.2">
      <c r="A178" t="s">
        <v>3072</v>
      </c>
      <c r="C178" s="7"/>
      <c r="E178" t="str">
        <f t="shared" si="14"/>
        <v/>
      </c>
      <c r="G178" s="5" t="str">
        <f t="shared" si="11"/>
        <v/>
      </c>
      <c r="I178" s="6" t="str">
        <f t="shared" si="12"/>
        <v>0</v>
      </c>
      <c r="N178">
        <f t="shared" si="15"/>
        <v>295292</v>
      </c>
    </row>
    <row r="179" spans="1:14" x14ac:dyDescent="0.2">
      <c r="A179" t="s">
        <v>3073</v>
      </c>
      <c r="C179" s="7"/>
      <c r="E179" t="str">
        <f t="shared" si="14"/>
        <v/>
      </c>
      <c r="G179" s="5" t="str">
        <f t="shared" si="11"/>
        <v/>
      </c>
      <c r="I179" s="6" t="str">
        <f t="shared" si="12"/>
        <v>0</v>
      </c>
      <c r="N179">
        <f t="shared" si="15"/>
        <v>295292</v>
      </c>
    </row>
    <row r="180" spans="1:14" x14ac:dyDescent="0.2">
      <c r="A180" t="s">
        <v>3074</v>
      </c>
      <c r="C180" s="7"/>
      <c r="E180" t="str">
        <f t="shared" si="14"/>
        <v/>
      </c>
      <c r="G180" s="5" t="str">
        <f t="shared" si="11"/>
        <v/>
      </c>
      <c r="I180" s="6" t="str">
        <f t="shared" si="12"/>
        <v>0</v>
      </c>
      <c r="N180">
        <f t="shared" si="15"/>
        <v>295292</v>
      </c>
    </row>
    <row r="181" spans="1:14" x14ac:dyDescent="0.2">
      <c r="A181" t="s">
        <v>3075</v>
      </c>
      <c r="C181" s="7"/>
      <c r="E181" t="str">
        <f t="shared" si="14"/>
        <v/>
      </c>
      <c r="G181" s="5" t="str">
        <f t="shared" si="11"/>
        <v/>
      </c>
      <c r="I181" s="6" t="str">
        <f t="shared" si="12"/>
        <v>0</v>
      </c>
      <c r="N181">
        <f t="shared" si="15"/>
        <v>295292</v>
      </c>
    </row>
    <row r="182" spans="1:14" x14ac:dyDescent="0.2">
      <c r="A182" t="s">
        <v>3076</v>
      </c>
      <c r="C182" s="7"/>
      <c r="E182" t="str">
        <f t="shared" si="14"/>
        <v/>
      </c>
      <c r="G182" s="5" t="str">
        <f t="shared" si="11"/>
        <v/>
      </c>
      <c r="I182" s="6" t="str">
        <f t="shared" si="12"/>
        <v>0</v>
      </c>
      <c r="N182">
        <f t="shared" si="15"/>
        <v>295292</v>
      </c>
    </row>
    <row r="183" spans="1:14" x14ac:dyDescent="0.2">
      <c r="A183" t="s">
        <v>3077</v>
      </c>
      <c r="C183" s="7"/>
      <c r="E183" t="str">
        <f t="shared" si="14"/>
        <v/>
      </c>
      <c r="G183" s="5" t="str">
        <f t="shared" si="11"/>
        <v/>
      </c>
      <c r="I183" s="6" t="str">
        <f t="shared" si="12"/>
        <v>0</v>
      </c>
      <c r="N183">
        <f t="shared" si="15"/>
        <v>295292</v>
      </c>
    </row>
    <row r="184" spans="1:14" x14ac:dyDescent="0.2">
      <c r="A184" t="s">
        <v>3030</v>
      </c>
      <c r="B184" t="s">
        <v>3096</v>
      </c>
      <c r="C184" s="5" t="s">
        <v>51</v>
      </c>
      <c r="D184" t="s">
        <v>184</v>
      </c>
      <c r="E184" t="str">
        <f t="shared" si="14"/>
        <v>monsters/Dragon.gfx</v>
      </c>
      <c r="F184" s="5" t="s">
        <v>3340</v>
      </c>
      <c r="G184" s="5">
        <f t="shared" si="11"/>
        <v>296412</v>
      </c>
      <c r="H184" s="5">
        <v>10544</v>
      </c>
      <c r="I184" s="6" t="str">
        <f t="shared" si="12"/>
        <v>2930</v>
      </c>
      <c r="K184" s="19" t="s">
        <v>4498</v>
      </c>
    </row>
    <row r="185" spans="1:14" x14ac:dyDescent="0.2">
      <c r="A185" t="s">
        <v>3031</v>
      </c>
      <c r="B185" t="s">
        <v>3097</v>
      </c>
      <c r="C185" s="5" t="s">
        <v>51</v>
      </c>
      <c r="D185" t="s">
        <v>185</v>
      </c>
      <c r="E185" t="str">
        <f t="shared" si="14"/>
        <v>monsters/Entropy.gfx</v>
      </c>
      <c r="F185" s="5" t="s">
        <v>3426</v>
      </c>
      <c r="G185" s="5">
        <f t="shared" si="11"/>
        <v>306956</v>
      </c>
      <c r="H185" s="5">
        <v>5234</v>
      </c>
      <c r="I185" s="6" t="str">
        <f t="shared" si="12"/>
        <v>1472</v>
      </c>
      <c r="K185" s="19" t="s">
        <v>4499</v>
      </c>
    </row>
    <row r="186" spans="1:14" x14ac:dyDescent="0.2">
      <c r="A186" t="s">
        <v>3032</v>
      </c>
      <c r="B186" t="s">
        <v>3089</v>
      </c>
      <c r="C186" s="5" t="s">
        <v>121</v>
      </c>
      <c r="D186" t="s">
        <v>186</v>
      </c>
      <c r="E186" t="str">
        <f t="shared" si="14"/>
        <v>gfx/Pockets.gfx</v>
      </c>
      <c r="F186" s="5" t="s">
        <v>3184</v>
      </c>
      <c r="G186" s="5">
        <f t="shared" si="11"/>
        <v>312190</v>
      </c>
      <c r="H186" s="5">
        <v>32032</v>
      </c>
      <c r="I186" s="6" t="str">
        <f t="shared" si="12"/>
        <v>7D20</v>
      </c>
      <c r="K186" s="19" t="s">
        <v>4494</v>
      </c>
    </row>
    <row r="187" spans="1:14" x14ac:dyDescent="0.2">
      <c r="A187" t="s">
        <v>2167</v>
      </c>
      <c r="B187" t="s">
        <v>3439</v>
      </c>
      <c r="C187" s="7" t="s">
        <v>3109</v>
      </c>
      <c r="D187" t="s">
        <v>3440</v>
      </c>
      <c r="E187" t="str">
        <f t="shared" si="14"/>
        <v>gfx-data/Monster_SubPosition_DepthAdjustments.positions</v>
      </c>
      <c r="F187" s="5" t="s">
        <v>3441</v>
      </c>
      <c r="G187" s="5">
        <f t="shared" si="11"/>
        <v>38322</v>
      </c>
      <c r="H187" s="5">
        <v>5</v>
      </c>
      <c r="I187" s="6" t="str">
        <f t="shared" si="12"/>
        <v>5</v>
      </c>
      <c r="K187" s="19" t="s">
        <v>5258</v>
      </c>
    </row>
    <row r="188" spans="1:14" x14ac:dyDescent="0.2">
      <c r="A188" t="s">
        <v>2168</v>
      </c>
      <c r="B188" t="s">
        <v>3442</v>
      </c>
      <c r="C188" s="7" t="s">
        <v>3109</v>
      </c>
      <c r="D188" t="s">
        <v>3443</v>
      </c>
      <c r="E188" t="str">
        <f t="shared" si="14"/>
        <v>gfx-data/Monster_ViewCell_DepthSlots.lookup</v>
      </c>
      <c r="F188" s="5" t="s">
        <v>3444</v>
      </c>
      <c r="G188" s="5">
        <f t="shared" si="11"/>
        <v>38327</v>
      </c>
      <c r="H188" s="5">
        <v>19</v>
      </c>
      <c r="I188" s="6" t="str">
        <f t="shared" si="12"/>
        <v>13</v>
      </c>
      <c r="K188" s="19" t="s">
        <v>5259</v>
      </c>
    </row>
    <row r="189" spans="1:14" x14ac:dyDescent="0.2">
      <c r="A189" t="s">
        <v>2169</v>
      </c>
      <c r="B189" t="s">
        <v>3445</v>
      </c>
      <c r="C189" s="7" t="s">
        <v>3109</v>
      </c>
      <c r="D189" t="s">
        <v>3446</v>
      </c>
      <c r="E189" t="str">
        <f t="shared" si="14"/>
        <v>gfx-data/Monster_Depth_GfxSlots.lookup</v>
      </c>
      <c r="F189" s="5" t="s">
        <v>3447</v>
      </c>
      <c r="G189" s="5">
        <f t="shared" si="11"/>
        <v>38346</v>
      </c>
      <c r="H189" s="5">
        <v>8</v>
      </c>
      <c r="I189" s="6" t="str">
        <f t="shared" si="12"/>
        <v>8</v>
      </c>
      <c r="K189" s="19" t="s">
        <v>5260</v>
      </c>
    </row>
    <row r="190" spans="1:14" ht="17" x14ac:dyDescent="0.25">
      <c r="A190" t="s">
        <v>2170</v>
      </c>
      <c r="B190" t="s">
        <v>3448</v>
      </c>
      <c r="C190" s="16" t="s">
        <v>3109</v>
      </c>
      <c r="D190" s="17" t="s">
        <v>3449</v>
      </c>
      <c r="E190" t="str">
        <f t="shared" si="14"/>
        <v>gfx-data/Monster_GfxSlot_Y.positions</v>
      </c>
      <c r="F190" s="5" t="s">
        <v>3450</v>
      </c>
      <c r="G190" s="5">
        <f t="shared" si="11"/>
        <v>38354</v>
      </c>
      <c r="H190" s="5">
        <v>6</v>
      </c>
      <c r="I190" s="6" t="str">
        <f t="shared" si="12"/>
        <v>6</v>
      </c>
      <c r="K190" s="15" t="s">
        <v>3516</v>
      </c>
    </row>
    <row r="191" spans="1:14" x14ac:dyDescent="0.2">
      <c r="A191" t="s">
        <v>2979</v>
      </c>
      <c r="B191" t="s">
        <v>3451</v>
      </c>
      <c r="C191" s="7" t="s">
        <v>3109</v>
      </c>
      <c r="D191" t="s">
        <v>3452</v>
      </c>
      <c r="E191" t="str">
        <f t="shared" si="14"/>
        <v>gfx-data/Monster_ViewCell_SubPosition_X.positions</v>
      </c>
      <c r="F191" s="5" t="s">
        <v>3453</v>
      </c>
      <c r="G191" s="5">
        <f t="shared" si="11"/>
        <v>100096</v>
      </c>
      <c r="H191" s="5">
        <v>90</v>
      </c>
      <c r="I191" s="6" t="str">
        <f t="shared" si="12"/>
        <v>5A</v>
      </c>
      <c r="K191" s="19" t="s">
        <v>5263</v>
      </c>
    </row>
    <row r="192" spans="1:14" x14ac:dyDescent="0.2">
      <c r="A192" t="s">
        <v>2171</v>
      </c>
      <c r="B192" t="s">
        <v>3501</v>
      </c>
      <c r="E192" t="str">
        <f t="shared" ref="E192:E215" si="16">IF(D192&lt;&gt;"",C192&amp;"/"&amp;D192,"")</f>
        <v/>
      </c>
      <c r="G192" s="5" t="str">
        <f t="shared" si="11"/>
        <v/>
      </c>
      <c r="I192" s="6" t="str">
        <f t="shared" si="12"/>
        <v>0</v>
      </c>
      <c r="K192" s="15" t="s">
        <v>3517</v>
      </c>
    </row>
    <row r="193" spans="1:11" x14ac:dyDescent="0.2">
      <c r="A193" t="s">
        <v>2532</v>
      </c>
      <c r="B193" t="s">
        <v>3454</v>
      </c>
      <c r="E193" t="str">
        <f t="shared" si="16"/>
        <v/>
      </c>
      <c r="G193" s="5" t="str">
        <f t="shared" ref="G193:G256" si="17">IF(F193&lt;&gt;"",HEX2DEC(SUBSTITUTE(SUBSTITUTE(F193,"adrEA",""),"$","")),"")</f>
        <v/>
      </c>
      <c r="I193" s="6" t="str">
        <f t="shared" ref="I193:I256" si="18">IFERROR(DEC2HEX(H193),"")</f>
        <v>0</v>
      </c>
      <c r="K193" s="15" t="s">
        <v>3698</v>
      </c>
    </row>
    <row r="194" spans="1:11" x14ac:dyDescent="0.2">
      <c r="A194" t="s">
        <v>2533</v>
      </c>
      <c r="B194" t="s">
        <v>3455</v>
      </c>
      <c r="E194" t="str">
        <f t="shared" si="16"/>
        <v/>
      </c>
      <c r="G194" s="5" t="str">
        <f t="shared" si="17"/>
        <v/>
      </c>
      <c r="I194" s="6" t="str">
        <f t="shared" si="18"/>
        <v>0</v>
      </c>
      <c r="K194" s="15" t="s">
        <v>3699</v>
      </c>
    </row>
    <row r="195" spans="1:11" x14ac:dyDescent="0.2">
      <c r="A195" t="s">
        <v>2535</v>
      </c>
      <c r="B195" t="s">
        <v>3456</v>
      </c>
      <c r="E195" t="str">
        <f t="shared" si="16"/>
        <v/>
      </c>
      <c r="G195" s="5" t="str">
        <f t="shared" si="17"/>
        <v/>
      </c>
      <c r="I195" s="6" t="str">
        <f t="shared" si="18"/>
        <v>0</v>
      </c>
      <c r="K195" s="15" t="s">
        <v>3700</v>
      </c>
    </row>
    <row r="196" spans="1:11" x14ac:dyDescent="0.2">
      <c r="A196" t="s">
        <v>2537</v>
      </c>
      <c r="B196" t="s">
        <v>3457</v>
      </c>
      <c r="E196" t="str">
        <f t="shared" si="16"/>
        <v/>
      </c>
      <c r="G196" s="5" t="str">
        <f t="shared" si="17"/>
        <v/>
      </c>
      <c r="I196" s="6" t="str">
        <f t="shared" si="18"/>
        <v>0</v>
      </c>
      <c r="K196" s="15" t="s">
        <v>3701</v>
      </c>
    </row>
    <row r="197" spans="1:11" x14ac:dyDescent="0.2">
      <c r="A197" t="s">
        <v>2538</v>
      </c>
      <c r="B197" t="s">
        <v>3458</v>
      </c>
      <c r="E197" t="str">
        <f t="shared" si="16"/>
        <v/>
      </c>
      <c r="G197" s="5" t="str">
        <f t="shared" si="17"/>
        <v/>
      </c>
      <c r="I197" s="6" t="str">
        <f t="shared" si="18"/>
        <v>0</v>
      </c>
      <c r="K197" s="15" t="s">
        <v>3702</v>
      </c>
    </row>
    <row r="198" spans="1:11" x14ac:dyDescent="0.2">
      <c r="A198" t="s">
        <v>2955</v>
      </c>
      <c r="B198" t="s">
        <v>3459</v>
      </c>
      <c r="E198" t="str">
        <f t="shared" si="16"/>
        <v/>
      </c>
      <c r="G198" s="5" t="str">
        <f t="shared" si="17"/>
        <v/>
      </c>
      <c r="I198" s="6" t="str">
        <f t="shared" si="18"/>
        <v>0</v>
      </c>
      <c r="K198" s="15" t="s">
        <v>3518</v>
      </c>
    </row>
    <row r="199" spans="1:11" x14ac:dyDescent="0.2">
      <c r="A199" t="s">
        <v>2199</v>
      </c>
      <c r="B199" t="s">
        <v>3460</v>
      </c>
      <c r="C199" s="7" t="s">
        <v>3109</v>
      </c>
      <c r="D199" t="s">
        <v>3461</v>
      </c>
      <c r="E199" t="str">
        <f t="shared" si="16"/>
        <v>gfx-data/Monster_RenderFlags.lookup</v>
      </c>
      <c r="F199" s="5" t="s">
        <v>3462</v>
      </c>
      <c r="G199" s="5">
        <f t="shared" si="17"/>
        <v>38988</v>
      </c>
      <c r="H199" s="5">
        <v>32</v>
      </c>
      <c r="I199" s="6" t="str">
        <f t="shared" si="18"/>
        <v>20</v>
      </c>
      <c r="K199" s="19" t="s">
        <v>5261</v>
      </c>
    </row>
    <row r="200" spans="1:11" x14ac:dyDescent="0.2">
      <c r="A200" t="s">
        <v>2205</v>
      </c>
      <c r="B200" t="s">
        <v>3502</v>
      </c>
      <c r="C200" s="7" t="s">
        <v>3109</v>
      </c>
      <c r="D200" t="s">
        <v>3463</v>
      </c>
      <c r="E200" t="str">
        <f t="shared" si="16"/>
        <v>gfx-data/Monster_Facing_GfxVariants.lookup</v>
      </c>
      <c r="F200" s="5" t="s">
        <v>3464</v>
      </c>
      <c r="G200" s="5">
        <f t="shared" si="17"/>
        <v>39194</v>
      </c>
      <c r="H200" s="5">
        <v>4</v>
      </c>
      <c r="I200" s="6" t="str">
        <f t="shared" si="18"/>
        <v>4</v>
      </c>
      <c r="K200" s="19" t="s">
        <v>5262</v>
      </c>
    </row>
    <row r="201" spans="1:11" ht="17" x14ac:dyDescent="0.25">
      <c r="A201" t="s">
        <v>2346</v>
      </c>
      <c r="B201" s="17" t="s">
        <v>3503</v>
      </c>
      <c r="C201" s="16" t="s">
        <v>3109</v>
      </c>
      <c r="D201" t="s">
        <v>3465</v>
      </c>
      <c r="E201" t="str">
        <f t="shared" si="16"/>
        <v>gfx-data/Monster_DistanceGroups.lookup</v>
      </c>
      <c r="F201" s="5" t="s">
        <v>3466</v>
      </c>
      <c r="G201" s="5">
        <f t="shared" si="17"/>
        <v>41394</v>
      </c>
      <c r="H201" s="5">
        <v>6</v>
      </c>
      <c r="I201" s="6" t="str">
        <f t="shared" si="18"/>
        <v>6</v>
      </c>
      <c r="K201" s="15" t="s">
        <v>3519</v>
      </c>
    </row>
    <row r="202" spans="1:11" ht="17" x14ac:dyDescent="0.25">
      <c r="A202" t="s">
        <v>2218</v>
      </c>
      <c r="B202" s="17" t="s">
        <v>3504</v>
      </c>
      <c r="C202" s="5" t="s">
        <v>51</v>
      </c>
      <c r="D202" s="17" t="s">
        <v>3506</v>
      </c>
      <c r="E202" t="str">
        <f t="shared" si="16"/>
        <v>monsters/Summon_Body.layout</v>
      </c>
      <c r="F202" s="5" t="s">
        <v>3467</v>
      </c>
      <c r="G202" s="5">
        <f t="shared" si="17"/>
        <v>39484</v>
      </c>
      <c r="H202" s="5">
        <v>12</v>
      </c>
      <c r="I202" s="6" t="str">
        <f t="shared" si="18"/>
        <v>C</v>
      </c>
      <c r="K202" s="15" t="s">
        <v>3520</v>
      </c>
    </row>
    <row r="203" spans="1:11" ht="17" x14ac:dyDescent="0.25">
      <c r="A203" t="s">
        <v>2219</v>
      </c>
      <c r="B203" s="17" t="s">
        <v>3505</v>
      </c>
      <c r="C203" s="5" t="s">
        <v>51</v>
      </c>
      <c r="D203" s="17" t="s">
        <v>3507</v>
      </c>
      <c r="E203" t="str">
        <f t="shared" si="16"/>
        <v>monsters/Summon_ArmVariants.lookup</v>
      </c>
      <c r="F203" s="5" t="s">
        <v>3468</v>
      </c>
      <c r="G203" s="5">
        <f t="shared" si="17"/>
        <v>39496</v>
      </c>
      <c r="H203" s="5">
        <v>4</v>
      </c>
      <c r="I203" s="6" t="str">
        <f t="shared" si="18"/>
        <v>4</v>
      </c>
      <c r="K203" s="15" t="s">
        <v>3521</v>
      </c>
    </row>
    <row r="204" spans="1:11" x14ac:dyDescent="0.2">
      <c r="A204" t="s">
        <v>2220</v>
      </c>
      <c r="B204" t="s">
        <v>3469</v>
      </c>
      <c r="C204" s="5" t="s">
        <v>51</v>
      </c>
      <c r="D204" t="s">
        <v>3470</v>
      </c>
      <c r="E204" t="str">
        <f t="shared" si="16"/>
        <v>monsters/Summon_Arms.heights</v>
      </c>
      <c r="F204" s="5" t="s">
        <v>3471</v>
      </c>
      <c r="G204" s="5">
        <f t="shared" si="17"/>
        <v>39500</v>
      </c>
      <c r="H204" s="5">
        <v>12</v>
      </c>
      <c r="I204" s="6" t="str">
        <f t="shared" si="18"/>
        <v>C</v>
      </c>
      <c r="K204" s="15" t="s">
        <v>3522</v>
      </c>
    </row>
    <row r="205" spans="1:11" x14ac:dyDescent="0.2">
      <c r="A205" t="s">
        <v>2221</v>
      </c>
      <c r="B205" t="s">
        <v>3472</v>
      </c>
      <c r="C205" s="5" t="s">
        <v>51</v>
      </c>
      <c r="D205" t="s">
        <v>3473</v>
      </c>
      <c r="E205" t="str">
        <f t="shared" si="16"/>
        <v>monsters/Summon_PrimaryArm.positions</v>
      </c>
      <c r="F205" s="5" t="s">
        <v>3474</v>
      </c>
      <c r="G205" s="5">
        <f t="shared" si="17"/>
        <v>39512</v>
      </c>
      <c r="H205" s="5">
        <v>32</v>
      </c>
      <c r="I205" s="6" t="str">
        <f t="shared" si="18"/>
        <v>20</v>
      </c>
      <c r="K205" s="15" t="s">
        <v>3523</v>
      </c>
    </row>
    <row r="206" spans="1:11" x14ac:dyDescent="0.2">
      <c r="A206" t="s">
        <v>2222</v>
      </c>
      <c r="B206" t="s">
        <v>3475</v>
      </c>
      <c r="C206" s="5" t="s">
        <v>51</v>
      </c>
      <c r="D206" t="s">
        <v>3476</v>
      </c>
      <c r="E206" t="str">
        <f t="shared" si="16"/>
        <v>monsters/Summon_SecondaryArm.positions</v>
      </c>
      <c r="F206" s="5" t="s">
        <v>3477</v>
      </c>
      <c r="G206" s="5">
        <f t="shared" si="17"/>
        <v>39544</v>
      </c>
      <c r="H206" s="5">
        <v>96</v>
      </c>
      <c r="I206" s="6" t="str">
        <f t="shared" si="18"/>
        <v>60</v>
      </c>
      <c r="K206" s="15" t="s">
        <v>3524</v>
      </c>
    </row>
    <row r="207" spans="1:11" x14ac:dyDescent="0.2">
      <c r="A207" t="s">
        <v>2231</v>
      </c>
      <c r="B207" t="s">
        <v>3264</v>
      </c>
      <c r="C207" s="5" t="s">
        <v>51</v>
      </c>
      <c r="D207" t="s">
        <v>3478</v>
      </c>
      <c r="E207" t="str">
        <f t="shared" si="16"/>
        <v>monsters/Summon.offsets</v>
      </c>
      <c r="F207" s="5" t="s">
        <v>3479</v>
      </c>
      <c r="G207" s="5">
        <f t="shared" si="17"/>
        <v>39738</v>
      </c>
      <c r="H207" s="5">
        <v>36</v>
      </c>
      <c r="I207" s="6" t="str">
        <f t="shared" si="18"/>
        <v>24</v>
      </c>
      <c r="K207" s="15" t="s">
        <v>3525</v>
      </c>
    </row>
    <row r="208" spans="1:11" x14ac:dyDescent="0.2">
      <c r="A208" t="s">
        <v>2232</v>
      </c>
      <c r="B208" t="s">
        <v>3265</v>
      </c>
      <c r="C208" s="5" t="s">
        <v>51</v>
      </c>
      <c r="D208" t="s">
        <v>3480</v>
      </c>
      <c r="E208" t="str">
        <f t="shared" si="16"/>
        <v>monsters/Summon_Arms.offsets</v>
      </c>
      <c r="F208" s="5" t="s">
        <v>3481</v>
      </c>
      <c r="G208" s="5">
        <f t="shared" si="17"/>
        <v>39774</v>
      </c>
      <c r="H208" s="5">
        <v>24</v>
      </c>
      <c r="I208" s="6" t="str">
        <f t="shared" si="18"/>
        <v>18</v>
      </c>
      <c r="K208" s="15" t="s">
        <v>3526</v>
      </c>
    </row>
    <row r="209" spans="1:11" ht="17" x14ac:dyDescent="0.25">
      <c r="A209" t="s">
        <v>3262</v>
      </c>
      <c r="C209" s="5" t="s">
        <v>51</v>
      </c>
      <c r="D209" t="s">
        <v>3508</v>
      </c>
      <c r="E209" t="str">
        <f t="shared" si="16"/>
        <v>monsters/Entropy_LimbMirroring.flags</v>
      </c>
      <c r="F209" s="5" t="s">
        <v>3482</v>
      </c>
      <c r="G209" s="5">
        <f t="shared" si="17"/>
        <v>41598</v>
      </c>
      <c r="H209" s="5">
        <v>2</v>
      </c>
      <c r="I209" s="6" t="str">
        <f t="shared" si="18"/>
        <v>2</v>
      </c>
      <c r="J209" s="6" t="s">
        <v>3419</v>
      </c>
      <c r="K209" s="21" t="s">
        <v>3527</v>
      </c>
    </row>
    <row r="210" spans="1:11" x14ac:dyDescent="0.2">
      <c r="A210" t="s">
        <v>2358</v>
      </c>
      <c r="B210" t="s">
        <v>3509</v>
      </c>
      <c r="C210" s="5" t="s">
        <v>51</v>
      </c>
      <c r="D210" t="s">
        <v>3510</v>
      </c>
      <c r="E210" t="str">
        <f t="shared" si="16"/>
        <v>monsters/Entropy.layout</v>
      </c>
      <c r="F210" s="5" t="s">
        <v>3483</v>
      </c>
      <c r="G210" s="5">
        <f t="shared" si="17"/>
        <v>41600</v>
      </c>
      <c r="H210" s="5">
        <v>62</v>
      </c>
      <c r="I210" s="6" t="str">
        <f t="shared" si="18"/>
        <v>3E</v>
      </c>
      <c r="K210" s="15" t="s">
        <v>3528</v>
      </c>
    </row>
    <row r="211" spans="1:11" x14ac:dyDescent="0.2">
      <c r="A211" t="s">
        <v>3262</v>
      </c>
      <c r="C211" s="5" t="s">
        <v>51</v>
      </c>
      <c r="D211" t="s">
        <v>3484</v>
      </c>
      <c r="E211" t="str">
        <f t="shared" si="16"/>
        <v>monsters/Entropy.offsets</v>
      </c>
      <c r="F211" s="5" t="s">
        <v>3485</v>
      </c>
      <c r="G211" s="5">
        <f t="shared" si="17"/>
        <v>41666</v>
      </c>
      <c r="H211" s="5">
        <v>32</v>
      </c>
      <c r="I211" s="6" t="str">
        <f t="shared" si="18"/>
        <v>20</v>
      </c>
      <c r="J211" s="6" t="s">
        <v>3419</v>
      </c>
      <c r="K211" s="15" t="s">
        <v>3529</v>
      </c>
    </row>
    <row r="212" spans="1:11" x14ac:dyDescent="0.2">
      <c r="A212" t="s">
        <v>3262</v>
      </c>
      <c r="C212" s="5" t="s">
        <v>51</v>
      </c>
      <c r="D212" t="s">
        <v>3511</v>
      </c>
      <c r="E212" t="str">
        <f t="shared" si="16"/>
        <v>monsters/Behemoth_LimbMirroring.flags</v>
      </c>
      <c r="F212" s="5" t="s">
        <v>3486</v>
      </c>
      <c r="G212" s="5">
        <f t="shared" si="17"/>
        <v>41698</v>
      </c>
      <c r="H212" s="5">
        <v>2</v>
      </c>
      <c r="I212" s="6" t="str">
        <f t="shared" si="18"/>
        <v>2</v>
      </c>
      <c r="J212" s="6" t="s">
        <v>3419</v>
      </c>
      <c r="K212" s="15" t="s">
        <v>3530</v>
      </c>
    </row>
    <row r="213" spans="1:11" x14ac:dyDescent="0.2">
      <c r="A213" t="s">
        <v>2359</v>
      </c>
      <c r="B213" t="s">
        <v>3512</v>
      </c>
      <c r="C213" s="5" t="s">
        <v>51</v>
      </c>
      <c r="D213" t="s">
        <v>3513</v>
      </c>
      <c r="E213" t="str">
        <f t="shared" si="16"/>
        <v>monsters/Behemoth.layout</v>
      </c>
      <c r="F213" s="5" t="s">
        <v>3487</v>
      </c>
      <c r="G213" s="5">
        <f t="shared" si="17"/>
        <v>41700</v>
      </c>
      <c r="H213" s="5">
        <v>62</v>
      </c>
      <c r="I213" s="6" t="str">
        <f t="shared" si="18"/>
        <v>3E</v>
      </c>
      <c r="K213" s="15" t="s">
        <v>3531</v>
      </c>
    </row>
    <row r="214" spans="1:11" x14ac:dyDescent="0.2">
      <c r="A214" t="s">
        <v>3262</v>
      </c>
      <c r="C214" s="5" t="s">
        <v>51</v>
      </c>
      <c r="D214" t="s">
        <v>3488</v>
      </c>
      <c r="E214" t="str">
        <f t="shared" si="16"/>
        <v>monsters/Behemoth.offsets</v>
      </c>
      <c r="F214" s="5" t="s">
        <v>3489</v>
      </c>
      <c r="G214" s="5">
        <f t="shared" si="17"/>
        <v>41766</v>
      </c>
      <c r="H214" s="5">
        <v>24</v>
      </c>
      <c r="I214" s="6" t="str">
        <f t="shared" si="18"/>
        <v>18</v>
      </c>
      <c r="J214" s="6" t="s">
        <v>3419</v>
      </c>
      <c r="K214" s="15" t="s">
        <v>3532</v>
      </c>
    </row>
    <row r="215" spans="1:11" x14ac:dyDescent="0.2">
      <c r="A215" t="s">
        <v>2360</v>
      </c>
      <c r="B215" t="s">
        <v>3490</v>
      </c>
      <c r="C215" s="5" t="s">
        <v>51</v>
      </c>
      <c r="D215" t="s">
        <v>3491</v>
      </c>
      <c r="E215" t="str">
        <f t="shared" si="16"/>
        <v>monsters/Behemoth_Claws.offsets</v>
      </c>
      <c r="F215" s="5" t="s">
        <v>3492</v>
      </c>
      <c r="G215" s="5">
        <f t="shared" si="17"/>
        <v>41790</v>
      </c>
      <c r="H215" s="5">
        <v>8</v>
      </c>
      <c r="I215" s="6" t="str">
        <f t="shared" si="18"/>
        <v>8</v>
      </c>
      <c r="K215" s="15" t="s">
        <v>3533</v>
      </c>
    </row>
    <row r="216" spans="1:11" x14ac:dyDescent="0.2">
      <c r="A216" t="s">
        <v>2316</v>
      </c>
      <c r="B216" t="s">
        <v>7405</v>
      </c>
      <c r="C216" s="5" t="s">
        <v>51</v>
      </c>
      <c r="D216" t="s">
        <v>7406</v>
      </c>
      <c r="E216" t="s">
        <v>7407</v>
      </c>
      <c r="F216" s="5" t="s">
        <v>7408</v>
      </c>
      <c r="G216" s="5">
        <v>40888</v>
      </c>
      <c r="H216" s="5">
        <v>16</v>
      </c>
      <c r="I216" s="6">
        <v>10</v>
      </c>
      <c r="J216" s="6" t="s">
        <v>3419</v>
      </c>
      <c r="K216" s="19" t="s">
        <v>7409</v>
      </c>
    </row>
    <row r="217" spans="1:11" x14ac:dyDescent="0.2">
      <c r="A217" t="s">
        <v>2323</v>
      </c>
      <c r="B217" t="s">
        <v>3493</v>
      </c>
      <c r="C217" s="5" t="s">
        <v>51</v>
      </c>
      <c r="D217" t="s">
        <v>3494</v>
      </c>
      <c r="E217" t="str">
        <f t="shared" ref="E217" si="19">IF(D217&lt;&gt;"",C217&amp;"/"&amp;D217,"")</f>
        <v>monsters/Dragon_Side_X.positions</v>
      </c>
      <c r="F217" s="5" t="s">
        <v>3495</v>
      </c>
      <c r="G217" s="5">
        <f t="shared" si="17"/>
        <v>40984</v>
      </c>
      <c r="H217" s="5">
        <v>10</v>
      </c>
      <c r="I217" s="6" t="str">
        <f t="shared" si="18"/>
        <v>A</v>
      </c>
      <c r="K217" s="15" t="s">
        <v>3534</v>
      </c>
    </row>
    <row r="218" spans="1:11" x14ac:dyDescent="0.2">
      <c r="A218" t="s">
        <v>2330</v>
      </c>
      <c r="B218" t="s">
        <v>7410</v>
      </c>
      <c r="C218" s="5" t="s">
        <v>51</v>
      </c>
      <c r="D218" t="s">
        <v>7411</v>
      </c>
      <c r="E218" t="s">
        <v>7412</v>
      </c>
      <c r="F218" s="5" t="s">
        <v>7413</v>
      </c>
      <c r="G218" s="5">
        <v>41108</v>
      </c>
      <c r="H218" s="5">
        <v>60</v>
      </c>
      <c r="I218" s="6" t="s">
        <v>7414</v>
      </c>
      <c r="J218" s="6" t="s">
        <v>3419</v>
      </c>
      <c r="K218" s="19" t="s">
        <v>7415</v>
      </c>
    </row>
    <row r="219" spans="1:11" x14ac:dyDescent="0.2">
      <c r="A219" t="s">
        <v>2334</v>
      </c>
      <c r="B219" t="s">
        <v>7416</v>
      </c>
      <c r="C219" s="5" t="s">
        <v>51</v>
      </c>
      <c r="D219" t="s">
        <v>7417</v>
      </c>
      <c r="E219" t="s">
        <v>7418</v>
      </c>
      <c r="F219" s="5" t="s">
        <v>7419</v>
      </c>
      <c r="G219" s="5">
        <v>41168</v>
      </c>
      <c r="H219" s="5">
        <v>34</v>
      </c>
      <c r="I219" s="6">
        <v>22</v>
      </c>
      <c r="J219" s="6" t="s">
        <v>3419</v>
      </c>
      <c r="K219" s="19" t="s">
        <v>7420</v>
      </c>
    </row>
    <row r="220" spans="1:11" x14ac:dyDescent="0.2">
      <c r="A220" t="s">
        <v>2340</v>
      </c>
      <c r="B220" t="s">
        <v>3496</v>
      </c>
      <c r="C220" s="5" t="s">
        <v>51</v>
      </c>
      <c r="D220" t="s">
        <v>3497</v>
      </c>
      <c r="E220" t="str">
        <f t="shared" ref="E220" si="20">IF(D220&lt;&gt;"",C220&amp;"/"&amp;D220,"")</f>
        <v>monsters/Dragon_MirroredHalf_X.positions</v>
      </c>
      <c r="F220" s="5" t="s">
        <v>3498</v>
      </c>
      <c r="G220" s="5">
        <f t="shared" si="17"/>
        <v>41290</v>
      </c>
      <c r="H220" s="5">
        <v>6</v>
      </c>
      <c r="I220" s="6" t="str">
        <f t="shared" si="18"/>
        <v>6</v>
      </c>
      <c r="K220" s="15" t="s">
        <v>3535</v>
      </c>
    </row>
    <row r="221" spans="1:11" x14ac:dyDescent="0.2">
      <c r="A221" t="s">
        <v>2341</v>
      </c>
      <c r="B221" t="s">
        <v>7421</v>
      </c>
      <c r="C221" s="5" t="s">
        <v>51</v>
      </c>
      <c r="D221" t="s">
        <v>7422</v>
      </c>
      <c r="E221" t="s">
        <v>7423</v>
      </c>
      <c r="F221" s="5" t="s">
        <v>7424</v>
      </c>
      <c r="G221" s="5">
        <v>41296</v>
      </c>
      <c r="H221" s="5">
        <v>54</v>
      </c>
      <c r="I221" s="6">
        <v>36</v>
      </c>
      <c r="J221" s="6" t="s">
        <v>3419</v>
      </c>
      <c r="K221" s="19" t="s">
        <v>7425</v>
      </c>
    </row>
    <row r="222" spans="1:11" x14ac:dyDescent="0.2">
      <c r="A222" t="s">
        <v>2239</v>
      </c>
      <c r="B222" t="s">
        <v>7426</v>
      </c>
      <c r="C222" s="5" t="s">
        <v>51</v>
      </c>
      <c r="D222" t="s">
        <v>7427</v>
      </c>
      <c r="E222" t="s">
        <v>7428</v>
      </c>
      <c r="F222" s="5" t="s">
        <v>7429</v>
      </c>
      <c r="G222" s="5">
        <v>39926</v>
      </c>
      <c r="H222" s="5">
        <v>18</v>
      </c>
      <c r="I222" s="6">
        <v>12</v>
      </c>
      <c r="J222" s="6" t="s">
        <v>3419</v>
      </c>
      <c r="K222" s="19" t="s">
        <v>7430</v>
      </c>
    </row>
    <row r="223" spans="1:11" x14ac:dyDescent="0.2">
      <c r="A223" t="s">
        <v>2249</v>
      </c>
      <c r="B223" t="s">
        <v>3514</v>
      </c>
      <c r="C223" s="5" t="s">
        <v>51</v>
      </c>
      <c r="D223" t="s">
        <v>3515</v>
      </c>
      <c r="E223" t="str">
        <f t="shared" ref="E222:E223" si="21">IF(D223&lt;&gt;"",C223&amp;"/"&amp;D223,"")</f>
        <v>monsters/Crab_SideNear.layout</v>
      </c>
      <c r="F223" s="5" t="s">
        <v>3499</v>
      </c>
      <c r="G223" s="5">
        <v>40020</v>
      </c>
      <c r="H223" s="5">
        <v>16</v>
      </c>
      <c r="I223" s="6">
        <v>10</v>
      </c>
      <c r="J223" s="6" t="s">
        <v>3419</v>
      </c>
      <c r="K223" s="19" t="s">
        <v>7399</v>
      </c>
    </row>
    <row r="224" spans="1:11" x14ac:dyDescent="0.2">
      <c r="A224" t="s">
        <v>2255</v>
      </c>
      <c r="B224" t="s">
        <v>7431</v>
      </c>
      <c r="C224" s="5" t="s">
        <v>51</v>
      </c>
      <c r="D224" t="s">
        <v>7432</v>
      </c>
      <c r="E224" t="s">
        <v>7433</v>
      </c>
      <c r="F224" s="5" t="s">
        <v>7434</v>
      </c>
      <c r="G224" s="5">
        <v>40100</v>
      </c>
      <c r="H224" s="5">
        <v>8</v>
      </c>
      <c r="I224" s="6">
        <v>8</v>
      </c>
      <c r="J224" s="6" t="s">
        <v>3419</v>
      </c>
      <c r="K224" s="19" t="s">
        <v>7435</v>
      </c>
    </row>
    <row r="225" spans="1:11" x14ac:dyDescent="0.2">
      <c r="A225" t="s">
        <v>2260</v>
      </c>
      <c r="B225" t="s">
        <v>7436</v>
      </c>
      <c r="C225" s="5" t="s">
        <v>51</v>
      </c>
      <c r="D225" t="s">
        <v>7437</v>
      </c>
      <c r="E225" t="s">
        <v>7438</v>
      </c>
      <c r="F225" s="5" t="s">
        <v>7439</v>
      </c>
      <c r="G225" s="5">
        <v>40150</v>
      </c>
      <c r="H225" s="5">
        <v>6</v>
      </c>
      <c r="I225" s="6">
        <v>6</v>
      </c>
      <c r="J225" s="6" t="s">
        <v>3419</v>
      </c>
      <c r="K225" s="19" t="s">
        <v>7440</v>
      </c>
    </row>
    <row r="226" spans="1:11" x14ac:dyDescent="0.2">
      <c r="A226" t="s">
        <v>2268</v>
      </c>
      <c r="B226" t="s">
        <v>7441</v>
      </c>
      <c r="C226" s="5" t="s">
        <v>51</v>
      </c>
      <c r="D226" t="s">
        <v>7442</v>
      </c>
      <c r="E226" t="s">
        <v>7443</v>
      </c>
      <c r="F226" s="5" t="s">
        <v>7444</v>
      </c>
      <c r="G226" s="5">
        <v>40232</v>
      </c>
      <c r="H226" s="5">
        <v>8</v>
      </c>
      <c r="I226" s="6">
        <v>8</v>
      </c>
      <c r="J226" s="6" t="s">
        <v>3419</v>
      </c>
      <c r="K226" s="19" t="s">
        <v>7445</v>
      </c>
    </row>
    <row r="227" spans="1:11" x14ac:dyDescent="0.2">
      <c r="A227" t="s">
        <v>2276</v>
      </c>
      <c r="B227" t="s">
        <v>7446</v>
      </c>
      <c r="C227" s="5" t="s">
        <v>51</v>
      </c>
      <c r="D227" t="s">
        <v>7447</v>
      </c>
      <c r="E227" t="s">
        <v>7448</v>
      </c>
      <c r="F227" s="5" t="s">
        <v>7449</v>
      </c>
      <c r="G227" s="5">
        <v>40400</v>
      </c>
      <c r="H227" s="5">
        <v>20</v>
      </c>
      <c r="I227" s="6">
        <v>14</v>
      </c>
      <c r="J227" s="6" t="s">
        <v>3419</v>
      </c>
      <c r="K227" s="19" t="s">
        <v>7450</v>
      </c>
    </row>
    <row r="228" spans="1:11" x14ac:dyDescent="0.2">
      <c r="A228" t="s">
        <v>2279</v>
      </c>
      <c r="B228" t="s">
        <v>7451</v>
      </c>
      <c r="C228" s="5" t="s">
        <v>51</v>
      </c>
      <c r="D228" t="s">
        <v>7452</v>
      </c>
      <c r="E228" t="s">
        <v>7453</v>
      </c>
      <c r="F228" s="5" t="s">
        <v>7454</v>
      </c>
      <c r="G228" s="5">
        <v>40420</v>
      </c>
      <c r="H228" s="5">
        <v>34</v>
      </c>
      <c r="I228" s="6">
        <v>22</v>
      </c>
      <c r="J228" s="6" t="s">
        <v>3419</v>
      </c>
      <c r="K228" s="19" t="s">
        <v>7455</v>
      </c>
    </row>
    <row r="229" spans="1:11" x14ac:dyDescent="0.2">
      <c r="A229" t="s">
        <v>3046</v>
      </c>
      <c r="B229" t="s">
        <v>3098</v>
      </c>
      <c r="C229" s="5" t="s">
        <v>187</v>
      </c>
      <c r="D229" t="s">
        <v>188</v>
      </c>
      <c r="E229" t="str">
        <f t="shared" ref="E229" si="22">IF(D229&lt;&gt;"",C229&amp;"/"&amp;D229,"")</f>
        <v>sfx/sample1.sound</v>
      </c>
      <c r="F229" s="5" t="s">
        <v>189</v>
      </c>
      <c r="G229" s="5">
        <f t="shared" si="17"/>
        <v>344222</v>
      </c>
      <c r="H229" s="5">
        <v>132</v>
      </c>
      <c r="I229" s="6" t="str">
        <f t="shared" si="18"/>
        <v>84</v>
      </c>
      <c r="K229" s="24" t="s">
        <v>4612</v>
      </c>
    </row>
    <row r="230" spans="1:11" x14ac:dyDescent="0.2">
      <c r="A230" t="s">
        <v>3103</v>
      </c>
      <c r="B230" t="s">
        <v>3105</v>
      </c>
      <c r="E230" t="str">
        <f t="shared" ref="E230:E232" si="23">IF(D230&lt;&gt;"",C230&amp;"/"&amp;D230,"")</f>
        <v/>
      </c>
      <c r="G230" s="5" t="str">
        <f t="shared" si="17"/>
        <v/>
      </c>
      <c r="I230" s="6" t="str">
        <f t="shared" si="18"/>
        <v>0</v>
      </c>
      <c r="K230" s="24"/>
    </row>
    <row r="231" spans="1:11" x14ac:dyDescent="0.2">
      <c r="A231" t="s">
        <v>3104</v>
      </c>
      <c r="B231" t="s">
        <v>3105</v>
      </c>
      <c r="E231" t="str">
        <f t="shared" si="23"/>
        <v/>
      </c>
      <c r="G231" s="5" t="str">
        <f t="shared" si="17"/>
        <v/>
      </c>
      <c r="I231" s="6" t="str">
        <f t="shared" si="18"/>
        <v>0</v>
      </c>
      <c r="K231" s="24"/>
    </row>
    <row r="232" spans="1:11" x14ac:dyDescent="0.2">
      <c r="A232" t="s">
        <v>3106</v>
      </c>
      <c r="B232" t="s">
        <v>3105</v>
      </c>
      <c r="E232" t="str">
        <f t="shared" si="23"/>
        <v/>
      </c>
      <c r="G232" s="5" t="str">
        <f t="shared" si="17"/>
        <v/>
      </c>
      <c r="I232" s="6" t="str">
        <f t="shared" si="18"/>
        <v>0</v>
      </c>
      <c r="K232" s="24"/>
    </row>
    <row r="233" spans="1:11" x14ac:dyDescent="0.2">
      <c r="A233" t="s">
        <v>3107</v>
      </c>
      <c r="B233" t="s">
        <v>3105</v>
      </c>
      <c r="E233" t="str">
        <f t="shared" ref="E233:E264" si="24">IF(D233&lt;&gt;"",C233&amp;"/"&amp;D233,"")</f>
        <v/>
      </c>
      <c r="G233" s="5" t="str">
        <f t="shared" si="17"/>
        <v/>
      </c>
      <c r="I233" s="6" t="str">
        <f t="shared" si="18"/>
        <v>0</v>
      </c>
      <c r="K233" s="24"/>
    </row>
    <row r="234" spans="1:11" x14ac:dyDescent="0.2">
      <c r="A234" t="s">
        <v>3047</v>
      </c>
      <c r="B234" t="s">
        <v>3099</v>
      </c>
      <c r="C234" s="5" t="s">
        <v>187</v>
      </c>
      <c r="D234" t="s">
        <v>190</v>
      </c>
      <c r="E234" t="str">
        <f t="shared" si="24"/>
        <v>sfx/sample2.sound</v>
      </c>
      <c r="F234" s="5" t="s">
        <v>191</v>
      </c>
      <c r="G234" s="5">
        <f t="shared" si="17"/>
        <v>344354</v>
      </c>
      <c r="H234" s="5">
        <v>1474</v>
      </c>
      <c r="I234" s="6" t="str">
        <f t="shared" si="18"/>
        <v>5C2</v>
      </c>
      <c r="K234" s="24" t="s">
        <v>4613</v>
      </c>
    </row>
    <row r="235" spans="1:11" x14ac:dyDescent="0.2">
      <c r="A235" t="s">
        <v>3048</v>
      </c>
      <c r="B235" t="s">
        <v>3100</v>
      </c>
      <c r="C235" s="5" t="s">
        <v>187</v>
      </c>
      <c r="D235" t="s">
        <v>192</v>
      </c>
      <c r="E235" t="str">
        <f t="shared" si="24"/>
        <v>sfx/sample3.sound</v>
      </c>
      <c r="F235" s="5" t="s">
        <v>193</v>
      </c>
      <c r="G235" s="5">
        <f t="shared" si="17"/>
        <v>345828</v>
      </c>
      <c r="H235" s="5">
        <v>6280</v>
      </c>
      <c r="I235" s="6" t="str">
        <f t="shared" si="18"/>
        <v>1888</v>
      </c>
      <c r="K235" s="24" t="s">
        <v>4614</v>
      </c>
    </row>
    <row r="236" spans="1:11" x14ac:dyDescent="0.2">
      <c r="A236" t="s">
        <v>3049</v>
      </c>
      <c r="B236" t="s">
        <v>3101</v>
      </c>
      <c r="C236" s="5" t="s">
        <v>187</v>
      </c>
      <c r="D236" t="s">
        <v>194</v>
      </c>
      <c r="E236" t="str">
        <f t="shared" si="24"/>
        <v>sfx/sample4.sound</v>
      </c>
      <c r="F236" s="5" t="s">
        <v>195</v>
      </c>
      <c r="G236" s="5">
        <f t="shared" si="17"/>
        <v>352108</v>
      </c>
      <c r="H236" s="5">
        <v>6070</v>
      </c>
      <c r="I236" s="6" t="str">
        <f t="shared" si="18"/>
        <v>17B6</v>
      </c>
      <c r="K236" s="24" t="s">
        <v>4615</v>
      </c>
    </row>
    <row r="237" spans="1:11" x14ac:dyDescent="0.2">
      <c r="A237" t="s">
        <v>3050</v>
      </c>
      <c r="B237" t="s">
        <v>3102</v>
      </c>
      <c r="C237" s="5" t="s">
        <v>187</v>
      </c>
      <c r="D237" t="s">
        <v>196</v>
      </c>
      <c r="E237" t="str">
        <f t="shared" si="24"/>
        <v>sfx/sample5.sound</v>
      </c>
      <c r="F237" s="5" t="s">
        <v>197</v>
      </c>
      <c r="G237" s="5">
        <f t="shared" si="17"/>
        <v>358178</v>
      </c>
      <c r="H237" s="5">
        <v>3458</v>
      </c>
      <c r="I237" s="6" t="str">
        <f t="shared" si="18"/>
        <v>D82</v>
      </c>
      <c r="K237" s="24" t="s">
        <v>4616</v>
      </c>
    </row>
    <row r="238" spans="1:11" x14ac:dyDescent="0.2">
      <c r="A238" t="s">
        <v>3051</v>
      </c>
      <c r="B238" t="s">
        <v>3052</v>
      </c>
      <c r="C238" s="5" t="s">
        <v>48</v>
      </c>
      <c r="D238" t="s">
        <v>198</v>
      </c>
      <c r="E238" t="str">
        <f t="shared" si="24"/>
        <v>data/reservespace1.block</v>
      </c>
      <c r="F238" s="5" t="s">
        <v>199</v>
      </c>
      <c r="G238" s="5">
        <f t="shared" si="17"/>
        <v>362636</v>
      </c>
      <c r="H238" s="5">
        <v>1000</v>
      </c>
      <c r="I238" s="6" t="str">
        <f t="shared" si="18"/>
        <v>3E8</v>
      </c>
      <c r="K238" s="24"/>
    </row>
    <row r="239" spans="1:11" x14ac:dyDescent="0.2">
      <c r="A239" t="s">
        <v>3053</v>
      </c>
      <c r="B239" t="s">
        <v>3054</v>
      </c>
      <c r="C239" s="5" t="s">
        <v>48</v>
      </c>
      <c r="D239" t="s">
        <v>200</v>
      </c>
      <c r="E239" t="str">
        <f t="shared" si="24"/>
        <v>data/reservespace2.block</v>
      </c>
      <c r="F239" s="5" t="s">
        <v>201</v>
      </c>
      <c r="G239" s="5">
        <f t="shared" si="17"/>
        <v>361636</v>
      </c>
      <c r="H239" s="5">
        <v>1000</v>
      </c>
      <c r="I239" s="6" t="str">
        <f t="shared" si="18"/>
        <v>3E8</v>
      </c>
      <c r="K239" s="24"/>
    </row>
    <row r="240" spans="1:11" x14ac:dyDescent="0.2">
      <c r="A240" t="s">
        <v>292</v>
      </c>
      <c r="B240" t="s">
        <v>293</v>
      </c>
      <c r="E240" t="str">
        <f t="shared" si="24"/>
        <v/>
      </c>
      <c r="G240" s="5" t="str">
        <f t="shared" si="17"/>
        <v/>
      </c>
      <c r="I240" s="6" t="str">
        <f t="shared" si="18"/>
        <v>0</v>
      </c>
      <c r="K240" s="24"/>
    </row>
    <row r="241" spans="1:11" x14ac:dyDescent="0.2">
      <c r="A241" t="s">
        <v>294</v>
      </c>
      <c r="B241" t="s">
        <v>297</v>
      </c>
      <c r="E241" t="str">
        <f t="shared" si="24"/>
        <v/>
      </c>
      <c r="G241" s="5" t="str">
        <f t="shared" si="17"/>
        <v/>
      </c>
      <c r="I241" s="6" t="str">
        <f t="shared" si="18"/>
        <v>0</v>
      </c>
      <c r="K241" s="24"/>
    </row>
    <row r="242" spans="1:11" x14ac:dyDescent="0.2">
      <c r="A242" t="s">
        <v>295</v>
      </c>
      <c r="B242" t="s">
        <v>296</v>
      </c>
      <c r="E242" t="str">
        <f t="shared" si="24"/>
        <v/>
      </c>
      <c r="G242" s="5" t="str">
        <f t="shared" si="17"/>
        <v/>
      </c>
      <c r="I242" s="6" t="str">
        <f t="shared" si="18"/>
        <v>0</v>
      </c>
      <c r="K242" s="24"/>
    </row>
    <row r="243" spans="1:11" x14ac:dyDescent="0.2">
      <c r="A243" t="s">
        <v>298</v>
      </c>
      <c r="B243" t="s">
        <v>3055</v>
      </c>
      <c r="E243" t="str">
        <f t="shared" si="24"/>
        <v/>
      </c>
      <c r="G243" s="5" t="str">
        <f t="shared" si="17"/>
        <v/>
      </c>
      <c r="I243" s="6" t="str">
        <f t="shared" si="18"/>
        <v>0</v>
      </c>
      <c r="K243" s="24"/>
    </row>
    <row r="244" spans="1:11" x14ac:dyDescent="0.2">
      <c r="A244" t="s">
        <v>299</v>
      </c>
      <c r="B244" t="s">
        <v>300</v>
      </c>
      <c r="E244" t="str">
        <f t="shared" si="24"/>
        <v/>
      </c>
      <c r="G244" s="5" t="str">
        <f t="shared" si="17"/>
        <v/>
      </c>
      <c r="I244" s="6" t="str">
        <f t="shared" si="18"/>
        <v>0</v>
      </c>
      <c r="K244" s="24"/>
    </row>
    <row r="245" spans="1:11" x14ac:dyDescent="0.2">
      <c r="A245" t="s">
        <v>301</v>
      </c>
      <c r="B245" t="s">
        <v>6372</v>
      </c>
      <c r="G245" s="5" t="str">
        <f t="shared" si="17"/>
        <v/>
      </c>
      <c r="I245" s="6" t="str">
        <f t="shared" si="18"/>
        <v>0</v>
      </c>
    </row>
    <row r="246" spans="1:11" x14ac:dyDescent="0.2">
      <c r="A246" t="s">
        <v>304</v>
      </c>
      <c r="B246" t="s">
        <v>304</v>
      </c>
      <c r="E246" t="str">
        <f t="shared" si="24"/>
        <v/>
      </c>
      <c r="G246" s="5" t="str">
        <f t="shared" si="17"/>
        <v/>
      </c>
      <c r="I246" s="6" t="str">
        <f t="shared" si="18"/>
        <v>0</v>
      </c>
    </row>
    <row r="247" spans="1:11" x14ac:dyDescent="0.2">
      <c r="A247" t="s">
        <v>305</v>
      </c>
      <c r="B247" t="s">
        <v>305</v>
      </c>
      <c r="E247" t="str">
        <f t="shared" si="24"/>
        <v/>
      </c>
      <c r="G247" s="5" t="str">
        <f t="shared" si="17"/>
        <v/>
      </c>
      <c r="I247" s="6" t="str">
        <f t="shared" si="18"/>
        <v>0</v>
      </c>
    </row>
    <row r="248" spans="1:11" x14ac:dyDescent="0.2">
      <c r="A248" t="s">
        <v>306</v>
      </c>
      <c r="B248" t="s">
        <v>306</v>
      </c>
      <c r="E248" t="str">
        <f t="shared" si="24"/>
        <v/>
      </c>
      <c r="G248" s="5" t="str">
        <f t="shared" si="17"/>
        <v/>
      </c>
      <c r="I248" s="6" t="str">
        <f t="shared" si="18"/>
        <v>0</v>
      </c>
    </row>
    <row r="249" spans="1:11" x14ac:dyDescent="0.2">
      <c r="A249" t="s">
        <v>305</v>
      </c>
      <c r="B249" t="s">
        <v>305</v>
      </c>
      <c r="E249" t="str">
        <f t="shared" si="24"/>
        <v/>
      </c>
      <c r="G249" s="5" t="str">
        <f t="shared" si="17"/>
        <v/>
      </c>
      <c r="I249" s="6" t="str">
        <f t="shared" si="18"/>
        <v>0</v>
      </c>
    </row>
    <row r="250" spans="1:11" x14ac:dyDescent="0.2">
      <c r="A250" t="s">
        <v>307</v>
      </c>
      <c r="B250" t="s">
        <v>307</v>
      </c>
      <c r="E250" t="str">
        <f t="shared" si="24"/>
        <v/>
      </c>
      <c r="G250" s="5" t="str">
        <f t="shared" si="17"/>
        <v/>
      </c>
      <c r="I250" s="6" t="str">
        <f t="shared" si="18"/>
        <v>0</v>
      </c>
    </row>
    <row r="251" spans="1:11" x14ac:dyDescent="0.2">
      <c r="A251" t="s">
        <v>308</v>
      </c>
      <c r="B251" t="s">
        <v>6098</v>
      </c>
      <c r="G251" s="5" t="str">
        <f t="shared" si="17"/>
        <v/>
      </c>
      <c r="I251" s="6" t="str">
        <f t="shared" si="18"/>
        <v>0</v>
      </c>
      <c r="K251" s="19" t="s">
        <v>6099</v>
      </c>
    </row>
    <row r="252" spans="1:11" x14ac:dyDescent="0.2">
      <c r="A252" t="s">
        <v>309</v>
      </c>
      <c r="B252" t="s">
        <v>310</v>
      </c>
      <c r="E252" t="str">
        <f t="shared" si="24"/>
        <v/>
      </c>
      <c r="G252" s="5" t="str">
        <f t="shared" si="17"/>
        <v/>
      </c>
      <c r="I252" s="6" t="str">
        <f t="shared" si="18"/>
        <v>0</v>
      </c>
    </row>
    <row r="253" spans="1:11" x14ac:dyDescent="0.2">
      <c r="A253" t="s">
        <v>311</v>
      </c>
      <c r="B253" t="s">
        <v>6100</v>
      </c>
      <c r="G253" s="5" t="str">
        <f t="shared" si="17"/>
        <v/>
      </c>
      <c r="I253" s="6" t="str">
        <f t="shared" si="18"/>
        <v>0</v>
      </c>
      <c r="K253" s="19" t="s">
        <v>6101</v>
      </c>
    </row>
    <row r="254" spans="1:11" x14ac:dyDescent="0.2">
      <c r="A254" t="s">
        <v>312</v>
      </c>
      <c r="B254" t="s">
        <v>5710</v>
      </c>
      <c r="G254" s="5" t="str">
        <f t="shared" si="17"/>
        <v/>
      </c>
      <c r="I254" s="6" t="str">
        <f t="shared" si="18"/>
        <v>0</v>
      </c>
      <c r="K254" s="19" t="s">
        <v>5711</v>
      </c>
    </row>
    <row r="255" spans="1:11" x14ac:dyDescent="0.2">
      <c r="A255" t="s">
        <v>313</v>
      </c>
      <c r="B255" t="s">
        <v>6102</v>
      </c>
      <c r="G255" s="5" t="str">
        <f t="shared" si="17"/>
        <v/>
      </c>
      <c r="I255" s="6" t="str">
        <f t="shared" si="18"/>
        <v>0</v>
      </c>
      <c r="K255" s="19" t="s">
        <v>6103</v>
      </c>
    </row>
    <row r="256" spans="1:11" x14ac:dyDescent="0.2">
      <c r="A256" t="s">
        <v>314</v>
      </c>
      <c r="B256" t="s">
        <v>6104</v>
      </c>
      <c r="G256" s="5" t="str">
        <f t="shared" si="17"/>
        <v/>
      </c>
      <c r="I256" s="6" t="str">
        <f t="shared" si="18"/>
        <v>0</v>
      </c>
      <c r="K256" s="19" t="s">
        <v>6105</v>
      </c>
    </row>
    <row r="257" spans="1:11" x14ac:dyDescent="0.2">
      <c r="A257" t="s">
        <v>315</v>
      </c>
      <c r="B257" t="s">
        <v>5712</v>
      </c>
      <c r="G257" s="5" t="str">
        <f t="shared" ref="G257:G320" si="25">IF(F257&lt;&gt;"",HEX2DEC(SUBSTITUTE(SUBSTITUTE(F257,"adrEA",""),"$","")),"")</f>
        <v/>
      </c>
      <c r="I257" s="6" t="str">
        <f t="shared" ref="I257:I320" si="26">IFERROR(DEC2HEX(H257),"")</f>
        <v>0</v>
      </c>
      <c r="K257" s="19" t="s">
        <v>5713</v>
      </c>
    </row>
    <row r="258" spans="1:11" x14ac:dyDescent="0.2">
      <c r="A258" t="s">
        <v>316</v>
      </c>
      <c r="B258" t="s">
        <v>5714</v>
      </c>
      <c r="G258" s="5" t="str">
        <f t="shared" si="25"/>
        <v/>
      </c>
      <c r="I258" s="6" t="str">
        <f t="shared" si="26"/>
        <v>0</v>
      </c>
      <c r="K258" s="19" t="s">
        <v>5715</v>
      </c>
    </row>
    <row r="259" spans="1:11" x14ac:dyDescent="0.2">
      <c r="A259" t="s">
        <v>317</v>
      </c>
      <c r="B259" t="s">
        <v>5716</v>
      </c>
      <c r="G259" s="5" t="str">
        <f t="shared" si="25"/>
        <v/>
      </c>
      <c r="I259" s="6" t="str">
        <f t="shared" si="26"/>
        <v>0</v>
      </c>
      <c r="K259" s="19" t="s">
        <v>5717</v>
      </c>
    </row>
    <row r="260" spans="1:11" x14ac:dyDescent="0.2">
      <c r="A260" t="s">
        <v>318</v>
      </c>
      <c r="B260" t="s">
        <v>319</v>
      </c>
      <c r="E260" t="str">
        <f t="shared" si="24"/>
        <v/>
      </c>
      <c r="G260" s="5" t="str">
        <f t="shared" si="25"/>
        <v/>
      </c>
      <c r="I260" s="6" t="str">
        <f t="shared" si="26"/>
        <v>0</v>
      </c>
    </row>
    <row r="261" spans="1:11" x14ac:dyDescent="0.2">
      <c r="A261" t="s">
        <v>320</v>
      </c>
      <c r="B261" t="s">
        <v>321</v>
      </c>
      <c r="E261" t="str">
        <f t="shared" si="24"/>
        <v/>
      </c>
      <c r="G261" s="5" t="str">
        <f t="shared" si="25"/>
        <v/>
      </c>
      <c r="I261" s="6" t="str">
        <f t="shared" si="26"/>
        <v>0</v>
      </c>
    </row>
    <row r="262" spans="1:11" x14ac:dyDescent="0.2">
      <c r="A262" t="s">
        <v>322</v>
      </c>
      <c r="B262" t="s">
        <v>323</v>
      </c>
      <c r="E262" t="str">
        <f t="shared" si="24"/>
        <v/>
      </c>
      <c r="G262" s="5" t="str">
        <f t="shared" si="25"/>
        <v/>
      </c>
      <c r="I262" s="6" t="str">
        <f t="shared" si="26"/>
        <v>0</v>
      </c>
    </row>
    <row r="263" spans="1:11" x14ac:dyDescent="0.2">
      <c r="A263" t="s">
        <v>324</v>
      </c>
      <c r="B263" t="s">
        <v>325</v>
      </c>
      <c r="G263" s="5" t="str">
        <f t="shared" si="25"/>
        <v/>
      </c>
      <c r="I263" s="6" t="str">
        <f t="shared" si="26"/>
        <v>0</v>
      </c>
      <c r="K263" s="19" t="s">
        <v>6192</v>
      </c>
    </row>
    <row r="264" spans="1:11" x14ac:dyDescent="0.2">
      <c r="A264" t="s">
        <v>326</v>
      </c>
      <c r="B264" t="s">
        <v>327</v>
      </c>
      <c r="E264" t="str">
        <f t="shared" si="24"/>
        <v/>
      </c>
      <c r="G264" s="5" t="str">
        <f t="shared" si="25"/>
        <v/>
      </c>
      <c r="I264" s="6" t="str">
        <f t="shared" si="26"/>
        <v>0</v>
      </c>
    </row>
    <row r="265" spans="1:11" x14ac:dyDescent="0.2">
      <c r="A265" t="s">
        <v>328</v>
      </c>
      <c r="B265" t="s">
        <v>329</v>
      </c>
      <c r="E265" t="str">
        <f t="shared" ref="E265:E279" si="27">IF(D265&lt;&gt;"",C265&amp;"/"&amp;D265,"")</f>
        <v/>
      </c>
      <c r="G265" s="5" t="str">
        <f t="shared" si="25"/>
        <v/>
      </c>
      <c r="I265" s="6" t="str">
        <f t="shared" si="26"/>
        <v>0</v>
      </c>
    </row>
    <row r="266" spans="1:11" x14ac:dyDescent="0.2">
      <c r="A266" t="s">
        <v>330</v>
      </c>
      <c r="B266" t="s">
        <v>6373</v>
      </c>
      <c r="G266" s="5" t="str">
        <f t="shared" si="25"/>
        <v/>
      </c>
      <c r="I266" s="6" t="str">
        <f t="shared" si="26"/>
        <v>0</v>
      </c>
    </row>
    <row r="267" spans="1:11" x14ac:dyDescent="0.2">
      <c r="A267" t="s">
        <v>331</v>
      </c>
      <c r="B267" t="s">
        <v>331</v>
      </c>
      <c r="E267" t="str">
        <f t="shared" si="27"/>
        <v/>
      </c>
      <c r="G267" s="5" t="str">
        <f t="shared" si="25"/>
        <v/>
      </c>
      <c r="I267" s="6" t="str">
        <f t="shared" si="26"/>
        <v>0</v>
      </c>
    </row>
    <row r="268" spans="1:11" x14ac:dyDescent="0.2">
      <c r="A268" t="s">
        <v>332</v>
      </c>
      <c r="B268" t="s">
        <v>333</v>
      </c>
      <c r="E268" t="str">
        <f t="shared" si="27"/>
        <v/>
      </c>
      <c r="G268" s="5" t="str">
        <f t="shared" si="25"/>
        <v/>
      </c>
      <c r="I268" s="6" t="str">
        <f t="shared" si="26"/>
        <v>0</v>
      </c>
    </row>
    <row r="269" spans="1:11" x14ac:dyDescent="0.2">
      <c r="A269" t="s">
        <v>334</v>
      </c>
      <c r="B269" t="s">
        <v>335</v>
      </c>
      <c r="E269" t="str">
        <f t="shared" si="27"/>
        <v/>
      </c>
      <c r="G269" s="5" t="str">
        <f t="shared" si="25"/>
        <v/>
      </c>
      <c r="I269" s="6" t="str">
        <f t="shared" si="26"/>
        <v>0</v>
      </c>
    </row>
    <row r="270" spans="1:11" x14ac:dyDescent="0.2">
      <c r="A270" t="s">
        <v>336</v>
      </c>
      <c r="B270" t="s">
        <v>332</v>
      </c>
      <c r="E270" t="str">
        <f t="shared" si="27"/>
        <v/>
      </c>
      <c r="G270" s="5" t="str">
        <f t="shared" si="25"/>
        <v/>
      </c>
      <c r="I270" s="6" t="str">
        <f t="shared" si="26"/>
        <v>0</v>
      </c>
    </row>
    <row r="271" spans="1:11" x14ac:dyDescent="0.2">
      <c r="A271" t="s">
        <v>337</v>
      </c>
      <c r="B271" t="s">
        <v>338</v>
      </c>
      <c r="G271" s="5" t="str">
        <f t="shared" si="25"/>
        <v/>
      </c>
      <c r="I271" s="6" t="str">
        <f t="shared" si="26"/>
        <v>0</v>
      </c>
      <c r="K271" s="19" t="s">
        <v>6193</v>
      </c>
    </row>
    <row r="272" spans="1:11" x14ac:dyDescent="0.2">
      <c r="A272" t="s">
        <v>339</v>
      </c>
      <c r="B272" t="s">
        <v>340</v>
      </c>
      <c r="E272" t="str">
        <f t="shared" si="27"/>
        <v/>
      </c>
      <c r="G272" s="5" t="str">
        <f t="shared" si="25"/>
        <v/>
      </c>
      <c r="I272" s="6" t="str">
        <f t="shared" si="26"/>
        <v>0</v>
      </c>
    </row>
    <row r="273" spans="1:11" x14ac:dyDescent="0.2">
      <c r="A273" t="s">
        <v>341</v>
      </c>
      <c r="B273" t="s">
        <v>341</v>
      </c>
      <c r="E273" t="str">
        <f t="shared" si="27"/>
        <v/>
      </c>
      <c r="G273" s="5" t="str">
        <f t="shared" si="25"/>
        <v/>
      </c>
      <c r="I273" s="6" t="str">
        <f t="shared" si="26"/>
        <v>0</v>
      </c>
    </row>
    <row r="274" spans="1:11" x14ac:dyDescent="0.2">
      <c r="A274" t="s">
        <v>342</v>
      </c>
      <c r="B274" t="s">
        <v>343</v>
      </c>
      <c r="E274" t="str">
        <f t="shared" si="27"/>
        <v/>
      </c>
      <c r="G274" s="5" t="str">
        <f t="shared" si="25"/>
        <v/>
      </c>
      <c r="I274" s="6" t="str">
        <f t="shared" si="26"/>
        <v>0</v>
      </c>
    </row>
    <row r="275" spans="1:11" x14ac:dyDescent="0.2">
      <c r="A275" t="s">
        <v>344</v>
      </c>
      <c r="B275" t="s">
        <v>344</v>
      </c>
      <c r="E275" t="str">
        <f t="shared" si="27"/>
        <v/>
      </c>
      <c r="G275" s="5" t="str">
        <f t="shared" si="25"/>
        <v/>
      </c>
      <c r="I275" s="6" t="str">
        <f t="shared" si="26"/>
        <v>0</v>
      </c>
    </row>
    <row r="276" spans="1:11" x14ac:dyDescent="0.2">
      <c r="A276" t="s">
        <v>345</v>
      </c>
      <c r="B276" t="s">
        <v>345</v>
      </c>
      <c r="E276" t="str">
        <f t="shared" si="27"/>
        <v/>
      </c>
      <c r="G276" s="5" t="str">
        <f t="shared" si="25"/>
        <v/>
      </c>
      <c r="I276" s="6" t="str">
        <f t="shared" si="26"/>
        <v>0</v>
      </c>
    </row>
    <row r="277" spans="1:11" x14ac:dyDescent="0.2">
      <c r="A277" t="s">
        <v>346</v>
      </c>
      <c r="B277" t="s">
        <v>346</v>
      </c>
      <c r="E277" t="str">
        <f t="shared" si="27"/>
        <v/>
      </c>
      <c r="G277" s="5" t="str">
        <f t="shared" si="25"/>
        <v/>
      </c>
      <c r="I277" s="6" t="str">
        <f t="shared" si="26"/>
        <v>0</v>
      </c>
    </row>
    <row r="278" spans="1:11" x14ac:dyDescent="0.2">
      <c r="A278" t="s">
        <v>347</v>
      </c>
      <c r="B278" t="s">
        <v>347</v>
      </c>
      <c r="G278" s="5" t="str">
        <f t="shared" si="25"/>
        <v/>
      </c>
      <c r="I278" s="6" t="str">
        <f t="shared" si="26"/>
        <v>0</v>
      </c>
      <c r="K278" s="19" t="s">
        <v>6194</v>
      </c>
    </row>
    <row r="279" spans="1:11" x14ac:dyDescent="0.2">
      <c r="A279" t="s">
        <v>348</v>
      </c>
      <c r="B279" t="s">
        <v>348</v>
      </c>
      <c r="E279" t="str">
        <f t="shared" si="27"/>
        <v/>
      </c>
      <c r="G279" s="5" t="str">
        <f t="shared" si="25"/>
        <v/>
      </c>
      <c r="I279" s="6" t="str">
        <f t="shared" si="26"/>
        <v>0</v>
      </c>
    </row>
    <row r="280" spans="1:11" x14ac:dyDescent="0.2">
      <c r="A280" t="s">
        <v>349</v>
      </c>
      <c r="B280" t="s">
        <v>5718</v>
      </c>
      <c r="G280" s="5" t="str">
        <f t="shared" si="25"/>
        <v/>
      </c>
      <c r="I280" s="6" t="str">
        <f t="shared" si="26"/>
        <v>0</v>
      </c>
      <c r="K280" s="19" t="s">
        <v>5719</v>
      </c>
    </row>
    <row r="281" spans="1:11" x14ac:dyDescent="0.2">
      <c r="A281" t="s">
        <v>350</v>
      </c>
      <c r="B281" t="s">
        <v>6106</v>
      </c>
      <c r="G281" s="5" t="str">
        <f t="shared" si="25"/>
        <v/>
      </c>
      <c r="I281" s="6" t="str">
        <f t="shared" si="26"/>
        <v>0</v>
      </c>
      <c r="K281" s="19" t="s">
        <v>6107</v>
      </c>
    </row>
    <row r="282" spans="1:11" x14ac:dyDescent="0.2">
      <c r="A282" t="s">
        <v>351</v>
      </c>
      <c r="B282" t="s">
        <v>6108</v>
      </c>
      <c r="G282" s="5" t="str">
        <f t="shared" si="25"/>
        <v/>
      </c>
      <c r="I282" s="6" t="str">
        <f t="shared" si="26"/>
        <v>0</v>
      </c>
      <c r="K282" s="19" t="s">
        <v>6109</v>
      </c>
    </row>
    <row r="283" spans="1:11" x14ac:dyDescent="0.2">
      <c r="A283" t="s">
        <v>352</v>
      </c>
      <c r="B283" t="s">
        <v>6110</v>
      </c>
      <c r="G283" s="5" t="str">
        <f t="shared" si="25"/>
        <v/>
      </c>
      <c r="I283" s="6" t="str">
        <f t="shared" si="26"/>
        <v>0</v>
      </c>
      <c r="K283" s="19" t="s">
        <v>6111</v>
      </c>
    </row>
    <row r="284" spans="1:11" x14ac:dyDescent="0.2">
      <c r="A284" t="s">
        <v>364</v>
      </c>
      <c r="B284" t="s">
        <v>5211</v>
      </c>
      <c r="C284" s="7"/>
      <c r="G284" s="5" t="str">
        <f t="shared" si="25"/>
        <v/>
      </c>
      <c r="I284" s="6" t="str">
        <f t="shared" si="26"/>
        <v>0</v>
      </c>
      <c r="K284" s="19" t="s">
        <v>5212</v>
      </c>
    </row>
    <row r="285" spans="1:11" x14ac:dyDescent="0.2">
      <c r="A285" t="s">
        <v>365</v>
      </c>
      <c r="B285" t="s">
        <v>5213</v>
      </c>
      <c r="C285" s="7"/>
      <c r="G285" s="5" t="str">
        <f t="shared" si="25"/>
        <v/>
      </c>
      <c r="I285" s="6" t="str">
        <f t="shared" si="26"/>
        <v>0</v>
      </c>
      <c r="K285" s="19" t="s">
        <v>5214</v>
      </c>
    </row>
    <row r="286" spans="1:11" x14ac:dyDescent="0.2">
      <c r="A286" t="s">
        <v>366</v>
      </c>
      <c r="B286" t="s">
        <v>5215</v>
      </c>
      <c r="C286" s="7"/>
      <c r="G286" s="5" t="str">
        <f t="shared" si="25"/>
        <v/>
      </c>
      <c r="I286" s="6" t="str">
        <f t="shared" si="26"/>
        <v>0</v>
      </c>
      <c r="K286" s="19" t="s">
        <v>5216</v>
      </c>
    </row>
    <row r="287" spans="1:11" ht="20" customHeight="1" x14ac:dyDescent="0.2">
      <c r="A287" t="s">
        <v>386</v>
      </c>
      <c r="B287" t="s">
        <v>4320</v>
      </c>
      <c r="G287" s="5" t="str">
        <f t="shared" si="25"/>
        <v/>
      </c>
      <c r="I287" s="6" t="str">
        <f t="shared" si="26"/>
        <v>0</v>
      </c>
      <c r="K287" s="25" t="s">
        <v>4421</v>
      </c>
    </row>
    <row r="288" spans="1:11" x14ac:dyDescent="0.2">
      <c r="A288" t="s">
        <v>387</v>
      </c>
      <c r="B288" t="s">
        <v>4656</v>
      </c>
      <c r="G288" s="5" t="str">
        <f t="shared" si="25"/>
        <v/>
      </c>
      <c r="I288" s="6" t="str">
        <f t="shared" si="26"/>
        <v>0</v>
      </c>
      <c r="K288" s="19" t="s">
        <v>4657</v>
      </c>
    </row>
    <row r="289" spans="1:11" x14ac:dyDescent="0.2">
      <c r="A289" t="s">
        <v>388</v>
      </c>
      <c r="B289" t="s">
        <v>4658</v>
      </c>
      <c r="G289" s="5" t="str">
        <f t="shared" si="25"/>
        <v/>
      </c>
      <c r="I289" s="6" t="str">
        <f t="shared" si="26"/>
        <v>0</v>
      </c>
      <c r="K289" s="19" t="s">
        <v>4659</v>
      </c>
    </row>
    <row r="290" spans="1:11" x14ac:dyDescent="0.2">
      <c r="A290" t="s">
        <v>389</v>
      </c>
      <c r="B290" t="s">
        <v>4660</v>
      </c>
      <c r="G290" s="5" t="str">
        <f t="shared" si="25"/>
        <v/>
      </c>
      <c r="I290" s="6" t="str">
        <f t="shared" si="26"/>
        <v>0</v>
      </c>
      <c r="K290" s="19" t="s">
        <v>4661</v>
      </c>
    </row>
    <row r="291" spans="1:11" x14ac:dyDescent="0.2">
      <c r="A291" t="s">
        <v>390</v>
      </c>
      <c r="B291" t="s">
        <v>4662</v>
      </c>
      <c r="G291" s="5" t="str">
        <f t="shared" si="25"/>
        <v/>
      </c>
      <c r="I291" s="6" t="str">
        <f t="shared" si="26"/>
        <v>0</v>
      </c>
      <c r="K291" s="19" t="s">
        <v>4663</v>
      </c>
    </row>
    <row r="292" spans="1:11" x14ac:dyDescent="0.2">
      <c r="A292" t="s">
        <v>391</v>
      </c>
      <c r="B292" t="s">
        <v>6112</v>
      </c>
      <c r="G292" s="5" t="str">
        <f t="shared" si="25"/>
        <v/>
      </c>
      <c r="I292" s="6" t="str">
        <f t="shared" si="26"/>
        <v>0</v>
      </c>
      <c r="K292" s="19" t="s">
        <v>6113</v>
      </c>
    </row>
    <row r="293" spans="1:11" x14ac:dyDescent="0.2">
      <c r="A293" t="s">
        <v>392</v>
      </c>
      <c r="B293" t="s">
        <v>6114</v>
      </c>
      <c r="G293" s="5" t="str">
        <f t="shared" si="25"/>
        <v/>
      </c>
      <c r="I293" s="6" t="str">
        <f t="shared" si="26"/>
        <v>0</v>
      </c>
      <c r="K293" s="19" t="s">
        <v>6115</v>
      </c>
    </row>
    <row r="294" spans="1:11" x14ac:dyDescent="0.2">
      <c r="A294" t="s">
        <v>393</v>
      </c>
      <c r="B294" t="s">
        <v>6116</v>
      </c>
      <c r="G294" s="5" t="str">
        <f t="shared" si="25"/>
        <v/>
      </c>
      <c r="I294" s="6" t="str">
        <f t="shared" si="26"/>
        <v>0</v>
      </c>
      <c r="K294" s="19" t="s">
        <v>6117</v>
      </c>
    </row>
    <row r="295" spans="1:11" x14ac:dyDescent="0.2">
      <c r="A295" t="s">
        <v>394</v>
      </c>
      <c r="B295" t="s">
        <v>6374</v>
      </c>
      <c r="G295" s="5" t="str">
        <f t="shared" si="25"/>
        <v/>
      </c>
      <c r="I295" s="6" t="str">
        <f t="shared" si="26"/>
        <v>0</v>
      </c>
    </row>
    <row r="296" spans="1:11" x14ac:dyDescent="0.2">
      <c r="A296" t="s">
        <v>395</v>
      </c>
      <c r="B296" t="s">
        <v>6375</v>
      </c>
      <c r="G296" s="5" t="str">
        <f t="shared" si="25"/>
        <v/>
      </c>
      <c r="I296" s="6" t="str">
        <f t="shared" si="26"/>
        <v>0</v>
      </c>
    </row>
    <row r="297" spans="1:11" x14ac:dyDescent="0.2">
      <c r="A297" t="s">
        <v>396</v>
      </c>
      <c r="B297" t="s">
        <v>5720</v>
      </c>
      <c r="G297" s="5" t="str">
        <f t="shared" si="25"/>
        <v/>
      </c>
      <c r="I297" s="6" t="str">
        <f t="shared" si="26"/>
        <v>0</v>
      </c>
      <c r="K297" s="19" t="s">
        <v>5721</v>
      </c>
    </row>
    <row r="298" spans="1:11" x14ac:dyDescent="0.2">
      <c r="A298" t="s">
        <v>397</v>
      </c>
      <c r="B298" t="s">
        <v>398</v>
      </c>
      <c r="E298" t="str">
        <f t="shared" ref="E298:E299" si="28">IF(D298&lt;&gt;"",C298&amp;"/"&amp;D298,"")</f>
        <v/>
      </c>
      <c r="G298" s="5" t="str">
        <f t="shared" si="25"/>
        <v/>
      </c>
      <c r="I298" s="6" t="str">
        <f t="shared" si="26"/>
        <v>0</v>
      </c>
    </row>
    <row r="299" spans="1:11" x14ac:dyDescent="0.2">
      <c r="A299" t="s">
        <v>399</v>
      </c>
      <c r="B299" t="s">
        <v>400</v>
      </c>
      <c r="E299" t="str">
        <f t="shared" si="28"/>
        <v/>
      </c>
      <c r="G299" s="5" t="str">
        <f t="shared" si="25"/>
        <v/>
      </c>
      <c r="I299" s="6" t="str">
        <f t="shared" si="26"/>
        <v>0</v>
      </c>
    </row>
    <row r="300" spans="1:11" x14ac:dyDescent="0.2">
      <c r="A300" t="s">
        <v>401</v>
      </c>
      <c r="B300" t="s">
        <v>5722</v>
      </c>
      <c r="G300" s="5" t="str">
        <f t="shared" si="25"/>
        <v/>
      </c>
      <c r="I300" s="6" t="str">
        <f t="shared" si="26"/>
        <v>0</v>
      </c>
      <c r="K300" s="19" t="s">
        <v>5723</v>
      </c>
    </row>
    <row r="301" spans="1:11" x14ac:dyDescent="0.2">
      <c r="A301" t="s">
        <v>402</v>
      </c>
      <c r="B301" t="s">
        <v>5724</v>
      </c>
      <c r="G301" s="5" t="str">
        <f t="shared" si="25"/>
        <v/>
      </c>
      <c r="I301" s="6" t="str">
        <f t="shared" si="26"/>
        <v>0</v>
      </c>
      <c r="K301" s="19" t="s">
        <v>5725</v>
      </c>
    </row>
    <row r="302" spans="1:11" x14ac:dyDescent="0.2">
      <c r="A302" t="s">
        <v>403</v>
      </c>
      <c r="B302" t="s">
        <v>6118</v>
      </c>
      <c r="G302" s="5" t="str">
        <f t="shared" si="25"/>
        <v/>
      </c>
      <c r="I302" s="6" t="str">
        <f t="shared" si="26"/>
        <v>0</v>
      </c>
      <c r="K302" s="19" t="s">
        <v>6119</v>
      </c>
    </row>
    <row r="303" spans="1:11" x14ac:dyDescent="0.2">
      <c r="A303" t="s">
        <v>404</v>
      </c>
      <c r="B303" t="s">
        <v>6120</v>
      </c>
      <c r="G303" s="5" t="str">
        <f t="shared" si="25"/>
        <v/>
      </c>
      <c r="I303" s="6" t="str">
        <f t="shared" si="26"/>
        <v>0</v>
      </c>
      <c r="K303" s="19" t="s">
        <v>6121</v>
      </c>
    </row>
    <row r="304" spans="1:11" x14ac:dyDescent="0.2">
      <c r="A304" t="s">
        <v>405</v>
      </c>
      <c r="B304" t="s">
        <v>5726</v>
      </c>
      <c r="G304" s="5" t="str">
        <f t="shared" si="25"/>
        <v/>
      </c>
      <c r="I304" s="6" t="str">
        <f t="shared" si="26"/>
        <v>0</v>
      </c>
      <c r="K304" s="19" t="s">
        <v>5727</v>
      </c>
    </row>
    <row r="305" spans="1:11" x14ac:dyDescent="0.2">
      <c r="A305" t="s">
        <v>406</v>
      </c>
      <c r="B305" t="s">
        <v>5728</v>
      </c>
      <c r="G305" s="5" t="str">
        <f t="shared" si="25"/>
        <v/>
      </c>
      <c r="I305" s="6" t="str">
        <f t="shared" si="26"/>
        <v>0</v>
      </c>
      <c r="K305" s="19" t="s">
        <v>5729</v>
      </c>
    </row>
    <row r="306" spans="1:11" x14ac:dyDescent="0.2">
      <c r="A306" t="s">
        <v>407</v>
      </c>
      <c r="B306" t="s">
        <v>6376</v>
      </c>
      <c r="G306" s="5" t="str">
        <f t="shared" si="25"/>
        <v/>
      </c>
      <c r="I306" s="6" t="str">
        <f t="shared" si="26"/>
        <v>0</v>
      </c>
    </row>
    <row r="307" spans="1:11" x14ac:dyDescent="0.2">
      <c r="A307" t="s">
        <v>408</v>
      </c>
      <c r="B307" t="s">
        <v>6377</v>
      </c>
      <c r="G307" s="5" t="str">
        <f t="shared" si="25"/>
        <v/>
      </c>
      <c r="I307" s="6" t="str">
        <f t="shared" si="26"/>
        <v>0</v>
      </c>
    </row>
    <row r="308" spans="1:11" x14ac:dyDescent="0.2">
      <c r="A308" t="s">
        <v>409</v>
      </c>
      <c r="B308" t="s">
        <v>6378</v>
      </c>
      <c r="G308" s="5" t="str">
        <f t="shared" si="25"/>
        <v/>
      </c>
      <c r="I308" s="6" t="str">
        <f t="shared" si="26"/>
        <v>0</v>
      </c>
    </row>
    <row r="309" spans="1:11" x14ac:dyDescent="0.2">
      <c r="A309" t="s">
        <v>410</v>
      </c>
      <c r="B309" t="s">
        <v>6379</v>
      </c>
      <c r="G309" s="5" t="str">
        <f t="shared" si="25"/>
        <v/>
      </c>
      <c r="I309" s="6" t="str">
        <f t="shared" si="26"/>
        <v>0</v>
      </c>
    </row>
    <row r="310" spans="1:11" x14ac:dyDescent="0.2">
      <c r="A310" t="s">
        <v>411</v>
      </c>
      <c r="B310" t="s">
        <v>6380</v>
      </c>
      <c r="G310" s="5" t="str">
        <f t="shared" si="25"/>
        <v/>
      </c>
      <c r="I310" s="6" t="str">
        <f t="shared" si="26"/>
        <v>0</v>
      </c>
    </row>
    <row r="311" spans="1:11" x14ac:dyDescent="0.2">
      <c r="A311" t="s">
        <v>412</v>
      </c>
      <c r="B311" t="s">
        <v>6381</v>
      </c>
      <c r="G311" s="5" t="str">
        <f t="shared" si="25"/>
        <v/>
      </c>
      <c r="I311" s="6" t="str">
        <f t="shared" si="26"/>
        <v>0</v>
      </c>
    </row>
    <row r="312" spans="1:11" x14ac:dyDescent="0.2">
      <c r="A312" t="s">
        <v>413</v>
      </c>
      <c r="B312" t="s">
        <v>6382</v>
      </c>
      <c r="G312" s="5" t="str">
        <f t="shared" si="25"/>
        <v/>
      </c>
      <c r="I312" s="6" t="str">
        <f t="shared" si="26"/>
        <v>0</v>
      </c>
    </row>
    <row r="313" spans="1:11" x14ac:dyDescent="0.2">
      <c r="A313" t="s">
        <v>414</v>
      </c>
      <c r="B313" t="s">
        <v>5730</v>
      </c>
      <c r="G313" s="5" t="str">
        <f t="shared" si="25"/>
        <v/>
      </c>
      <c r="I313" s="6" t="str">
        <f t="shared" si="26"/>
        <v>0</v>
      </c>
      <c r="K313" s="19" t="s">
        <v>5731</v>
      </c>
    </row>
    <row r="314" spans="1:11" x14ac:dyDescent="0.2">
      <c r="A314" t="s">
        <v>415</v>
      </c>
      <c r="B314" t="s">
        <v>5732</v>
      </c>
      <c r="G314" s="5" t="str">
        <f t="shared" si="25"/>
        <v/>
      </c>
      <c r="I314" s="6" t="str">
        <f t="shared" si="26"/>
        <v>0</v>
      </c>
      <c r="K314" s="19" t="s">
        <v>5733</v>
      </c>
    </row>
    <row r="315" spans="1:11" x14ac:dyDescent="0.2">
      <c r="A315" t="s">
        <v>416</v>
      </c>
      <c r="B315" t="s">
        <v>5734</v>
      </c>
      <c r="G315" s="5" t="str">
        <f t="shared" si="25"/>
        <v/>
      </c>
      <c r="I315" s="6" t="str">
        <f t="shared" si="26"/>
        <v>0</v>
      </c>
      <c r="K315" s="19" t="s">
        <v>5735</v>
      </c>
    </row>
    <row r="316" spans="1:11" x14ac:dyDescent="0.2">
      <c r="A316" t="s">
        <v>417</v>
      </c>
      <c r="B316" t="s">
        <v>6383</v>
      </c>
      <c r="G316" s="5" t="str">
        <f t="shared" si="25"/>
        <v/>
      </c>
      <c r="I316" s="6" t="str">
        <f t="shared" si="26"/>
        <v>0</v>
      </c>
    </row>
    <row r="317" spans="1:11" x14ac:dyDescent="0.2">
      <c r="A317" t="s">
        <v>418</v>
      </c>
      <c r="B317" t="s">
        <v>6384</v>
      </c>
      <c r="G317" s="5" t="str">
        <f t="shared" si="25"/>
        <v/>
      </c>
      <c r="I317" s="6" t="str">
        <f t="shared" si="26"/>
        <v>0</v>
      </c>
      <c r="K317" s="19" t="s">
        <v>7264</v>
      </c>
    </row>
    <row r="318" spans="1:11" x14ac:dyDescent="0.2">
      <c r="A318" t="s">
        <v>419</v>
      </c>
      <c r="B318" t="s">
        <v>6385</v>
      </c>
      <c r="G318" s="5" t="str">
        <f t="shared" si="25"/>
        <v/>
      </c>
      <c r="I318" s="6" t="str">
        <f t="shared" si="26"/>
        <v>0</v>
      </c>
      <c r="K318" s="19" t="s">
        <v>7265</v>
      </c>
    </row>
    <row r="319" spans="1:11" x14ac:dyDescent="0.2">
      <c r="A319" t="s">
        <v>420</v>
      </c>
      <c r="B319" t="s">
        <v>5736</v>
      </c>
      <c r="G319" s="5" t="str">
        <f t="shared" si="25"/>
        <v/>
      </c>
      <c r="I319" s="6" t="str">
        <f t="shared" si="26"/>
        <v>0</v>
      </c>
      <c r="K319" s="19" t="s">
        <v>5737</v>
      </c>
    </row>
    <row r="320" spans="1:11" x14ac:dyDescent="0.2">
      <c r="A320" t="s">
        <v>421</v>
      </c>
      <c r="B320" t="s">
        <v>6386</v>
      </c>
      <c r="G320" s="5" t="str">
        <f t="shared" si="25"/>
        <v/>
      </c>
      <c r="I320" s="6" t="str">
        <f t="shared" si="26"/>
        <v>0</v>
      </c>
    </row>
    <row r="321" spans="1:11" x14ac:dyDescent="0.2">
      <c r="A321" t="s">
        <v>422</v>
      </c>
      <c r="B321" t="s">
        <v>5738</v>
      </c>
      <c r="G321" s="5" t="str">
        <f t="shared" ref="G321:G384" si="29">IF(F321&lt;&gt;"",HEX2DEC(SUBSTITUTE(SUBSTITUTE(F321,"adrEA",""),"$","")),"")</f>
        <v/>
      </c>
      <c r="I321" s="6" t="str">
        <f t="shared" ref="I321:I384" si="30">IFERROR(DEC2HEX(H321),"")</f>
        <v>0</v>
      </c>
      <c r="K321" s="19" t="s">
        <v>5739</v>
      </c>
    </row>
    <row r="322" spans="1:11" x14ac:dyDescent="0.2">
      <c r="A322" t="s">
        <v>423</v>
      </c>
      <c r="B322" t="s">
        <v>6387</v>
      </c>
      <c r="G322" s="5" t="str">
        <f t="shared" si="29"/>
        <v/>
      </c>
      <c r="I322" s="6" t="str">
        <f t="shared" si="30"/>
        <v>0</v>
      </c>
    </row>
    <row r="323" spans="1:11" x14ac:dyDescent="0.2">
      <c r="A323" t="s">
        <v>424</v>
      </c>
      <c r="B323" t="s">
        <v>6388</v>
      </c>
      <c r="G323" s="5" t="str">
        <f t="shared" si="29"/>
        <v/>
      </c>
      <c r="I323" s="6" t="str">
        <f t="shared" si="30"/>
        <v>0</v>
      </c>
    </row>
    <row r="324" spans="1:11" x14ac:dyDescent="0.2">
      <c r="A324" t="s">
        <v>425</v>
      </c>
      <c r="B324" t="s">
        <v>6389</v>
      </c>
      <c r="G324" s="5" t="str">
        <f t="shared" si="29"/>
        <v/>
      </c>
      <c r="I324" s="6" t="str">
        <f t="shared" si="30"/>
        <v>0</v>
      </c>
    </row>
    <row r="325" spans="1:11" x14ac:dyDescent="0.2">
      <c r="A325" t="s">
        <v>426</v>
      </c>
      <c r="B325" t="s">
        <v>5740</v>
      </c>
      <c r="G325" s="5" t="str">
        <f t="shared" si="29"/>
        <v/>
      </c>
      <c r="I325" s="6" t="str">
        <f t="shared" si="30"/>
        <v>0</v>
      </c>
      <c r="K325" s="19" t="s">
        <v>5741</v>
      </c>
    </row>
    <row r="326" spans="1:11" x14ac:dyDescent="0.2">
      <c r="A326" t="s">
        <v>427</v>
      </c>
      <c r="B326" t="s">
        <v>6390</v>
      </c>
      <c r="G326" s="5" t="str">
        <f t="shared" si="29"/>
        <v/>
      </c>
      <c r="I326" s="6" t="str">
        <f t="shared" si="30"/>
        <v>0</v>
      </c>
    </row>
    <row r="327" spans="1:11" x14ac:dyDescent="0.2">
      <c r="A327" t="s">
        <v>428</v>
      </c>
      <c r="B327" t="s">
        <v>6122</v>
      </c>
      <c r="G327" s="5" t="str">
        <f t="shared" si="29"/>
        <v/>
      </c>
      <c r="I327" s="6" t="str">
        <f t="shared" si="30"/>
        <v>0</v>
      </c>
      <c r="K327" s="19" t="s">
        <v>6123</v>
      </c>
    </row>
    <row r="328" spans="1:11" x14ac:dyDescent="0.2">
      <c r="A328" t="s">
        <v>429</v>
      </c>
      <c r="B328" t="s">
        <v>5742</v>
      </c>
      <c r="G328" s="5" t="str">
        <f t="shared" si="29"/>
        <v/>
      </c>
      <c r="I328" s="6" t="str">
        <f t="shared" si="30"/>
        <v>0</v>
      </c>
      <c r="K328" s="19" t="s">
        <v>5743</v>
      </c>
    </row>
    <row r="329" spans="1:11" x14ac:dyDescent="0.2">
      <c r="A329" t="s">
        <v>430</v>
      </c>
      <c r="B329" t="s">
        <v>6391</v>
      </c>
      <c r="G329" s="5" t="str">
        <f t="shared" si="29"/>
        <v/>
      </c>
      <c r="I329" s="6" t="str">
        <f t="shared" si="30"/>
        <v>0</v>
      </c>
    </row>
    <row r="330" spans="1:11" x14ac:dyDescent="0.2">
      <c r="A330" t="s">
        <v>431</v>
      </c>
      <c r="B330" t="s">
        <v>6124</v>
      </c>
      <c r="G330" s="5" t="str">
        <f t="shared" si="29"/>
        <v/>
      </c>
      <c r="I330" s="6" t="str">
        <f t="shared" si="30"/>
        <v>0</v>
      </c>
      <c r="K330" s="19" t="s">
        <v>6125</v>
      </c>
    </row>
    <row r="331" spans="1:11" x14ac:dyDescent="0.2">
      <c r="A331" t="s">
        <v>432</v>
      </c>
      <c r="B331" t="s">
        <v>6392</v>
      </c>
      <c r="G331" s="5" t="str">
        <f t="shared" si="29"/>
        <v/>
      </c>
      <c r="I331" s="6" t="str">
        <f t="shared" si="30"/>
        <v>0</v>
      </c>
    </row>
    <row r="332" spans="1:11" x14ac:dyDescent="0.2">
      <c r="A332" t="s">
        <v>433</v>
      </c>
      <c r="B332" t="s">
        <v>6126</v>
      </c>
      <c r="G332" s="5" t="str">
        <f t="shared" si="29"/>
        <v/>
      </c>
      <c r="I332" s="6" t="str">
        <f t="shared" si="30"/>
        <v>0</v>
      </c>
      <c r="K332" s="19" t="s">
        <v>6127</v>
      </c>
    </row>
    <row r="333" spans="1:11" x14ac:dyDescent="0.2">
      <c r="A333" t="s">
        <v>434</v>
      </c>
      <c r="B333" t="s">
        <v>6393</v>
      </c>
      <c r="G333" s="5" t="str">
        <f t="shared" si="29"/>
        <v/>
      </c>
      <c r="I333" s="6" t="str">
        <f t="shared" si="30"/>
        <v>0</v>
      </c>
    </row>
    <row r="334" spans="1:11" x14ac:dyDescent="0.2">
      <c r="A334" t="s">
        <v>435</v>
      </c>
      <c r="B334" t="s">
        <v>6128</v>
      </c>
      <c r="G334" s="5" t="str">
        <f t="shared" si="29"/>
        <v/>
      </c>
      <c r="I334" s="6" t="str">
        <f t="shared" si="30"/>
        <v>0</v>
      </c>
      <c r="K334" s="19" t="s">
        <v>6129</v>
      </c>
    </row>
    <row r="335" spans="1:11" x14ac:dyDescent="0.2">
      <c r="A335" t="s">
        <v>436</v>
      </c>
      <c r="B335" t="s">
        <v>5744</v>
      </c>
      <c r="G335" s="5" t="str">
        <f t="shared" si="29"/>
        <v/>
      </c>
      <c r="I335" s="6" t="str">
        <f t="shared" si="30"/>
        <v>0</v>
      </c>
      <c r="K335" s="19" t="s">
        <v>7284</v>
      </c>
    </row>
    <row r="336" spans="1:11" x14ac:dyDescent="0.2">
      <c r="A336" t="s">
        <v>437</v>
      </c>
      <c r="B336" t="s">
        <v>6394</v>
      </c>
      <c r="G336" s="5" t="str">
        <f t="shared" si="29"/>
        <v/>
      </c>
      <c r="I336" s="6" t="str">
        <f t="shared" si="30"/>
        <v>0</v>
      </c>
    </row>
    <row r="337" spans="1:11" x14ac:dyDescent="0.2">
      <c r="A337" t="s">
        <v>438</v>
      </c>
      <c r="B337" t="s">
        <v>6395</v>
      </c>
      <c r="G337" s="5" t="str">
        <f t="shared" si="29"/>
        <v/>
      </c>
      <c r="I337" s="6" t="str">
        <f t="shared" si="30"/>
        <v>0</v>
      </c>
    </row>
    <row r="338" spans="1:11" x14ac:dyDescent="0.2">
      <c r="A338" t="s">
        <v>439</v>
      </c>
      <c r="B338" t="s">
        <v>6396</v>
      </c>
      <c r="G338" s="5" t="str">
        <f t="shared" si="29"/>
        <v/>
      </c>
      <c r="I338" s="6" t="str">
        <f t="shared" si="30"/>
        <v>0</v>
      </c>
    </row>
    <row r="339" spans="1:11" x14ac:dyDescent="0.2">
      <c r="A339" t="s">
        <v>440</v>
      </c>
      <c r="B339" t="s">
        <v>6397</v>
      </c>
      <c r="G339" s="5" t="str">
        <f t="shared" si="29"/>
        <v/>
      </c>
      <c r="I339" s="6" t="str">
        <f t="shared" si="30"/>
        <v>0</v>
      </c>
    </row>
    <row r="340" spans="1:11" x14ac:dyDescent="0.2">
      <c r="A340" t="s">
        <v>441</v>
      </c>
      <c r="B340" t="s">
        <v>6398</v>
      </c>
      <c r="G340" s="5" t="str">
        <f t="shared" si="29"/>
        <v/>
      </c>
      <c r="I340" s="6" t="str">
        <f t="shared" si="30"/>
        <v>0</v>
      </c>
    </row>
    <row r="341" spans="1:11" x14ac:dyDescent="0.2">
      <c r="A341" t="s">
        <v>442</v>
      </c>
      <c r="B341" t="s">
        <v>6399</v>
      </c>
      <c r="G341" s="5" t="str">
        <f t="shared" si="29"/>
        <v/>
      </c>
      <c r="I341" s="6" t="str">
        <f t="shared" si="30"/>
        <v>0</v>
      </c>
      <c r="K341" s="19" t="s">
        <v>7266</v>
      </c>
    </row>
    <row r="342" spans="1:11" x14ac:dyDescent="0.2">
      <c r="A342" t="s">
        <v>443</v>
      </c>
      <c r="B342" t="s">
        <v>5745</v>
      </c>
      <c r="G342" s="5" t="str">
        <f t="shared" si="29"/>
        <v/>
      </c>
      <c r="I342" s="6" t="str">
        <f t="shared" si="30"/>
        <v>0</v>
      </c>
      <c r="K342" s="19" t="s">
        <v>5746</v>
      </c>
    </row>
    <row r="343" spans="1:11" x14ac:dyDescent="0.2">
      <c r="A343" t="s">
        <v>444</v>
      </c>
      <c r="B343" t="s">
        <v>5466</v>
      </c>
      <c r="G343" s="5" t="str">
        <f t="shared" si="29"/>
        <v/>
      </c>
      <c r="I343" s="6" t="str">
        <f t="shared" si="30"/>
        <v>0</v>
      </c>
      <c r="K343" s="19" t="s">
        <v>5467</v>
      </c>
    </row>
    <row r="344" spans="1:11" x14ac:dyDescent="0.2">
      <c r="A344" t="s">
        <v>445</v>
      </c>
      <c r="B344" t="s">
        <v>6400</v>
      </c>
      <c r="G344" s="5" t="str">
        <f t="shared" si="29"/>
        <v/>
      </c>
      <c r="I344" s="6" t="str">
        <f t="shared" si="30"/>
        <v>0</v>
      </c>
    </row>
    <row r="345" spans="1:11" x14ac:dyDescent="0.2">
      <c r="A345" t="s">
        <v>446</v>
      </c>
      <c r="B345" t="s">
        <v>6401</v>
      </c>
      <c r="G345" s="5" t="str">
        <f t="shared" si="29"/>
        <v/>
      </c>
      <c r="I345" s="6" t="str">
        <f t="shared" si="30"/>
        <v>0</v>
      </c>
    </row>
    <row r="346" spans="1:11" x14ac:dyDescent="0.2">
      <c r="A346" t="s">
        <v>447</v>
      </c>
      <c r="B346" t="s">
        <v>6402</v>
      </c>
      <c r="G346" s="5" t="str">
        <f t="shared" si="29"/>
        <v/>
      </c>
      <c r="I346" s="6" t="str">
        <f t="shared" si="30"/>
        <v>0</v>
      </c>
    </row>
    <row r="347" spans="1:11" x14ac:dyDescent="0.2">
      <c r="A347" t="s">
        <v>448</v>
      </c>
      <c r="B347" t="s">
        <v>5468</v>
      </c>
      <c r="G347" s="5" t="str">
        <f t="shared" si="29"/>
        <v/>
      </c>
      <c r="I347" s="6" t="str">
        <f t="shared" si="30"/>
        <v>0</v>
      </c>
      <c r="K347" s="19" t="s">
        <v>7267</v>
      </c>
    </row>
    <row r="348" spans="1:11" x14ac:dyDescent="0.2">
      <c r="A348" t="s">
        <v>449</v>
      </c>
      <c r="B348" t="s">
        <v>6403</v>
      </c>
      <c r="G348" s="5" t="str">
        <f t="shared" si="29"/>
        <v/>
      </c>
      <c r="I348" s="6" t="str">
        <f t="shared" si="30"/>
        <v>0</v>
      </c>
    </row>
    <row r="349" spans="1:11" x14ac:dyDescent="0.2">
      <c r="A349" t="s">
        <v>450</v>
      </c>
      <c r="B349" t="s">
        <v>6404</v>
      </c>
      <c r="G349" s="5" t="str">
        <f t="shared" si="29"/>
        <v/>
      </c>
      <c r="I349" s="6" t="str">
        <f t="shared" si="30"/>
        <v>0</v>
      </c>
    </row>
    <row r="350" spans="1:11" x14ac:dyDescent="0.2">
      <c r="A350" t="s">
        <v>451</v>
      </c>
      <c r="B350" t="s">
        <v>6405</v>
      </c>
      <c r="G350" s="5" t="str">
        <f t="shared" si="29"/>
        <v/>
      </c>
      <c r="I350" s="6" t="str">
        <f t="shared" si="30"/>
        <v>0</v>
      </c>
    </row>
    <row r="351" spans="1:11" x14ac:dyDescent="0.2">
      <c r="A351" t="s">
        <v>452</v>
      </c>
      <c r="B351" t="s">
        <v>6406</v>
      </c>
      <c r="G351" s="5" t="str">
        <f t="shared" si="29"/>
        <v/>
      </c>
      <c r="I351" s="6" t="str">
        <f t="shared" si="30"/>
        <v>0</v>
      </c>
    </row>
    <row r="352" spans="1:11" x14ac:dyDescent="0.2">
      <c r="A352" t="s">
        <v>453</v>
      </c>
      <c r="B352" t="s">
        <v>6407</v>
      </c>
      <c r="G352" s="5" t="str">
        <f t="shared" si="29"/>
        <v/>
      </c>
      <c r="I352" s="6" t="str">
        <f t="shared" si="30"/>
        <v>0</v>
      </c>
    </row>
    <row r="353" spans="1:11" x14ac:dyDescent="0.2">
      <c r="A353" t="s">
        <v>454</v>
      </c>
      <c r="B353" t="s">
        <v>6408</v>
      </c>
      <c r="G353" s="5" t="str">
        <f t="shared" si="29"/>
        <v/>
      </c>
      <c r="I353" s="6" t="str">
        <f t="shared" si="30"/>
        <v>0</v>
      </c>
    </row>
    <row r="354" spans="1:11" x14ac:dyDescent="0.2">
      <c r="A354" t="s">
        <v>455</v>
      </c>
      <c r="B354" t="s">
        <v>6409</v>
      </c>
      <c r="G354" s="5" t="str">
        <f t="shared" si="29"/>
        <v/>
      </c>
      <c r="I354" s="6" t="str">
        <f t="shared" si="30"/>
        <v>0</v>
      </c>
    </row>
    <row r="355" spans="1:11" x14ac:dyDescent="0.2">
      <c r="A355" t="s">
        <v>456</v>
      </c>
      <c r="B355" t="s">
        <v>6410</v>
      </c>
      <c r="G355" s="5" t="str">
        <f t="shared" si="29"/>
        <v/>
      </c>
      <c r="I355" s="6" t="str">
        <f t="shared" si="30"/>
        <v>0</v>
      </c>
    </row>
    <row r="356" spans="1:11" x14ac:dyDescent="0.2">
      <c r="A356" t="s">
        <v>457</v>
      </c>
      <c r="B356" t="s">
        <v>6411</v>
      </c>
      <c r="G356" s="5" t="str">
        <f t="shared" si="29"/>
        <v/>
      </c>
      <c r="I356" s="6" t="str">
        <f t="shared" si="30"/>
        <v>0</v>
      </c>
    </row>
    <row r="357" spans="1:11" x14ac:dyDescent="0.2">
      <c r="A357" t="s">
        <v>458</v>
      </c>
      <c r="B357" t="s">
        <v>6412</v>
      </c>
      <c r="G357" s="5" t="str">
        <f t="shared" si="29"/>
        <v/>
      </c>
      <c r="I357" s="6" t="str">
        <f t="shared" si="30"/>
        <v>0</v>
      </c>
    </row>
    <row r="358" spans="1:11" x14ac:dyDescent="0.2">
      <c r="A358" t="s">
        <v>459</v>
      </c>
      <c r="B358" t="s">
        <v>6413</v>
      </c>
      <c r="G358" s="5" t="str">
        <f t="shared" si="29"/>
        <v/>
      </c>
      <c r="I358" s="6" t="str">
        <f t="shared" si="30"/>
        <v>0</v>
      </c>
    </row>
    <row r="359" spans="1:11" x14ac:dyDescent="0.2">
      <c r="A359" t="s">
        <v>460</v>
      </c>
      <c r="B359" t="s">
        <v>6414</v>
      </c>
      <c r="G359" s="5" t="str">
        <f t="shared" si="29"/>
        <v/>
      </c>
      <c r="I359" s="6" t="str">
        <f t="shared" si="30"/>
        <v>0</v>
      </c>
    </row>
    <row r="360" spans="1:11" x14ac:dyDescent="0.2">
      <c r="A360" t="s">
        <v>461</v>
      </c>
      <c r="B360" t="s">
        <v>5469</v>
      </c>
      <c r="G360" s="5" t="str">
        <f t="shared" si="29"/>
        <v/>
      </c>
      <c r="I360" s="6" t="str">
        <f t="shared" si="30"/>
        <v>0</v>
      </c>
      <c r="K360" s="19" t="s">
        <v>5470</v>
      </c>
    </row>
    <row r="361" spans="1:11" x14ac:dyDescent="0.2">
      <c r="A361" t="s">
        <v>462</v>
      </c>
      <c r="B361" t="s">
        <v>6415</v>
      </c>
      <c r="G361" s="5" t="str">
        <f t="shared" si="29"/>
        <v/>
      </c>
      <c r="I361" s="6" t="str">
        <f t="shared" si="30"/>
        <v>0</v>
      </c>
    </row>
    <row r="362" spans="1:11" x14ac:dyDescent="0.2">
      <c r="A362" t="s">
        <v>463</v>
      </c>
      <c r="B362" t="s">
        <v>6416</v>
      </c>
      <c r="G362" s="5" t="str">
        <f t="shared" si="29"/>
        <v/>
      </c>
      <c r="I362" s="6" t="str">
        <f t="shared" si="30"/>
        <v>0</v>
      </c>
      <c r="K362" s="19" t="s">
        <v>6195</v>
      </c>
    </row>
    <row r="363" spans="1:11" x14ac:dyDescent="0.2">
      <c r="A363" t="s">
        <v>464</v>
      </c>
      <c r="B363" t="s">
        <v>6417</v>
      </c>
      <c r="G363" s="5" t="str">
        <f t="shared" si="29"/>
        <v/>
      </c>
      <c r="I363" s="6" t="str">
        <f t="shared" si="30"/>
        <v>0</v>
      </c>
    </row>
    <row r="364" spans="1:11" x14ac:dyDescent="0.2">
      <c r="A364" t="s">
        <v>465</v>
      </c>
      <c r="B364" t="s">
        <v>6418</v>
      </c>
      <c r="G364" s="5" t="str">
        <f t="shared" si="29"/>
        <v/>
      </c>
      <c r="I364" s="6" t="str">
        <f t="shared" si="30"/>
        <v>0</v>
      </c>
    </row>
    <row r="365" spans="1:11" x14ac:dyDescent="0.2">
      <c r="A365" t="s">
        <v>466</v>
      </c>
      <c r="B365" t="s">
        <v>5471</v>
      </c>
      <c r="G365" s="5" t="str">
        <f t="shared" si="29"/>
        <v/>
      </c>
      <c r="I365" s="6" t="str">
        <f t="shared" si="30"/>
        <v>0</v>
      </c>
      <c r="K365" s="19" t="s">
        <v>5472</v>
      </c>
    </row>
    <row r="366" spans="1:11" x14ac:dyDescent="0.2">
      <c r="A366" t="s">
        <v>467</v>
      </c>
      <c r="B366" t="s">
        <v>6419</v>
      </c>
      <c r="G366" s="5" t="str">
        <f t="shared" si="29"/>
        <v/>
      </c>
      <c r="I366" s="6" t="str">
        <f t="shared" si="30"/>
        <v>0</v>
      </c>
    </row>
    <row r="367" spans="1:11" x14ac:dyDescent="0.2">
      <c r="A367" t="s">
        <v>468</v>
      </c>
      <c r="B367" t="s">
        <v>6420</v>
      </c>
      <c r="G367" s="5" t="str">
        <f t="shared" si="29"/>
        <v/>
      </c>
      <c r="I367" s="6" t="str">
        <f t="shared" si="30"/>
        <v>0</v>
      </c>
    </row>
    <row r="368" spans="1:11" x14ac:dyDescent="0.2">
      <c r="A368" t="s">
        <v>469</v>
      </c>
      <c r="B368" t="s">
        <v>6421</v>
      </c>
      <c r="G368" s="5" t="str">
        <f t="shared" si="29"/>
        <v/>
      </c>
      <c r="I368" s="6" t="str">
        <f t="shared" si="30"/>
        <v>0</v>
      </c>
    </row>
    <row r="369" spans="1:11" x14ac:dyDescent="0.2">
      <c r="A369" t="s">
        <v>470</v>
      </c>
      <c r="B369" t="s">
        <v>5473</v>
      </c>
      <c r="G369" s="5" t="str">
        <f t="shared" si="29"/>
        <v/>
      </c>
      <c r="I369" s="6" t="str">
        <f t="shared" si="30"/>
        <v>0</v>
      </c>
      <c r="K369" s="19" t="s">
        <v>5474</v>
      </c>
    </row>
    <row r="370" spans="1:11" x14ac:dyDescent="0.2">
      <c r="A370" t="s">
        <v>471</v>
      </c>
      <c r="B370" t="s">
        <v>6422</v>
      </c>
      <c r="G370" s="5" t="str">
        <f t="shared" si="29"/>
        <v/>
      </c>
      <c r="I370" s="6" t="str">
        <f t="shared" si="30"/>
        <v>0</v>
      </c>
    </row>
    <row r="371" spans="1:11" x14ac:dyDescent="0.2">
      <c r="A371" t="s">
        <v>472</v>
      </c>
      <c r="B371" t="s">
        <v>6423</v>
      </c>
      <c r="G371" s="5" t="str">
        <f t="shared" si="29"/>
        <v/>
      </c>
      <c r="I371" s="6" t="str">
        <f t="shared" si="30"/>
        <v>0</v>
      </c>
    </row>
    <row r="372" spans="1:11" x14ac:dyDescent="0.2">
      <c r="A372" t="s">
        <v>473</v>
      </c>
      <c r="B372" t="s">
        <v>5475</v>
      </c>
      <c r="G372" s="5" t="str">
        <f t="shared" si="29"/>
        <v/>
      </c>
      <c r="I372" s="6" t="str">
        <f t="shared" si="30"/>
        <v>0</v>
      </c>
      <c r="K372" s="19" t="s">
        <v>5476</v>
      </c>
    </row>
    <row r="373" spans="1:11" x14ac:dyDescent="0.2">
      <c r="A373" t="s">
        <v>474</v>
      </c>
      <c r="B373" t="s">
        <v>6424</v>
      </c>
      <c r="G373" s="5" t="str">
        <f t="shared" si="29"/>
        <v/>
      </c>
      <c r="I373" s="6" t="str">
        <f t="shared" si="30"/>
        <v>0</v>
      </c>
    </row>
    <row r="374" spans="1:11" x14ac:dyDescent="0.2">
      <c r="A374" t="s">
        <v>475</v>
      </c>
      <c r="B374" t="s">
        <v>6425</v>
      </c>
      <c r="G374" s="5" t="str">
        <f t="shared" si="29"/>
        <v/>
      </c>
      <c r="I374" s="6" t="str">
        <f t="shared" si="30"/>
        <v>0</v>
      </c>
      <c r="K374" s="19" t="s">
        <v>6196</v>
      </c>
    </row>
    <row r="375" spans="1:11" x14ac:dyDescent="0.2">
      <c r="A375" t="s">
        <v>476</v>
      </c>
      <c r="B375" t="s">
        <v>6426</v>
      </c>
      <c r="G375" s="5" t="str">
        <f t="shared" si="29"/>
        <v/>
      </c>
      <c r="I375" s="6" t="str">
        <f t="shared" si="30"/>
        <v>0</v>
      </c>
    </row>
    <row r="376" spans="1:11" x14ac:dyDescent="0.2">
      <c r="A376" t="s">
        <v>477</v>
      </c>
      <c r="B376" t="s">
        <v>6427</v>
      </c>
      <c r="G376" s="5" t="str">
        <f t="shared" si="29"/>
        <v/>
      </c>
      <c r="I376" s="6" t="str">
        <f t="shared" si="30"/>
        <v>0</v>
      </c>
    </row>
    <row r="377" spans="1:11" x14ac:dyDescent="0.2">
      <c r="A377" t="s">
        <v>478</v>
      </c>
      <c r="B377" t="s">
        <v>6428</v>
      </c>
      <c r="G377" s="5" t="str">
        <f t="shared" si="29"/>
        <v/>
      </c>
      <c r="I377" s="6" t="str">
        <f t="shared" si="30"/>
        <v>0</v>
      </c>
    </row>
    <row r="378" spans="1:11" x14ac:dyDescent="0.2">
      <c r="A378" t="s">
        <v>479</v>
      </c>
      <c r="B378" t="s">
        <v>6429</v>
      </c>
      <c r="G378" s="5" t="str">
        <f t="shared" si="29"/>
        <v/>
      </c>
      <c r="I378" s="6" t="str">
        <f t="shared" si="30"/>
        <v>0</v>
      </c>
    </row>
    <row r="379" spans="1:11" x14ac:dyDescent="0.2">
      <c r="A379" t="s">
        <v>480</v>
      </c>
      <c r="B379" t="s">
        <v>6430</v>
      </c>
      <c r="G379" s="5" t="str">
        <f t="shared" si="29"/>
        <v/>
      </c>
      <c r="I379" s="6" t="str">
        <f t="shared" si="30"/>
        <v>0</v>
      </c>
    </row>
    <row r="380" spans="1:11" x14ac:dyDescent="0.2">
      <c r="A380" t="s">
        <v>481</v>
      </c>
      <c r="B380" t="s">
        <v>6431</v>
      </c>
      <c r="G380" s="5" t="str">
        <f t="shared" si="29"/>
        <v/>
      </c>
      <c r="I380" s="6" t="str">
        <f t="shared" si="30"/>
        <v>0</v>
      </c>
      <c r="K380" s="19" t="s">
        <v>6197</v>
      </c>
    </row>
    <row r="381" spans="1:11" x14ac:dyDescent="0.2">
      <c r="A381" t="s">
        <v>482</v>
      </c>
      <c r="B381" t="s">
        <v>6432</v>
      </c>
      <c r="G381" s="5" t="str">
        <f t="shared" si="29"/>
        <v/>
      </c>
      <c r="I381" s="6" t="str">
        <f t="shared" si="30"/>
        <v>0</v>
      </c>
    </row>
    <row r="382" spans="1:11" x14ac:dyDescent="0.2">
      <c r="A382" t="s">
        <v>483</v>
      </c>
      <c r="B382" t="s">
        <v>5477</v>
      </c>
      <c r="G382" s="5" t="str">
        <f t="shared" si="29"/>
        <v/>
      </c>
      <c r="I382" s="6" t="str">
        <f t="shared" si="30"/>
        <v>0</v>
      </c>
      <c r="K382" s="19" t="s">
        <v>5478</v>
      </c>
    </row>
    <row r="383" spans="1:11" x14ac:dyDescent="0.2">
      <c r="A383" t="s">
        <v>484</v>
      </c>
      <c r="B383" t="s">
        <v>6433</v>
      </c>
      <c r="G383" s="5" t="str">
        <f t="shared" si="29"/>
        <v/>
      </c>
      <c r="I383" s="6" t="str">
        <f t="shared" si="30"/>
        <v>0</v>
      </c>
    </row>
    <row r="384" spans="1:11" x14ac:dyDescent="0.2">
      <c r="A384" t="s">
        <v>485</v>
      </c>
      <c r="B384" t="s">
        <v>6434</v>
      </c>
      <c r="G384" s="5" t="str">
        <f t="shared" si="29"/>
        <v/>
      </c>
      <c r="I384" s="6" t="str">
        <f t="shared" si="30"/>
        <v>0</v>
      </c>
    </row>
    <row r="385" spans="1:11" x14ac:dyDescent="0.2">
      <c r="A385" t="s">
        <v>486</v>
      </c>
      <c r="B385" t="s">
        <v>6435</v>
      </c>
      <c r="G385" s="5" t="str">
        <f t="shared" ref="G385:G448" si="31">IF(F385&lt;&gt;"",HEX2DEC(SUBSTITUTE(SUBSTITUTE(F385,"adrEA",""),"$","")),"")</f>
        <v/>
      </c>
      <c r="I385" s="6" t="str">
        <f t="shared" ref="I385:I448" si="32">IFERROR(DEC2HEX(H385),"")</f>
        <v>0</v>
      </c>
    </row>
    <row r="386" spans="1:11" x14ac:dyDescent="0.2">
      <c r="A386" t="s">
        <v>487</v>
      </c>
      <c r="B386" t="s">
        <v>6436</v>
      </c>
      <c r="G386" s="5" t="str">
        <f t="shared" si="31"/>
        <v/>
      </c>
      <c r="I386" s="6" t="str">
        <f t="shared" si="32"/>
        <v>0</v>
      </c>
      <c r="K386" s="19" t="s">
        <v>6198</v>
      </c>
    </row>
    <row r="387" spans="1:11" x14ac:dyDescent="0.2">
      <c r="A387" t="s">
        <v>488</v>
      </c>
      <c r="B387" t="s">
        <v>6437</v>
      </c>
      <c r="G387" s="5" t="str">
        <f t="shared" si="31"/>
        <v/>
      </c>
      <c r="I387" s="6" t="str">
        <f t="shared" si="32"/>
        <v>0</v>
      </c>
    </row>
    <row r="388" spans="1:11" x14ac:dyDescent="0.2">
      <c r="A388" t="s">
        <v>489</v>
      </c>
      <c r="B388" t="s">
        <v>5445</v>
      </c>
      <c r="G388" s="5" t="str">
        <f t="shared" si="31"/>
        <v/>
      </c>
      <c r="I388" s="6" t="str">
        <f t="shared" si="32"/>
        <v>0</v>
      </c>
      <c r="K388" s="19" t="s">
        <v>5446</v>
      </c>
    </row>
    <row r="389" spans="1:11" x14ac:dyDescent="0.2">
      <c r="A389" t="s">
        <v>490</v>
      </c>
      <c r="B389" t="s">
        <v>6438</v>
      </c>
      <c r="G389" s="5" t="str">
        <f t="shared" si="31"/>
        <v/>
      </c>
      <c r="I389" s="6" t="str">
        <f t="shared" si="32"/>
        <v>0</v>
      </c>
    </row>
    <row r="390" spans="1:11" x14ac:dyDescent="0.2">
      <c r="A390" t="s">
        <v>491</v>
      </c>
      <c r="B390" t="s">
        <v>6439</v>
      </c>
      <c r="G390" s="5" t="str">
        <f t="shared" si="31"/>
        <v/>
      </c>
      <c r="I390" s="6" t="str">
        <f t="shared" si="32"/>
        <v>0</v>
      </c>
    </row>
    <row r="391" spans="1:11" x14ac:dyDescent="0.2">
      <c r="A391" t="s">
        <v>492</v>
      </c>
      <c r="B391" t="s">
        <v>6440</v>
      </c>
      <c r="G391" s="5" t="str">
        <f t="shared" si="31"/>
        <v/>
      </c>
      <c r="I391" s="6" t="str">
        <f t="shared" si="32"/>
        <v>0</v>
      </c>
    </row>
    <row r="392" spans="1:11" x14ac:dyDescent="0.2">
      <c r="A392" t="s">
        <v>493</v>
      </c>
      <c r="B392" t="s">
        <v>5747</v>
      </c>
      <c r="G392" s="5" t="str">
        <f t="shared" si="31"/>
        <v/>
      </c>
      <c r="I392" s="6" t="str">
        <f t="shared" si="32"/>
        <v>0</v>
      </c>
      <c r="K392" s="19" t="s">
        <v>5748</v>
      </c>
    </row>
    <row r="393" spans="1:11" x14ac:dyDescent="0.2">
      <c r="A393" t="s">
        <v>494</v>
      </c>
      <c r="B393" t="s">
        <v>5749</v>
      </c>
      <c r="G393" s="5" t="str">
        <f t="shared" si="31"/>
        <v/>
      </c>
      <c r="I393" s="6" t="str">
        <f t="shared" si="32"/>
        <v>0</v>
      </c>
      <c r="K393" s="19" t="s">
        <v>5750</v>
      </c>
    </row>
    <row r="394" spans="1:11" x14ac:dyDescent="0.2">
      <c r="A394" t="s">
        <v>495</v>
      </c>
      <c r="B394" t="s">
        <v>5479</v>
      </c>
      <c r="G394" s="5" t="str">
        <f t="shared" si="31"/>
        <v/>
      </c>
      <c r="I394" s="6" t="str">
        <f t="shared" si="32"/>
        <v>0</v>
      </c>
      <c r="K394" s="19" t="s">
        <v>7268</v>
      </c>
    </row>
    <row r="395" spans="1:11" x14ac:dyDescent="0.2">
      <c r="A395" t="s">
        <v>496</v>
      </c>
      <c r="B395" t="s">
        <v>5480</v>
      </c>
      <c r="G395" s="5" t="str">
        <f t="shared" si="31"/>
        <v/>
      </c>
      <c r="I395" s="6" t="str">
        <f t="shared" si="32"/>
        <v>0</v>
      </c>
      <c r="K395" s="19" t="s">
        <v>5481</v>
      </c>
    </row>
    <row r="396" spans="1:11" x14ac:dyDescent="0.2">
      <c r="A396" t="s">
        <v>497</v>
      </c>
      <c r="B396" t="s">
        <v>6441</v>
      </c>
      <c r="G396" s="5" t="str">
        <f t="shared" si="31"/>
        <v/>
      </c>
      <c r="I396" s="6" t="str">
        <f t="shared" si="32"/>
        <v>0</v>
      </c>
    </row>
    <row r="397" spans="1:11" x14ac:dyDescent="0.2">
      <c r="A397" t="s">
        <v>498</v>
      </c>
      <c r="B397" t="s">
        <v>6442</v>
      </c>
      <c r="G397" s="5" t="str">
        <f t="shared" si="31"/>
        <v/>
      </c>
      <c r="I397" s="6" t="str">
        <f t="shared" si="32"/>
        <v>0</v>
      </c>
      <c r="K397" s="19" t="s">
        <v>6199</v>
      </c>
    </row>
    <row r="398" spans="1:11" x14ac:dyDescent="0.2">
      <c r="A398" t="s">
        <v>499</v>
      </c>
      <c r="B398" t="s">
        <v>6443</v>
      </c>
      <c r="G398" s="5" t="str">
        <f t="shared" si="31"/>
        <v/>
      </c>
      <c r="I398" s="6" t="str">
        <f t="shared" si="32"/>
        <v>0</v>
      </c>
    </row>
    <row r="399" spans="1:11" x14ac:dyDescent="0.2">
      <c r="A399" t="s">
        <v>500</v>
      </c>
      <c r="B399" t="s">
        <v>6444</v>
      </c>
      <c r="G399" s="5" t="str">
        <f t="shared" si="31"/>
        <v/>
      </c>
      <c r="I399" s="6" t="str">
        <f t="shared" si="32"/>
        <v>0</v>
      </c>
    </row>
    <row r="400" spans="1:11" x14ac:dyDescent="0.2">
      <c r="A400" t="s">
        <v>501</v>
      </c>
      <c r="B400" t="s">
        <v>6445</v>
      </c>
      <c r="G400" s="5" t="str">
        <f t="shared" si="31"/>
        <v/>
      </c>
      <c r="I400" s="6" t="str">
        <f t="shared" si="32"/>
        <v>0</v>
      </c>
    </row>
    <row r="401" spans="1:11" x14ac:dyDescent="0.2">
      <c r="A401" t="s">
        <v>502</v>
      </c>
      <c r="B401" t="s">
        <v>6446</v>
      </c>
      <c r="G401" s="5" t="str">
        <f t="shared" si="31"/>
        <v/>
      </c>
      <c r="I401" s="6" t="str">
        <f t="shared" si="32"/>
        <v>0</v>
      </c>
    </row>
    <row r="402" spans="1:11" x14ac:dyDescent="0.2">
      <c r="A402" t="s">
        <v>503</v>
      </c>
      <c r="B402" t="s">
        <v>6447</v>
      </c>
      <c r="G402" s="5" t="str">
        <f t="shared" si="31"/>
        <v/>
      </c>
      <c r="I402" s="6" t="str">
        <f t="shared" si="32"/>
        <v>0</v>
      </c>
    </row>
    <row r="403" spans="1:11" x14ac:dyDescent="0.2">
      <c r="A403" t="s">
        <v>504</v>
      </c>
      <c r="B403" t="s">
        <v>6448</v>
      </c>
      <c r="G403" s="5" t="str">
        <f t="shared" si="31"/>
        <v/>
      </c>
      <c r="I403" s="6" t="str">
        <f t="shared" si="32"/>
        <v>0</v>
      </c>
    </row>
    <row r="404" spans="1:11" x14ac:dyDescent="0.2">
      <c r="A404" t="s">
        <v>505</v>
      </c>
      <c r="B404" t="s">
        <v>6449</v>
      </c>
      <c r="G404" s="5" t="str">
        <f t="shared" si="31"/>
        <v/>
      </c>
      <c r="I404" s="6" t="str">
        <f t="shared" si="32"/>
        <v>0</v>
      </c>
    </row>
    <row r="405" spans="1:11" x14ac:dyDescent="0.2">
      <c r="A405" t="s">
        <v>506</v>
      </c>
      <c r="B405" t="s">
        <v>5441</v>
      </c>
      <c r="G405" s="5" t="str">
        <f t="shared" si="31"/>
        <v/>
      </c>
      <c r="I405" s="6" t="str">
        <f t="shared" si="32"/>
        <v>0</v>
      </c>
      <c r="K405" s="19" t="s">
        <v>5442</v>
      </c>
    </row>
    <row r="406" spans="1:11" x14ac:dyDescent="0.2">
      <c r="A406" t="s">
        <v>507</v>
      </c>
      <c r="B406" t="s">
        <v>6450</v>
      </c>
      <c r="G406" s="5" t="str">
        <f t="shared" si="31"/>
        <v/>
      </c>
      <c r="I406" s="6" t="str">
        <f t="shared" si="32"/>
        <v>0</v>
      </c>
    </row>
    <row r="407" spans="1:11" x14ac:dyDescent="0.2">
      <c r="A407" t="s">
        <v>508</v>
      </c>
      <c r="B407" t="s">
        <v>6451</v>
      </c>
      <c r="G407" s="5" t="str">
        <f t="shared" si="31"/>
        <v/>
      </c>
      <c r="I407" s="6" t="str">
        <f t="shared" si="32"/>
        <v>0</v>
      </c>
    </row>
    <row r="408" spans="1:11" x14ac:dyDescent="0.2">
      <c r="A408" t="s">
        <v>509</v>
      </c>
      <c r="B408" t="s">
        <v>6003</v>
      </c>
      <c r="G408" s="5" t="str">
        <f t="shared" si="31"/>
        <v/>
      </c>
      <c r="I408" s="6" t="str">
        <f t="shared" si="32"/>
        <v>0</v>
      </c>
      <c r="K408" s="19" t="s">
        <v>7269</v>
      </c>
    </row>
    <row r="409" spans="1:11" x14ac:dyDescent="0.2">
      <c r="A409" t="s">
        <v>510</v>
      </c>
      <c r="B409" t="s">
        <v>6004</v>
      </c>
      <c r="G409" s="5" t="str">
        <f t="shared" si="31"/>
        <v/>
      </c>
      <c r="I409" s="6" t="str">
        <f t="shared" si="32"/>
        <v>0</v>
      </c>
      <c r="K409" s="19" t="s">
        <v>6005</v>
      </c>
    </row>
    <row r="410" spans="1:11" x14ac:dyDescent="0.2">
      <c r="A410" t="s">
        <v>511</v>
      </c>
      <c r="B410" t="s">
        <v>6006</v>
      </c>
      <c r="G410" s="5" t="str">
        <f t="shared" si="31"/>
        <v/>
      </c>
      <c r="I410" s="6" t="str">
        <f t="shared" si="32"/>
        <v>0</v>
      </c>
      <c r="K410" s="19" t="s">
        <v>7270</v>
      </c>
    </row>
    <row r="411" spans="1:11" x14ac:dyDescent="0.2">
      <c r="A411" t="s">
        <v>512</v>
      </c>
      <c r="B411" t="s">
        <v>6007</v>
      </c>
      <c r="G411" s="5" t="str">
        <f t="shared" si="31"/>
        <v/>
      </c>
      <c r="I411" s="6" t="str">
        <f t="shared" si="32"/>
        <v>0</v>
      </c>
      <c r="K411" s="19" t="s">
        <v>6008</v>
      </c>
    </row>
    <row r="412" spans="1:11" x14ac:dyDescent="0.2">
      <c r="A412" t="s">
        <v>513</v>
      </c>
      <c r="B412" t="s">
        <v>3283</v>
      </c>
      <c r="G412" s="5" t="str">
        <f t="shared" si="31"/>
        <v/>
      </c>
      <c r="I412" s="6" t="str">
        <f t="shared" si="32"/>
        <v>0</v>
      </c>
      <c r="K412" s="19" t="s">
        <v>6009</v>
      </c>
    </row>
    <row r="413" spans="1:11" x14ac:dyDescent="0.2">
      <c r="A413" t="s">
        <v>514</v>
      </c>
      <c r="B413" t="s">
        <v>3287</v>
      </c>
      <c r="G413" s="5" t="str">
        <f t="shared" si="31"/>
        <v/>
      </c>
      <c r="I413" s="6" t="str">
        <f t="shared" si="32"/>
        <v>0</v>
      </c>
      <c r="K413" s="19" t="s">
        <v>6010</v>
      </c>
    </row>
    <row r="414" spans="1:11" x14ac:dyDescent="0.2">
      <c r="A414" t="s">
        <v>515</v>
      </c>
      <c r="B414" t="s">
        <v>3259</v>
      </c>
      <c r="C414" s="5" t="s">
        <v>48</v>
      </c>
      <c r="D414" t="s">
        <v>6011</v>
      </c>
      <c r="E414" t="str">
        <f t="shared" ref="E414" si="33">IF(D414&lt;&gt;"",C414&amp;"/"&amp;D414,"")</f>
        <v>data/monsters.spellbook.lookup</v>
      </c>
      <c r="F414" s="5" t="s">
        <v>3260</v>
      </c>
      <c r="G414" s="5">
        <f t="shared" si="31"/>
        <v>4674</v>
      </c>
      <c r="H414" s="5">
        <v>16</v>
      </c>
      <c r="I414" s="6" t="str">
        <f t="shared" si="32"/>
        <v>10</v>
      </c>
      <c r="J414" s="6" t="s">
        <v>3409</v>
      </c>
      <c r="K414" s="19" t="s">
        <v>6012</v>
      </c>
    </row>
    <row r="415" spans="1:11" x14ac:dyDescent="0.2">
      <c r="A415" t="s">
        <v>516</v>
      </c>
      <c r="B415" t="s">
        <v>3285</v>
      </c>
      <c r="G415" s="5" t="str">
        <f t="shared" si="31"/>
        <v/>
      </c>
      <c r="I415" s="6" t="str">
        <f t="shared" si="32"/>
        <v>0</v>
      </c>
      <c r="K415" s="19" t="s">
        <v>6013</v>
      </c>
    </row>
    <row r="416" spans="1:11" x14ac:dyDescent="0.2">
      <c r="A416" t="s">
        <v>517</v>
      </c>
      <c r="B416" t="s">
        <v>6014</v>
      </c>
      <c r="G416" s="5" t="str">
        <f t="shared" si="31"/>
        <v/>
      </c>
      <c r="I416" s="6" t="str">
        <f t="shared" si="32"/>
        <v>0</v>
      </c>
      <c r="K416" s="19" t="s">
        <v>6015</v>
      </c>
    </row>
    <row r="417" spans="1:11" x14ac:dyDescent="0.2">
      <c r="A417" t="s">
        <v>518</v>
      </c>
      <c r="B417" t="s">
        <v>6016</v>
      </c>
      <c r="G417" s="5" t="str">
        <f t="shared" si="31"/>
        <v/>
      </c>
      <c r="I417" s="6" t="str">
        <f t="shared" si="32"/>
        <v>0</v>
      </c>
      <c r="K417" s="19" t="s">
        <v>6017</v>
      </c>
    </row>
    <row r="418" spans="1:11" x14ac:dyDescent="0.2">
      <c r="A418" t="s">
        <v>519</v>
      </c>
      <c r="B418" t="s">
        <v>6018</v>
      </c>
      <c r="G418" s="5" t="str">
        <f t="shared" si="31"/>
        <v/>
      </c>
      <c r="I418" s="6" t="str">
        <f t="shared" si="32"/>
        <v>0</v>
      </c>
      <c r="K418" s="19" t="s">
        <v>6019</v>
      </c>
    </row>
    <row r="419" spans="1:11" x14ac:dyDescent="0.2">
      <c r="A419" t="s">
        <v>520</v>
      </c>
      <c r="B419" t="s">
        <v>3288</v>
      </c>
      <c r="G419" s="5" t="str">
        <f t="shared" si="31"/>
        <v/>
      </c>
      <c r="I419" s="6" t="str">
        <f t="shared" si="32"/>
        <v>0</v>
      </c>
      <c r="K419" s="19" t="s">
        <v>6020</v>
      </c>
    </row>
    <row r="420" spans="1:11" x14ac:dyDescent="0.2">
      <c r="A420" t="s">
        <v>521</v>
      </c>
      <c r="B420" t="s">
        <v>3284</v>
      </c>
      <c r="G420" s="5" t="str">
        <f t="shared" si="31"/>
        <v/>
      </c>
      <c r="I420" s="6" t="str">
        <f t="shared" si="32"/>
        <v>0</v>
      </c>
      <c r="K420" s="19" t="s">
        <v>6021</v>
      </c>
    </row>
    <row r="421" spans="1:11" x14ac:dyDescent="0.2">
      <c r="A421" t="s">
        <v>522</v>
      </c>
      <c r="B421" t="s">
        <v>6022</v>
      </c>
      <c r="G421" s="5" t="str">
        <f t="shared" si="31"/>
        <v/>
      </c>
      <c r="I421" s="6" t="str">
        <f t="shared" si="32"/>
        <v>0</v>
      </c>
      <c r="K421" s="19" t="s">
        <v>6023</v>
      </c>
    </row>
    <row r="422" spans="1:11" x14ac:dyDescent="0.2">
      <c r="A422" t="s">
        <v>523</v>
      </c>
      <c r="B422" t="s">
        <v>6024</v>
      </c>
      <c r="G422" s="5" t="str">
        <f t="shared" si="31"/>
        <v/>
      </c>
      <c r="I422" s="6" t="str">
        <f t="shared" si="32"/>
        <v>0</v>
      </c>
      <c r="K422" s="19" t="s">
        <v>6025</v>
      </c>
    </row>
    <row r="423" spans="1:11" x14ac:dyDescent="0.2">
      <c r="A423" t="s">
        <v>524</v>
      </c>
      <c r="B423" t="s">
        <v>6026</v>
      </c>
      <c r="G423" s="5" t="str">
        <f t="shared" si="31"/>
        <v/>
      </c>
      <c r="I423" s="6" t="str">
        <f t="shared" si="32"/>
        <v>0</v>
      </c>
      <c r="K423" s="19" t="s">
        <v>6027</v>
      </c>
    </row>
    <row r="424" spans="1:11" x14ac:dyDescent="0.2">
      <c r="A424" t="s">
        <v>525</v>
      </c>
      <c r="B424" t="s">
        <v>6028</v>
      </c>
      <c r="G424" s="5" t="str">
        <f t="shared" si="31"/>
        <v/>
      </c>
      <c r="I424" s="6" t="str">
        <f t="shared" si="32"/>
        <v>0</v>
      </c>
      <c r="K424" s="19" t="s">
        <v>6029</v>
      </c>
    </row>
    <row r="425" spans="1:11" x14ac:dyDescent="0.2">
      <c r="A425" t="s">
        <v>526</v>
      </c>
      <c r="B425" t="s">
        <v>6030</v>
      </c>
      <c r="G425" s="5" t="str">
        <f t="shared" si="31"/>
        <v/>
      </c>
      <c r="I425" s="6" t="str">
        <f t="shared" si="32"/>
        <v>0</v>
      </c>
      <c r="K425" s="19" t="s">
        <v>6031</v>
      </c>
    </row>
    <row r="426" spans="1:11" x14ac:dyDescent="0.2">
      <c r="A426" t="s">
        <v>527</v>
      </c>
      <c r="B426" t="s">
        <v>6032</v>
      </c>
      <c r="G426" s="5" t="str">
        <f t="shared" si="31"/>
        <v/>
      </c>
      <c r="I426" s="6" t="str">
        <f t="shared" si="32"/>
        <v>0</v>
      </c>
      <c r="K426" s="19" t="s">
        <v>6033</v>
      </c>
    </row>
    <row r="427" spans="1:11" x14ac:dyDescent="0.2">
      <c r="A427" t="s">
        <v>528</v>
      </c>
      <c r="B427" t="s">
        <v>6034</v>
      </c>
      <c r="G427" s="5" t="str">
        <f t="shared" si="31"/>
        <v/>
      </c>
      <c r="I427" s="6" t="str">
        <f t="shared" si="32"/>
        <v>0</v>
      </c>
      <c r="K427" s="19" t="s">
        <v>7271</v>
      </c>
    </row>
    <row r="428" spans="1:11" x14ac:dyDescent="0.2">
      <c r="A428" t="s">
        <v>529</v>
      </c>
      <c r="B428" t="s">
        <v>6035</v>
      </c>
      <c r="G428" s="5" t="str">
        <f t="shared" si="31"/>
        <v/>
      </c>
      <c r="I428" s="6" t="str">
        <f t="shared" si="32"/>
        <v>0</v>
      </c>
      <c r="K428" s="19" t="s">
        <v>6036</v>
      </c>
    </row>
    <row r="429" spans="1:11" x14ac:dyDescent="0.2">
      <c r="A429" t="s">
        <v>530</v>
      </c>
      <c r="B429" t="s">
        <v>3286</v>
      </c>
      <c r="G429" s="5" t="str">
        <f t="shared" si="31"/>
        <v/>
      </c>
      <c r="I429" s="6" t="str">
        <f t="shared" si="32"/>
        <v>0</v>
      </c>
      <c r="K429" s="19" t="s">
        <v>6037</v>
      </c>
    </row>
    <row r="430" spans="1:11" x14ac:dyDescent="0.2">
      <c r="A430" t="s">
        <v>531</v>
      </c>
      <c r="B430" t="s">
        <v>5707</v>
      </c>
      <c r="G430" s="5" t="str">
        <f t="shared" si="31"/>
        <v/>
      </c>
      <c r="I430" s="6" t="str">
        <f t="shared" si="32"/>
        <v>0</v>
      </c>
      <c r="K430" s="19" t="s">
        <v>6038</v>
      </c>
    </row>
    <row r="431" spans="1:11" x14ac:dyDescent="0.2">
      <c r="A431" t="s">
        <v>532</v>
      </c>
      <c r="B431" t="s">
        <v>6039</v>
      </c>
      <c r="G431" s="5" t="str">
        <f t="shared" si="31"/>
        <v/>
      </c>
      <c r="I431" s="6" t="str">
        <f t="shared" si="32"/>
        <v>0</v>
      </c>
      <c r="K431" s="19" t="s">
        <v>6040</v>
      </c>
    </row>
    <row r="432" spans="1:11" x14ac:dyDescent="0.2">
      <c r="A432" t="s">
        <v>533</v>
      </c>
      <c r="B432" t="s">
        <v>6041</v>
      </c>
      <c r="G432" s="5" t="str">
        <f t="shared" si="31"/>
        <v/>
      </c>
      <c r="I432" s="6" t="str">
        <f t="shared" si="32"/>
        <v>0</v>
      </c>
      <c r="K432" s="19" t="s">
        <v>6042</v>
      </c>
    </row>
    <row r="433" spans="1:11" x14ac:dyDescent="0.2">
      <c r="A433" t="s">
        <v>534</v>
      </c>
      <c r="B433" t="s">
        <v>6043</v>
      </c>
      <c r="G433" s="5" t="str">
        <f t="shared" si="31"/>
        <v/>
      </c>
      <c r="I433" s="6" t="str">
        <f t="shared" si="32"/>
        <v>0</v>
      </c>
      <c r="K433" s="19" t="s">
        <v>6044</v>
      </c>
    </row>
    <row r="434" spans="1:11" x14ac:dyDescent="0.2">
      <c r="A434" t="s">
        <v>535</v>
      </c>
      <c r="B434" t="s">
        <v>6045</v>
      </c>
      <c r="G434" s="5" t="str">
        <f t="shared" si="31"/>
        <v/>
      </c>
      <c r="I434" s="6" t="str">
        <f t="shared" si="32"/>
        <v>0</v>
      </c>
      <c r="K434" s="19" t="s">
        <v>6046</v>
      </c>
    </row>
    <row r="435" spans="1:11" x14ac:dyDescent="0.2">
      <c r="A435" t="s">
        <v>536</v>
      </c>
      <c r="B435" t="s">
        <v>6047</v>
      </c>
      <c r="G435" s="5" t="str">
        <f t="shared" si="31"/>
        <v/>
      </c>
      <c r="I435" s="6" t="str">
        <f t="shared" si="32"/>
        <v>0</v>
      </c>
      <c r="K435" s="19" t="s">
        <v>6048</v>
      </c>
    </row>
    <row r="436" spans="1:11" x14ac:dyDescent="0.2">
      <c r="A436" t="s">
        <v>537</v>
      </c>
      <c r="B436" t="s">
        <v>6049</v>
      </c>
      <c r="G436" s="5" t="str">
        <f t="shared" si="31"/>
        <v/>
      </c>
      <c r="I436" s="6" t="str">
        <f t="shared" si="32"/>
        <v>0</v>
      </c>
      <c r="K436" s="19" t="s">
        <v>6050</v>
      </c>
    </row>
    <row r="437" spans="1:11" x14ac:dyDescent="0.2">
      <c r="A437" t="s">
        <v>538</v>
      </c>
      <c r="B437" t="s">
        <v>3289</v>
      </c>
      <c r="G437" s="5" t="str">
        <f t="shared" si="31"/>
        <v/>
      </c>
      <c r="I437" s="6" t="str">
        <f t="shared" si="32"/>
        <v>0</v>
      </c>
      <c r="K437" s="19" t="s">
        <v>6051</v>
      </c>
    </row>
    <row r="438" spans="1:11" x14ac:dyDescent="0.2">
      <c r="A438" t="s">
        <v>539</v>
      </c>
      <c r="B438" t="s">
        <v>5447</v>
      </c>
      <c r="G438" s="5" t="str">
        <f t="shared" si="31"/>
        <v/>
      </c>
      <c r="I438" s="6" t="str">
        <f t="shared" si="32"/>
        <v>0</v>
      </c>
      <c r="K438" s="19" t="s">
        <v>6052</v>
      </c>
    </row>
    <row r="439" spans="1:11" x14ac:dyDescent="0.2">
      <c r="A439" t="s">
        <v>540</v>
      </c>
      <c r="B439" t="s">
        <v>5482</v>
      </c>
      <c r="G439" s="5" t="str">
        <f t="shared" si="31"/>
        <v/>
      </c>
      <c r="I439" s="6" t="str">
        <f t="shared" si="32"/>
        <v>0</v>
      </c>
      <c r="K439" s="19" t="s">
        <v>7272</v>
      </c>
    </row>
    <row r="440" spans="1:11" x14ac:dyDescent="0.2">
      <c r="A440" t="s">
        <v>541</v>
      </c>
      <c r="B440" t="s">
        <v>6053</v>
      </c>
      <c r="G440" s="5" t="str">
        <f t="shared" si="31"/>
        <v/>
      </c>
      <c r="I440" s="6" t="str">
        <f t="shared" si="32"/>
        <v>0</v>
      </c>
      <c r="K440" s="19" t="s">
        <v>7273</v>
      </c>
    </row>
    <row r="441" spans="1:11" x14ac:dyDescent="0.2">
      <c r="A441" t="s">
        <v>542</v>
      </c>
      <c r="B441" t="s">
        <v>6054</v>
      </c>
      <c r="G441" s="5" t="str">
        <f t="shared" si="31"/>
        <v/>
      </c>
      <c r="I441" s="6" t="str">
        <f t="shared" si="32"/>
        <v>0</v>
      </c>
      <c r="K441" s="19" t="s">
        <v>7274</v>
      </c>
    </row>
    <row r="442" spans="1:11" x14ac:dyDescent="0.2">
      <c r="A442" t="s">
        <v>543</v>
      </c>
      <c r="B442" t="s">
        <v>6055</v>
      </c>
      <c r="G442" s="5" t="str">
        <f t="shared" si="31"/>
        <v/>
      </c>
      <c r="I442" s="6" t="str">
        <f t="shared" si="32"/>
        <v>0</v>
      </c>
      <c r="K442" s="19" t="s">
        <v>6056</v>
      </c>
    </row>
    <row r="443" spans="1:11" x14ac:dyDescent="0.2">
      <c r="A443" t="s">
        <v>544</v>
      </c>
      <c r="B443" t="s">
        <v>6057</v>
      </c>
      <c r="G443" s="5" t="str">
        <f t="shared" si="31"/>
        <v/>
      </c>
      <c r="I443" s="6" t="str">
        <f t="shared" si="32"/>
        <v>0</v>
      </c>
      <c r="K443" s="19" t="s">
        <v>6058</v>
      </c>
    </row>
    <row r="444" spans="1:11" x14ac:dyDescent="0.2">
      <c r="A444" t="s">
        <v>545</v>
      </c>
      <c r="B444" t="s">
        <v>6059</v>
      </c>
      <c r="G444" s="5" t="str">
        <f t="shared" si="31"/>
        <v/>
      </c>
      <c r="I444" s="6" t="str">
        <f t="shared" si="32"/>
        <v>0</v>
      </c>
      <c r="K444" s="19" t="s">
        <v>6060</v>
      </c>
    </row>
    <row r="445" spans="1:11" x14ac:dyDescent="0.2">
      <c r="A445" t="s">
        <v>546</v>
      </c>
      <c r="B445" t="s">
        <v>4666</v>
      </c>
      <c r="G445" s="5" t="str">
        <f t="shared" si="31"/>
        <v/>
      </c>
      <c r="I445" s="6" t="str">
        <f t="shared" si="32"/>
        <v>0</v>
      </c>
      <c r="K445" s="19" t="s">
        <v>6061</v>
      </c>
    </row>
    <row r="446" spans="1:11" x14ac:dyDescent="0.2">
      <c r="A446" t="s">
        <v>547</v>
      </c>
      <c r="B446" t="s">
        <v>4667</v>
      </c>
      <c r="G446" s="5" t="str">
        <f t="shared" si="31"/>
        <v/>
      </c>
      <c r="I446" s="6" t="str">
        <f t="shared" si="32"/>
        <v>0</v>
      </c>
      <c r="K446" s="19" t="s">
        <v>7275</v>
      </c>
    </row>
    <row r="447" spans="1:11" x14ac:dyDescent="0.2">
      <c r="A447" t="s">
        <v>548</v>
      </c>
      <c r="B447" t="s">
        <v>6062</v>
      </c>
      <c r="G447" s="5" t="str">
        <f t="shared" si="31"/>
        <v/>
      </c>
      <c r="I447" s="6" t="str">
        <f t="shared" si="32"/>
        <v>0</v>
      </c>
      <c r="K447" s="19" t="s">
        <v>6063</v>
      </c>
    </row>
    <row r="448" spans="1:11" x14ac:dyDescent="0.2">
      <c r="A448" t="s">
        <v>549</v>
      </c>
      <c r="B448" t="s">
        <v>6064</v>
      </c>
      <c r="G448" s="5" t="str">
        <f t="shared" si="31"/>
        <v/>
      </c>
      <c r="I448" s="6" t="str">
        <f t="shared" si="32"/>
        <v>0</v>
      </c>
      <c r="K448" s="19" t="s">
        <v>6065</v>
      </c>
    </row>
    <row r="449" spans="1:11" x14ac:dyDescent="0.2">
      <c r="A449" t="s">
        <v>550</v>
      </c>
      <c r="B449" t="s">
        <v>6066</v>
      </c>
      <c r="G449" s="5" t="str">
        <f t="shared" ref="G449:G512" si="34">IF(F449&lt;&gt;"",HEX2DEC(SUBSTITUTE(SUBSTITUTE(F449,"adrEA",""),"$","")),"")</f>
        <v/>
      </c>
      <c r="I449" s="6" t="str">
        <f t="shared" ref="I449:I512" si="35">IFERROR(DEC2HEX(H449),"")</f>
        <v>0</v>
      </c>
      <c r="K449" s="19" t="s">
        <v>6067</v>
      </c>
    </row>
    <row r="450" spans="1:11" x14ac:dyDescent="0.2">
      <c r="A450" t="s">
        <v>551</v>
      </c>
      <c r="B450" t="s">
        <v>6068</v>
      </c>
      <c r="G450" s="5" t="str">
        <f t="shared" si="34"/>
        <v/>
      </c>
      <c r="I450" s="6" t="str">
        <f t="shared" si="35"/>
        <v>0</v>
      </c>
      <c r="K450" s="19" t="s">
        <v>6069</v>
      </c>
    </row>
    <row r="451" spans="1:11" x14ac:dyDescent="0.2">
      <c r="A451" t="s">
        <v>552</v>
      </c>
      <c r="B451" t="s">
        <v>6070</v>
      </c>
      <c r="G451" s="5" t="str">
        <f t="shared" si="34"/>
        <v/>
      </c>
      <c r="I451" s="6" t="str">
        <f t="shared" si="35"/>
        <v>0</v>
      </c>
      <c r="K451" s="19" t="s">
        <v>6071</v>
      </c>
    </row>
    <row r="452" spans="1:11" x14ac:dyDescent="0.2">
      <c r="A452" t="s">
        <v>553</v>
      </c>
      <c r="B452" t="s">
        <v>6072</v>
      </c>
      <c r="G452" s="5" t="str">
        <f t="shared" si="34"/>
        <v/>
      </c>
      <c r="I452" s="6" t="str">
        <f t="shared" si="35"/>
        <v>0</v>
      </c>
      <c r="K452" s="19" t="s">
        <v>6073</v>
      </c>
    </row>
    <row r="453" spans="1:11" x14ac:dyDescent="0.2">
      <c r="A453" t="s">
        <v>554</v>
      </c>
      <c r="B453" t="s">
        <v>6074</v>
      </c>
      <c r="G453" s="5" t="str">
        <f t="shared" si="34"/>
        <v/>
      </c>
      <c r="I453" s="6" t="str">
        <f t="shared" si="35"/>
        <v>0</v>
      </c>
      <c r="K453" s="19" t="s">
        <v>6075</v>
      </c>
    </row>
    <row r="454" spans="1:11" x14ac:dyDescent="0.2">
      <c r="A454" t="s">
        <v>555</v>
      </c>
      <c r="B454" t="s">
        <v>5483</v>
      </c>
      <c r="G454" s="5" t="str">
        <f t="shared" si="34"/>
        <v/>
      </c>
      <c r="I454" s="6" t="str">
        <f t="shared" si="35"/>
        <v>0</v>
      </c>
      <c r="K454" s="19" t="s">
        <v>5484</v>
      </c>
    </row>
    <row r="455" spans="1:11" x14ac:dyDescent="0.2">
      <c r="A455" t="s">
        <v>556</v>
      </c>
      <c r="B455" t="s">
        <v>6076</v>
      </c>
      <c r="G455" s="5" t="str">
        <f t="shared" si="34"/>
        <v/>
      </c>
      <c r="I455" s="6" t="str">
        <f t="shared" si="35"/>
        <v>0</v>
      </c>
      <c r="K455" s="19" t="s">
        <v>6077</v>
      </c>
    </row>
    <row r="456" spans="1:11" x14ac:dyDescent="0.2">
      <c r="A456" t="s">
        <v>557</v>
      </c>
      <c r="B456" t="s">
        <v>6078</v>
      </c>
      <c r="G456" s="5" t="str">
        <f t="shared" si="34"/>
        <v/>
      </c>
      <c r="I456" s="6" t="str">
        <f t="shared" si="35"/>
        <v>0</v>
      </c>
      <c r="K456" s="19" t="s">
        <v>6079</v>
      </c>
    </row>
    <row r="457" spans="1:11" x14ac:dyDescent="0.2">
      <c r="A457" t="s">
        <v>558</v>
      </c>
      <c r="B457" t="s">
        <v>6080</v>
      </c>
      <c r="G457" s="5" t="str">
        <f t="shared" si="34"/>
        <v/>
      </c>
      <c r="I457" s="6" t="str">
        <f t="shared" si="35"/>
        <v>0</v>
      </c>
      <c r="K457" s="19" t="s">
        <v>6081</v>
      </c>
    </row>
    <row r="458" spans="1:11" x14ac:dyDescent="0.2">
      <c r="A458" t="s">
        <v>559</v>
      </c>
      <c r="B458" t="s">
        <v>6082</v>
      </c>
      <c r="G458" s="5" t="str">
        <f t="shared" si="34"/>
        <v/>
      </c>
      <c r="I458" s="6" t="str">
        <f t="shared" si="35"/>
        <v>0</v>
      </c>
      <c r="K458" s="19" t="s">
        <v>6083</v>
      </c>
    </row>
    <row r="459" spans="1:11" x14ac:dyDescent="0.2">
      <c r="A459" t="s">
        <v>560</v>
      </c>
      <c r="B459" t="s">
        <v>6084</v>
      </c>
      <c r="G459" s="5" t="str">
        <f t="shared" si="34"/>
        <v/>
      </c>
      <c r="I459" s="6" t="str">
        <f t="shared" si="35"/>
        <v>0</v>
      </c>
      <c r="K459" s="19" t="s">
        <v>6085</v>
      </c>
    </row>
    <row r="460" spans="1:11" x14ac:dyDescent="0.2">
      <c r="A460" t="s">
        <v>561</v>
      </c>
      <c r="B460" t="s">
        <v>6086</v>
      </c>
      <c r="G460" s="5" t="str">
        <f t="shared" si="34"/>
        <v/>
      </c>
      <c r="I460" s="6" t="str">
        <f t="shared" si="35"/>
        <v>0</v>
      </c>
      <c r="K460" s="19" t="s">
        <v>7276</v>
      </c>
    </row>
    <row r="461" spans="1:11" x14ac:dyDescent="0.2">
      <c r="A461" t="s">
        <v>562</v>
      </c>
      <c r="B461" t="s">
        <v>6087</v>
      </c>
      <c r="G461" s="5" t="str">
        <f t="shared" si="34"/>
        <v/>
      </c>
      <c r="I461" s="6" t="str">
        <f t="shared" si="35"/>
        <v>0</v>
      </c>
      <c r="K461" s="19" t="s">
        <v>6088</v>
      </c>
    </row>
    <row r="462" spans="1:11" x14ac:dyDescent="0.2">
      <c r="A462" t="s">
        <v>563</v>
      </c>
      <c r="B462" t="s">
        <v>5485</v>
      </c>
      <c r="G462" s="5" t="str">
        <f t="shared" si="34"/>
        <v/>
      </c>
      <c r="I462" s="6" t="str">
        <f t="shared" si="35"/>
        <v>0</v>
      </c>
      <c r="K462" s="19" t="s">
        <v>5486</v>
      </c>
    </row>
    <row r="463" spans="1:11" x14ac:dyDescent="0.2">
      <c r="A463" t="s">
        <v>564</v>
      </c>
      <c r="B463" t="s">
        <v>6089</v>
      </c>
      <c r="G463" s="5" t="str">
        <f t="shared" si="34"/>
        <v/>
      </c>
      <c r="I463" s="6" t="str">
        <f t="shared" si="35"/>
        <v>0</v>
      </c>
      <c r="K463" s="19" t="s">
        <v>6090</v>
      </c>
    </row>
    <row r="464" spans="1:11" x14ac:dyDescent="0.2">
      <c r="A464" t="s">
        <v>565</v>
      </c>
      <c r="B464" t="s">
        <v>5487</v>
      </c>
      <c r="G464" s="5" t="str">
        <f t="shared" si="34"/>
        <v/>
      </c>
      <c r="I464" s="6" t="str">
        <f t="shared" si="35"/>
        <v>0</v>
      </c>
      <c r="K464" s="19" t="s">
        <v>6091</v>
      </c>
    </row>
    <row r="465" spans="1:11" x14ac:dyDescent="0.2">
      <c r="A465" t="s">
        <v>566</v>
      </c>
      <c r="B465" t="s">
        <v>6092</v>
      </c>
      <c r="G465" s="5" t="str">
        <f t="shared" si="34"/>
        <v/>
      </c>
      <c r="I465" s="6" t="str">
        <f t="shared" si="35"/>
        <v>0</v>
      </c>
      <c r="K465" s="19" t="s">
        <v>6093</v>
      </c>
    </row>
    <row r="466" spans="1:11" x14ac:dyDescent="0.2">
      <c r="A466" t="s">
        <v>567</v>
      </c>
      <c r="B466" t="s">
        <v>6094</v>
      </c>
      <c r="G466" s="5" t="str">
        <f t="shared" si="34"/>
        <v/>
      </c>
      <c r="I466" s="6" t="str">
        <f t="shared" si="35"/>
        <v>0</v>
      </c>
      <c r="K466" s="19" t="s">
        <v>6095</v>
      </c>
    </row>
    <row r="467" spans="1:11" x14ac:dyDescent="0.2">
      <c r="A467" t="s">
        <v>568</v>
      </c>
      <c r="B467" t="s">
        <v>6452</v>
      </c>
      <c r="G467" s="5" t="str">
        <f t="shared" si="34"/>
        <v/>
      </c>
      <c r="I467" s="6" t="str">
        <f t="shared" si="35"/>
        <v>0</v>
      </c>
    </row>
    <row r="468" spans="1:11" x14ac:dyDescent="0.2">
      <c r="A468" t="s">
        <v>569</v>
      </c>
      <c r="B468" t="s">
        <v>6453</v>
      </c>
      <c r="G468" s="5" t="str">
        <f t="shared" si="34"/>
        <v/>
      </c>
      <c r="I468" s="6" t="str">
        <f t="shared" si="35"/>
        <v>0</v>
      </c>
    </row>
    <row r="469" spans="1:11" x14ac:dyDescent="0.2">
      <c r="A469" t="s">
        <v>570</v>
      </c>
      <c r="B469" t="s">
        <v>6454</v>
      </c>
      <c r="G469" s="5" t="str">
        <f t="shared" si="34"/>
        <v/>
      </c>
      <c r="I469" s="6" t="str">
        <f t="shared" si="35"/>
        <v>0</v>
      </c>
      <c r="K469" s="19" t="s">
        <v>6200</v>
      </c>
    </row>
    <row r="470" spans="1:11" x14ac:dyDescent="0.2">
      <c r="A470" t="s">
        <v>571</v>
      </c>
      <c r="B470" t="s">
        <v>6455</v>
      </c>
      <c r="G470" s="5" t="str">
        <f t="shared" si="34"/>
        <v/>
      </c>
      <c r="I470" s="6" t="str">
        <f t="shared" si="35"/>
        <v>0</v>
      </c>
    </row>
    <row r="471" spans="1:11" x14ac:dyDescent="0.2">
      <c r="A471" t="s">
        <v>572</v>
      </c>
      <c r="B471" t="s">
        <v>6456</v>
      </c>
      <c r="G471" s="5" t="str">
        <f t="shared" si="34"/>
        <v/>
      </c>
      <c r="I471" s="6" t="str">
        <f t="shared" si="35"/>
        <v>0</v>
      </c>
    </row>
    <row r="472" spans="1:11" x14ac:dyDescent="0.2">
      <c r="A472" t="s">
        <v>573</v>
      </c>
      <c r="B472" t="s">
        <v>6457</v>
      </c>
      <c r="G472" s="5" t="str">
        <f t="shared" si="34"/>
        <v/>
      </c>
      <c r="I472" s="6" t="str">
        <f t="shared" si="35"/>
        <v>0</v>
      </c>
      <c r="K472" s="19" t="s">
        <v>6201</v>
      </c>
    </row>
    <row r="473" spans="1:11" x14ac:dyDescent="0.2">
      <c r="A473" t="s">
        <v>574</v>
      </c>
      <c r="B473" t="s">
        <v>6458</v>
      </c>
      <c r="G473" s="5" t="str">
        <f t="shared" si="34"/>
        <v/>
      </c>
      <c r="I473" s="6" t="str">
        <f t="shared" si="35"/>
        <v>0</v>
      </c>
    </row>
    <row r="474" spans="1:11" x14ac:dyDescent="0.2">
      <c r="A474" t="s">
        <v>575</v>
      </c>
      <c r="B474" t="s">
        <v>6459</v>
      </c>
      <c r="G474" s="5" t="str">
        <f t="shared" si="34"/>
        <v/>
      </c>
      <c r="I474" s="6" t="str">
        <f t="shared" si="35"/>
        <v>0</v>
      </c>
    </row>
    <row r="475" spans="1:11" x14ac:dyDescent="0.2">
      <c r="A475" t="s">
        <v>576</v>
      </c>
      <c r="B475" t="s">
        <v>6130</v>
      </c>
      <c r="G475" s="5" t="str">
        <f t="shared" si="34"/>
        <v/>
      </c>
      <c r="I475" s="6" t="str">
        <f t="shared" si="35"/>
        <v>0</v>
      </c>
      <c r="K475" s="19" t="s">
        <v>6131</v>
      </c>
    </row>
    <row r="476" spans="1:11" x14ac:dyDescent="0.2">
      <c r="A476" t="s">
        <v>577</v>
      </c>
      <c r="B476" t="s">
        <v>6132</v>
      </c>
      <c r="G476" s="5" t="str">
        <f t="shared" si="34"/>
        <v/>
      </c>
      <c r="I476" s="6" t="str">
        <f t="shared" si="35"/>
        <v>0</v>
      </c>
      <c r="K476" s="19" t="s">
        <v>6133</v>
      </c>
    </row>
    <row r="477" spans="1:11" x14ac:dyDescent="0.2">
      <c r="A477" t="s">
        <v>578</v>
      </c>
      <c r="B477" t="s">
        <v>6134</v>
      </c>
      <c r="G477" s="5" t="str">
        <f t="shared" si="34"/>
        <v/>
      </c>
      <c r="I477" s="6" t="str">
        <f t="shared" si="35"/>
        <v>0</v>
      </c>
      <c r="K477" s="19" t="s">
        <v>7277</v>
      </c>
    </row>
    <row r="478" spans="1:11" x14ac:dyDescent="0.2">
      <c r="A478" t="s">
        <v>579</v>
      </c>
      <c r="B478" t="s">
        <v>6135</v>
      </c>
      <c r="G478" s="5" t="str">
        <f t="shared" si="34"/>
        <v/>
      </c>
      <c r="I478" s="6" t="str">
        <f t="shared" si="35"/>
        <v>0</v>
      </c>
      <c r="K478" s="19" t="s">
        <v>6136</v>
      </c>
    </row>
    <row r="479" spans="1:11" x14ac:dyDescent="0.2">
      <c r="A479" t="s">
        <v>580</v>
      </c>
      <c r="B479" t="s">
        <v>6137</v>
      </c>
      <c r="G479" s="5" t="str">
        <f t="shared" si="34"/>
        <v/>
      </c>
      <c r="I479" s="6" t="str">
        <f t="shared" si="35"/>
        <v>0</v>
      </c>
      <c r="K479" s="19" t="s">
        <v>7278</v>
      </c>
    </row>
    <row r="480" spans="1:11" x14ac:dyDescent="0.2">
      <c r="A480" t="s">
        <v>581</v>
      </c>
      <c r="B480" t="s">
        <v>6138</v>
      </c>
      <c r="G480" s="5" t="str">
        <f t="shared" si="34"/>
        <v/>
      </c>
      <c r="I480" s="6" t="str">
        <f t="shared" si="35"/>
        <v>0</v>
      </c>
      <c r="K480" s="19" t="s">
        <v>6139</v>
      </c>
    </row>
    <row r="481" spans="1:11" x14ac:dyDescent="0.2">
      <c r="A481" t="s">
        <v>582</v>
      </c>
      <c r="B481" t="s">
        <v>6140</v>
      </c>
      <c r="G481" s="5" t="str">
        <f t="shared" si="34"/>
        <v/>
      </c>
      <c r="I481" s="6" t="str">
        <f t="shared" si="35"/>
        <v>0</v>
      </c>
      <c r="K481" s="19" t="s">
        <v>6141</v>
      </c>
    </row>
    <row r="482" spans="1:11" x14ac:dyDescent="0.2">
      <c r="A482" t="s">
        <v>583</v>
      </c>
      <c r="B482" t="s">
        <v>5751</v>
      </c>
      <c r="G482" s="5" t="str">
        <f t="shared" si="34"/>
        <v/>
      </c>
      <c r="I482" s="6" t="str">
        <f t="shared" si="35"/>
        <v>0</v>
      </c>
      <c r="K482" s="19" t="s">
        <v>5752</v>
      </c>
    </row>
    <row r="483" spans="1:11" x14ac:dyDescent="0.2">
      <c r="A483" t="s">
        <v>584</v>
      </c>
      <c r="B483" t="s">
        <v>6142</v>
      </c>
      <c r="G483" s="5" t="str">
        <f t="shared" si="34"/>
        <v/>
      </c>
      <c r="I483" s="6" t="str">
        <f t="shared" si="35"/>
        <v>0</v>
      </c>
      <c r="K483" s="19" t="s">
        <v>6143</v>
      </c>
    </row>
    <row r="484" spans="1:11" x14ac:dyDescent="0.2">
      <c r="A484" t="s">
        <v>585</v>
      </c>
      <c r="B484" t="s">
        <v>6144</v>
      </c>
      <c r="G484" s="5" t="str">
        <f t="shared" si="34"/>
        <v/>
      </c>
      <c r="I484" s="6" t="str">
        <f t="shared" si="35"/>
        <v>0</v>
      </c>
      <c r="K484" s="19" t="s">
        <v>6145</v>
      </c>
    </row>
    <row r="485" spans="1:11" x14ac:dyDescent="0.2">
      <c r="A485" t="s">
        <v>586</v>
      </c>
      <c r="B485" t="s">
        <v>6460</v>
      </c>
      <c r="G485" s="5" t="str">
        <f t="shared" si="34"/>
        <v/>
      </c>
      <c r="I485" s="6" t="str">
        <f t="shared" si="35"/>
        <v>0</v>
      </c>
    </row>
    <row r="486" spans="1:11" x14ac:dyDescent="0.2">
      <c r="A486" t="s">
        <v>587</v>
      </c>
      <c r="B486" t="s">
        <v>6461</v>
      </c>
      <c r="G486" s="5" t="str">
        <f t="shared" si="34"/>
        <v/>
      </c>
      <c r="I486" s="6" t="str">
        <f t="shared" si="35"/>
        <v>0</v>
      </c>
    </row>
    <row r="487" spans="1:11" x14ac:dyDescent="0.2">
      <c r="A487" t="s">
        <v>588</v>
      </c>
      <c r="B487" t="s">
        <v>6462</v>
      </c>
      <c r="G487" s="5" t="str">
        <f t="shared" si="34"/>
        <v/>
      </c>
      <c r="I487" s="6" t="str">
        <f t="shared" si="35"/>
        <v>0</v>
      </c>
    </row>
    <row r="488" spans="1:11" x14ac:dyDescent="0.2">
      <c r="A488" t="s">
        <v>589</v>
      </c>
      <c r="B488" t="s">
        <v>6463</v>
      </c>
      <c r="G488" s="5" t="str">
        <f t="shared" si="34"/>
        <v/>
      </c>
      <c r="I488" s="6" t="str">
        <f t="shared" si="35"/>
        <v>0</v>
      </c>
    </row>
    <row r="489" spans="1:11" x14ac:dyDescent="0.2">
      <c r="A489" t="s">
        <v>590</v>
      </c>
      <c r="B489" t="s">
        <v>5431</v>
      </c>
      <c r="G489" s="5" t="str">
        <f t="shared" si="34"/>
        <v/>
      </c>
      <c r="I489" s="6" t="str">
        <f t="shared" si="35"/>
        <v>0</v>
      </c>
      <c r="K489" s="19" t="s">
        <v>5432</v>
      </c>
    </row>
    <row r="490" spans="1:11" x14ac:dyDescent="0.2">
      <c r="A490" t="s">
        <v>591</v>
      </c>
      <c r="B490" t="s">
        <v>5488</v>
      </c>
      <c r="G490" s="5" t="str">
        <f t="shared" si="34"/>
        <v/>
      </c>
      <c r="I490" s="6" t="str">
        <f t="shared" si="35"/>
        <v>0</v>
      </c>
      <c r="K490" s="19" t="s">
        <v>5489</v>
      </c>
    </row>
    <row r="491" spans="1:11" x14ac:dyDescent="0.2">
      <c r="A491" t="s">
        <v>592</v>
      </c>
      <c r="B491" t="s">
        <v>6464</v>
      </c>
      <c r="G491" s="5" t="str">
        <f t="shared" si="34"/>
        <v/>
      </c>
      <c r="I491" s="6" t="str">
        <f t="shared" si="35"/>
        <v>0</v>
      </c>
    </row>
    <row r="492" spans="1:11" x14ac:dyDescent="0.2">
      <c r="A492" t="s">
        <v>593</v>
      </c>
      <c r="B492" t="s">
        <v>6465</v>
      </c>
      <c r="G492" s="5" t="str">
        <f t="shared" si="34"/>
        <v/>
      </c>
      <c r="I492" s="6" t="str">
        <f t="shared" si="35"/>
        <v>0</v>
      </c>
    </row>
    <row r="493" spans="1:11" x14ac:dyDescent="0.2">
      <c r="A493" t="s">
        <v>594</v>
      </c>
      <c r="B493" t="s">
        <v>5433</v>
      </c>
      <c r="G493" s="5" t="str">
        <f t="shared" si="34"/>
        <v/>
      </c>
      <c r="I493" s="6" t="str">
        <f t="shared" si="35"/>
        <v>0</v>
      </c>
      <c r="K493" s="19" t="s">
        <v>6202</v>
      </c>
    </row>
    <row r="494" spans="1:11" x14ac:dyDescent="0.2">
      <c r="A494" t="s">
        <v>595</v>
      </c>
      <c r="B494" t="s">
        <v>6466</v>
      </c>
      <c r="G494" s="5" t="str">
        <f t="shared" si="34"/>
        <v/>
      </c>
      <c r="I494" s="6" t="str">
        <f t="shared" si="35"/>
        <v>0</v>
      </c>
    </row>
    <row r="495" spans="1:11" x14ac:dyDescent="0.2">
      <c r="A495" t="s">
        <v>596</v>
      </c>
      <c r="B495" t="s">
        <v>6467</v>
      </c>
      <c r="G495" s="5" t="str">
        <f t="shared" si="34"/>
        <v/>
      </c>
      <c r="I495" s="6" t="str">
        <f t="shared" si="35"/>
        <v>0</v>
      </c>
    </row>
    <row r="496" spans="1:11" x14ac:dyDescent="0.2">
      <c r="A496" t="s">
        <v>597</v>
      </c>
      <c r="B496" t="s">
        <v>6468</v>
      </c>
      <c r="G496" s="5" t="str">
        <f t="shared" si="34"/>
        <v/>
      </c>
      <c r="I496" s="6" t="str">
        <f t="shared" si="35"/>
        <v>0</v>
      </c>
    </row>
    <row r="497" spans="1:11" x14ac:dyDescent="0.2">
      <c r="A497" t="s">
        <v>598</v>
      </c>
      <c r="B497" t="s">
        <v>6469</v>
      </c>
      <c r="G497" s="5" t="str">
        <f t="shared" si="34"/>
        <v/>
      </c>
      <c r="I497" s="6" t="str">
        <f t="shared" si="35"/>
        <v>0</v>
      </c>
    </row>
    <row r="498" spans="1:11" x14ac:dyDescent="0.2">
      <c r="A498" t="s">
        <v>599</v>
      </c>
      <c r="B498" t="s">
        <v>6470</v>
      </c>
      <c r="G498" s="5" t="str">
        <f t="shared" si="34"/>
        <v/>
      </c>
      <c r="I498" s="6" t="str">
        <f t="shared" si="35"/>
        <v>0</v>
      </c>
    </row>
    <row r="499" spans="1:11" x14ac:dyDescent="0.2">
      <c r="A499" t="s">
        <v>600</v>
      </c>
      <c r="B499" t="s">
        <v>6471</v>
      </c>
      <c r="G499" s="5" t="str">
        <f t="shared" si="34"/>
        <v/>
      </c>
      <c r="I499" s="6" t="str">
        <f t="shared" si="35"/>
        <v>0</v>
      </c>
    </row>
    <row r="500" spans="1:11" x14ac:dyDescent="0.2">
      <c r="A500" t="s">
        <v>601</v>
      </c>
      <c r="B500" t="s">
        <v>5490</v>
      </c>
      <c r="G500" s="5" t="str">
        <f t="shared" si="34"/>
        <v/>
      </c>
      <c r="I500" s="6" t="str">
        <f t="shared" si="35"/>
        <v>0</v>
      </c>
      <c r="K500" s="19" t="s">
        <v>5491</v>
      </c>
    </row>
    <row r="501" spans="1:11" x14ac:dyDescent="0.2">
      <c r="A501" t="s">
        <v>602</v>
      </c>
      <c r="B501" t="s">
        <v>6472</v>
      </c>
      <c r="G501" s="5" t="str">
        <f t="shared" si="34"/>
        <v/>
      </c>
      <c r="I501" s="6" t="str">
        <f t="shared" si="35"/>
        <v>0</v>
      </c>
    </row>
    <row r="502" spans="1:11" x14ac:dyDescent="0.2">
      <c r="A502" t="s">
        <v>603</v>
      </c>
      <c r="B502" t="s">
        <v>6473</v>
      </c>
      <c r="G502" s="5" t="str">
        <f t="shared" si="34"/>
        <v/>
      </c>
      <c r="I502" s="6" t="str">
        <f t="shared" si="35"/>
        <v>0</v>
      </c>
    </row>
    <row r="503" spans="1:11" x14ac:dyDescent="0.2">
      <c r="A503" t="s">
        <v>604</v>
      </c>
      <c r="B503" t="s">
        <v>6474</v>
      </c>
      <c r="G503" s="5" t="str">
        <f t="shared" si="34"/>
        <v/>
      </c>
      <c r="I503" s="6" t="str">
        <f t="shared" si="35"/>
        <v>0</v>
      </c>
    </row>
    <row r="504" spans="1:11" x14ac:dyDescent="0.2">
      <c r="A504" t="s">
        <v>605</v>
      </c>
      <c r="B504" t="s">
        <v>6475</v>
      </c>
      <c r="G504" s="5" t="str">
        <f t="shared" si="34"/>
        <v/>
      </c>
      <c r="I504" s="6" t="str">
        <f t="shared" si="35"/>
        <v>0</v>
      </c>
    </row>
    <row r="505" spans="1:11" x14ac:dyDescent="0.2">
      <c r="A505" t="s">
        <v>606</v>
      </c>
      <c r="B505" t="s">
        <v>6476</v>
      </c>
      <c r="G505" s="5" t="str">
        <f t="shared" si="34"/>
        <v/>
      </c>
      <c r="I505" s="6" t="str">
        <f t="shared" si="35"/>
        <v>0</v>
      </c>
    </row>
    <row r="506" spans="1:11" x14ac:dyDescent="0.2">
      <c r="A506" t="s">
        <v>607</v>
      </c>
      <c r="B506" t="s">
        <v>6477</v>
      </c>
      <c r="G506" s="5" t="str">
        <f t="shared" si="34"/>
        <v/>
      </c>
      <c r="I506" s="6" t="str">
        <f t="shared" si="35"/>
        <v>0</v>
      </c>
    </row>
    <row r="507" spans="1:11" x14ac:dyDescent="0.2">
      <c r="A507" t="s">
        <v>608</v>
      </c>
      <c r="B507" t="s">
        <v>5492</v>
      </c>
      <c r="G507" s="5" t="str">
        <f t="shared" si="34"/>
        <v/>
      </c>
      <c r="I507" s="6" t="str">
        <f t="shared" si="35"/>
        <v>0</v>
      </c>
      <c r="K507" s="19" t="s">
        <v>7260</v>
      </c>
    </row>
    <row r="508" spans="1:11" x14ac:dyDescent="0.2">
      <c r="A508" t="s">
        <v>609</v>
      </c>
      <c r="B508" t="s">
        <v>6478</v>
      </c>
      <c r="G508" s="5" t="str">
        <f t="shared" si="34"/>
        <v/>
      </c>
      <c r="I508" s="6" t="str">
        <f t="shared" si="35"/>
        <v>0</v>
      </c>
    </row>
    <row r="509" spans="1:11" x14ac:dyDescent="0.2">
      <c r="A509" t="s">
        <v>610</v>
      </c>
      <c r="B509" t="s">
        <v>6479</v>
      </c>
      <c r="G509" s="5" t="str">
        <f t="shared" si="34"/>
        <v/>
      </c>
      <c r="I509" s="6" t="str">
        <f t="shared" si="35"/>
        <v>0</v>
      </c>
    </row>
    <row r="510" spans="1:11" x14ac:dyDescent="0.2">
      <c r="A510" t="s">
        <v>611</v>
      </c>
      <c r="B510" t="s">
        <v>6480</v>
      </c>
      <c r="G510" s="5" t="str">
        <f t="shared" si="34"/>
        <v/>
      </c>
      <c r="I510" s="6" t="str">
        <f t="shared" si="35"/>
        <v>0</v>
      </c>
    </row>
    <row r="511" spans="1:11" x14ac:dyDescent="0.2">
      <c r="A511" t="s">
        <v>612</v>
      </c>
      <c r="B511" t="s">
        <v>5493</v>
      </c>
      <c r="G511" s="5" t="str">
        <f t="shared" si="34"/>
        <v/>
      </c>
      <c r="I511" s="6" t="str">
        <f t="shared" si="35"/>
        <v>0</v>
      </c>
      <c r="K511" s="19" t="s">
        <v>5494</v>
      </c>
    </row>
    <row r="512" spans="1:11" x14ac:dyDescent="0.2">
      <c r="A512" t="s">
        <v>613</v>
      </c>
      <c r="B512" t="s">
        <v>6481</v>
      </c>
      <c r="G512" s="5" t="str">
        <f t="shared" si="34"/>
        <v/>
      </c>
      <c r="I512" s="6" t="str">
        <f t="shared" si="35"/>
        <v>0</v>
      </c>
    </row>
    <row r="513" spans="1:11" x14ac:dyDescent="0.2">
      <c r="A513" t="s">
        <v>614</v>
      </c>
      <c r="B513" t="s">
        <v>6482</v>
      </c>
      <c r="G513" s="5" t="str">
        <f t="shared" ref="G513:G576" si="36">IF(F513&lt;&gt;"",HEX2DEC(SUBSTITUTE(SUBSTITUTE(F513,"adrEA",""),"$","")),"")</f>
        <v/>
      </c>
      <c r="I513" s="6" t="str">
        <f t="shared" ref="I513:I576" si="37">IFERROR(DEC2HEX(H513),"")</f>
        <v>0</v>
      </c>
    </row>
    <row r="514" spans="1:11" x14ac:dyDescent="0.2">
      <c r="A514" t="s">
        <v>615</v>
      </c>
      <c r="B514" t="s">
        <v>6483</v>
      </c>
      <c r="G514" s="5" t="str">
        <f t="shared" si="36"/>
        <v/>
      </c>
      <c r="I514" s="6" t="str">
        <f t="shared" si="37"/>
        <v>0</v>
      </c>
    </row>
    <row r="515" spans="1:11" x14ac:dyDescent="0.2">
      <c r="A515" t="s">
        <v>616</v>
      </c>
      <c r="B515" t="s">
        <v>6484</v>
      </c>
      <c r="G515" s="5" t="str">
        <f t="shared" si="36"/>
        <v/>
      </c>
      <c r="I515" s="6" t="str">
        <f t="shared" si="37"/>
        <v>0</v>
      </c>
    </row>
    <row r="516" spans="1:11" x14ac:dyDescent="0.2">
      <c r="A516" t="s">
        <v>617</v>
      </c>
      <c r="B516" t="s">
        <v>6485</v>
      </c>
      <c r="G516" s="5" t="str">
        <f t="shared" si="36"/>
        <v/>
      </c>
      <c r="I516" s="6" t="str">
        <f t="shared" si="37"/>
        <v>0</v>
      </c>
    </row>
    <row r="517" spans="1:11" x14ac:dyDescent="0.2">
      <c r="A517" t="s">
        <v>618</v>
      </c>
      <c r="B517" t="s">
        <v>6486</v>
      </c>
      <c r="G517" s="5" t="str">
        <f t="shared" si="36"/>
        <v/>
      </c>
      <c r="I517" s="6" t="str">
        <f t="shared" si="37"/>
        <v>0</v>
      </c>
    </row>
    <row r="518" spans="1:11" x14ac:dyDescent="0.2">
      <c r="A518" t="s">
        <v>619</v>
      </c>
      <c r="B518" t="s">
        <v>6487</v>
      </c>
      <c r="G518" s="5" t="str">
        <f t="shared" si="36"/>
        <v/>
      </c>
      <c r="I518" s="6" t="str">
        <f t="shared" si="37"/>
        <v>0</v>
      </c>
    </row>
    <row r="519" spans="1:11" x14ac:dyDescent="0.2">
      <c r="A519" t="s">
        <v>620</v>
      </c>
      <c r="B519" t="s">
        <v>6488</v>
      </c>
      <c r="G519" s="5" t="str">
        <f t="shared" si="36"/>
        <v/>
      </c>
      <c r="I519" s="6" t="str">
        <f t="shared" si="37"/>
        <v>0</v>
      </c>
    </row>
    <row r="520" spans="1:11" x14ac:dyDescent="0.2">
      <c r="A520" t="s">
        <v>621</v>
      </c>
      <c r="B520" t="s">
        <v>5495</v>
      </c>
      <c r="G520" s="5" t="str">
        <f t="shared" si="36"/>
        <v/>
      </c>
      <c r="I520" s="6" t="str">
        <f t="shared" si="37"/>
        <v>0</v>
      </c>
      <c r="K520" s="19" t="s">
        <v>5496</v>
      </c>
    </row>
    <row r="521" spans="1:11" x14ac:dyDescent="0.2">
      <c r="A521" t="s">
        <v>622</v>
      </c>
      <c r="B521" t="s">
        <v>6489</v>
      </c>
      <c r="G521" s="5" t="str">
        <f t="shared" si="36"/>
        <v/>
      </c>
      <c r="I521" s="6" t="str">
        <f t="shared" si="37"/>
        <v>0</v>
      </c>
    </row>
    <row r="522" spans="1:11" x14ac:dyDescent="0.2">
      <c r="A522" t="s">
        <v>623</v>
      </c>
      <c r="B522" t="s">
        <v>6490</v>
      </c>
      <c r="G522" s="5" t="str">
        <f t="shared" si="36"/>
        <v/>
      </c>
      <c r="I522" s="6" t="str">
        <f t="shared" si="37"/>
        <v>0</v>
      </c>
    </row>
    <row r="523" spans="1:11" x14ac:dyDescent="0.2">
      <c r="A523" t="s">
        <v>624</v>
      </c>
      <c r="B523" t="s">
        <v>6491</v>
      </c>
      <c r="G523" s="5" t="str">
        <f t="shared" si="36"/>
        <v/>
      </c>
      <c r="I523" s="6" t="str">
        <f t="shared" si="37"/>
        <v>0</v>
      </c>
    </row>
    <row r="524" spans="1:11" x14ac:dyDescent="0.2">
      <c r="A524" t="s">
        <v>625</v>
      </c>
      <c r="B524" t="s">
        <v>6492</v>
      </c>
      <c r="G524" s="5" t="str">
        <f t="shared" si="36"/>
        <v/>
      </c>
      <c r="I524" s="6" t="str">
        <f t="shared" si="37"/>
        <v>0</v>
      </c>
    </row>
    <row r="525" spans="1:11" x14ac:dyDescent="0.2">
      <c r="A525" t="s">
        <v>626</v>
      </c>
      <c r="B525" t="s">
        <v>6493</v>
      </c>
      <c r="G525" s="5" t="str">
        <f t="shared" si="36"/>
        <v/>
      </c>
      <c r="I525" s="6" t="str">
        <f t="shared" si="37"/>
        <v>0</v>
      </c>
    </row>
    <row r="526" spans="1:11" x14ac:dyDescent="0.2">
      <c r="A526" t="s">
        <v>627</v>
      </c>
      <c r="B526" t="s">
        <v>6494</v>
      </c>
      <c r="G526" s="5" t="str">
        <f t="shared" si="36"/>
        <v/>
      </c>
      <c r="I526" s="6" t="str">
        <f t="shared" si="37"/>
        <v>0</v>
      </c>
    </row>
    <row r="527" spans="1:11" x14ac:dyDescent="0.2">
      <c r="A527" t="s">
        <v>628</v>
      </c>
      <c r="B527" t="s">
        <v>6495</v>
      </c>
      <c r="G527" s="5" t="str">
        <f t="shared" si="36"/>
        <v/>
      </c>
      <c r="I527" s="6" t="str">
        <f t="shared" si="37"/>
        <v>0</v>
      </c>
    </row>
    <row r="528" spans="1:11" x14ac:dyDescent="0.2">
      <c r="A528" t="s">
        <v>629</v>
      </c>
      <c r="B528" t="s">
        <v>5497</v>
      </c>
      <c r="G528" s="5" t="str">
        <f t="shared" si="36"/>
        <v/>
      </c>
      <c r="I528" s="6" t="str">
        <f t="shared" si="37"/>
        <v>0</v>
      </c>
      <c r="K528" s="19" t="s">
        <v>5498</v>
      </c>
    </row>
    <row r="529" spans="1:11" x14ac:dyDescent="0.2">
      <c r="A529" t="s">
        <v>630</v>
      </c>
      <c r="B529" t="s">
        <v>6496</v>
      </c>
      <c r="G529" s="5" t="str">
        <f t="shared" si="36"/>
        <v/>
      </c>
      <c r="I529" s="6" t="str">
        <f t="shared" si="37"/>
        <v>0</v>
      </c>
    </row>
    <row r="530" spans="1:11" x14ac:dyDescent="0.2">
      <c r="A530" t="s">
        <v>631</v>
      </c>
      <c r="B530" t="s">
        <v>5499</v>
      </c>
      <c r="G530" s="5" t="str">
        <f t="shared" si="36"/>
        <v/>
      </c>
      <c r="I530" s="6" t="str">
        <f t="shared" si="37"/>
        <v>0</v>
      </c>
      <c r="K530" s="19" t="s">
        <v>5500</v>
      </c>
    </row>
    <row r="531" spans="1:11" x14ac:dyDescent="0.2">
      <c r="A531" t="s">
        <v>632</v>
      </c>
      <c r="B531" t="s">
        <v>6497</v>
      </c>
      <c r="G531" s="5" t="str">
        <f t="shared" si="36"/>
        <v/>
      </c>
      <c r="I531" s="6" t="str">
        <f t="shared" si="37"/>
        <v>0</v>
      </c>
    </row>
    <row r="532" spans="1:11" x14ac:dyDescent="0.2">
      <c r="A532" t="s">
        <v>633</v>
      </c>
      <c r="B532" t="s">
        <v>6498</v>
      </c>
      <c r="G532" s="5" t="str">
        <f t="shared" si="36"/>
        <v/>
      </c>
      <c r="I532" s="6" t="str">
        <f t="shared" si="37"/>
        <v>0</v>
      </c>
    </row>
    <row r="533" spans="1:11" x14ac:dyDescent="0.2">
      <c r="A533" t="s">
        <v>634</v>
      </c>
      <c r="B533" t="s">
        <v>5501</v>
      </c>
      <c r="G533" s="5" t="str">
        <f t="shared" si="36"/>
        <v/>
      </c>
      <c r="I533" s="6" t="str">
        <f t="shared" si="37"/>
        <v>0</v>
      </c>
      <c r="K533" s="19" t="s">
        <v>5502</v>
      </c>
    </row>
    <row r="534" spans="1:11" x14ac:dyDescent="0.2">
      <c r="A534" t="s">
        <v>635</v>
      </c>
      <c r="B534" t="s">
        <v>5503</v>
      </c>
      <c r="G534" s="5" t="str">
        <f t="shared" si="36"/>
        <v/>
      </c>
      <c r="I534" s="6" t="str">
        <f t="shared" si="37"/>
        <v>0</v>
      </c>
      <c r="K534" s="19" t="s">
        <v>6203</v>
      </c>
    </row>
    <row r="535" spans="1:11" x14ac:dyDescent="0.2">
      <c r="A535" t="s">
        <v>636</v>
      </c>
      <c r="B535" t="s">
        <v>5504</v>
      </c>
      <c r="G535" s="5" t="str">
        <f t="shared" si="36"/>
        <v/>
      </c>
      <c r="I535" s="6" t="str">
        <f t="shared" si="37"/>
        <v>0</v>
      </c>
      <c r="K535" s="19" t="s">
        <v>6204</v>
      </c>
    </row>
    <row r="536" spans="1:11" x14ac:dyDescent="0.2">
      <c r="A536" t="s">
        <v>637</v>
      </c>
      <c r="B536" t="s">
        <v>6499</v>
      </c>
      <c r="G536" s="5" t="str">
        <f t="shared" si="36"/>
        <v/>
      </c>
      <c r="I536" s="6" t="str">
        <f t="shared" si="37"/>
        <v>0</v>
      </c>
    </row>
    <row r="537" spans="1:11" x14ac:dyDescent="0.2">
      <c r="A537" t="s">
        <v>638</v>
      </c>
      <c r="B537" t="s">
        <v>6500</v>
      </c>
      <c r="G537" s="5" t="str">
        <f t="shared" si="36"/>
        <v/>
      </c>
      <c r="I537" s="6" t="str">
        <f t="shared" si="37"/>
        <v>0</v>
      </c>
    </row>
    <row r="538" spans="1:11" x14ac:dyDescent="0.2">
      <c r="A538" t="s">
        <v>639</v>
      </c>
      <c r="B538" t="s">
        <v>6501</v>
      </c>
      <c r="G538" s="5" t="str">
        <f t="shared" si="36"/>
        <v/>
      </c>
      <c r="I538" s="6" t="str">
        <f t="shared" si="37"/>
        <v>0</v>
      </c>
    </row>
    <row r="539" spans="1:11" x14ac:dyDescent="0.2">
      <c r="A539" t="s">
        <v>640</v>
      </c>
      <c r="B539" t="s">
        <v>5505</v>
      </c>
      <c r="G539" s="5" t="str">
        <f t="shared" si="36"/>
        <v/>
      </c>
      <c r="I539" s="6" t="str">
        <f t="shared" si="37"/>
        <v>0</v>
      </c>
      <c r="K539" s="19" t="s">
        <v>5506</v>
      </c>
    </row>
    <row r="540" spans="1:11" x14ac:dyDescent="0.2">
      <c r="A540" t="s">
        <v>641</v>
      </c>
      <c r="B540" t="s">
        <v>6502</v>
      </c>
      <c r="G540" s="5" t="str">
        <f t="shared" si="36"/>
        <v/>
      </c>
      <c r="I540" s="6" t="str">
        <f t="shared" si="37"/>
        <v>0</v>
      </c>
    </row>
    <row r="541" spans="1:11" x14ac:dyDescent="0.2">
      <c r="A541" t="s">
        <v>642</v>
      </c>
      <c r="B541" t="s">
        <v>6503</v>
      </c>
      <c r="G541" s="5" t="str">
        <f t="shared" si="36"/>
        <v/>
      </c>
      <c r="I541" s="6" t="str">
        <f t="shared" si="37"/>
        <v>0</v>
      </c>
    </row>
    <row r="542" spans="1:11" x14ac:dyDescent="0.2">
      <c r="A542" t="s">
        <v>643</v>
      </c>
      <c r="B542" t="s">
        <v>5507</v>
      </c>
      <c r="G542" s="5" t="str">
        <f t="shared" si="36"/>
        <v/>
      </c>
      <c r="I542" s="6" t="str">
        <f t="shared" si="37"/>
        <v>0</v>
      </c>
      <c r="K542" s="19" t="s">
        <v>5508</v>
      </c>
    </row>
    <row r="543" spans="1:11" x14ac:dyDescent="0.2">
      <c r="A543" t="s">
        <v>644</v>
      </c>
      <c r="B543" t="s">
        <v>6504</v>
      </c>
      <c r="G543" s="5" t="str">
        <f t="shared" si="36"/>
        <v/>
      </c>
      <c r="I543" s="6" t="str">
        <f t="shared" si="37"/>
        <v>0</v>
      </c>
    </row>
    <row r="544" spans="1:11" x14ac:dyDescent="0.2">
      <c r="A544" t="s">
        <v>645</v>
      </c>
      <c r="B544" t="s">
        <v>6505</v>
      </c>
      <c r="G544" s="5" t="str">
        <f t="shared" si="36"/>
        <v/>
      </c>
      <c r="I544" s="6" t="str">
        <f t="shared" si="37"/>
        <v>0</v>
      </c>
    </row>
    <row r="545" spans="1:11" x14ac:dyDescent="0.2">
      <c r="A545" t="s">
        <v>646</v>
      </c>
      <c r="B545" t="s">
        <v>5509</v>
      </c>
      <c r="G545" s="5" t="str">
        <f t="shared" si="36"/>
        <v/>
      </c>
      <c r="I545" s="6" t="str">
        <f t="shared" si="37"/>
        <v>0</v>
      </c>
      <c r="K545" s="19" t="s">
        <v>5510</v>
      </c>
    </row>
    <row r="546" spans="1:11" x14ac:dyDescent="0.2">
      <c r="A546" t="s">
        <v>647</v>
      </c>
      <c r="B546" t="s">
        <v>6506</v>
      </c>
      <c r="G546" s="5" t="str">
        <f t="shared" si="36"/>
        <v/>
      </c>
      <c r="I546" s="6" t="str">
        <f t="shared" si="37"/>
        <v>0</v>
      </c>
      <c r="K546" s="19" t="s">
        <v>6205</v>
      </c>
    </row>
    <row r="547" spans="1:11" x14ac:dyDescent="0.2">
      <c r="A547" t="s">
        <v>648</v>
      </c>
      <c r="B547" t="s">
        <v>6507</v>
      </c>
      <c r="G547" s="5" t="str">
        <f t="shared" si="36"/>
        <v/>
      </c>
      <c r="I547" s="6" t="str">
        <f t="shared" si="37"/>
        <v>0</v>
      </c>
    </row>
    <row r="548" spans="1:11" x14ac:dyDescent="0.2">
      <c r="A548" t="s">
        <v>649</v>
      </c>
      <c r="B548" t="s">
        <v>6508</v>
      </c>
      <c r="G548" s="5" t="str">
        <f t="shared" si="36"/>
        <v/>
      </c>
      <c r="I548" s="6" t="str">
        <f t="shared" si="37"/>
        <v>0</v>
      </c>
    </row>
    <row r="549" spans="1:11" x14ac:dyDescent="0.2">
      <c r="A549" t="s">
        <v>650</v>
      </c>
      <c r="B549" t="s">
        <v>6509</v>
      </c>
      <c r="G549" s="5" t="str">
        <f t="shared" si="36"/>
        <v/>
      </c>
      <c r="I549" s="6" t="str">
        <f t="shared" si="37"/>
        <v>0</v>
      </c>
    </row>
    <row r="550" spans="1:11" x14ac:dyDescent="0.2">
      <c r="A550" t="s">
        <v>651</v>
      </c>
      <c r="B550" t="s">
        <v>6510</v>
      </c>
      <c r="G550" s="5" t="str">
        <f t="shared" si="36"/>
        <v/>
      </c>
      <c r="I550" s="6" t="str">
        <f t="shared" si="37"/>
        <v>0</v>
      </c>
    </row>
    <row r="551" spans="1:11" x14ac:dyDescent="0.2">
      <c r="A551" t="s">
        <v>652</v>
      </c>
      <c r="B551" t="s">
        <v>6511</v>
      </c>
      <c r="G551" s="5" t="str">
        <f t="shared" si="36"/>
        <v/>
      </c>
      <c r="I551" s="6" t="str">
        <f t="shared" si="37"/>
        <v>0</v>
      </c>
    </row>
    <row r="552" spans="1:11" x14ac:dyDescent="0.2">
      <c r="A552" t="s">
        <v>653</v>
      </c>
      <c r="B552" t="s">
        <v>6512</v>
      </c>
      <c r="G552" s="5" t="str">
        <f t="shared" si="36"/>
        <v/>
      </c>
      <c r="I552" s="6" t="str">
        <f t="shared" si="37"/>
        <v>0</v>
      </c>
    </row>
    <row r="553" spans="1:11" x14ac:dyDescent="0.2">
      <c r="A553" t="s">
        <v>654</v>
      </c>
      <c r="B553" t="s">
        <v>6513</v>
      </c>
      <c r="G553" s="5" t="str">
        <f t="shared" si="36"/>
        <v/>
      </c>
      <c r="I553" s="6" t="str">
        <f t="shared" si="37"/>
        <v>0</v>
      </c>
    </row>
    <row r="554" spans="1:11" x14ac:dyDescent="0.2">
      <c r="A554" t="s">
        <v>655</v>
      </c>
      <c r="B554" t="s">
        <v>5511</v>
      </c>
      <c r="G554" s="5" t="str">
        <f t="shared" si="36"/>
        <v/>
      </c>
      <c r="I554" s="6" t="str">
        <f t="shared" si="37"/>
        <v>0</v>
      </c>
      <c r="K554" s="19" t="s">
        <v>7261</v>
      </c>
    </row>
    <row r="555" spans="1:11" x14ac:dyDescent="0.2">
      <c r="A555" t="s">
        <v>656</v>
      </c>
      <c r="B555" t="s">
        <v>6514</v>
      </c>
      <c r="G555" s="5" t="str">
        <f t="shared" si="36"/>
        <v/>
      </c>
      <c r="I555" s="6" t="str">
        <f t="shared" si="37"/>
        <v>0</v>
      </c>
    </row>
    <row r="556" spans="1:11" x14ac:dyDescent="0.2">
      <c r="A556" t="s">
        <v>657</v>
      </c>
      <c r="B556" t="s">
        <v>6515</v>
      </c>
      <c r="G556" s="5" t="str">
        <f t="shared" si="36"/>
        <v/>
      </c>
      <c r="I556" s="6" t="str">
        <f t="shared" si="37"/>
        <v>0</v>
      </c>
    </row>
    <row r="557" spans="1:11" x14ac:dyDescent="0.2">
      <c r="A557" t="s">
        <v>658</v>
      </c>
      <c r="B557" t="s">
        <v>6516</v>
      </c>
      <c r="G557" s="5" t="str">
        <f t="shared" si="36"/>
        <v/>
      </c>
      <c r="I557" s="6" t="str">
        <f t="shared" si="37"/>
        <v>0</v>
      </c>
    </row>
    <row r="558" spans="1:11" x14ac:dyDescent="0.2">
      <c r="A558" t="s">
        <v>659</v>
      </c>
      <c r="B558" t="s">
        <v>6517</v>
      </c>
      <c r="G558" s="5" t="str">
        <f t="shared" si="36"/>
        <v/>
      </c>
      <c r="I558" s="6" t="str">
        <f t="shared" si="37"/>
        <v>0</v>
      </c>
      <c r="K558" s="19" t="s">
        <v>6206</v>
      </c>
    </row>
    <row r="559" spans="1:11" x14ac:dyDescent="0.2">
      <c r="A559" t="s">
        <v>660</v>
      </c>
      <c r="B559" t="s">
        <v>6518</v>
      </c>
      <c r="G559" s="5" t="str">
        <f t="shared" si="36"/>
        <v/>
      </c>
      <c r="I559" s="6" t="str">
        <f t="shared" si="37"/>
        <v>0</v>
      </c>
    </row>
    <row r="560" spans="1:11" x14ac:dyDescent="0.2">
      <c r="A560" t="s">
        <v>661</v>
      </c>
      <c r="B560" t="s">
        <v>6519</v>
      </c>
      <c r="G560" s="5" t="str">
        <f t="shared" si="36"/>
        <v/>
      </c>
      <c r="I560" s="6" t="str">
        <f t="shared" si="37"/>
        <v>0</v>
      </c>
    </row>
    <row r="561" spans="1:11" x14ac:dyDescent="0.2">
      <c r="A561" t="s">
        <v>662</v>
      </c>
      <c r="B561" t="s">
        <v>5753</v>
      </c>
      <c r="G561" s="5" t="str">
        <f t="shared" si="36"/>
        <v/>
      </c>
      <c r="I561" s="6" t="str">
        <f t="shared" si="37"/>
        <v>0</v>
      </c>
      <c r="K561" s="19" t="s">
        <v>5754</v>
      </c>
    </row>
    <row r="562" spans="1:11" x14ac:dyDescent="0.2">
      <c r="A562" t="s">
        <v>663</v>
      </c>
      <c r="B562" t="s">
        <v>5512</v>
      </c>
      <c r="G562" s="5" t="str">
        <f t="shared" si="36"/>
        <v/>
      </c>
      <c r="I562" s="6" t="str">
        <f t="shared" si="37"/>
        <v>0</v>
      </c>
      <c r="K562" s="19" t="s">
        <v>5513</v>
      </c>
    </row>
    <row r="563" spans="1:11" x14ac:dyDescent="0.2">
      <c r="A563" t="s">
        <v>664</v>
      </c>
      <c r="B563" t="s">
        <v>6520</v>
      </c>
      <c r="G563" s="5" t="str">
        <f t="shared" si="36"/>
        <v/>
      </c>
      <c r="I563" s="6" t="str">
        <f t="shared" si="37"/>
        <v>0</v>
      </c>
    </row>
    <row r="564" spans="1:11" x14ac:dyDescent="0.2">
      <c r="A564" t="s">
        <v>665</v>
      </c>
      <c r="B564" t="s">
        <v>6521</v>
      </c>
      <c r="G564" s="5" t="str">
        <f t="shared" si="36"/>
        <v/>
      </c>
      <c r="I564" s="6" t="str">
        <f t="shared" si="37"/>
        <v>0</v>
      </c>
    </row>
    <row r="565" spans="1:11" x14ac:dyDescent="0.2">
      <c r="A565" t="s">
        <v>666</v>
      </c>
      <c r="B565" t="s">
        <v>6522</v>
      </c>
      <c r="G565" s="5" t="str">
        <f t="shared" si="36"/>
        <v/>
      </c>
      <c r="I565" s="6" t="str">
        <f t="shared" si="37"/>
        <v>0</v>
      </c>
    </row>
    <row r="566" spans="1:11" x14ac:dyDescent="0.2">
      <c r="A566" t="s">
        <v>667</v>
      </c>
      <c r="B566" t="s">
        <v>6523</v>
      </c>
      <c r="G566" s="5" t="str">
        <f t="shared" si="36"/>
        <v/>
      </c>
      <c r="I566" s="6" t="str">
        <f t="shared" si="37"/>
        <v>0</v>
      </c>
    </row>
    <row r="567" spans="1:11" x14ac:dyDescent="0.2">
      <c r="A567" t="s">
        <v>668</v>
      </c>
      <c r="B567" t="s">
        <v>5514</v>
      </c>
      <c r="G567" s="5" t="str">
        <f t="shared" si="36"/>
        <v/>
      </c>
      <c r="I567" s="6" t="str">
        <f t="shared" si="37"/>
        <v>0</v>
      </c>
      <c r="K567" s="19" t="s">
        <v>5515</v>
      </c>
    </row>
    <row r="568" spans="1:11" x14ac:dyDescent="0.2">
      <c r="A568" t="s">
        <v>669</v>
      </c>
      <c r="B568" t="s">
        <v>6524</v>
      </c>
      <c r="G568" s="5" t="str">
        <f t="shared" si="36"/>
        <v/>
      </c>
      <c r="I568" s="6" t="str">
        <f t="shared" si="37"/>
        <v>0</v>
      </c>
    </row>
    <row r="569" spans="1:11" x14ac:dyDescent="0.2">
      <c r="A569" t="s">
        <v>670</v>
      </c>
      <c r="B569" t="s">
        <v>6525</v>
      </c>
      <c r="G569" s="5" t="str">
        <f t="shared" si="36"/>
        <v/>
      </c>
      <c r="I569" s="6" t="str">
        <f t="shared" si="37"/>
        <v>0</v>
      </c>
    </row>
    <row r="570" spans="1:11" x14ac:dyDescent="0.2">
      <c r="A570" t="s">
        <v>671</v>
      </c>
      <c r="B570" t="s">
        <v>6526</v>
      </c>
      <c r="G570" s="5" t="str">
        <f t="shared" si="36"/>
        <v/>
      </c>
      <c r="I570" s="6" t="str">
        <f t="shared" si="37"/>
        <v>0</v>
      </c>
      <c r="K570" s="19" t="s">
        <v>6207</v>
      </c>
    </row>
    <row r="571" spans="1:11" x14ac:dyDescent="0.2">
      <c r="A571" t="s">
        <v>672</v>
      </c>
      <c r="B571" t="s">
        <v>6527</v>
      </c>
      <c r="G571" s="5" t="str">
        <f t="shared" si="36"/>
        <v/>
      </c>
      <c r="I571" s="6" t="str">
        <f t="shared" si="37"/>
        <v>0</v>
      </c>
    </row>
    <row r="572" spans="1:11" x14ac:dyDescent="0.2">
      <c r="A572" t="s">
        <v>673</v>
      </c>
      <c r="B572" t="s">
        <v>3427</v>
      </c>
      <c r="E572" t="str">
        <f t="shared" ref="E572:E573" si="38">IF(D572&lt;&gt;"",C572&amp;"/"&amp;D572,"")</f>
        <v/>
      </c>
      <c r="G572" s="5" t="str">
        <f t="shared" si="36"/>
        <v/>
      </c>
      <c r="I572" s="6" t="str">
        <f t="shared" si="37"/>
        <v>0</v>
      </c>
    </row>
    <row r="573" spans="1:11" x14ac:dyDescent="0.2">
      <c r="A573" t="s">
        <v>674</v>
      </c>
      <c r="B573" t="s">
        <v>3290</v>
      </c>
      <c r="E573" t="str">
        <f t="shared" si="38"/>
        <v/>
      </c>
      <c r="G573" s="5" t="str">
        <f t="shared" si="36"/>
        <v/>
      </c>
      <c r="I573" s="6" t="str">
        <f t="shared" si="37"/>
        <v>0</v>
      </c>
    </row>
    <row r="574" spans="1:11" x14ac:dyDescent="0.2">
      <c r="A574" t="s">
        <v>675</v>
      </c>
      <c r="B574" t="s">
        <v>6528</v>
      </c>
      <c r="G574" s="5" t="str">
        <f t="shared" si="36"/>
        <v/>
      </c>
      <c r="I574" s="6" t="str">
        <f t="shared" si="37"/>
        <v>0</v>
      </c>
    </row>
    <row r="575" spans="1:11" x14ac:dyDescent="0.2">
      <c r="A575" t="s">
        <v>676</v>
      </c>
      <c r="B575" t="s">
        <v>6529</v>
      </c>
      <c r="G575" s="5" t="str">
        <f t="shared" si="36"/>
        <v/>
      </c>
      <c r="I575" s="6" t="str">
        <f t="shared" si="37"/>
        <v>0</v>
      </c>
    </row>
    <row r="576" spans="1:11" x14ac:dyDescent="0.2">
      <c r="A576" t="s">
        <v>677</v>
      </c>
      <c r="B576" t="s">
        <v>6530</v>
      </c>
      <c r="G576" s="5" t="str">
        <f t="shared" si="36"/>
        <v/>
      </c>
      <c r="I576" s="6" t="str">
        <f t="shared" si="37"/>
        <v>0</v>
      </c>
      <c r="K576" s="19" t="s">
        <v>6208</v>
      </c>
    </row>
    <row r="577" spans="1:11" x14ac:dyDescent="0.2">
      <c r="A577" t="s">
        <v>678</v>
      </c>
      <c r="B577" t="s">
        <v>6531</v>
      </c>
      <c r="G577" s="5" t="str">
        <f t="shared" ref="G577:G640" si="39">IF(F577&lt;&gt;"",HEX2DEC(SUBSTITUTE(SUBSTITUTE(F577,"adrEA",""),"$","")),"")</f>
        <v/>
      </c>
      <c r="I577" s="6" t="str">
        <f t="shared" ref="I577:I640" si="40">IFERROR(DEC2HEX(H577),"")</f>
        <v>0</v>
      </c>
    </row>
    <row r="578" spans="1:11" x14ac:dyDescent="0.2">
      <c r="A578" t="s">
        <v>679</v>
      </c>
      <c r="B578" t="s">
        <v>5516</v>
      </c>
      <c r="G578" s="5" t="str">
        <f t="shared" si="39"/>
        <v/>
      </c>
      <c r="I578" s="6" t="str">
        <f t="shared" si="40"/>
        <v>0</v>
      </c>
      <c r="K578" s="19" t="s">
        <v>5517</v>
      </c>
    </row>
    <row r="579" spans="1:11" x14ac:dyDescent="0.2">
      <c r="A579" t="s">
        <v>680</v>
      </c>
      <c r="B579" t="s">
        <v>6532</v>
      </c>
      <c r="G579" s="5" t="str">
        <f t="shared" si="39"/>
        <v/>
      </c>
      <c r="I579" s="6" t="str">
        <f t="shared" si="40"/>
        <v>0</v>
      </c>
    </row>
    <row r="580" spans="1:11" x14ac:dyDescent="0.2">
      <c r="A580" t="s">
        <v>681</v>
      </c>
      <c r="B580" t="s">
        <v>6533</v>
      </c>
      <c r="G580" s="5" t="str">
        <f t="shared" si="39"/>
        <v/>
      </c>
      <c r="I580" s="6" t="str">
        <f t="shared" si="40"/>
        <v>0</v>
      </c>
    </row>
    <row r="581" spans="1:11" x14ac:dyDescent="0.2">
      <c r="A581" t="s">
        <v>682</v>
      </c>
      <c r="B581" t="s">
        <v>6534</v>
      </c>
      <c r="G581" s="5" t="str">
        <f t="shared" si="39"/>
        <v/>
      </c>
      <c r="I581" s="6" t="str">
        <f t="shared" si="40"/>
        <v>0</v>
      </c>
    </row>
    <row r="582" spans="1:11" x14ac:dyDescent="0.2">
      <c r="A582" t="s">
        <v>683</v>
      </c>
      <c r="B582" t="s">
        <v>6535</v>
      </c>
      <c r="G582" s="5" t="str">
        <f t="shared" si="39"/>
        <v/>
      </c>
      <c r="I582" s="6" t="str">
        <f t="shared" si="40"/>
        <v>0</v>
      </c>
      <c r="K582" s="19" t="s">
        <v>6209</v>
      </c>
    </row>
    <row r="583" spans="1:11" x14ac:dyDescent="0.2">
      <c r="A583" t="s">
        <v>684</v>
      </c>
      <c r="B583" t="s">
        <v>6536</v>
      </c>
      <c r="G583" s="5" t="str">
        <f t="shared" si="39"/>
        <v/>
      </c>
      <c r="I583" s="6" t="str">
        <f t="shared" si="40"/>
        <v>0</v>
      </c>
    </row>
    <row r="584" spans="1:11" x14ac:dyDescent="0.2">
      <c r="A584" t="s">
        <v>685</v>
      </c>
      <c r="B584" t="s">
        <v>6537</v>
      </c>
      <c r="G584" s="5" t="str">
        <f t="shared" si="39"/>
        <v/>
      </c>
      <c r="I584" s="6" t="str">
        <f t="shared" si="40"/>
        <v>0</v>
      </c>
    </row>
    <row r="585" spans="1:11" x14ac:dyDescent="0.2">
      <c r="A585" t="s">
        <v>686</v>
      </c>
      <c r="B585" t="s">
        <v>6538</v>
      </c>
      <c r="G585" s="5" t="str">
        <f t="shared" si="39"/>
        <v/>
      </c>
      <c r="I585" s="6" t="str">
        <f t="shared" si="40"/>
        <v>0</v>
      </c>
    </row>
    <row r="586" spans="1:11" x14ac:dyDescent="0.2">
      <c r="A586" t="s">
        <v>687</v>
      </c>
      <c r="B586" t="s">
        <v>6146</v>
      </c>
      <c r="G586" s="5" t="str">
        <f t="shared" si="39"/>
        <v/>
      </c>
      <c r="I586" s="6" t="str">
        <f t="shared" si="40"/>
        <v>0</v>
      </c>
      <c r="K586" s="19" t="s">
        <v>6147</v>
      </c>
    </row>
    <row r="587" spans="1:11" x14ac:dyDescent="0.2">
      <c r="A587" t="s">
        <v>688</v>
      </c>
      <c r="B587" t="s">
        <v>6148</v>
      </c>
      <c r="G587" s="5" t="str">
        <f t="shared" si="39"/>
        <v/>
      </c>
      <c r="I587" s="6" t="str">
        <f t="shared" si="40"/>
        <v>0</v>
      </c>
      <c r="K587" s="19" t="s">
        <v>6149</v>
      </c>
    </row>
    <row r="588" spans="1:11" x14ac:dyDescent="0.2">
      <c r="A588" t="s">
        <v>689</v>
      </c>
      <c r="B588" t="s">
        <v>6150</v>
      </c>
      <c r="G588" s="5" t="str">
        <f t="shared" si="39"/>
        <v/>
      </c>
      <c r="I588" s="6" t="str">
        <f t="shared" si="40"/>
        <v>0</v>
      </c>
      <c r="K588" s="19" t="s">
        <v>6151</v>
      </c>
    </row>
    <row r="589" spans="1:11" x14ac:dyDescent="0.2">
      <c r="A589" t="s">
        <v>690</v>
      </c>
      <c r="B589" t="s">
        <v>5755</v>
      </c>
      <c r="G589" s="5" t="str">
        <f t="shared" si="39"/>
        <v/>
      </c>
      <c r="I589" s="6" t="str">
        <f t="shared" si="40"/>
        <v>0</v>
      </c>
      <c r="K589" s="19" t="s">
        <v>5756</v>
      </c>
    </row>
    <row r="590" spans="1:11" x14ac:dyDescent="0.2">
      <c r="A590" t="s">
        <v>691</v>
      </c>
      <c r="B590" t="s">
        <v>6152</v>
      </c>
      <c r="G590" s="5" t="str">
        <f t="shared" si="39"/>
        <v/>
      </c>
      <c r="I590" s="6" t="str">
        <f t="shared" si="40"/>
        <v>0</v>
      </c>
      <c r="K590" s="19" t="s">
        <v>6153</v>
      </c>
    </row>
    <row r="591" spans="1:11" x14ac:dyDescent="0.2">
      <c r="A591" t="s">
        <v>692</v>
      </c>
      <c r="B591" t="s">
        <v>6539</v>
      </c>
      <c r="G591" s="5" t="str">
        <f t="shared" si="39"/>
        <v/>
      </c>
      <c r="I591" s="6" t="str">
        <f t="shared" si="40"/>
        <v>0</v>
      </c>
    </row>
    <row r="592" spans="1:11" x14ac:dyDescent="0.2">
      <c r="A592" t="s">
        <v>693</v>
      </c>
      <c r="B592" t="s">
        <v>6154</v>
      </c>
      <c r="G592" s="5" t="str">
        <f t="shared" si="39"/>
        <v/>
      </c>
      <c r="I592" s="6" t="str">
        <f t="shared" si="40"/>
        <v>0</v>
      </c>
      <c r="K592" s="19" t="s">
        <v>6155</v>
      </c>
    </row>
    <row r="593" spans="1:11" x14ac:dyDescent="0.2">
      <c r="A593" t="s">
        <v>694</v>
      </c>
      <c r="B593" t="s">
        <v>6156</v>
      </c>
      <c r="G593" s="5" t="str">
        <f t="shared" si="39"/>
        <v/>
      </c>
      <c r="I593" s="6" t="str">
        <f t="shared" si="40"/>
        <v>0</v>
      </c>
      <c r="K593" s="19" t="s">
        <v>6157</v>
      </c>
    </row>
    <row r="594" spans="1:11" x14ac:dyDescent="0.2">
      <c r="A594" t="s">
        <v>695</v>
      </c>
      <c r="B594" t="s">
        <v>6158</v>
      </c>
      <c r="G594" s="5" t="str">
        <f t="shared" si="39"/>
        <v/>
      </c>
      <c r="I594" s="6" t="str">
        <f t="shared" si="40"/>
        <v>0</v>
      </c>
      <c r="K594" s="19" t="s">
        <v>6159</v>
      </c>
    </row>
    <row r="595" spans="1:11" x14ac:dyDescent="0.2">
      <c r="A595" t="s">
        <v>696</v>
      </c>
      <c r="B595" t="s">
        <v>6160</v>
      </c>
      <c r="G595" s="5" t="str">
        <f t="shared" si="39"/>
        <v/>
      </c>
      <c r="I595" s="6" t="str">
        <f t="shared" si="40"/>
        <v>0</v>
      </c>
      <c r="K595" s="19" t="s">
        <v>6161</v>
      </c>
    </row>
    <row r="596" spans="1:11" x14ac:dyDescent="0.2">
      <c r="A596" t="s">
        <v>697</v>
      </c>
      <c r="B596" t="s">
        <v>6162</v>
      </c>
      <c r="G596" s="5" t="str">
        <f t="shared" si="39"/>
        <v/>
      </c>
      <c r="I596" s="6" t="str">
        <f t="shared" si="40"/>
        <v>0</v>
      </c>
      <c r="K596" s="19" t="s">
        <v>6163</v>
      </c>
    </row>
    <row r="597" spans="1:11" x14ac:dyDescent="0.2">
      <c r="A597" t="s">
        <v>698</v>
      </c>
      <c r="B597" t="s">
        <v>5518</v>
      </c>
      <c r="G597" s="5" t="str">
        <f t="shared" si="39"/>
        <v/>
      </c>
      <c r="I597" s="6" t="str">
        <f t="shared" si="40"/>
        <v>0</v>
      </c>
      <c r="K597" s="19" t="s">
        <v>5519</v>
      </c>
    </row>
    <row r="598" spans="1:11" x14ac:dyDescent="0.2">
      <c r="A598" t="s">
        <v>699</v>
      </c>
      <c r="B598" t="s">
        <v>6540</v>
      </c>
      <c r="G598" s="5" t="str">
        <f t="shared" si="39"/>
        <v/>
      </c>
      <c r="I598" s="6" t="str">
        <f t="shared" si="40"/>
        <v>0</v>
      </c>
    </row>
    <row r="599" spans="1:11" x14ac:dyDescent="0.2">
      <c r="A599" t="s">
        <v>700</v>
      </c>
      <c r="B599" t="s">
        <v>6164</v>
      </c>
      <c r="G599" s="5" t="str">
        <f t="shared" si="39"/>
        <v/>
      </c>
      <c r="I599" s="6" t="str">
        <f t="shared" si="40"/>
        <v>0</v>
      </c>
      <c r="K599" s="19" t="s">
        <v>6165</v>
      </c>
    </row>
    <row r="600" spans="1:11" x14ac:dyDescent="0.2">
      <c r="A600" t="s">
        <v>701</v>
      </c>
      <c r="B600" t="s">
        <v>5757</v>
      </c>
      <c r="G600" s="5" t="str">
        <f t="shared" si="39"/>
        <v/>
      </c>
      <c r="I600" s="6" t="str">
        <f t="shared" si="40"/>
        <v>0</v>
      </c>
      <c r="K600" s="19" t="s">
        <v>5758</v>
      </c>
    </row>
    <row r="601" spans="1:11" x14ac:dyDescent="0.2">
      <c r="A601" t="s">
        <v>702</v>
      </c>
      <c r="B601" t="s">
        <v>6541</v>
      </c>
      <c r="G601" s="5" t="str">
        <f t="shared" si="39"/>
        <v/>
      </c>
      <c r="I601" s="6" t="str">
        <f t="shared" si="40"/>
        <v>0</v>
      </c>
    </row>
    <row r="602" spans="1:11" x14ac:dyDescent="0.2">
      <c r="A602" t="s">
        <v>703</v>
      </c>
      <c r="B602" t="s">
        <v>6166</v>
      </c>
      <c r="G602" s="5" t="str">
        <f t="shared" si="39"/>
        <v/>
      </c>
      <c r="I602" s="6" t="str">
        <f t="shared" si="40"/>
        <v>0</v>
      </c>
      <c r="K602" s="19" t="s">
        <v>6167</v>
      </c>
    </row>
    <row r="603" spans="1:11" x14ac:dyDescent="0.2">
      <c r="A603" t="s">
        <v>704</v>
      </c>
      <c r="B603" t="s">
        <v>5759</v>
      </c>
      <c r="G603" s="5" t="str">
        <f t="shared" si="39"/>
        <v/>
      </c>
      <c r="I603" s="6" t="str">
        <f t="shared" si="40"/>
        <v>0</v>
      </c>
      <c r="K603" s="19" t="s">
        <v>5760</v>
      </c>
    </row>
    <row r="604" spans="1:11" x14ac:dyDescent="0.2">
      <c r="A604" t="s">
        <v>705</v>
      </c>
      <c r="B604" t="s">
        <v>5761</v>
      </c>
      <c r="G604" s="5" t="str">
        <f t="shared" si="39"/>
        <v/>
      </c>
      <c r="I604" s="6" t="str">
        <f t="shared" si="40"/>
        <v>0</v>
      </c>
      <c r="K604" s="19" t="s">
        <v>5762</v>
      </c>
    </row>
    <row r="605" spans="1:11" x14ac:dyDescent="0.2">
      <c r="A605" t="s">
        <v>706</v>
      </c>
      <c r="B605" t="s">
        <v>6542</v>
      </c>
      <c r="G605" s="5" t="str">
        <f t="shared" si="39"/>
        <v/>
      </c>
      <c r="I605" s="6" t="str">
        <f t="shared" si="40"/>
        <v>0</v>
      </c>
    </row>
    <row r="606" spans="1:11" x14ac:dyDescent="0.2">
      <c r="A606" t="s">
        <v>707</v>
      </c>
      <c r="B606" t="s">
        <v>6543</v>
      </c>
      <c r="G606" s="5" t="str">
        <f t="shared" si="39"/>
        <v/>
      </c>
      <c r="I606" s="6" t="str">
        <f t="shared" si="40"/>
        <v>0</v>
      </c>
    </row>
    <row r="607" spans="1:11" x14ac:dyDescent="0.2">
      <c r="A607" t="s">
        <v>708</v>
      </c>
      <c r="B607" t="s">
        <v>5763</v>
      </c>
      <c r="G607" s="5" t="str">
        <f t="shared" si="39"/>
        <v/>
      </c>
      <c r="I607" s="6" t="str">
        <f t="shared" si="40"/>
        <v>0</v>
      </c>
      <c r="K607" s="19" t="s">
        <v>5764</v>
      </c>
    </row>
    <row r="608" spans="1:11" x14ac:dyDescent="0.2">
      <c r="A608" t="s">
        <v>709</v>
      </c>
      <c r="B608" t="s">
        <v>5765</v>
      </c>
      <c r="G608" s="5" t="str">
        <f t="shared" si="39"/>
        <v/>
      </c>
      <c r="I608" s="6" t="str">
        <f t="shared" si="40"/>
        <v>0</v>
      </c>
      <c r="K608" s="19" t="s">
        <v>5766</v>
      </c>
    </row>
    <row r="609" spans="1:11" x14ac:dyDescent="0.2">
      <c r="A609" t="s">
        <v>710</v>
      </c>
      <c r="B609" t="s">
        <v>6544</v>
      </c>
      <c r="G609" s="5" t="str">
        <f t="shared" si="39"/>
        <v/>
      </c>
      <c r="I609" s="6" t="str">
        <f t="shared" si="40"/>
        <v>0</v>
      </c>
      <c r="K609" s="19" t="s">
        <v>6210</v>
      </c>
    </row>
    <row r="610" spans="1:11" x14ac:dyDescent="0.2">
      <c r="A610" t="s">
        <v>711</v>
      </c>
      <c r="B610" t="s">
        <v>712</v>
      </c>
      <c r="E610" t="str">
        <f t="shared" ref="E610" si="41">IF(D610&lt;&gt;"",C610&amp;"/"&amp;D610,"")</f>
        <v/>
      </c>
      <c r="G610" s="5" t="str">
        <f t="shared" si="39"/>
        <v/>
      </c>
      <c r="I610" s="6" t="str">
        <f t="shared" si="40"/>
        <v>0</v>
      </c>
    </row>
    <row r="611" spans="1:11" x14ac:dyDescent="0.2">
      <c r="A611" t="s">
        <v>713</v>
      </c>
      <c r="B611" t="s">
        <v>5520</v>
      </c>
      <c r="G611" s="5" t="str">
        <f t="shared" si="39"/>
        <v/>
      </c>
      <c r="I611" s="6" t="str">
        <f t="shared" si="40"/>
        <v>0</v>
      </c>
      <c r="K611" s="19" t="s">
        <v>5521</v>
      </c>
    </row>
    <row r="612" spans="1:11" x14ac:dyDescent="0.2">
      <c r="A612" t="s">
        <v>714</v>
      </c>
      <c r="B612" t="s">
        <v>6545</v>
      </c>
      <c r="G612" s="5" t="str">
        <f t="shared" si="39"/>
        <v/>
      </c>
      <c r="I612" s="6" t="str">
        <f t="shared" si="40"/>
        <v>0</v>
      </c>
    </row>
    <row r="613" spans="1:11" x14ac:dyDescent="0.2">
      <c r="A613" t="s">
        <v>715</v>
      </c>
      <c r="B613" t="s">
        <v>6546</v>
      </c>
      <c r="G613" s="5" t="str">
        <f t="shared" si="39"/>
        <v/>
      </c>
      <c r="I613" s="6" t="str">
        <f t="shared" si="40"/>
        <v>0</v>
      </c>
    </row>
    <row r="614" spans="1:11" x14ac:dyDescent="0.2">
      <c r="A614" t="s">
        <v>716</v>
      </c>
      <c r="B614" t="s">
        <v>5522</v>
      </c>
      <c r="G614" s="5" t="str">
        <f t="shared" si="39"/>
        <v/>
      </c>
      <c r="I614" s="6" t="str">
        <f t="shared" si="40"/>
        <v>0</v>
      </c>
      <c r="K614" s="19" t="s">
        <v>5523</v>
      </c>
    </row>
    <row r="615" spans="1:11" x14ac:dyDescent="0.2">
      <c r="A615" t="s">
        <v>717</v>
      </c>
      <c r="B615" t="s">
        <v>6547</v>
      </c>
      <c r="G615" s="5" t="str">
        <f t="shared" si="39"/>
        <v/>
      </c>
      <c r="I615" s="6" t="str">
        <f t="shared" si="40"/>
        <v>0</v>
      </c>
    </row>
    <row r="616" spans="1:11" x14ac:dyDescent="0.2">
      <c r="A616" t="s">
        <v>718</v>
      </c>
      <c r="B616" t="s">
        <v>6548</v>
      </c>
      <c r="G616" s="5" t="str">
        <f t="shared" si="39"/>
        <v/>
      </c>
      <c r="I616" s="6" t="str">
        <f t="shared" si="40"/>
        <v>0</v>
      </c>
    </row>
    <row r="617" spans="1:11" x14ac:dyDescent="0.2">
      <c r="A617" t="s">
        <v>719</v>
      </c>
      <c r="B617" t="s">
        <v>6549</v>
      </c>
      <c r="G617" s="5" t="str">
        <f t="shared" si="39"/>
        <v/>
      </c>
      <c r="I617" s="6" t="str">
        <f t="shared" si="40"/>
        <v>0</v>
      </c>
    </row>
    <row r="618" spans="1:11" x14ac:dyDescent="0.2">
      <c r="A618" t="s">
        <v>720</v>
      </c>
      <c r="B618" t="s">
        <v>5448</v>
      </c>
      <c r="G618" s="5" t="str">
        <f t="shared" si="39"/>
        <v/>
      </c>
      <c r="I618" s="6" t="str">
        <f t="shared" si="40"/>
        <v>0</v>
      </c>
      <c r="K618" s="19" t="s">
        <v>5449</v>
      </c>
    </row>
    <row r="619" spans="1:11" x14ac:dyDescent="0.2">
      <c r="A619" t="s">
        <v>721</v>
      </c>
      <c r="B619" t="s">
        <v>5524</v>
      </c>
      <c r="G619" s="5" t="str">
        <f t="shared" si="39"/>
        <v/>
      </c>
      <c r="I619" s="6" t="str">
        <f t="shared" si="40"/>
        <v>0</v>
      </c>
      <c r="K619" s="19" t="s">
        <v>5525</v>
      </c>
    </row>
    <row r="620" spans="1:11" x14ac:dyDescent="0.2">
      <c r="A620" t="s">
        <v>722</v>
      </c>
      <c r="B620" t="s">
        <v>6550</v>
      </c>
      <c r="G620" s="5" t="str">
        <f t="shared" si="39"/>
        <v/>
      </c>
      <c r="I620" s="6" t="str">
        <f t="shared" si="40"/>
        <v>0</v>
      </c>
    </row>
    <row r="621" spans="1:11" x14ac:dyDescent="0.2">
      <c r="A621" t="s">
        <v>723</v>
      </c>
      <c r="B621" t="s">
        <v>6551</v>
      </c>
      <c r="G621" s="5" t="str">
        <f t="shared" si="39"/>
        <v/>
      </c>
      <c r="I621" s="6" t="str">
        <f t="shared" si="40"/>
        <v>0</v>
      </c>
    </row>
    <row r="622" spans="1:11" x14ac:dyDescent="0.2">
      <c r="A622" t="s">
        <v>724</v>
      </c>
      <c r="B622" t="s">
        <v>6552</v>
      </c>
      <c r="G622" s="5" t="str">
        <f t="shared" si="39"/>
        <v/>
      </c>
      <c r="I622" s="6" t="str">
        <f t="shared" si="40"/>
        <v>0</v>
      </c>
    </row>
    <row r="623" spans="1:11" x14ac:dyDescent="0.2">
      <c r="A623" t="s">
        <v>725</v>
      </c>
      <c r="B623" t="s">
        <v>6553</v>
      </c>
      <c r="G623" s="5" t="str">
        <f t="shared" si="39"/>
        <v/>
      </c>
      <c r="I623" s="6" t="str">
        <f t="shared" si="40"/>
        <v>0</v>
      </c>
    </row>
    <row r="624" spans="1:11" x14ac:dyDescent="0.2">
      <c r="A624" t="s">
        <v>726</v>
      </c>
      <c r="B624" t="s">
        <v>5526</v>
      </c>
      <c r="G624" s="5" t="str">
        <f t="shared" si="39"/>
        <v/>
      </c>
      <c r="I624" s="6" t="str">
        <f t="shared" si="40"/>
        <v>0</v>
      </c>
      <c r="K624" s="19" t="s">
        <v>5527</v>
      </c>
    </row>
    <row r="625" spans="1:11" x14ac:dyDescent="0.2">
      <c r="A625" t="s">
        <v>727</v>
      </c>
      <c r="B625" t="s">
        <v>6554</v>
      </c>
      <c r="G625" s="5" t="str">
        <f t="shared" si="39"/>
        <v/>
      </c>
      <c r="I625" s="6" t="str">
        <f t="shared" si="40"/>
        <v>0</v>
      </c>
    </row>
    <row r="626" spans="1:11" x14ac:dyDescent="0.2">
      <c r="A626" t="s">
        <v>728</v>
      </c>
      <c r="B626" t="s">
        <v>5528</v>
      </c>
      <c r="G626" s="5" t="str">
        <f t="shared" si="39"/>
        <v/>
      </c>
      <c r="I626" s="6" t="str">
        <f t="shared" si="40"/>
        <v>0</v>
      </c>
      <c r="K626" s="19" t="s">
        <v>5529</v>
      </c>
    </row>
    <row r="627" spans="1:11" x14ac:dyDescent="0.2">
      <c r="A627" t="s">
        <v>729</v>
      </c>
      <c r="B627" t="s">
        <v>6555</v>
      </c>
      <c r="G627" s="5" t="str">
        <f t="shared" si="39"/>
        <v/>
      </c>
      <c r="I627" s="6" t="str">
        <f t="shared" si="40"/>
        <v>0</v>
      </c>
    </row>
    <row r="628" spans="1:11" x14ac:dyDescent="0.2">
      <c r="A628" t="s">
        <v>730</v>
      </c>
      <c r="B628" t="s">
        <v>5530</v>
      </c>
      <c r="G628" s="5" t="str">
        <f t="shared" si="39"/>
        <v/>
      </c>
      <c r="I628" s="6" t="str">
        <f t="shared" si="40"/>
        <v>0</v>
      </c>
      <c r="K628" s="19" t="s">
        <v>5531</v>
      </c>
    </row>
    <row r="629" spans="1:11" x14ac:dyDescent="0.2">
      <c r="A629" t="s">
        <v>731</v>
      </c>
      <c r="B629" t="s">
        <v>6556</v>
      </c>
      <c r="G629" s="5" t="str">
        <f t="shared" si="39"/>
        <v/>
      </c>
      <c r="I629" s="6" t="str">
        <f t="shared" si="40"/>
        <v>0</v>
      </c>
    </row>
    <row r="630" spans="1:11" x14ac:dyDescent="0.2">
      <c r="A630" t="s">
        <v>732</v>
      </c>
      <c r="B630" t="s">
        <v>6557</v>
      </c>
      <c r="G630" s="5" t="str">
        <f t="shared" si="39"/>
        <v/>
      </c>
      <c r="I630" s="6" t="str">
        <f t="shared" si="40"/>
        <v>0</v>
      </c>
    </row>
    <row r="631" spans="1:11" x14ac:dyDescent="0.2">
      <c r="A631" t="s">
        <v>733</v>
      </c>
      <c r="B631" t="s">
        <v>6558</v>
      </c>
      <c r="G631" s="5" t="str">
        <f t="shared" si="39"/>
        <v/>
      </c>
      <c r="I631" s="6" t="str">
        <f t="shared" si="40"/>
        <v>0</v>
      </c>
    </row>
    <row r="632" spans="1:11" x14ac:dyDescent="0.2">
      <c r="A632" t="s">
        <v>734</v>
      </c>
      <c r="B632" t="s">
        <v>6559</v>
      </c>
      <c r="G632" s="5" t="str">
        <f t="shared" si="39"/>
        <v/>
      </c>
      <c r="I632" s="6" t="str">
        <f t="shared" si="40"/>
        <v>0</v>
      </c>
    </row>
    <row r="633" spans="1:11" x14ac:dyDescent="0.2">
      <c r="A633" t="s">
        <v>735</v>
      </c>
      <c r="B633" t="s">
        <v>6560</v>
      </c>
      <c r="G633" s="5" t="str">
        <f t="shared" si="39"/>
        <v/>
      </c>
      <c r="I633" s="6" t="str">
        <f t="shared" si="40"/>
        <v>0</v>
      </c>
    </row>
    <row r="634" spans="1:11" x14ac:dyDescent="0.2">
      <c r="A634" t="s">
        <v>736</v>
      </c>
      <c r="B634" t="s">
        <v>6561</v>
      </c>
      <c r="G634" s="5" t="str">
        <f t="shared" si="39"/>
        <v/>
      </c>
      <c r="I634" s="6" t="str">
        <f t="shared" si="40"/>
        <v>0</v>
      </c>
    </row>
    <row r="635" spans="1:11" x14ac:dyDescent="0.2">
      <c r="A635" t="s">
        <v>737</v>
      </c>
      <c r="B635" t="s">
        <v>6562</v>
      </c>
      <c r="G635" s="5" t="str">
        <f t="shared" si="39"/>
        <v/>
      </c>
      <c r="I635" s="6" t="str">
        <f t="shared" si="40"/>
        <v>0</v>
      </c>
    </row>
    <row r="636" spans="1:11" x14ac:dyDescent="0.2">
      <c r="A636" t="s">
        <v>738</v>
      </c>
      <c r="B636" t="s">
        <v>5532</v>
      </c>
      <c r="G636" s="5" t="str">
        <f t="shared" si="39"/>
        <v/>
      </c>
      <c r="I636" s="6" t="str">
        <f t="shared" si="40"/>
        <v>0</v>
      </c>
      <c r="K636" s="19" t="s">
        <v>5533</v>
      </c>
    </row>
    <row r="637" spans="1:11" x14ac:dyDescent="0.2">
      <c r="A637" t="s">
        <v>739</v>
      </c>
      <c r="B637" t="s">
        <v>6563</v>
      </c>
      <c r="G637" s="5" t="str">
        <f t="shared" si="39"/>
        <v/>
      </c>
      <c r="I637" s="6" t="str">
        <f t="shared" si="40"/>
        <v>0</v>
      </c>
    </row>
    <row r="638" spans="1:11" x14ac:dyDescent="0.2">
      <c r="A638" t="s">
        <v>740</v>
      </c>
      <c r="B638" t="s">
        <v>6564</v>
      </c>
      <c r="G638" s="5" t="str">
        <f t="shared" si="39"/>
        <v/>
      </c>
      <c r="I638" s="6" t="str">
        <f t="shared" si="40"/>
        <v>0</v>
      </c>
    </row>
    <row r="639" spans="1:11" x14ac:dyDescent="0.2">
      <c r="A639" t="s">
        <v>741</v>
      </c>
      <c r="B639" t="s">
        <v>6565</v>
      </c>
      <c r="G639" s="5" t="str">
        <f t="shared" si="39"/>
        <v/>
      </c>
      <c r="I639" s="6" t="str">
        <f t="shared" si="40"/>
        <v>0</v>
      </c>
    </row>
    <row r="640" spans="1:11" x14ac:dyDescent="0.2">
      <c r="A640" t="s">
        <v>742</v>
      </c>
      <c r="B640" t="s">
        <v>6566</v>
      </c>
      <c r="G640" s="5" t="str">
        <f t="shared" si="39"/>
        <v/>
      </c>
      <c r="I640" s="6" t="str">
        <f t="shared" si="40"/>
        <v>0</v>
      </c>
    </row>
    <row r="641" spans="1:11" x14ac:dyDescent="0.2">
      <c r="A641" t="s">
        <v>743</v>
      </c>
      <c r="B641" t="s">
        <v>3856</v>
      </c>
      <c r="G641" s="5" t="str">
        <f t="shared" ref="G641:G704" si="42">IF(F641&lt;&gt;"",HEX2DEC(SUBSTITUTE(SUBSTITUTE(F641,"adrEA",""),"$","")),"")</f>
        <v/>
      </c>
      <c r="I641" s="6" t="str">
        <f t="shared" ref="I641:I704" si="43">IFERROR(DEC2HEX(H641),"")</f>
        <v>0</v>
      </c>
      <c r="K641" s="19" t="s">
        <v>3857</v>
      </c>
    </row>
    <row r="642" spans="1:11" x14ac:dyDescent="0.2">
      <c r="A642" t="s">
        <v>744</v>
      </c>
      <c r="B642" t="s">
        <v>6567</v>
      </c>
      <c r="G642" s="5" t="str">
        <f t="shared" si="42"/>
        <v/>
      </c>
      <c r="I642" s="6" t="str">
        <f t="shared" si="43"/>
        <v>0</v>
      </c>
    </row>
    <row r="643" spans="1:11" x14ac:dyDescent="0.2">
      <c r="A643" t="s">
        <v>745</v>
      </c>
      <c r="B643" t="s">
        <v>3858</v>
      </c>
      <c r="G643" s="5" t="str">
        <f t="shared" si="42"/>
        <v/>
      </c>
      <c r="I643" s="6" t="str">
        <f t="shared" si="43"/>
        <v>0</v>
      </c>
      <c r="K643" s="19" t="s">
        <v>3859</v>
      </c>
    </row>
    <row r="644" spans="1:11" x14ac:dyDescent="0.2">
      <c r="A644" t="s">
        <v>746</v>
      </c>
      <c r="B644" t="s">
        <v>3860</v>
      </c>
      <c r="G644" s="5" t="str">
        <f t="shared" si="42"/>
        <v/>
      </c>
      <c r="I644" s="6" t="str">
        <f t="shared" si="43"/>
        <v>0</v>
      </c>
      <c r="K644" s="19" t="s">
        <v>3861</v>
      </c>
    </row>
    <row r="645" spans="1:11" x14ac:dyDescent="0.2">
      <c r="A645" t="s">
        <v>747</v>
      </c>
      <c r="B645" t="s">
        <v>6568</v>
      </c>
      <c r="G645" s="5" t="str">
        <f t="shared" si="42"/>
        <v/>
      </c>
      <c r="I645" s="6" t="str">
        <f t="shared" si="43"/>
        <v>0</v>
      </c>
    </row>
    <row r="646" spans="1:11" x14ac:dyDescent="0.2">
      <c r="A646" t="s">
        <v>748</v>
      </c>
      <c r="B646" t="s">
        <v>6168</v>
      </c>
      <c r="G646" s="5" t="str">
        <f t="shared" si="42"/>
        <v/>
      </c>
      <c r="I646" s="6" t="str">
        <f t="shared" si="43"/>
        <v>0</v>
      </c>
      <c r="K646" s="19" t="s">
        <v>6169</v>
      </c>
    </row>
    <row r="647" spans="1:11" x14ac:dyDescent="0.2">
      <c r="A647" t="s">
        <v>749</v>
      </c>
      <c r="B647" t="s">
        <v>6569</v>
      </c>
      <c r="G647" s="5" t="str">
        <f t="shared" si="42"/>
        <v/>
      </c>
      <c r="I647" s="6" t="str">
        <f t="shared" si="43"/>
        <v>0</v>
      </c>
    </row>
    <row r="648" spans="1:11" x14ac:dyDescent="0.2">
      <c r="A648" t="s">
        <v>750</v>
      </c>
      <c r="B648" t="s">
        <v>6170</v>
      </c>
      <c r="G648" s="5" t="str">
        <f t="shared" si="42"/>
        <v/>
      </c>
      <c r="I648" s="6" t="str">
        <f t="shared" si="43"/>
        <v>0</v>
      </c>
      <c r="K648" s="19" t="s">
        <v>6171</v>
      </c>
    </row>
    <row r="649" spans="1:11" x14ac:dyDescent="0.2">
      <c r="A649" t="s">
        <v>751</v>
      </c>
      <c r="B649" t="s">
        <v>6172</v>
      </c>
      <c r="G649" s="5" t="str">
        <f t="shared" si="42"/>
        <v/>
      </c>
      <c r="I649" s="6" t="str">
        <f t="shared" si="43"/>
        <v>0</v>
      </c>
      <c r="K649" s="19" t="s">
        <v>6173</v>
      </c>
    </row>
    <row r="650" spans="1:11" x14ac:dyDescent="0.2">
      <c r="A650" t="s">
        <v>752</v>
      </c>
      <c r="B650" t="s">
        <v>6570</v>
      </c>
      <c r="G650" s="5" t="str">
        <f t="shared" si="42"/>
        <v/>
      </c>
      <c r="I650" s="6" t="str">
        <f t="shared" si="43"/>
        <v>0</v>
      </c>
    </row>
    <row r="651" spans="1:11" x14ac:dyDescent="0.2">
      <c r="A651" t="s">
        <v>753</v>
      </c>
      <c r="B651" t="s">
        <v>6571</v>
      </c>
      <c r="G651" s="5" t="str">
        <f t="shared" si="42"/>
        <v/>
      </c>
      <c r="I651" s="6" t="str">
        <f t="shared" si="43"/>
        <v>0</v>
      </c>
    </row>
    <row r="652" spans="1:11" x14ac:dyDescent="0.2">
      <c r="A652" t="s">
        <v>754</v>
      </c>
      <c r="B652" t="s">
        <v>6174</v>
      </c>
      <c r="G652" s="5" t="str">
        <f t="shared" si="42"/>
        <v/>
      </c>
      <c r="I652" s="6" t="str">
        <f t="shared" si="43"/>
        <v>0</v>
      </c>
      <c r="K652" s="19" t="s">
        <v>6175</v>
      </c>
    </row>
    <row r="653" spans="1:11" x14ac:dyDescent="0.2">
      <c r="A653" t="s">
        <v>755</v>
      </c>
      <c r="B653" t="s">
        <v>6572</v>
      </c>
      <c r="G653" s="5" t="str">
        <f t="shared" si="42"/>
        <v/>
      </c>
      <c r="I653" s="6" t="str">
        <f t="shared" si="43"/>
        <v>0</v>
      </c>
    </row>
    <row r="654" spans="1:11" x14ac:dyDescent="0.2">
      <c r="A654" t="s">
        <v>756</v>
      </c>
      <c r="B654" t="s">
        <v>5767</v>
      </c>
      <c r="G654" s="5" t="str">
        <f t="shared" si="42"/>
        <v/>
      </c>
      <c r="I654" s="6" t="str">
        <f t="shared" si="43"/>
        <v>0</v>
      </c>
      <c r="K654" s="19" t="s">
        <v>5768</v>
      </c>
    </row>
    <row r="655" spans="1:11" x14ac:dyDescent="0.2">
      <c r="A655" t="s">
        <v>757</v>
      </c>
      <c r="B655" t="s">
        <v>6176</v>
      </c>
      <c r="G655" s="5" t="str">
        <f t="shared" si="42"/>
        <v/>
      </c>
      <c r="I655" s="6" t="str">
        <f t="shared" si="43"/>
        <v>0</v>
      </c>
      <c r="K655" s="19" t="s">
        <v>6177</v>
      </c>
    </row>
    <row r="656" spans="1:11" x14ac:dyDescent="0.2">
      <c r="A656" t="s">
        <v>758</v>
      </c>
      <c r="B656" t="s">
        <v>6178</v>
      </c>
      <c r="G656" s="5" t="str">
        <f t="shared" si="42"/>
        <v/>
      </c>
      <c r="I656" s="6" t="str">
        <f t="shared" si="43"/>
        <v>0</v>
      </c>
      <c r="K656" s="19" t="s">
        <v>6179</v>
      </c>
    </row>
    <row r="657" spans="1:11" x14ac:dyDescent="0.2">
      <c r="A657" t="s">
        <v>759</v>
      </c>
      <c r="B657" t="s">
        <v>6180</v>
      </c>
      <c r="G657" s="5" t="str">
        <f t="shared" si="42"/>
        <v/>
      </c>
      <c r="I657" s="6" t="str">
        <f t="shared" si="43"/>
        <v>0</v>
      </c>
      <c r="K657" s="19" t="s">
        <v>6181</v>
      </c>
    </row>
    <row r="658" spans="1:11" x14ac:dyDescent="0.2">
      <c r="A658" t="s">
        <v>760</v>
      </c>
      <c r="B658" t="s">
        <v>3862</v>
      </c>
      <c r="G658" s="5" t="str">
        <f t="shared" si="42"/>
        <v/>
      </c>
      <c r="I658" s="6" t="str">
        <f t="shared" si="43"/>
        <v>0</v>
      </c>
      <c r="K658" s="19" t="s">
        <v>3863</v>
      </c>
    </row>
    <row r="659" spans="1:11" x14ac:dyDescent="0.2">
      <c r="A659" t="s">
        <v>761</v>
      </c>
      <c r="B659" t="s">
        <v>3864</v>
      </c>
      <c r="G659" s="5" t="str">
        <f t="shared" si="42"/>
        <v/>
      </c>
      <c r="I659" s="6" t="str">
        <f t="shared" si="43"/>
        <v>0</v>
      </c>
      <c r="K659" s="19" t="s">
        <v>3865</v>
      </c>
    </row>
    <row r="660" spans="1:11" x14ac:dyDescent="0.2">
      <c r="A660" t="s">
        <v>762</v>
      </c>
      <c r="B660" t="s">
        <v>6573</v>
      </c>
      <c r="G660" s="5" t="str">
        <f t="shared" si="42"/>
        <v/>
      </c>
      <c r="I660" s="6" t="str">
        <f t="shared" si="43"/>
        <v>0</v>
      </c>
    </row>
    <row r="661" spans="1:11" x14ac:dyDescent="0.2">
      <c r="A661" t="s">
        <v>763</v>
      </c>
      <c r="B661" t="s">
        <v>3866</v>
      </c>
      <c r="G661" s="5" t="str">
        <f t="shared" si="42"/>
        <v/>
      </c>
      <c r="I661" s="6" t="str">
        <f t="shared" si="43"/>
        <v>0</v>
      </c>
      <c r="K661" s="19" t="s">
        <v>3867</v>
      </c>
    </row>
    <row r="662" spans="1:11" x14ac:dyDescent="0.2">
      <c r="A662" t="s">
        <v>764</v>
      </c>
      <c r="B662" t="s">
        <v>3868</v>
      </c>
      <c r="G662" s="5" t="str">
        <f t="shared" si="42"/>
        <v/>
      </c>
      <c r="I662" s="6" t="str">
        <f t="shared" si="43"/>
        <v>0</v>
      </c>
      <c r="K662" s="19" t="s">
        <v>3869</v>
      </c>
    </row>
    <row r="663" spans="1:11" x14ac:dyDescent="0.2">
      <c r="A663" t="s">
        <v>765</v>
      </c>
      <c r="B663" t="s">
        <v>5708</v>
      </c>
      <c r="G663" s="5" t="str">
        <f t="shared" si="42"/>
        <v/>
      </c>
      <c r="I663" s="6" t="str">
        <f t="shared" si="43"/>
        <v>0</v>
      </c>
      <c r="K663" s="19" t="s">
        <v>5709</v>
      </c>
    </row>
    <row r="664" spans="1:11" x14ac:dyDescent="0.2">
      <c r="A664" t="s">
        <v>766</v>
      </c>
      <c r="B664" t="s">
        <v>6574</v>
      </c>
      <c r="G664" s="5" t="str">
        <f t="shared" si="42"/>
        <v/>
      </c>
      <c r="I664" s="6" t="str">
        <f t="shared" si="43"/>
        <v>0</v>
      </c>
    </row>
    <row r="665" spans="1:11" x14ac:dyDescent="0.2">
      <c r="A665" t="s">
        <v>767</v>
      </c>
      <c r="B665" t="s">
        <v>3792</v>
      </c>
      <c r="C665" s="5" t="s">
        <v>48</v>
      </c>
      <c r="D665" t="s">
        <v>7379</v>
      </c>
      <c r="E665" t="str">
        <f t="shared" ref="E665:E666" si="44">IF(D665&lt;&gt;"",C665&amp;"/"&amp;D665,"")</f>
        <v>data/Bow_ActionBitShiftCounts.stats</v>
      </c>
      <c r="F665" s="5" t="s">
        <v>3793</v>
      </c>
      <c r="G665" s="5">
        <f t="shared" si="42"/>
        <v>10236</v>
      </c>
      <c r="H665" s="5">
        <v>3</v>
      </c>
      <c r="I665" s="6" t="str">
        <f t="shared" si="43"/>
        <v>3</v>
      </c>
      <c r="J665" s="6" t="s">
        <v>3409</v>
      </c>
      <c r="K665" s="19" t="s">
        <v>3794</v>
      </c>
    </row>
    <row r="666" spans="1:11" x14ac:dyDescent="0.2">
      <c r="A666" t="s">
        <v>768</v>
      </c>
      <c r="B666" t="s">
        <v>3795</v>
      </c>
      <c r="C666" s="5" t="s">
        <v>48</v>
      </c>
      <c r="D666" t="s">
        <v>7380</v>
      </c>
      <c r="E666" t="str">
        <f t="shared" si="44"/>
        <v>data/Bow_ActionValueAdjustments.stats</v>
      </c>
      <c r="F666" s="5" t="s">
        <v>3796</v>
      </c>
      <c r="G666" s="5">
        <f t="shared" si="42"/>
        <v>10239</v>
      </c>
      <c r="H666" s="5">
        <v>3</v>
      </c>
      <c r="I666" s="6" t="str">
        <f t="shared" si="43"/>
        <v>3</v>
      </c>
      <c r="J666" s="6" t="s">
        <v>3414</v>
      </c>
      <c r="K666" s="19" t="s">
        <v>3797</v>
      </c>
    </row>
    <row r="667" spans="1:11" x14ac:dyDescent="0.2">
      <c r="A667" t="s">
        <v>769</v>
      </c>
      <c r="B667" t="s">
        <v>6575</v>
      </c>
      <c r="G667" s="5" t="str">
        <f t="shared" si="42"/>
        <v/>
      </c>
      <c r="I667" s="6" t="str">
        <f t="shared" si="43"/>
        <v>0</v>
      </c>
    </row>
    <row r="668" spans="1:11" x14ac:dyDescent="0.2">
      <c r="A668" t="s">
        <v>770</v>
      </c>
      <c r="B668" t="s">
        <v>5534</v>
      </c>
      <c r="G668" s="5" t="str">
        <f t="shared" si="42"/>
        <v/>
      </c>
      <c r="I668" s="6" t="str">
        <f t="shared" si="43"/>
        <v>0</v>
      </c>
      <c r="K668" s="19" t="s">
        <v>5535</v>
      </c>
    </row>
    <row r="669" spans="1:11" x14ac:dyDescent="0.2">
      <c r="A669" t="s">
        <v>771</v>
      </c>
      <c r="B669" t="s">
        <v>6576</v>
      </c>
      <c r="G669" s="5" t="str">
        <f t="shared" si="42"/>
        <v/>
      </c>
      <c r="I669" s="6" t="str">
        <f t="shared" si="43"/>
        <v>0</v>
      </c>
    </row>
    <row r="670" spans="1:11" x14ac:dyDescent="0.2">
      <c r="A670" t="s">
        <v>772</v>
      </c>
      <c r="B670" t="s">
        <v>6577</v>
      </c>
      <c r="G670" s="5" t="str">
        <f t="shared" si="42"/>
        <v/>
      </c>
      <c r="I670" s="6" t="str">
        <f t="shared" si="43"/>
        <v>0</v>
      </c>
    </row>
    <row r="671" spans="1:11" x14ac:dyDescent="0.2">
      <c r="A671" t="s">
        <v>773</v>
      </c>
      <c r="B671" t="s">
        <v>6578</v>
      </c>
      <c r="G671" s="5" t="str">
        <f t="shared" si="42"/>
        <v/>
      </c>
      <c r="I671" s="6" t="str">
        <f t="shared" si="43"/>
        <v>0</v>
      </c>
    </row>
    <row r="672" spans="1:11" x14ac:dyDescent="0.2">
      <c r="A672" t="s">
        <v>774</v>
      </c>
      <c r="B672" t="s">
        <v>5536</v>
      </c>
      <c r="G672" s="5" t="str">
        <f t="shared" si="42"/>
        <v/>
      </c>
      <c r="I672" s="6" t="str">
        <f t="shared" si="43"/>
        <v>0</v>
      </c>
      <c r="K672" s="19" t="s">
        <v>5537</v>
      </c>
    </row>
    <row r="673" spans="1:11" x14ac:dyDescent="0.2">
      <c r="A673" t="s">
        <v>775</v>
      </c>
      <c r="B673" t="s">
        <v>6579</v>
      </c>
      <c r="G673" s="5" t="str">
        <f t="shared" si="42"/>
        <v/>
      </c>
      <c r="I673" s="6" t="str">
        <f t="shared" si="43"/>
        <v>0</v>
      </c>
    </row>
    <row r="674" spans="1:11" x14ac:dyDescent="0.2">
      <c r="A674" t="s">
        <v>776</v>
      </c>
      <c r="B674" t="s">
        <v>6580</v>
      </c>
      <c r="G674" s="5" t="str">
        <f t="shared" si="42"/>
        <v/>
      </c>
      <c r="I674" s="6" t="str">
        <f t="shared" si="43"/>
        <v>0</v>
      </c>
      <c r="K674" s="19" t="s">
        <v>6211</v>
      </c>
    </row>
    <row r="675" spans="1:11" x14ac:dyDescent="0.2">
      <c r="A675" t="s">
        <v>777</v>
      </c>
      <c r="B675" t="s">
        <v>6581</v>
      </c>
      <c r="G675" s="5" t="str">
        <f t="shared" si="42"/>
        <v/>
      </c>
      <c r="I675" s="6" t="str">
        <f t="shared" si="43"/>
        <v>0</v>
      </c>
    </row>
    <row r="676" spans="1:11" x14ac:dyDescent="0.2">
      <c r="A676" t="s">
        <v>778</v>
      </c>
      <c r="B676" t="s">
        <v>6582</v>
      </c>
      <c r="G676" s="5" t="str">
        <f t="shared" si="42"/>
        <v/>
      </c>
      <c r="I676" s="6" t="str">
        <f t="shared" si="43"/>
        <v>0</v>
      </c>
    </row>
    <row r="677" spans="1:11" x14ac:dyDescent="0.2">
      <c r="A677" t="s">
        <v>779</v>
      </c>
      <c r="B677" t="s">
        <v>6583</v>
      </c>
      <c r="G677" s="5" t="str">
        <f t="shared" si="42"/>
        <v/>
      </c>
      <c r="I677" s="6" t="str">
        <f t="shared" si="43"/>
        <v>0</v>
      </c>
    </row>
    <row r="678" spans="1:11" x14ac:dyDescent="0.2">
      <c r="A678" t="s">
        <v>780</v>
      </c>
      <c r="B678" t="s">
        <v>6584</v>
      </c>
      <c r="G678" s="5" t="str">
        <f t="shared" si="42"/>
        <v/>
      </c>
      <c r="I678" s="6" t="str">
        <f t="shared" si="43"/>
        <v>0</v>
      </c>
    </row>
    <row r="679" spans="1:11" x14ac:dyDescent="0.2">
      <c r="A679" t="s">
        <v>783</v>
      </c>
      <c r="B679" t="s">
        <v>6585</v>
      </c>
      <c r="G679" s="5" t="str">
        <f t="shared" si="42"/>
        <v/>
      </c>
      <c r="I679" s="6" t="str">
        <f t="shared" si="43"/>
        <v>0</v>
      </c>
      <c r="K679" s="19" t="s">
        <v>6212</v>
      </c>
    </row>
    <row r="680" spans="1:11" x14ac:dyDescent="0.2">
      <c r="A680" t="s">
        <v>784</v>
      </c>
      <c r="B680" t="s">
        <v>6586</v>
      </c>
      <c r="G680" s="5" t="str">
        <f t="shared" si="42"/>
        <v/>
      </c>
      <c r="I680" s="6" t="str">
        <f t="shared" si="43"/>
        <v>0</v>
      </c>
      <c r="K680" s="19" t="s">
        <v>6213</v>
      </c>
    </row>
    <row r="681" spans="1:11" x14ac:dyDescent="0.2">
      <c r="A681" t="s">
        <v>785</v>
      </c>
      <c r="B681" t="s">
        <v>6587</v>
      </c>
      <c r="G681" s="5" t="str">
        <f t="shared" si="42"/>
        <v/>
      </c>
      <c r="I681" s="6" t="str">
        <f t="shared" si="43"/>
        <v>0</v>
      </c>
      <c r="K681" s="19" t="s">
        <v>6214</v>
      </c>
    </row>
    <row r="682" spans="1:11" x14ac:dyDescent="0.2">
      <c r="A682" t="s">
        <v>786</v>
      </c>
      <c r="B682" t="s">
        <v>6588</v>
      </c>
      <c r="G682" s="5" t="str">
        <f t="shared" si="42"/>
        <v/>
      </c>
      <c r="I682" s="6" t="str">
        <f t="shared" si="43"/>
        <v>0</v>
      </c>
      <c r="K682" s="19" t="s">
        <v>6215</v>
      </c>
    </row>
    <row r="683" spans="1:11" x14ac:dyDescent="0.2">
      <c r="A683" t="s">
        <v>787</v>
      </c>
      <c r="B683" t="s">
        <v>6589</v>
      </c>
      <c r="G683" s="5" t="str">
        <f t="shared" si="42"/>
        <v/>
      </c>
      <c r="I683" s="6" t="str">
        <f t="shared" si="43"/>
        <v>0</v>
      </c>
      <c r="K683" s="19" t="s">
        <v>6216</v>
      </c>
    </row>
    <row r="684" spans="1:11" x14ac:dyDescent="0.2">
      <c r="A684" t="s">
        <v>788</v>
      </c>
      <c r="B684" t="s">
        <v>6590</v>
      </c>
      <c r="G684" s="5" t="str">
        <f t="shared" si="42"/>
        <v/>
      </c>
      <c r="I684" s="6" t="str">
        <f t="shared" si="43"/>
        <v>0</v>
      </c>
      <c r="K684" s="19" t="s">
        <v>6217</v>
      </c>
    </row>
    <row r="685" spans="1:11" x14ac:dyDescent="0.2">
      <c r="A685" t="s">
        <v>789</v>
      </c>
      <c r="B685" t="s">
        <v>6591</v>
      </c>
      <c r="G685" s="5" t="str">
        <f t="shared" si="42"/>
        <v/>
      </c>
      <c r="I685" s="6" t="str">
        <f t="shared" si="43"/>
        <v>0</v>
      </c>
      <c r="K685" s="19" t="s">
        <v>6218</v>
      </c>
    </row>
    <row r="686" spans="1:11" x14ac:dyDescent="0.2">
      <c r="A686" t="s">
        <v>790</v>
      </c>
      <c r="B686" t="s">
        <v>6592</v>
      </c>
      <c r="G686" s="5" t="str">
        <f t="shared" si="42"/>
        <v/>
      </c>
      <c r="I686" s="6" t="str">
        <f t="shared" si="43"/>
        <v>0</v>
      </c>
      <c r="K686" s="19" t="s">
        <v>6219</v>
      </c>
    </row>
    <row r="687" spans="1:11" x14ac:dyDescent="0.2">
      <c r="A687" t="s">
        <v>791</v>
      </c>
      <c r="B687" t="s">
        <v>5693</v>
      </c>
      <c r="G687" s="5" t="str">
        <f t="shared" si="42"/>
        <v/>
      </c>
      <c r="I687" s="6" t="str">
        <f t="shared" si="43"/>
        <v>0</v>
      </c>
      <c r="K687" s="19" t="s">
        <v>5694</v>
      </c>
    </row>
    <row r="688" spans="1:11" x14ac:dyDescent="0.2">
      <c r="A688" t="s">
        <v>794</v>
      </c>
      <c r="B688" t="s">
        <v>794</v>
      </c>
      <c r="E688" t="str">
        <f t="shared" ref="E688:E689" si="45">IF(D688&lt;&gt;"",C688&amp;"/"&amp;D688,"")</f>
        <v/>
      </c>
      <c r="G688" s="5" t="str">
        <f t="shared" si="42"/>
        <v/>
      </c>
      <c r="I688" s="6" t="str">
        <f t="shared" si="43"/>
        <v>0</v>
      </c>
    </row>
    <row r="689" spans="1:9" x14ac:dyDescent="0.2">
      <c r="A689" t="s">
        <v>795</v>
      </c>
      <c r="B689" t="s">
        <v>795</v>
      </c>
      <c r="E689" t="str">
        <f t="shared" si="45"/>
        <v/>
      </c>
      <c r="G689" s="5" t="str">
        <f t="shared" si="42"/>
        <v/>
      </c>
      <c r="I689" s="6" t="str">
        <f t="shared" si="43"/>
        <v>0</v>
      </c>
    </row>
    <row r="690" spans="1:9" x14ac:dyDescent="0.2">
      <c r="A690" t="s">
        <v>798</v>
      </c>
      <c r="B690" t="s">
        <v>6593</v>
      </c>
      <c r="G690" s="5" t="str">
        <f t="shared" si="42"/>
        <v/>
      </c>
      <c r="I690" s="6" t="str">
        <f t="shared" si="43"/>
        <v>0</v>
      </c>
    </row>
    <row r="691" spans="1:9" x14ac:dyDescent="0.2">
      <c r="A691" t="s">
        <v>800</v>
      </c>
      <c r="B691" t="s">
        <v>6594</v>
      </c>
      <c r="G691" s="5" t="str">
        <f t="shared" si="42"/>
        <v/>
      </c>
      <c r="I691" s="6" t="str">
        <f t="shared" si="43"/>
        <v>0</v>
      </c>
    </row>
    <row r="692" spans="1:9" x14ac:dyDescent="0.2">
      <c r="A692" t="s">
        <v>802</v>
      </c>
      <c r="B692" t="s">
        <v>6595</v>
      </c>
      <c r="G692" s="5" t="str">
        <f t="shared" si="42"/>
        <v/>
      </c>
      <c r="I692" s="6" t="str">
        <f t="shared" si="43"/>
        <v>0</v>
      </c>
    </row>
    <row r="693" spans="1:9" x14ac:dyDescent="0.2">
      <c r="A693" t="s">
        <v>804</v>
      </c>
      <c r="B693" t="s">
        <v>6596</v>
      </c>
      <c r="G693" s="5" t="str">
        <f t="shared" si="42"/>
        <v/>
      </c>
      <c r="I693" s="6" t="str">
        <f t="shared" si="43"/>
        <v>0</v>
      </c>
    </row>
    <row r="694" spans="1:9" x14ac:dyDescent="0.2">
      <c r="A694" t="s">
        <v>805</v>
      </c>
      <c r="B694" t="s">
        <v>6597</v>
      </c>
      <c r="G694" s="5" t="str">
        <f t="shared" si="42"/>
        <v/>
      </c>
      <c r="I694" s="6" t="str">
        <f t="shared" si="43"/>
        <v>0</v>
      </c>
    </row>
    <row r="695" spans="1:9" x14ac:dyDescent="0.2">
      <c r="A695" t="s">
        <v>807</v>
      </c>
      <c r="B695" t="s">
        <v>6598</v>
      </c>
      <c r="G695" s="5" t="str">
        <f t="shared" si="42"/>
        <v/>
      </c>
      <c r="I695" s="6" t="str">
        <f t="shared" si="43"/>
        <v>0</v>
      </c>
    </row>
    <row r="696" spans="1:9" x14ac:dyDescent="0.2">
      <c r="A696" t="s">
        <v>808</v>
      </c>
      <c r="B696" t="s">
        <v>6599</v>
      </c>
      <c r="G696" s="5" t="str">
        <f t="shared" si="42"/>
        <v/>
      </c>
      <c r="I696" s="6" t="str">
        <f t="shared" si="43"/>
        <v>0</v>
      </c>
    </row>
    <row r="697" spans="1:9" x14ac:dyDescent="0.2">
      <c r="A697" t="s">
        <v>809</v>
      </c>
      <c r="B697" t="s">
        <v>6600</v>
      </c>
      <c r="G697" s="5" t="str">
        <f t="shared" si="42"/>
        <v/>
      </c>
      <c r="I697" s="6" t="str">
        <f t="shared" si="43"/>
        <v>0</v>
      </c>
    </row>
    <row r="698" spans="1:9" x14ac:dyDescent="0.2">
      <c r="A698" t="s">
        <v>810</v>
      </c>
      <c r="B698" t="s">
        <v>6601</v>
      </c>
      <c r="G698" s="5" t="str">
        <f t="shared" si="42"/>
        <v/>
      </c>
      <c r="I698" s="6" t="str">
        <f t="shared" si="43"/>
        <v>0</v>
      </c>
    </row>
    <row r="699" spans="1:9" x14ac:dyDescent="0.2">
      <c r="A699" t="s">
        <v>811</v>
      </c>
      <c r="B699" t="s">
        <v>6602</v>
      </c>
      <c r="G699" s="5" t="str">
        <f t="shared" si="42"/>
        <v/>
      </c>
      <c r="I699" s="6" t="str">
        <f t="shared" si="43"/>
        <v>0</v>
      </c>
    </row>
    <row r="700" spans="1:9" x14ac:dyDescent="0.2">
      <c r="A700" t="s">
        <v>813</v>
      </c>
      <c r="B700" t="s">
        <v>6603</v>
      </c>
      <c r="G700" s="5" t="str">
        <f t="shared" si="42"/>
        <v/>
      </c>
      <c r="I700" s="6" t="str">
        <f t="shared" si="43"/>
        <v>0</v>
      </c>
    </row>
    <row r="701" spans="1:9" x14ac:dyDescent="0.2">
      <c r="A701" t="s">
        <v>814</v>
      </c>
      <c r="B701" t="s">
        <v>6604</v>
      </c>
      <c r="G701" s="5" t="str">
        <f t="shared" si="42"/>
        <v/>
      </c>
      <c r="I701" s="6" t="str">
        <f t="shared" si="43"/>
        <v>0</v>
      </c>
    </row>
    <row r="702" spans="1:9" x14ac:dyDescent="0.2">
      <c r="A702" t="s">
        <v>815</v>
      </c>
      <c r="B702" t="s">
        <v>6605</v>
      </c>
      <c r="G702" s="5" t="str">
        <f t="shared" si="42"/>
        <v/>
      </c>
      <c r="I702" s="6" t="str">
        <f t="shared" si="43"/>
        <v>0</v>
      </c>
    </row>
    <row r="703" spans="1:9" x14ac:dyDescent="0.2">
      <c r="A703" t="s">
        <v>817</v>
      </c>
      <c r="B703" t="s">
        <v>3293</v>
      </c>
      <c r="E703" t="str">
        <f t="shared" ref="E703:E721" si="46">IF(D703&lt;&gt;"",C703&amp;"/"&amp;D703,"")</f>
        <v/>
      </c>
      <c r="G703" s="5" t="str">
        <f t="shared" si="42"/>
        <v/>
      </c>
      <c r="I703" s="6" t="str">
        <f t="shared" si="43"/>
        <v>0</v>
      </c>
    </row>
    <row r="704" spans="1:9" x14ac:dyDescent="0.2">
      <c r="A704" t="s">
        <v>818</v>
      </c>
      <c r="B704" t="s">
        <v>6606</v>
      </c>
      <c r="G704" s="5" t="str">
        <f t="shared" si="42"/>
        <v/>
      </c>
      <c r="I704" s="6" t="str">
        <f t="shared" si="43"/>
        <v>0</v>
      </c>
    </row>
    <row r="705" spans="1:9" x14ac:dyDescent="0.2">
      <c r="A705" t="s">
        <v>819</v>
      </c>
      <c r="B705" t="s">
        <v>6607</v>
      </c>
      <c r="G705" s="5" t="str">
        <f t="shared" ref="G705:G768" si="47">IF(F705&lt;&gt;"",HEX2DEC(SUBSTITUTE(SUBSTITUTE(F705,"adrEA",""),"$","")),"")</f>
        <v/>
      </c>
      <c r="I705" s="6" t="str">
        <f t="shared" ref="I705:I768" si="48">IFERROR(DEC2HEX(H705),"")</f>
        <v>0</v>
      </c>
    </row>
    <row r="706" spans="1:9" x14ac:dyDescent="0.2">
      <c r="A706" t="s">
        <v>820</v>
      </c>
      <c r="B706" t="s">
        <v>6608</v>
      </c>
      <c r="G706" s="5" t="str">
        <f t="shared" si="47"/>
        <v/>
      </c>
      <c r="I706" s="6" t="str">
        <f t="shared" si="48"/>
        <v>0</v>
      </c>
    </row>
    <row r="707" spans="1:9" x14ac:dyDescent="0.2">
      <c r="A707" t="s">
        <v>822</v>
      </c>
      <c r="B707" t="s">
        <v>6609</v>
      </c>
      <c r="G707" s="5" t="str">
        <f t="shared" si="47"/>
        <v/>
      </c>
      <c r="I707" s="6" t="str">
        <f t="shared" si="48"/>
        <v>0</v>
      </c>
    </row>
    <row r="708" spans="1:9" x14ac:dyDescent="0.2">
      <c r="A708" t="s">
        <v>823</v>
      </c>
      <c r="B708" t="s">
        <v>6610</v>
      </c>
      <c r="G708" s="5" t="str">
        <f t="shared" si="47"/>
        <v/>
      </c>
      <c r="I708" s="6" t="str">
        <f t="shared" si="48"/>
        <v>0</v>
      </c>
    </row>
    <row r="709" spans="1:9" x14ac:dyDescent="0.2">
      <c r="A709" t="s">
        <v>824</v>
      </c>
      <c r="B709" t="s">
        <v>6611</v>
      </c>
      <c r="G709" s="5" t="str">
        <f t="shared" si="47"/>
        <v/>
      </c>
      <c r="I709" s="6" t="str">
        <f t="shared" si="48"/>
        <v>0</v>
      </c>
    </row>
    <row r="710" spans="1:9" x14ac:dyDescent="0.2">
      <c r="A710" t="s">
        <v>825</v>
      </c>
      <c r="B710" t="s">
        <v>6612</v>
      </c>
      <c r="G710" s="5" t="str">
        <f t="shared" si="47"/>
        <v/>
      </c>
      <c r="I710" s="6" t="str">
        <f t="shared" si="48"/>
        <v>0</v>
      </c>
    </row>
    <row r="711" spans="1:9" x14ac:dyDescent="0.2">
      <c r="A711" t="s">
        <v>826</v>
      </c>
      <c r="B711" t="s">
        <v>6613</v>
      </c>
      <c r="G711" s="5" t="str">
        <f t="shared" si="47"/>
        <v/>
      </c>
      <c r="I711" s="6" t="str">
        <f t="shared" si="48"/>
        <v>0</v>
      </c>
    </row>
    <row r="712" spans="1:9" x14ac:dyDescent="0.2">
      <c r="A712" t="s">
        <v>827</v>
      </c>
      <c r="B712" t="s">
        <v>6614</v>
      </c>
      <c r="G712" s="5" t="str">
        <f t="shared" si="47"/>
        <v/>
      </c>
      <c r="I712" s="6" t="str">
        <f t="shared" si="48"/>
        <v>0</v>
      </c>
    </row>
    <row r="713" spans="1:9" x14ac:dyDescent="0.2">
      <c r="A713" t="s">
        <v>828</v>
      </c>
      <c r="B713" t="s">
        <v>6615</v>
      </c>
      <c r="G713" s="5" t="str">
        <f t="shared" si="47"/>
        <v/>
      </c>
      <c r="I713" s="6" t="str">
        <f t="shared" si="48"/>
        <v>0</v>
      </c>
    </row>
    <row r="714" spans="1:9" x14ac:dyDescent="0.2">
      <c r="A714" t="s">
        <v>829</v>
      </c>
      <c r="B714" t="s">
        <v>6616</v>
      </c>
      <c r="G714" s="5" t="str">
        <f t="shared" si="47"/>
        <v/>
      </c>
      <c r="I714" s="6" t="str">
        <f t="shared" si="48"/>
        <v>0</v>
      </c>
    </row>
    <row r="715" spans="1:9" x14ac:dyDescent="0.2">
      <c r="A715" t="s">
        <v>830</v>
      </c>
      <c r="B715" t="s">
        <v>6617</v>
      </c>
      <c r="G715" s="5" t="str">
        <f t="shared" si="47"/>
        <v/>
      </c>
      <c r="I715" s="6" t="str">
        <f t="shared" si="48"/>
        <v>0</v>
      </c>
    </row>
    <row r="716" spans="1:9" x14ac:dyDescent="0.2">
      <c r="A716" t="s">
        <v>833</v>
      </c>
      <c r="B716" t="s">
        <v>6618</v>
      </c>
      <c r="G716" s="5" t="str">
        <f t="shared" si="47"/>
        <v/>
      </c>
      <c r="I716" s="6" t="str">
        <f t="shared" si="48"/>
        <v>0</v>
      </c>
    </row>
    <row r="717" spans="1:9" x14ac:dyDescent="0.2">
      <c r="A717" t="s">
        <v>847</v>
      </c>
      <c r="B717" t="s">
        <v>3292</v>
      </c>
      <c r="E717" t="str">
        <f t="shared" si="46"/>
        <v/>
      </c>
      <c r="G717" s="5" t="str">
        <f t="shared" si="47"/>
        <v/>
      </c>
      <c r="I717" s="6" t="str">
        <f t="shared" si="48"/>
        <v>0</v>
      </c>
    </row>
    <row r="718" spans="1:9" x14ac:dyDescent="0.2">
      <c r="A718" t="s">
        <v>849</v>
      </c>
      <c r="B718" t="s">
        <v>3294</v>
      </c>
      <c r="E718" t="str">
        <f t="shared" si="46"/>
        <v/>
      </c>
      <c r="G718" s="5" t="str">
        <f t="shared" si="47"/>
        <v/>
      </c>
      <c r="I718" s="6" t="str">
        <f t="shared" si="48"/>
        <v>0</v>
      </c>
    </row>
    <row r="719" spans="1:9" x14ac:dyDescent="0.2">
      <c r="A719" t="s">
        <v>850</v>
      </c>
      <c r="B719" t="s">
        <v>6619</v>
      </c>
      <c r="G719" s="5" t="str">
        <f t="shared" si="47"/>
        <v/>
      </c>
      <c r="I719" s="6" t="str">
        <f t="shared" si="48"/>
        <v>0</v>
      </c>
    </row>
    <row r="720" spans="1:9" x14ac:dyDescent="0.2">
      <c r="A720" t="s">
        <v>851</v>
      </c>
      <c r="B720" t="s">
        <v>3291</v>
      </c>
      <c r="E720" t="str">
        <f t="shared" si="46"/>
        <v/>
      </c>
      <c r="G720" s="5" t="str">
        <f t="shared" si="47"/>
        <v/>
      </c>
      <c r="I720" s="6" t="str">
        <f t="shared" si="48"/>
        <v>0</v>
      </c>
    </row>
    <row r="721" spans="1:11" x14ac:dyDescent="0.2">
      <c r="A721" t="s">
        <v>852</v>
      </c>
      <c r="B721" t="s">
        <v>3295</v>
      </c>
      <c r="E721" t="str">
        <f t="shared" si="46"/>
        <v/>
      </c>
      <c r="G721" s="5" t="str">
        <f t="shared" si="47"/>
        <v/>
      </c>
      <c r="I721" s="6" t="str">
        <f t="shared" si="48"/>
        <v>0</v>
      </c>
    </row>
    <row r="722" spans="1:11" x14ac:dyDescent="0.2">
      <c r="A722" t="s">
        <v>853</v>
      </c>
      <c r="B722" t="s">
        <v>6620</v>
      </c>
      <c r="G722" s="5" t="str">
        <f t="shared" si="47"/>
        <v/>
      </c>
      <c r="I722" s="6" t="str">
        <f t="shared" si="48"/>
        <v>0</v>
      </c>
    </row>
    <row r="723" spans="1:11" x14ac:dyDescent="0.2">
      <c r="A723" t="s">
        <v>854</v>
      </c>
      <c r="B723" t="s">
        <v>855</v>
      </c>
      <c r="G723" s="5" t="str">
        <f t="shared" si="47"/>
        <v/>
      </c>
      <c r="I723" s="6" t="str">
        <f t="shared" si="48"/>
        <v>0</v>
      </c>
      <c r="K723" s="19" t="s">
        <v>6220</v>
      </c>
    </row>
    <row r="724" spans="1:11" x14ac:dyDescent="0.2">
      <c r="A724" t="s">
        <v>856</v>
      </c>
      <c r="B724" t="s">
        <v>6621</v>
      </c>
      <c r="G724" s="5" t="str">
        <f t="shared" si="47"/>
        <v/>
      </c>
      <c r="I724" s="6" t="str">
        <f t="shared" si="48"/>
        <v>0</v>
      </c>
    </row>
    <row r="725" spans="1:11" x14ac:dyDescent="0.2">
      <c r="A725" t="s">
        <v>857</v>
      </c>
      <c r="B725" t="s">
        <v>6622</v>
      </c>
      <c r="G725" s="5" t="str">
        <f t="shared" si="47"/>
        <v/>
      </c>
      <c r="I725" s="6" t="str">
        <f t="shared" si="48"/>
        <v>0</v>
      </c>
    </row>
    <row r="726" spans="1:11" x14ac:dyDescent="0.2">
      <c r="A726" t="s">
        <v>858</v>
      </c>
      <c r="B726" t="s">
        <v>5538</v>
      </c>
      <c r="G726" s="5" t="str">
        <f t="shared" si="47"/>
        <v/>
      </c>
      <c r="I726" s="6" t="str">
        <f t="shared" si="48"/>
        <v>0</v>
      </c>
      <c r="K726" s="19" t="s">
        <v>5539</v>
      </c>
    </row>
    <row r="727" spans="1:11" x14ac:dyDescent="0.2">
      <c r="A727" t="s">
        <v>859</v>
      </c>
      <c r="B727" t="s">
        <v>5450</v>
      </c>
      <c r="G727" s="5" t="str">
        <f t="shared" si="47"/>
        <v/>
      </c>
      <c r="I727" s="6" t="str">
        <f t="shared" si="48"/>
        <v>0</v>
      </c>
      <c r="K727" s="19" t="s">
        <v>5451</v>
      </c>
    </row>
    <row r="728" spans="1:11" x14ac:dyDescent="0.2">
      <c r="A728" t="s">
        <v>860</v>
      </c>
      <c r="B728" t="s">
        <v>5695</v>
      </c>
      <c r="G728" s="5" t="str">
        <f t="shared" si="47"/>
        <v/>
      </c>
      <c r="I728" s="6" t="str">
        <f t="shared" si="48"/>
        <v>0</v>
      </c>
      <c r="K728" s="19" t="s">
        <v>5696</v>
      </c>
    </row>
    <row r="729" spans="1:11" x14ac:dyDescent="0.2">
      <c r="A729" t="s">
        <v>861</v>
      </c>
      <c r="B729" t="s">
        <v>6623</v>
      </c>
      <c r="G729" s="5" t="str">
        <f t="shared" si="47"/>
        <v/>
      </c>
      <c r="I729" s="6" t="str">
        <f t="shared" si="48"/>
        <v>0</v>
      </c>
      <c r="K729" s="19" t="s">
        <v>6221</v>
      </c>
    </row>
    <row r="730" spans="1:11" x14ac:dyDescent="0.2">
      <c r="A730" t="s">
        <v>862</v>
      </c>
      <c r="B730" t="s">
        <v>5540</v>
      </c>
      <c r="G730" s="5" t="str">
        <f t="shared" si="47"/>
        <v/>
      </c>
      <c r="I730" s="6" t="str">
        <f t="shared" si="48"/>
        <v>0</v>
      </c>
      <c r="K730" s="19" t="s">
        <v>5541</v>
      </c>
    </row>
    <row r="731" spans="1:11" x14ac:dyDescent="0.2">
      <c r="A731" t="s">
        <v>864</v>
      </c>
      <c r="B731" t="s">
        <v>6624</v>
      </c>
      <c r="G731" s="5" t="str">
        <f t="shared" si="47"/>
        <v/>
      </c>
      <c r="I731" s="6" t="str">
        <f t="shared" si="48"/>
        <v>0</v>
      </c>
    </row>
    <row r="732" spans="1:11" x14ac:dyDescent="0.2">
      <c r="A732" t="s">
        <v>865</v>
      </c>
      <c r="B732" t="s">
        <v>6625</v>
      </c>
      <c r="G732" s="5" t="str">
        <f t="shared" si="47"/>
        <v/>
      </c>
      <c r="I732" s="6" t="str">
        <f t="shared" si="48"/>
        <v>0</v>
      </c>
    </row>
    <row r="733" spans="1:11" x14ac:dyDescent="0.2">
      <c r="A733" t="s">
        <v>866</v>
      </c>
      <c r="B733" t="s">
        <v>6626</v>
      </c>
      <c r="G733" s="5" t="str">
        <f t="shared" si="47"/>
        <v/>
      </c>
      <c r="I733" s="6" t="str">
        <f t="shared" si="48"/>
        <v>0</v>
      </c>
    </row>
    <row r="734" spans="1:11" x14ac:dyDescent="0.2">
      <c r="A734" t="s">
        <v>871</v>
      </c>
      <c r="B734" t="s">
        <v>6627</v>
      </c>
      <c r="G734" s="5" t="str">
        <f t="shared" si="47"/>
        <v/>
      </c>
      <c r="I734" s="6" t="str">
        <f t="shared" si="48"/>
        <v>0</v>
      </c>
    </row>
    <row r="735" spans="1:11" x14ac:dyDescent="0.2">
      <c r="A735" t="s">
        <v>875</v>
      </c>
      <c r="B735" t="s">
        <v>6628</v>
      </c>
      <c r="G735" s="5" t="str">
        <f t="shared" si="47"/>
        <v/>
      </c>
      <c r="I735" s="6" t="str">
        <f t="shared" si="48"/>
        <v>0</v>
      </c>
    </row>
    <row r="736" spans="1:11" x14ac:dyDescent="0.2">
      <c r="A736" t="s">
        <v>876</v>
      </c>
      <c r="B736" t="s">
        <v>6629</v>
      </c>
      <c r="G736" s="5" t="str">
        <f t="shared" si="47"/>
        <v/>
      </c>
      <c r="I736" s="6" t="str">
        <f t="shared" si="48"/>
        <v>0</v>
      </c>
    </row>
    <row r="737" spans="1:11" x14ac:dyDescent="0.2">
      <c r="A737" t="s">
        <v>877</v>
      </c>
      <c r="B737" t="s">
        <v>6630</v>
      </c>
      <c r="G737" s="5" t="str">
        <f t="shared" si="47"/>
        <v/>
      </c>
      <c r="I737" s="6" t="str">
        <f t="shared" si="48"/>
        <v>0</v>
      </c>
    </row>
    <row r="738" spans="1:11" x14ac:dyDescent="0.2">
      <c r="A738" t="s">
        <v>878</v>
      </c>
      <c r="B738" t="s">
        <v>6631</v>
      </c>
      <c r="G738" s="5" t="str">
        <f t="shared" si="47"/>
        <v/>
      </c>
      <c r="I738" s="6" t="str">
        <f t="shared" si="48"/>
        <v>0</v>
      </c>
    </row>
    <row r="739" spans="1:11" x14ac:dyDescent="0.2">
      <c r="A739" t="s">
        <v>879</v>
      </c>
      <c r="B739" t="s">
        <v>6632</v>
      </c>
      <c r="G739" s="5" t="str">
        <f t="shared" si="47"/>
        <v/>
      </c>
      <c r="I739" s="6" t="str">
        <f t="shared" si="48"/>
        <v>0</v>
      </c>
    </row>
    <row r="740" spans="1:11" x14ac:dyDescent="0.2">
      <c r="A740" t="s">
        <v>881</v>
      </c>
      <c r="B740" t="s">
        <v>6633</v>
      </c>
      <c r="G740" s="5" t="str">
        <f t="shared" si="47"/>
        <v/>
      </c>
      <c r="I740" s="6" t="str">
        <f t="shared" si="48"/>
        <v>0</v>
      </c>
    </row>
    <row r="741" spans="1:11" x14ac:dyDescent="0.2">
      <c r="A741" t="s">
        <v>882</v>
      </c>
      <c r="B741" t="s">
        <v>6634</v>
      </c>
      <c r="G741" s="5" t="str">
        <f t="shared" si="47"/>
        <v/>
      </c>
      <c r="I741" s="6" t="str">
        <f t="shared" si="48"/>
        <v>0</v>
      </c>
    </row>
    <row r="742" spans="1:11" x14ac:dyDescent="0.2">
      <c r="A742" t="s">
        <v>883</v>
      </c>
      <c r="B742" t="s">
        <v>6635</v>
      </c>
      <c r="G742" s="5" t="str">
        <f t="shared" si="47"/>
        <v/>
      </c>
      <c r="I742" s="6" t="str">
        <f t="shared" si="48"/>
        <v>0</v>
      </c>
    </row>
    <row r="743" spans="1:11" x14ac:dyDescent="0.2">
      <c r="A743" t="s">
        <v>894</v>
      </c>
      <c r="B743" t="s">
        <v>6636</v>
      </c>
      <c r="G743" s="5" t="str">
        <f t="shared" si="47"/>
        <v/>
      </c>
      <c r="I743" s="6" t="str">
        <f t="shared" si="48"/>
        <v>0</v>
      </c>
    </row>
    <row r="744" spans="1:11" x14ac:dyDescent="0.2">
      <c r="A744" t="s">
        <v>895</v>
      </c>
      <c r="B744" t="s">
        <v>6637</v>
      </c>
      <c r="G744" s="5" t="str">
        <f t="shared" si="47"/>
        <v/>
      </c>
      <c r="I744" s="6" t="str">
        <f t="shared" si="48"/>
        <v>0</v>
      </c>
    </row>
    <row r="745" spans="1:11" x14ac:dyDescent="0.2">
      <c r="A745" t="s">
        <v>896</v>
      </c>
      <c r="B745" t="s">
        <v>5542</v>
      </c>
      <c r="G745" s="5" t="str">
        <f t="shared" si="47"/>
        <v/>
      </c>
      <c r="I745" s="6" t="str">
        <f t="shared" si="48"/>
        <v>0</v>
      </c>
      <c r="K745" s="19" t="s">
        <v>5543</v>
      </c>
    </row>
    <row r="746" spans="1:11" x14ac:dyDescent="0.2">
      <c r="A746" t="s">
        <v>897</v>
      </c>
      <c r="B746" t="s">
        <v>6638</v>
      </c>
      <c r="G746" s="5" t="str">
        <f t="shared" si="47"/>
        <v/>
      </c>
      <c r="I746" s="6" t="str">
        <f t="shared" si="48"/>
        <v>0</v>
      </c>
    </row>
    <row r="747" spans="1:11" x14ac:dyDescent="0.2">
      <c r="A747" t="s">
        <v>899</v>
      </c>
      <c r="B747" t="s">
        <v>5697</v>
      </c>
      <c r="G747" s="5" t="str">
        <f t="shared" si="47"/>
        <v/>
      </c>
      <c r="I747" s="6" t="str">
        <f t="shared" si="48"/>
        <v>0</v>
      </c>
      <c r="K747" s="19" t="s">
        <v>5698</v>
      </c>
    </row>
    <row r="748" spans="1:11" x14ac:dyDescent="0.2">
      <c r="A748" t="s">
        <v>900</v>
      </c>
      <c r="B748" t="s">
        <v>6639</v>
      </c>
      <c r="G748" s="5" t="str">
        <f t="shared" si="47"/>
        <v/>
      </c>
      <c r="I748" s="6" t="str">
        <f t="shared" si="48"/>
        <v>0</v>
      </c>
    </row>
    <row r="749" spans="1:11" x14ac:dyDescent="0.2">
      <c r="A749" t="s">
        <v>903</v>
      </c>
      <c r="B749" t="s">
        <v>6640</v>
      </c>
      <c r="G749" s="5" t="str">
        <f t="shared" si="47"/>
        <v/>
      </c>
      <c r="I749" s="6" t="str">
        <f t="shared" si="48"/>
        <v>0</v>
      </c>
    </row>
    <row r="750" spans="1:11" x14ac:dyDescent="0.2">
      <c r="A750" t="s">
        <v>904</v>
      </c>
      <c r="B750" t="s">
        <v>6641</v>
      </c>
      <c r="G750" s="5" t="str">
        <f t="shared" si="47"/>
        <v/>
      </c>
      <c r="I750" s="6" t="str">
        <f t="shared" si="48"/>
        <v>0</v>
      </c>
    </row>
    <row r="751" spans="1:11" x14ac:dyDescent="0.2">
      <c r="A751" t="s">
        <v>905</v>
      </c>
      <c r="B751" t="s">
        <v>6642</v>
      </c>
      <c r="G751" s="5" t="str">
        <f t="shared" si="47"/>
        <v/>
      </c>
      <c r="I751" s="6" t="str">
        <f t="shared" si="48"/>
        <v>0</v>
      </c>
    </row>
    <row r="752" spans="1:11" x14ac:dyDescent="0.2">
      <c r="A752" t="s">
        <v>906</v>
      </c>
      <c r="B752" t="s">
        <v>6643</v>
      </c>
      <c r="G752" s="5" t="str">
        <f t="shared" si="47"/>
        <v/>
      </c>
      <c r="I752" s="6" t="str">
        <f t="shared" si="48"/>
        <v>0</v>
      </c>
    </row>
    <row r="753" spans="1:9" x14ac:dyDescent="0.2">
      <c r="A753" t="s">
        <v>907</v>
      </c>
      <c r="B753" t="s">
        <v>6644</v>
      </c>
      <c r="G753" s="5" t="str">
        <f t="shared" si="47"/>
        <v/>
      </c>
      <c r="I753" s="6" t="str">
        <f t="shared" si="48"/>
        <v>0</v>
      </c>
    </row>
    <row r="754" spans="1:9" x14ac:dyDescent="0.2">
      <c r="A754" t="s">
        <v>908</v>
      </c>
      <c r="B754" t="s">
        <v>6645</v>
      </c>
      <c r="G754" s="5" t="str">
        <f t="shared" si="47"/>
        <v/>
      </c>
      <c r="I754" s="6" t="str">
        <f t="shared" si="48"/>
        <v>0</v>
      </c>
    </row>
    <row r="755" spans="1:9" x14ac:dyDescent="0.2">
      <c r="A755" t="s">
        <v>910</v>
      </c>
      <c r="B755" t="s">
        <v>6646</v>
      </c>
      <c r="G755" s="5" t="str">
        <f t="shared" si="47"/>
        <v/>
      </c>
      <c r="I755" s="6" t="str">
        <f t="shared" si="48"/>
        <v>0</v>
      </c>
    </row>
    <row r="756" spans="1:9" x14ac:dyDescent="0.2">
      <c r="A756" t="s">
        <v>916</v>
      </c>
      <c r="B756" t="s">
        <v>6647</v>
      </c>
      <c r="G756" s="5" t="str">
        <f t="shared" si="47"/>
        <v/>
      </c>
      <c r="I756" s="6" t="str">
        <f t="shared" si="48"/>
        <v>0</v>
      </c>
    </row>
    <row r="757" spans="1:9" x14ac:dyDescent="0.2">
      <c r="A757" t="s">
        <v>926</v>
      </c>
      <c r="B757" t="s">
        <v>6648</v>
      </c>
      <c r="G757" s="5" t="str">
        <f t="shared" si="47"/>
        <v/>
      </c>
      <c r="I757" s="6" t="str">
        <f t="shared" si="48"/>
        <v>0</v>
      </c>
    </row>
    <row r="758" spans="1:9" x14ac:dyDescent="0.2">
      <c r="A758" t="s">
        <v>927</v>
      </c>
      <c r="B758" t="s">
        <v>6649</v>
      </c>
      <c r="G758" s="5" t="str">
        <f t="shared" si="47"/>
        <v/>
      </c>
      <c r="I758" s="6" t="str">
        <f t="shared" si="48"/>
        <v>0</v>
      </c>
    </row>
    <row r="759" spans="1:9" x14ac:dyDescent="0.2">
      <c r="A759" t="s">
        <v>928</v>
      </c>
      <c r="B759" t="s">
        <v>6650</v>
      </c>
      <c r="G759" s="5" t="str">
        <f t="shared" si="47"/>
        <v/>
      </c>
      <c r="I759" s="6" t="str">
        <f t="shared" si="48"/>
        <v>0</v>
      </c>
    </row>
    <row r="760" spans="1:9" x14ac:dyDescent="0.2">
      <c r="A760" t="s">
        <v>930</v>
      </c>
      <c r="B760" t="s">
        <v>6651</v>
      </c>
      <c r="G760" s="5" t="str">
        <f t="shared" si="47"/>
        <v/>
      </c>
      <c r="I760" s="6" t="str">
        <f t="shared" si="48"/>
        <v>0</v>
      </c>
    </row>
    <row r="761" spans="1:9" x14ac:dyDescent="0.2">
      <c r="A761" t="s">
        <v>931</v>
      </c>
      <c r="B761" t="s">
        <v>6652</v>
      </c>
      <c r="G761" s="5" t="str">
        <f t="shared" si="47"/>
        <v/>
      </c>
      <c r="I761" s="6" t="str">
        <f t="shared" si="48"/>
        <v>0</v>
      </c>
    </row>
    <row r="762" spans="1:9" x14ac:dyDescent="0.2">
      <c r="A762" t="s">
        <v>934</v>
      </c>
      <c r="B762" t="s">
        <v>6653</v>
      </c>
      <c r="G762" s="5" t="str">
        <f t="shared" si="47"/>
        <v/>
      </c>
      <c r="I762" s="6" t="str">
        <f t="shared" si="48"/>
        <v>0</v>
      </c>
    </row>
    <row r="763" spans="1:9" x14ac:dyDescent="0.2">
      <c r="A763" t="s">
        <v>935</v>
      </c>
      <c r="B763" t="s">
        <v>6654</v>
      </c>
      <c r="G763" s="5" t="str">
        <f t="shared" si="47"/>
        <v/>
      </c>
      <c r="I763" s="6" t="str">
        <f t="shared" si="48"/>
        <v>0</v>
      </c>
    </row>
    <row r="764" spans="1:9" x14ac:dyDescent="0.2">
      <c r="A764" t="s">
        <v>936</v>
      </c>
      <c r="B764" t="s">
        <v>6655</v>
      </c>
      <c r="G764" s="5" t="str">
        <f t="shared" si="47"/>
        <v/>
      </c>
      <c r="I764" s="6" t="str">
        <f t="shared" si="48"/>
        <v>0</v>
      </c>
    </row>
    <row r="765" spans="1:9" x14ac:dyDescent="0.2">
      <c r="A765" t="s">
        <v>938</v>
      </c>
      <c r="B765" t="s">
        <v>6656</v>
      </c>
      <c r="G765" s="5" t="str">
        <f t="shared" si="47"/>
        <v/>
      </c>
      <c r="I765" s="6" t="str">
        <f t="shared" si="48"/>
        <v>0</v>
      </c>
    </row>
    <row r="766" spans="1:9" x14ac:dyDescent="0.2">
      <c r="A766" t="s">
        <v>941</v>
      </c>
      <c r="B766" t="s">
        <v>6657</v>
      </c>
      <c r="G766" s="5" t="str">
        <f t="shared" si="47"/>
        <v/>
      </c>
      <c r="I766" s="6" t="str">
        <f t="shared" si="48"/>
        <v>0</v>
      </c>
    </row>
    <row r="767" spans="1:9" x14ac:dyDescent="0.2">
      <c r="A767" t="s">
        <v>942</v>
      </c>
      <c r="B767" t="s">
        <v>6658</v>
      </c>
      <c r="G767" s="5" t="str">
        <f t="shared" si="47"/>
        <v/>
      </c>
      <c r="I767" s="6" t="str">
        <f t="shared" si="48"/>
        <v>0</v>
      </c>
    </row>
    <row r="768" spans="1:9" x14ac:dyDescent="0.2">
      <c r="A768" t="s">
        <v>943</v>
      </c>
      <c r="B768" t="s">
        <v>6659</v>
      </c>
      <c r="G768" s="5" t="str">
        <f t="shared" si="47"/>
        <v/>
      </c>
      <c r="I768" s="6" t="str">
        <f t="shared" si="48"/>
        <v>0</v>
      </c>
    </row>
    <row r="769" spans="1:11" x14ac:dyDescent="0.2">
      <c r="A769" t="s">
        <v>944</v>
      </c>
      <c r="B769" t="s">
        <v>6660</v>
      </c>
      <c r="G769" s="5" t="str">
        <f t="shared" ref="G769:G832" si="49">IF(F769&lt;&gt;"",HEX2DEC(SUBSTITUTE(SUBSTITUTE(F769,"adrEA",""),"$","")),"")</f>
        <v/>
      </c>
      <c r="I769" s="6" t="str">
        <f t="shared" ref="I769:I832" si="50">IFERROR(DEC2HEX(H769),"")</f>
        <v>0</v>
      </c>
    </row>
    <row r="770" spans="1:11" x14ac:dyDescent="0.2">
      <c r="A770" t="s">
        <v>946</v>
      </c>
      <c r="B770" t="s">
        <v>6661</v>
      </c>
      <c r="G770" s="5" t="str">
        <f t="shared" si="49"/>
        <v/>
      </c>
      <c r="I770" s="6" t="str">
        <f t="shared" si="50"/>
        <v>0</v>
      </c>
    </row>
    <row r="771" spans="1:11" x14ac:dyDescent="0.2">
      <c r="A771" t="s">
        <v>947</v>
      </c>
      <c r="B771" t="s">
        <v>6662</v>
      </c>
      <c r="G771" s="5" t="str">
        <f t="shared" si="49"/>
        <v/>
      </c>
      <c r="I771" s="6" t="str">
        <f t="shared" si="50"/>
        <v>0</v>
      </c>
    </row>
    <row r="772" spans="1:11" x14ac:dyDescent="0.2">
      <c r="A772" t="s">
        <v>949</v>
      </c>
      <c r="B772" t="s">
        <v>6663</v>
      </c>
      <c r="G772" s="5" t="str">
        <f t="shared" si="49"/>
        <v/>
      </c>
      <c r="I772" s="6" t="str">
        <f t="shared" si="50"/>
        <v>0</v>
      </c>
    </row>
    <row r="773" spans="1:11" x14ac:dyDescent="0.2">
      <c r="A773" t="s">
        <v>950</v>
      </c>
      <c r="B773" t="s">
        <v>6664</v>
      </c>
      <c r="G773" s="5" t="str">
        <f t="shared" si="49"/>
        <v/>
      </c>
      <c r="I773" s="6" t="str">
        <f t="shared" si="50"/>
        <v>0</v>
      </c>
    </row>
    <row r="774" spans="1:11" x14ac:dyDescent="0.2">
      <c r="A774" t="s">
        <v>951</v>
      </c>
      <c r="B774" t="s">
        <v>6665</v>
      </c>
      <c r="G774" s="5" t="str">
        <f t="shared" si="49"/>
        <v/>
      </c>
      <c r="I774" s="6" t="str">
        <f t="shared" si="50"/>
        <v>0</v>
      </c>
    </row>
    <row r="775" spans="1:11" x14ac:dyDescent="0.2">
      <c r="A775" t="s">
        <v>952</v>
      </c>
      <c r="B775" t="s">
        <v>6666</v>
      </c>
      <c r="G775" s="5" t="str">
        <f t="shared" si="49"/>
        <v/>
      </c>
      <c r="I775" s="6" t="str">
        <f t="shared" si="50"/>
        <v>0</v>
      </c>
    </row>
    <row r="776" spans="1:11" x14ac:dyDescent="0.2">
      <c r="A776" t="s">
        <v>953</v>
      </c>
      <c r="B776" t="s">
        <v>6667</v>
      </c>
      <c r="G776" s="5" t="str">
        <f t="shared" si="49"/>
        <v/>
      </c>
      <c r="I776" s="6" t="str">
        <f t="shared" si="50"/>
        <v>0</v>
      </c>
    </row>
    <row r="777" spans="1:11" x14ac:dyDescent="0.2">
      <c r="A777" t="s">
        <v>954</v>
      </c>
      <c r="B777" t="s">
        <v>6668</v>
      </c>
      <c r="G777" s="5" t="str">
        <f t="shared" si="49"/>
        <v/>
      </c>
      <c r="I777" s="6" t="str">
        <f t="shared" si="50"/>
        <v>0</v>
      </c>
    </row>
    <row r="778" spans="1:11" x14ac:dyDescent="0.2">
      <c r="A778" t="s">
        <v>955</v>
      </c>
      <c r="B778" t="s">
        <v>6669</v>
      </c>
      <c r="G778" s="5" t="str">
        <f t="shared" si="49"/>
        <v/>
      </c>
      <c r="I778" s="6" t="str">
        <f t="shared" si="50"/>
        <v>0</v>
      </c>
    </row>
    <row r="779" spans="1:11" x14ac:dyDescent="0.2">
      <c r="A779" t="s">
        <v>957</v>
      </c>
      <c r="B779" t="s">
        <v>5769</v>
      </c>
      <c r="G779" s="5" t="str">
        <f t="shared" si="49"/>
        <v/>
      </c>
      <c r="I779" s="6" t="str">
        <f t="shared" si="50"/>
        <v>0</v>
      </c>
      <c r="K779" s="19" t="s">
        <v>5770</v>
      </c>
    </row>
    <row r="780" spans="1:11" x14ac:dyDescent="0.2">
      <c r="A780" t="s">
        <v>992</v>
      </c>
      <c r="B780" t="s">
        <v>6670</v>
      </c>
      <c r="G780" s="5" t="str">
        <f t="shared" si="49"/>
        <v/>
      </c>
      <c r="I780" s="6" t="str">
        <f t="shared" si="50"/>
        <v>0</v>
      </c>
    </row>
    <row r="781" spans="1:11" x14ac:dyDescent="0.2">
      <c r="A781" t="s">
        <v>993</v>
      </c>
      <c r="B781" t="s">
        <v>6671</v>
      </c>
      <c r="G781" s="5" t="str">
        <f t="shared" si="49"/>
        <v/>
      </c>
      <c r="I781" s="6" t="str">
        <f t="shared" si="50"/>
        <v>0</v>
      </c>
    </row>
    <row r="782" spans="1:11" x14ac:dyDescent="0.2">
      <c r="A782" t="s">
        <v>994</v>
      </c>
      <c r="B782" t="s">
        <v>6672</v>
      </c>
      <c r="G782" s="5" t="str">
        <f t="shared" si="49"/>
        <v/>
      </c>
      <c r="I782" s="6" t="str">
        <f t="shared" si="50"/>
        <v>0</v>
      </c>
    </row>
    <row r="783" spans="1:11" x14ac:dyDescent="0.2">
      <c r="A783" t="s">
        <v>1013</v>
      </c>
      <c r="B783" t="s">
        <v>6673</v>
      </c>
      <c r="G783" s="5" t="str">
        <f t="shared" si="49"/>
        <v/>
      </c>
      <c r="I783" s="6" t="str">
        <f t="shared" si="50"/>
        <v>0</v>
      </c>
    </row>
    <row r="784" spans="1:11" x14ac:dyDescent="0.2">
      <c r="A784" t="s">
        <v>1014</v>
      </c>
      <c r="B784" t="s">
        <v>6674</v>
      </c>
      <c r="G784" s="5" t="str">
        <f t="shared" si="49"/>
        <v/>
      </c>
      <c r="I784" s="6" t="str">
        <f t="shared" si="50"/>
        <v>0</v>
      </c>
    </row>
    <row r="785" spans="1:11" x14ac:dyDescent="0.2">
      <c r="A785" t="s">
        <v>1015</v>
      </c>
      <c r="B785" t="s">
        <v>6675</v>
      </c>
      <c r="G785" s="5" t="str">
        <f t="shared" si="49"/>
        <v/>
      </c>
      <c r="I785" s="6" t="str">
        <f t="shared" si="50"/>
        <v>0</v>
      </c>
    </row>
    <row r="786" spans="1:11" x14ac:dyDescent="0.2">
      <c r="A786" t="s">
        <v>1016</v>
      </c>
      <c r="B786" t="s">
        <v>6676</v>
      </c>
      <c r="G786" s="5" t="str">
        <f t="shared" si="49"/>
        <v/>
      </c>
      <c r="I786" s="6" t="str">
        <f t="shared" si="50"/>
        <v>0</v>
      </c>
    </row>
    <row r="787" spans="1:11" x14ac:dyDescent="0.2">
      <c r="A787" t="s">
        <v>1017</v>
      </c>
      <c r="B787" t="s">
        <v>6677</v>
      </c>
      <c r="G787" s="5" t="str">
        <f t="shared" si="49"/>
        <v/>
      </c>
      <c r="I787" s="6" t="str">
        <f t="shared" si="50"/>
        <v>0</v>
      </c>
    </row>
    <row r="788" spans="1:11" x14ac:dyDescent="0.2">
      <c r="A788" t="s">
        <v>1018</v>
      </c>
      <c r="B788" t="s">
        <v>6678</v>
      </c>
      <c r="G788" s="5" t="str">
        <f t="shared" si="49"/>
        <v/>
      </c>
      <c r="I788" s="6" t="str">
        <f t="shared" si="50"/>
        <v>0</v>
      </c>
    </row>
    <row r="789" spans="1:11" x14ac:dyDescent="0.2">
      <c r="A789" t="s">
        <v>1023</v>
      </c>
      <c r="B789" t="s">
        <v>6679</v>
      </c>
      <c r="G789" s="5" t="str">
        <f t="shared" si="49"/>
        <v/>
      </c>
      <c r="I789" s="6" t="str">
        <f t="shared" si="50"/>
        <v>0</v>
      </c>
    </row>
    <row r="790" spans="1:11" x14ac:dyDescent="0.2">
      <c r="A790" t="s">
        <v>1025</v>
      </c>
      <c r="B790" t="s">
        <v>6680</v>
      </c>
      <c r="G790" s="5" t="str">
        <f t="shared" si="49"/>
        <v/>
      </c>
      <c r="I790" s="6" t="str">
        <f t="shared" si="50"/>
        <v>0</v>
      </c>
    </row>
    <row r="791" spans="1:11" x14ac:dyDescent="0.2">
      <c r="A791" t="s">
        <v>1026</v>
      </c>
      <c r="B791" t="s">
        <v>6681</v>
      </c>
      <c r="G791" s="5" t="str">
        <f t="shared" si="49"/>
        <v/>
      </c>
      <c r="I791" s="6" t="str">
        <f t="shared" si="50"/>
        <v>0</v>
      </c>
    </row>
    <row r="792" spans="1:11" x14ac:dyDescent="0.2">
      <c r="A792" t="s">
        <v>1027</v>
      </c>
      <c r="B792" t="s">
        <v>6682</v>
      </c>
      <c r="G792" s="5" t="str">
        <f t="shared" si="49"/>
        <v/>
      </c>
      <c r="I792" s="6" t="str">
        <f t="shared" si="50"/>
        <v>0</v>
      </c>
    </row>
    <row r="793" spans="1:11" x14ac:dyDescent="0.2">
      <c r="A793" t="s">
        <v>1028</v>
      </c>
      <c r="B793" t="s">
        <v>6683</v>
      </c>
      <c r="G793" s="5" t="str">
        <f t="shared" si="49"/>
        <v/>
      </c>
      <c r="I793" s="6" t="str">
        <f t="shared" si="50"/>
        <v>0</v>
      </c>
    </row>
    <row r="794" spans="1:11" x14ac:dyDescent="0.2">
      <c r="A794" t="s">
        <v>1029</v>
      </c>
      <c r="B794" t="s">
        <v>5371</v>
      </c>
      <c r="G794" s="5" t="str">
        <f t="shared" si="49"/>
        <v/>
      </c>
      <c r="I794" s="6" t="str">
        <f t="shared" si="50"/>
        <v>0</v>
      </c>
      <c r="K794" s="19" t="s">
        <v>5372</v>
      </c>
    </row>
    <row r="795" spans="1:11" x14ac:dyDescent="0.2">
      <c r="A795" t="s">
        <v>1030</v>
      </c>
      <c r="B795" t="s">
        <v>6684</v>
      </c>
      <c r="G795" s="5" t="str">
        <f t="shared" si="49"/>
        <v/>
      </c>
      <c r="I795" s="6" t="str">
        <f t="shared" si="50"/>
        <v>0</v>
      </c>
    </row>
    <row r="796" spans="1:11" x14ac:dyDescent="0.2">
      <c r="A796" t="s">
        <v>1031</v>
      </c>
      <c r="B796" t="s">
        <v>6685</v>
      </c>
      <c r="G796" s="5" t="str">
        <f t="shared" si="49"/>
        <v/>
      </c>
      <c r="I796" s="6" t="str">
        <f t="shared" si="50"/>
        <v>0</v>
      </c>
    </row>
    <row r="797" spans="1:11" x14ac:dyDescent="0.2">
      <c r="A797" t="s">
        <v>1032</v>
      </c>
      <c r="B797" t="s">
        <v>5373</v>
      </c>
      <c r="G797" s="5" t="str">
        <f t="shared" si="49"/>
        <v/>
      </c>
      <c r="I797" s="6" t="str">
        <f t="shared" si="50"/>
        <v>0</v>
      </c>
      <c r="K797" s="19" t="s">
        <v>5374</v>
      </c>
    </row>
    <row r="798" spans="1:11" x14ac:dyDescent="0.2">
      <c r="A798" t="s">
        <v>1033</v>
      </c>
      <c r="B798" t="s">
        <v>5375</v>
      </c>
      <c r="G798" s="5" t="str">
        <f t="shared" si="49"/>
        <v/>
      </c>
      <c r="I798" s="6" t="str">
        <f t="shared" si="50"/>
        <v>0</v>
      </c>
      <c r="K798" s="19" t="s">
        <v>5376</v>
      </c>
    </row>
    <row r="799" spans="1:11" x14ac:dyDescent="0.2">
      <c r="A799" t="s">
        <v>1034</v>
      </c>
      <c r="B799" t="s">
        <v>6686</v>
      </c>
      <c r="G799" s="5" t="str">
        <f t="shared" si="49"/>
        <v/>
      </c>
      <c r="I799" s="6" t="str">
        <f t="shared" si="50"/>
        <v>0</v>
      </c>
    </row>
    <row r="800" spans="1:11" x14ac:dyDescent="0.2">
      <c r="A800" t="s">
        <v>1035</v>
      </c>
      <c r="B800" t="s">
        <v>6687</v>
      </c>
      <c r="G800" s="5" t="str">
        <f t="shared" si="49"/>
        <v/>
      </c>
      <c r="I800" s="6" t="str">
        <f t="shared" si="50"/>
        <v>0</v>
      </c>
    </row>
    <row r="801" spans="1:11" x14ac:dyDescent="0.2">
      <c r="A801" t="s">
        <v>1036</v>
      </c>
      <c r="B801" t="s">
        <v>6688</v>
      </c>
      <c r="G801" s="5" t="str">
        <f t="shared" si="49"/>
        <v/>
      </c>
      <c r="I801" s="6" t="str">
        <f t="shared" si="50"/>
        <v>0</v>
      </c>
    </row>
    <row r="802" spans="1:11" x14ac:dyDescent="0.2">
      <c r="A802" t="s">
        <v>1037</v>
      </c>
      <c r="B802" t="s">
        <v>5377</v>
      </c>
      <c r="G802" s="5" t="str">
        <f t="shared" si="49"/>
        <v/>
      </c>
      <c r="I802" s="6" t="str">
        <f t="shared" si="50"/>
        <v>0</v>
      </c>
      <c r="K802" s="19" t="s">
        <v>5378</v>
      </c>
    </row>
    <row r="803" spans="1:11" x14ac:dyDescent="0.2">
      <c r="A803" t="s">
        <v>1038</v>
      </c>
      <c r="B803" t="s">
        <v>6689</v>
      </c>
      <c r="G803" s="5" t="str">
        <f t="shared" si="49"/>
        <v/>
      </c>
      <c r="I803" s="6" t="str">
        <f t="shared" si="50"/>
        <v>0</v>
      </c>
    </row>
    <row r="804" spans="1:11" x14ac:dyDescent="0.2">
      <c r="A804" t="s">
        <v>1039</v>
      </c>
      <c r="B804" t="s">
        <v>6690</v>
      </c>
      <c r="G804" s="5" t="str">
        <f t="shared" si="49"/>
        <v/>
      </c>
      <c r="I804" s="6" t="str">
        <f t="shared" si="50"/>
        <v>0</v>
      </c>
    </row>
    <row r="805" spans="1:11" x14ac:dyDescent="0.2">
      <c r="A805" t="s">
        <v>1042</v>
      </c>
      <c r="B805" t="s">
        <v>6691</v>
      </c>
      <c r="G805" s="5" t="str">
        <f t="shared" si="49"/>
        <v/>
      </c>
      <c r="I805" s="6" t="str">
        <f t="shared" si="50"/>
        <v>0</v>
      </c>
    </row>
    <row r="806" spans="1:11" x14ac:dyDescent="0.2">
      <c r="A806" t="s">
        <v>1046</v>
      </c>
      <c r="B806" t="s">
        <v>6692</v>
      </c>
      <c r="G806" s="5" t="str">
        <f t="shared" si="49"/>
        <v/>
      </c>
      <c r="I806" s="6" t="str">
        <f t="shared" si="50"/>
        <v>0</v>
      </c>
    </row>
    <row r="807" spans="1:11" x14ac:dyDescent="0.2">
      <c r="A807" t="s">
        <v>1047</v>
      </c>
      <c r="B807" t="s">
        <v>6693</v>
      </c>
      <c r="G807" s="5" t="str">
        <f t="shared" si="49"/>
        <v/>
      </c>
      <c r="I807" s="6" t="str">
        <f t="shared" si="50"/>
        <v>0</v>
      </c>
    </row>
    <row r="808" spans="1:11" x14ac:dyDescent="0.2">
      <c r="A808" t="s">
        <v>1068</v>
      </c>
      <c r="B808" t="s">
        <v>5140</v>
      </c>
      <c r="C808" s="5" t="s">
        <v>7</v>
      </c>
      <c r="F808" s="5" t="s">
        <v>5141</v>
      </c>
      <c r="G808" s="5">
        <f t="shared" si="49"/>
        <v>16006</v>
      </c>
      <c r="I808" s="6" t="str">
        <f t="shared" si="50"/>
        <v>0</v>
      </c>
      <c r="K808" s="19" t="s">
        <v>5142</v>
      </c>
    </row>
    <row r="809" spans="1:11" x14ac:dyDescent="0.2">
      <c r="A809" t="s">
        <v>1069</v>
      </c>
      <c r="B809" t="s">
        <v>5040</v>
      </c>
      <c r="C809" s="5" t="s">
        <v>7</v>
      </c>
      <c r="F809" s="5" t="s">
        <v>5041</v>
      </c>
      <c r="G809" s="5">
        <f t="shared" si="49"/>
        <v>16008</v>
      </c>
      <c r="I809" s="6" t="str">
        <f t="shared" si="50"/>
        <v>0</v>
      </c>
      <c r="K809" s="19" t="s">
        <v>5143</v>
      </c>
    </row>
    <row r="810" spans="1:11" x14ac:dyDescent="0.2">
      <c r="A810" t="s">
        <v>1070</v>
      </c>
      <c r="B810" t="s">
        <v>5042</v>
      </c>
      <c r="C810" s="5" t="s">
        <v>7</v>
      </c>
      <c r="F810" s="5" t="s">
        <v>5043</v>
      </c>
      <c r="G810" s="5">
        <f t="shared" si="49"/>
        <v>16034</v>
      </c>
      <c r="I810" s="6" t="str">
        <f t="shared" si="50"/>
        <v>0</v>
      </c>
      <c r="K810" s="19" t="s">
        <v>5144</v>
      </c>
    </row>
    <row r="811" spans="1:11" x14ac:dyDescent="0.2">
      <c r="A811" t="s">
        <v>1072</v>
      </c>
      <c r="B811" t="s">
        <v>1073</v>
      </c>
      <c r="G811" s="5" t="str">
        <f t="shared" si="49"/>
        <v/>
      </c>
      <c r="I811" s="6" t="str">
        <f t="shared" si="50"/>
        <v>0</v>
      </c>
      <c r="K811" s="19" t="s">
        <v>6222</v>
      </c>
    </row>
    <row r="812" spans="1:11" x14ac:dyDescent="0.2">
      <c r="A812" t="s">
        <v>1074</v>
      </c>
      <c r="B812" t="s">
        <v>5146</v>
      </c>
      <c r="C812" s="5" t="s">
        <v>7</v>
      </c>
      <c r="F812" s="5" t="s">
        <v>5147</v>
      </c>
      <c r="G812" s="5">
        <f t="shared" si="49"/>
        <v>16120</v>
      </c>
      <c r="I812" s="6" t="str">
        <f t="shared" si="50"/>
        <v>0</v>
      </c>
      <c r="K812" s="19" t="s">
        <v>5148</v>
      </c>
    </row>
    <row r="813" spans="1:11" x14ac:dyDescent="0.2">
      <c r="A813" t="s">
        <v>1075</v>
      </c>
      <c r="B813" t="s">
        <v>5149</v>
      </c>
      <c r="C813" s="5" t="s">
        <v>7</v>
      </c>
      <c r="F813" s="5" t="s">
        <v>5150</v>
      </c>
      <c r="G813" s="5">
        <f t="shared" si="49"/>
        <v>16180</v>
      </c>
      <c r="I813" s="6" t="str">
        <f t="shared" si="50"/>
        <v>0</v>
      </c>
      <c r="K813" s="19" t="s">
        <v>5151</v>
      </c>
    </row>
    <row r="814" spans="1:11" x14ac:dyDescent="0.2">
      <c r="A814" t="s">
        <v>1076</v>
      </c>
      <c r="B814" t="s">
        <v>5544</v>
      </c>
      <c r="G814" s="5" t="str">
        <f t="shared" si="49"/>
        <v/>
      </c>
      <c r="I814" s="6" t="str">
        <f t="shared" si="50"/>
        <v>0</v>
      </c>
      <c r="K814" s="19" t="s">
        <v>5545</v>
      </c>
    </row>
    <row r="815" spans="1:11" x14ac:dyDescent="0.2">
      <c r="A815" t="s">
        <v>1077</v>
      </c>
      <c r="B815" t="s">
        <v>6694</v>
      </c>
      <c r="G815" s="5" t="str">
        <f t="shared" si="49"/>
        <v/>
      </c>
      <c r="I815" s="6" t="str">
        <f t="shared" si="50"/>
        <v>0</v>
      </c>
    </row>
    <row r="816" spans="1:11" x14ac:dyDescent="0.2">
      <c r="A816" t="s">
        <v>1078</v>
      </c>
      <c r="B816" t="s">
        <v>6695</v>
      </c>
      <c r="G816" s="5" t="str">
        <f t="shared" si="49"/>
        <v/>
      </c>
      <c r="I816" s="6" t="str">
        <f t="shared" si="50"/>
        <v>0</v>
      </c>
    </row>
    <row r="817" spans="1:11" x14ac:dyDescent="0.2">
      <c r="A817" t="s">
        <v>1080</v>
      </c>
      <c r="B817" t="s">
        <v>1081</v>
      </c>
      <c r="G817" s="5" t="str">
        <f t="shared" si="49"/>
        <v/>
      </c>
      <c r="I817" s="6" t="str">
        <f t="shared" si="50"/>
        <v>0</v>
      </c>
      <c r="K817" s="19" t="s">
        <v>6223</v>
      </c>
    </row>
    <row r="818" spans="1:11" x14ac:dyDescent="0.2">
      <c r="A818" t="s">
        <v>1082</v>
      </c>
      <c r="B818" t="s">
        <v>6696</v>
      </c>
      <c r="G818" s="5" t="str">
        <f t="shared" si="49"/>
        <v/>
      </c>
      <c r="I818" s="6" t="str">
        <f t="shared" si="50"/>
        <v>0</v>
      </c>
    </row>
    <row r="819" spans="1:11" x14ac:dyDescent="0.2">
      <c r="A819" t="s">
        <v>1083</v>
      </c>
      <c r="B819" t="s">
        <v>1084</v>
      </c>
      <c r="E819" t="str">
        <f t="shared" ref="E819:E842" si="51">IF(D819&lt;&gt;"",C819&amp;"/"&amp;D819,"")</f>
        <v/>
      </c>
      <c r="G819" s="5" t="str">
        <f t="shared" si="49"/>
        <v/>
      </c>
      <c r="I819" s="6" t="str">
        <f t="shared" si="50"/>
        <v>0</v>
      </c>
    </row>
    <row r="820" spans="1:11" x14ac:dyDescent="0.2">
      <c r="A820" t="s">
        <v>1085</v>
      </c>
      <c r="B820" t="s">
        <v>5699</v>
      </c>
      <c r="G820" s="5" t="str">
        <f t="shared" si="49"/>
        <v/>
      </c>
      <c r="I820" s="6" t="str">
        <f t="shared" si="50"/>
        <v>0</v>
      </c>
      <c r="K820" s="19" t="s">
        <v>5700</v>
      </c>
    </row>
    <row r="821" spans="1:11" x14ac:dyDescent="0.2">
      <c r="A821" t="s">
        <v>1086</v>
      </c>
      <c r="B821" t="s">
        <v>1087</v>
      </c>
      <c r="E821" t="str">
        <f t="shared" si="51"/>
        <v/>
      </c>
      <c r="G821" s="5" t="str">
        <f t="shared" si="49"/>
        <v/>
      </c>
      <c r="I821" s="6" t="str">
        <f t="shared" si="50"/>
        <v>0</v>
      </c>
    </row>
    <row r="822" spans="1:11" x14ac:dyDescent="0.2">
      <c r="A822" t="s">
        <v>1088</v>
      </c>
      <c r="B822" t="s">
        <v>1089</v>
      </c>
      <c r="E822" t="str">
        <f t="shared" si="51"/>
        <v/>
      </c>
      <c r="G822" s="5" t="str">
        <f t="shared" si="49"/>
        <v/>
      </c>
      <c r="I822" s="6" t="str">
        <f t="shared" si="50"/>
        <v>0</v>
      </c>
    </row>
    <row r="823" spans="1:11" x14ac:dyDescent="0.2">
      <c r="A823" t="s">
        <v>1090</v>
      </c>
      <c r="B823" t="s">
        <v>1091</v>
      </c>
      <c r="G823" s="5" t="str">
        <f t="shared" si="49"/>
        <v/>
      </c>
      <c r="I823" s="6" t="str">
        <f t="shared" si="50"/>
        <v>0</v>
      </c>
      <c r="K823" s="19" t="s">
        <v>6224</v>
      </c>
    </row>
    <row r="824" spans="1:11" x14ac:dyDescent="0.2">
      <c r="A824" t="s">
        <v>1092</v>
      </c>
      <c r="B824" t="s">
        <v>1093</v>
      </c>
      <c r="E824" t="str">
        <f t="shared" si="51"/>
        <v/>
      </c>
      <c r="G824" s="5" t="str">
        <f t="shared" si="49"/>
        <v/>
      </c>
      <c r="I824" s="6" t="str">
        <f t="shared" si="50"/>
        <v>0</v>
      </c>
    </row>
    <row r="825" spans="1:11" x14ac:dyDescent="0.2">
      <c r="A825" t="s">
        <v>1094</v>
      </c>
      <c r="B825" t="s">
        <v>5546</v>
      </c>
      <c r="G825" s="5" t="str">
        <f t="shared" si="49"/>
        <v/>
      </c>
      <c r="I825" s="6" t="str">
        <f t="shared" si="50"/>
        <v>0</v>
      </c>
      <c r="K825" s="19" t="s">
        <v>5547</v>
      </c>
    </row>
    <row r="826" spans="1:11" x14ac:dyDescent="0.2">
      <c r="A826" t="s">
        <v>1095</v>
      </c>
      <c r="B826" t="s">
        <v>6697</v>
      </c>
      <c r="G826" s="5" t="str">
        <f t="shared" si="49"/>
        <v/>
      </c>
      <c r="I826" s="6" t="str">
        <f t="shared" si="50"/>
        <v>0</v>
      </c>
    </row>
    <row r="827" spans="1:11" x14ac:dyDescent="0.2">
      <c r="A827" t="s">
        <v>1096</v>
      </c>
      <c r="B827" t="s">
        <v>1097</v>
      </c>
      <c r="G827" s="5" t="str">
        <f t="shared" si="49"/>
        <v/>
      </c>
      <c r="I827" s="6" t="str">
        <f t="shared" si="50"/>
        <v>0</v>
      </c>
      <c r="K827" s="19" t="s">
        <v>6225</v>
      </c>
    </row>
    <row r="828" spans="1:11" x14ac:dyDescent="0.2">
      <c r="A828" t="s">
        <v>1098</v>
      </c>
      <c r="B828" t="s">
        <v>1099</v>
      </c>
      <c r="G828" s="5" t="str">
        <f t="shared" si="49"/>
        <v/>
      </c>
      <c r="I828" s="6" t="str">
        <f t="shared" si="50"/>
        <v>0</v>
      </c>
      <c r="K828" s="19" t="s">
        <v>6226</v>
      </c>
    </row>
    <row r="829" spans="1:11" x14ac:dyDescent="0.2">
      <c r="A829" t="s">
        <v>1100</v>
      </c>
      <c r="B829" t="s">
        <v>6698</v>
      </c>
      <c r="G829" s="5" t="str">
        <f t="shared" si="49"/>
        <v/>
      </c>
      <c r="I829" s="6" t="str">
        <f t="shared" si="50"/>
        <v>0</v>
      </c>
    </row>
    <row r="830" spans="1:11" x14ac:dyDescent="0.2">
      <c r="A830" t="s">
        <v>1101</v>
      </c>
      <c r="B830" t="s">
        <v>6699</v>
      </c>
      <c r="G830" s="5" t="str">
        <f t="shared" si="49"/>
        <v/>
      </c>
      <c r="I830" s="6" t="str">
        <f t="shared" si="50"/>
        <v>0</v>
      </c>
    </row>
    <row r="831" spans="1:11" x14ac:dyDescent="0.2">
      <c r="A831" t="s">
        <v>1102</v>
      </c>
      <c r="B831" t="s">
        <v>5548</v>
      </c>
      <c r="G831" s="5" t="str">
        <f t="shared" si="49"/>
        <v/>
      </c>
      <c r="I831" s="6" t="str">
        <f t="shared" si="50"/>
        <v>0</v>
      </c>
      <c r="K831" s="19" t="s">
        <v>5549</v>
      </c>
    </row>
    <row r="832" spans="1:11" x14ac:dyDescent="0.2">
      <c r="A832" t="s">
        <v>1103</v>
      </c>
      <c r="B832" t="s">
        <v>5771</v>
      </c>
      <c r="G832" s="5" t="str">
        <f t="shared" si="49"/>
        <v/>
      </c>
      <c r="I832" s="6" t="str">
        <f t="shared" si="50"/>
        <v>0</v>
      </c>
      <c r="K832" s="19" t="s">
        <v>5772</v>
      </c>
    </row>
    <row r="833" spans="1:11" x14ac:dyDescent="0.2">
      <c r="A833" t="s">
        <v>1104</v>
      </c>
      <c r="B833" t="s">
        <v>5550</v>
      </c>
      <c r="G833" s="5" t="str">
        <f t="shared" ref="G833:G896" si="52">IF(F833&lt;&gt;"",HEX2DEC(SUBSTITUTE(SUBSTITUTE(F833,"adrEA",""),"$","")),"")</f>
        <v/>
      </c>
      <c r="I833" s="6" t="str">
        <f t="shared" ref="I833:I896" si="53">IFERROR(DEC2HEX(H833),"")</f>
        <v>0</v>
      </c>
      <c r="K833" s="19" t="s">
        <v>5551</v>
      </c>
    </row>
    <row r="834" spans="1:11" x14ac:dyDescent="0.2">
      <c r="A834" t="s">
        <v>1105</v>
      </c>
      <c r="B834" t="s">
        <v>3897</v>
      </c>
      <c r="E834" t="str">
        <f t="shared" si="51"/>
        <v/>
      </c>
      <c r="G834" s="5" t="str">
        <f t="shared" si="52"/>
        <v/>
      </c>
      <c r="I834" s="6" t="str">
        <f t="shared" si="53"/>
        <v>0</v>
      </c>
    </row>
    <row r="835" spans="1:11" x14ac:dyDescent="0.2">
      <c r="A835" t="s">
        <v>1106</v>
      </c>
      <c r="B835" t="s">
        <v>3895</v>
      </c>
      <c r="E835" t="str">
        <f t="shared" si="51"/>
        <v/>
      </c>
      <c r="G835" s="5" t="str">
        <f t="shared" si="52"/>
        <v/>
      </c>
      <c r="I835" s="6" t="str">
        <f t="shared" si="53"/>
        <v>0</v>
      </c>
    </row>
    <row r="836" spans="1:11" x14ac:dyDescent="0.2">
      <c r="A836" t="s">
        <v>1107</v>
      </c>
      <c r="B836" t="s">
        <v>3896</v>
      </c>
      <c r="E836" t="str">
        <f t="shared" si="51"/>
        <v/>
      </c>
      <c r="G836" s="5" t="str">
        <f t="shared" si="52"/>
        <v/>
      </c>
      <c r="I836" s="6" t="str">
        <f t="shared" si="53"/>
        <v>0</v>
      </c>
    </row>
    <row r="837" spans="1:11" x14ac:dyDescent="0.2">
      <c r="A837" t="s">
        <v>1108</v>
      </c>
      <c r="B837" t="s">
        <v>1109</v>
      </c>
      <c r="G837" s="5" t="str">
        <f t="shared" si="52"/>
        <v/>
      </c>
      <c r="I837" s="6" t="str">
        <f t="shared" si="53"/>
        <v>0</v>
      </c>
      <c r="K837" s="19" t="s">
        <v>7279</v>
      </c>
    </row>
    <row r="838" spans="1:11" x14ac:dyDescent="0.2">
      <c r="A838" t="s">
        <v>1110</v>
      </c>
      <c r="B838" t="s">
        <v>6700</v>
      </c>
      <c r="G838" s="5" t="str">
        <f t="shared" si="52"/>
        <v/>
      </c>
      <c r="I838" s="6" t="str">
        <f t="shared" si="53"/>
        <v>0</v>
      </c>
      <c r="K838" s="19" t="s">
        <v>6227</v>
      </c>
    </row>
    <row r="839" spans="1:11" x14ac:dyDescent="0.2">
      <c r="A839" t="s">
        <v>1111</v>
      </c>
      <c r="B839" t="s">
        <v>6701</v>
      </c>
      <c r="G839" s="5" t="str">
        <f t="shared" si="52"/>
        <v/>
      </c>
      <c r="I839" s="6" t="str">
        <f t="shared" si="53"/>
        <v>0</v>
      </c>
    </row>
    <row r="840" spans="1:11" x14ac:dyDescent="0.2">
      <c r="A840" t="s">
        <v>1112</v>
      </c>
      <c r="B840" t="s">
        <v>6702</v>
      </c>
      <c r="G840" s="5" t="str">
        <f t="shared" si="52"/>
        <v/>
      </c>
      <c r="I840" s="6" t="str">
        <f t="shared" si="53"/>
        <v>0</v>
      </c>
    </row>
    <row r="841" spans="1:11" x14ac:dyDescent="0.2">
      <c r="A841" t="s">
        <v>1113</v>
      </c>
      <c r="B841" t="s">
        <v>6703</v>
      </c>
      <c r="G841" s="5" t="str">
        <f t="shared" si="52"/>
        <v/>
      </c>
      <c r="I841" s="6" t="str">
        <f t="shared" si="53"/>
        <v>0</v>
      </c>
    </row>
    <row r="842" spans="1:11" x14ac:dyDescent="0.2">
      <c r="A842" t="s">
        <v>1114</v>
      </c>
      <c r="B842" t="s">
        <v>1115</v>
      </c>
      <c r="E842" t="str">
        <f t="shared" si="51"/>
        <v/>
      </c>
      <c r="G842" s="5" t="str">
        <f t="shared" si="52"/>
        <v/>
      </c>
      <c r="I842" s="6" t="str">
        <f t="shared" si="53"/>
        <v>0</v>
      </c>
    </row>
    <row r="843" spans="1:11" x14ac:dyDescent="0.2">
      <c r="A843" t="s">
        <v>1116</v>
      </c>
      <c r="B843" t="s">
        <v>6704</v>
      </c>
      <c r="G843" s="5" t="str">
        <f t="shared" si="52"/>
        <v/>
      </c>
      <c r="I843" s="6" t="str">
        <f t="shared" si="53"/>
        <v>0</v>
      </c>
      <c r="K843" s="19" t="s">
        <v>6228</v>
      </c>
    </row>
    <row r="844" spans="1:11" x14ac:dyDescent="0.2">
      <c r="A844" t="s">
        <v>1117</v>
      </c>
      <c r="B844" t="s">
        <v>6705</v>
      </c>
      <c r="G844" s="5" t="str">
        <f t="shared" si="52"/>
        <v/>
      </c>
      <c r="I844" s="6" t="str">
        <f t="shared" si="53"/>
        <v>0</v>
      </c>
    </row>
    <row r="845" spans="1:11" x14ac:dyDescent="0.2">
      <c r="A845" t="s">
        <v>1118</v>
      </c>
      <c r="B845" t="s">
        <v>6706</v>
      </c>
      <c r="G845" s="5" t="str">
        <f t="shared" si="52"/>
        <v/>
      </c>
      <c r="I845" s="6" t="str">
        <f t="shared" si="53"/>
        <v>0</v>
      </c>
    </row>
    <row r="846" spans="1:11" x14ac:dyDescent="0.2">
      <c r="A846" t="s">
        <v>1119</v>
      </c>
      <c r="B846" t="s">
        <v>6707</v>
      </c>
      <c r="G846" s="5" t="str">
        <f t="shared" si="52"/>
        <v/>
      </c>
      <c r="I846" s="6" t="str">
        <f t="shared" si="53"/>
        <v>0</v>
      </c>
    </row>
    <row r="847" spans="1:11" x14ac:dyDescent="0.2">
      <c r="A847" t="s">
        <v>1120</v>
      </c>
      <c r="B847" t="s">
        <v>6708</v>
      </c>
      <c r="G847" s="5" t="str">
        <f t="shared" si="52"/>
        <v/>
      </c>
      <c r="I847" s="6" t="str">
        <f t="shared" si="53"/>
        <v>0</v>
      </c>
    </row>
    <row r="848" spans="1:11" x14ac:dyDescent="0.2">
      <c r="A848" t="s">
        <v>1121</v>
      </c>
      <c r="B848" t="s">
        <v>6709</v>
      </c>
      <c r="G848" s="5" t="str">
        <f t="shared" si="52"/>
        <v/>
      </c>
      <c r="I848" s="6" t="str">
        <f t="shared" si="53"/>
        <v>0</v>
      </c>
    </row>
    <row r="849" spans="1:11" x14ac:dyDescent="0.2">
      <c r="A849" t="s">
        <v>1122</v>
      </c>
      <c r="B849" t="s">
        <v>6710</v>
      </c>
      <c r="G849" s="5" t="str">
        <f t="shared" si="52"/>
        <v/>
      </c>
      <c r="I849" s="6" t="str">
        <f t="shared" si="53"/>
        <v>0</v>
      </c>
    </row>
    <row r="850" spans="1:11" x14ac:dyDescent="0.2">
      <c r="A850" t="s">
        <v>1123</v>
      </c>
      <c r="B850" t="s">
        <v>6711</v>
      </c>
      <c r="G850" s="5" t="str">
        <f t="shared" si="52"/>
        <v/>
      </c>
      <c r="I850" s="6" t="str">
        <f t="shared" si="53"/>
        <v>0</v>
      </c>
    </row>
    <row r="851" spans="1:11" x14ac:dyDescent="0.2">
      <c r="A851" t="s">
        <v>1124</v>
      </c>
      <c r="B851" t="s">
        <v>6712</v>
      </c>
      <c r="G851" s="5" t="str">
        <f t="shared" si="52"/>
        <v/>
      </c>
      <c r="I851" s="6" t="str">
        <f t="shared" si="53"/>
        <v>0</v>
      </c>
    </row>
    <row r="852" spans="1:11" x14ac:dyDescent="0.2">
      <c r="A852" t="s">
        <v>1125</v>
      </c>
      <c r="B852" t="s">
        <v>6713</v>
      </c>
      <c r="G852" s="5" t="str">
        <f t="shared" si="52"/>
        <v/>
      </c>
      <c r="I852" s="6" t="str">
        <f t="shared" si="53"/>
        <v>0</v>
      </c>
      <c r="K852" s="19" t="s">
        <v>7280</v>
      </c>
    </row>
    <row r="853" spans="1:11" x14ac:dyDescent="0.2">
      <c r="A853" t="s">
        <v>1126</v>
      </c>
      <c r="B853" t="s">
        <v>6714</v>
      </c>
      <c r="G853" s="5" t="str">
        <f t="shared" si="52"/>
        <v/>
      </c>
      <c r="I853" s="6" t="str">
        <f t="shared" si="53"/>
        <v>0</v>
      </c>
    </row>
    <row r="854" spans="1:11" x14ac:dyDescent="0.2">
      <c r="A854" t="s">
        <v>1127</v>
      </c>
      <c r="B854" t="s">
        <v>6715</v>
      </c>
      <c r="G854" s="5" t="str">
        <f t="shared" si="52"/>
        <v/>
      </c>
      <c r="I854" s="6" t="str">
        <f t="shared" si="53"/>
        <v>0</v>
      </c>
    </row>
    <row r="855" spans="1:11" x14ac:dyDescent="0.2">
      <c r="A855" t="s">
        <v>1128</v>
      </c>
      <c r="B855" t="s">
        <v>6716</v>
      </c>
      <c r="G855" s="5" t="str">
        <f t="shared" si="52"/>
        <v/>
      </c>
      <c r="I855" s="6" t="str">
        <f t="shared" si="53"/>
        <v>0</v>
      </c>
    </row>
    <row r="856" spans="1:11" x14ac:dyDescent="0.2">
      <c r="A856" t="s">
        <v>1129</v>
      </c>
      <c r="B856" t="s">
        <v>6717</v>
      </c>
      <c r="G856" s="5" t="str">
        <f t="shared" si="52"/>
        <v/>
      </c>
      <c r="I856" s="6" t="str">
        <f t="shared" si="53"/>
        <v>0</v>
      </c>
    </row>
    <row r="857" spans="1:11" x14ac:dyDescent="0.2">
      <c r="A857" t="s">
        <v>1130</v>
      </c>
      <c r="B857" t="s">
        <v>6718</v>
      </c>
      <c r="G857" s="5" t="str">
        <f t="shared" si="52"/>
        <v/>
      </c>
      <c r="I857" s="6" t="str">
        <f t="shared" si="53"/>
        <v>0</v>
      </c>
    </row>
    <row r="858" spans="1:11" x14ac:dyDescent="0.2">
      <c r="A858" t="s">
        <v>1131</v>
      </c>
      <c r="B858" t="s">
        <v>6719</v>
      </c>
      <c r="G858" s="5" t="str">
        <f t="shared" si="52"/>
        <v/>
      </c>
      <c r="I858" s="6" t="str">
        <f t="shared" si="53"/>
        <v>0</v>
      </c>
    </row>
    <row r="859" spans="1:11" x14ac:dyDescent="0.2">
      <c r="A859" t="s">
        <v>1132</v>
      </c>
      <c r="B859" t="s">
        <v>5452</v>
      </c>
      <c r="G859" s="5" t="str">
        <f t="shared" si="52"/>
        <v/>
      </c>
      <c r="I859" s="6" t="str">
        <f t="shared" si="53"/>
        <v>0</v>
      </c>
      <c r="K859" s="19" t="s">
        <v>5453</v>
      </c>
    </row>
    <row r="860" spans="1:11" x14ac:dyDescent="0.2">
      <c r="A860" t="s">
        <v>1133</v>
      </c>
      <c r="B860" t="s">
        <v>6720</v>
      </c>
      <c r="G860" s="5" t="str">
        <f t="shared" si="52"/>
        <v/>
      </c>
      <c r="I860" s="6" t="str">
        <f t="shared" si="53"/>
        <v>0</v>
      </c>
    </row>
    <row r="861" spans="1:11" x14ac:dyDescent="0.2">
      <c r="A861" t="s">
        <v>1134</v>
      </c>
      <c r="B861" t="s">
        <v>6721</v>
      </c>
      <c r="G861" s="5" t="str">
        <f t="shared" si="52"/>
        <v/>
      </c>
      <c r="I861" s="6" t="str">
        <f t="shared" si="53"/>
        <v>0</v>
      </c>
    </row>
    <row r="862" spans="1:11" x14ac:dyDescent="0.2">
      <c r="A862" t="s">
        <v>1135</v>
      </c>
      <c r="B862" t="s">
        <v>6722</v>
      </c>
      <c r="G862" s="5" t="str">
        <f t="shared" si="52"/>
        <v/>
      </c>
      <c r="I862" s="6" t="str">
        <f t="shared" si="53"/>
        <v>0</v>
      </c>
    </row>
    <row r="863" spans="1:11" x14ac:dyDescent="0.2">
      <c r="A863" t="s">
        <v>1136</v>
      </c>
      <c r="B863" t="s">
        <v>6723</v>
      </c>
      <c r="G863" s="5" t="str">
        <f t="shared" si="52"/>
        <v/>
      </c>
      <c r="I863" s="6" t="str">
        <f t="shared" si="53"/>
        <v>0</v>
      </c>
    </row>
    <row r="864" spans="1:11" x14ac:dyDescent="0.2">
      <c r="A864" t="s">
        <v>1137</v>
      </c>
      <c r="B864" t="s">
        <v>5552</v>
      </c>
      <c r="G864" s="5" t="str">
        <f t="shared" si="52"/>
        <v/>
      </c>
      <c r="I864" s="6" t="str">
        <f t="shared" si="53"/>
        <v>0</v>
      </c>
      <c r="K864" s="19" t="s">
        <v>5553</v>
      </c>
    </row>
    <row r="865" spans="1:11" x14ac:dyDescent="0.2">
      <c r="A865" t="s">
        <v>1138</v>
      </c>
      <c r="B865" t="s">
        <v>5554</v>
      </c>
      <c r="G865" s="5" t="str">
        <f t="shared" si="52"/>
        <v/>
      </c>
      <c r="I865" s="6" t="str">
        <f t="shared" si="53"/>
        <v>0</v>
      </c>
      <c r="K865" s="19" t="s">
        <v>5555</v>
      </c>
    </row>
    <row r="866" spans="1:11" x14ac:dyDescent="0.2">
      <c r="A866" t="s">
        <v>1139</v>
      </c>
      <c r="B866" t="s">
        <v>6724</v>
      </c>
      <c r="G866" s="5" t="str">
        <f t="shared" si="52"/>
        <v/>
      </c>
      <c r="I866" s="6" t="str">
        <f t="shared" si="53"/>
        <v>0</v>
      </c>
    </row>
    <row r="867" spans="1:11" x14ac:dyDescent="0.2">
      <c r="A867" t="s">
        <v>1140</v>
      </c>
      <c r="B867" t="s">
        <v>6725</v>
      </c>
      <c r="G867" s="5" t="str">
        <f t="shared" si="52"/>
        <v/>
      </c>
      <c r="I867" s="6" t="str">
        <f t="shared" si="53"/>
        <v>0</v>
      </c>
    </row>
    <row r="868" spans="1:11" x14ac:dyDescent="0.2">
      <c r="A868" t="s">
        <v>1141</v>
      </c>
      <c r="B868" t="s">
        <v>6726</v>
      </c>
      <c r="G868" s="5" t="str">
        <f t="shared" si="52"/>
        <v/>
      </c>
      <c r="I868" s="6" t="str">
        <f t="shared" si="53"/>
        <v>0</v>
      </c>
    </row>
    <row r="869" spans="1:11" x14ac:dyDescent="0.2">
      <c r="A869" t="s">
        <v>1142</v>
      </c>
      <c r="B869" t="s">
        <v>5776</v>
      </c>
      <c r="G869" s="5" t="str">
        <f t="shared" si="52"/>
        <v/>
      </c>
      <c r="I869" s="6" t="str">
        <f t="shared" si="53"/>
        <v>0</v>
      </c>
      <c r="K869" s="19" t="s">
        <v>5777</v>
      </c>
    </row>
    <row r="870" spans="1:11" x14ac:dyDescent="0.2">
      <c r="A870" t="s">
        <v>1143</v>
      </c>
      <c r="B870" t="s">
        <v>1143</v>
      </c>
      <c r="E870" t="str">
        <f t="shared" ref="E870:E873" si="54">IF(D870&lt;&gt;"",C870&amp;"/"&amp;D870,"")</f>
        <v/>
      </c>
      <c r="G870" s="5" t="str">
        <f t="shared" si="52"/>
        <v/>
      </c>
      <c r="I870" s="6" t="str">
        <f t="shared" si="53"/>
        <v>0</v>
      </c>
    </row>
    <row r="871" spans="1:11" x14ac:dyDescent="0.2">
      <c r="A871" t="s">
        <v>1144</v>
      </c>
      <c r="B871" t="s">
        <v>1144</v>
      </c>
      <c r="E871" t="str">
        <f t="shared" si="54"/>
        <v/>
      </c>
      <c r="G871" s="5" t="str">
        <f t="shared" si="52"/>
        <v/>
      </c>
      <c r="I871" s="6" t="str">
        <f t="shared" si="53"/>
        <v>0</v>
      </c>
    </row>
    <row r="872" spans="1:11" x14ac:dyDescent="0.2">
      <c r="A872" t="s">
        <v>1145</v>
      </c>
      <c r="B872" t="s">
        <v>1145</v>
      </c>
      <c r="E872" t="str">
        <f t="shared" si="54"/>
        <v/>
      </c>
      <c r="G872" s="5" t="str">
        <f t="shared" si="52"/>
        <v/>
      </c>
      <c r="I872" s="6" t="str">
        <f t="shared" si="53"/>
        <v>0</v>
      </c>
    </row>
    <row r="873" spans="1:11" x14ac:dyDescent="0.2">
      <c r="A873" t="s">
        <v>1146</v>
      </c>
      <c r="B873" t="s">
        <v>1146</v>
      </c>
      <c r="E873" t="str">
        <f t="shared" si="54"/>
        <v/>
      </c>
      <c r="G873" s="5" t="str">
        <f t="shared" si="52"/>
        <v/>
      </c>
      <c r="I873" s="6" t="str">
        <f t="shared" si="53"/>
        <v>0</v>
      </c>
    </row>
    <row r="874" spans="1:11" x14ac:dyDescent="0.2">
      <c r="A874" t="s">
        <v>1147</v>
      </c>
      <c r="B874" t="s">
        <v>6727</v>
      </c>
      <c r="G874" s="5" t="str">
        <f t="shared" si="52"/>
        <v/>
      </c>
      <c r="I874" s="6" t="str">
        <f t="shared" si="53"/>
        <v>0</v>
      </c>
    </row>
    <row r="875" spans="1:11" x14ac:dyDescent="0.2">
      <c r="A875" t="s">
        <v>1148</v>
      </c>
      <c r="B875" t="s">
        <v>6728</v>
      </c>
      <c r="G875" s="5" t="str">
        <f t="shared" si="52"/>
        <v/>
      </c>
      <c r="I875" s="6" t="str">
        <f t="shared" si="53"/>
        <v>0</v>
      </c>
    </row>
    <row r="876" spans="1:11" x14ac:dyDescent="0.2">
      <c r="A876" t="s">
        <v>1149</v>
      </c>
      <c r="B876" t="s">
        <v>6729</v>
      </c>
      <c r="G876" s="5" t="str">
        <f t="shared" si="52"/>
        <v/>
      </c>
      <c r="I876" s="6" t="str">
        <f t="shared" si="53"/>
        <v>0</v>
      </c>
    </row>
    <row r="877" spans="1:11" x14ac:dyDescent="0.2">
      <c r="A877" t="s">
        <v>1150</v>
      </c>
      <c r="B877" t="s">
        <v>5778</v>
      </c>
      <c r="G877" s="5" t="str">
        <f t="shared" si="52"/>
        <v/>
      </c>
      <c r="I877" s="6" t="str">
        <f t="shared" si="53"/>
        <v>0</v>
      </c>
      <c r="K877" s="19" t="s">
        <v>5779</v>
      </c>
    </row>
    <row r="878" spans="1:11" x14ac:dyDescent="0.2">
      <c r="A878" t="s">
        <v>1151</v>
      </c>
      <c r="B878" t="s">
        <v>5780</v>
      </c>
      <c r="G878" s="5" t="str">
        <f t="shared" si="52"/>
        <v/>
      </c>
      <c r="I878" s="6" t="str">
        <f t="shared" si="53"/>
        <v>0</v>
      </c>
      <c r="K878" s="19" t="s">
        <v>5781</v>
      </c>
    </row>
    <row r="879" spans="1:11" x14ac:dyDescent="0.2">
      <c r="A879" t="s">
        <v>1152</v>
      </c>
      <c r="B879" t="s">
        <v>5556</v>
      </c>
      <c r="G879" s="5" t="str">
        <f t="shared" si="52"/>
        <v/>
      </c>
      <c r="I879" s="6" t="str">
        <f t="shared" si="53"/>
        <v>0</v>
      </c>
      <c r="K879" s="19" t="s">
        <v>5557</v>
      </c>
    </row>
    <row r="880" spans="1:11" x14ac:dyDescent="0.2">
      <c r="A880" t="s">
        <v>1153</v>
      </c>
      <c r="B880" t="s">
        <v>6730</v>
      </c>
      <c r="G880" s="5" t="str">
        <f t="shared" si="52"/>
        <v/>
      </c>
      <c r="I880" s="6" t="str">
        <f t="shared" si="53"/>
        <v>0</v>
      </c>
    </row>
    <row r="881" spans="1:11" x14ac:dyDescent="0.2">
      <c r="A881" t="s">
        <v>1154</v>
      </c>
      <c r="B881" t="s">
        <v>6731</v>
      </c>
      <c r="G881" s="5" t="str">
        <f t="shared" si="52"/>
        <v/>
      </c>
      <c r="I881" s="6" t="str">
        <f t="shared" si="53"/>
        <v>0</v>
      </c>
    </row>
    <row r="882" spans="1:11" x14ac:dyDescent="0.2">
      <c r="A882" t="s">
        <v>1155</v>
      </c>
      <c r="B882" t="s">
        <v>6732</v>
      </c>
      <c r="G882" s="5" t="str">
        <f t="shared" si="52"/>
        <v/>
      </c>
      <c r="I882" s="6" t="str">
        <f t="shared" si="53"/>
        <v>0</v>
      </c>
    </row>
    <row r="883" spans="1:11" x14ac:dyDescent="0.2">
      <c r="A883" t="s">
        <v>1156</v>
      </c>
      <c r="B883" t="s">
        <v>6733</v>
      </c>
      <c r="G883" s="5" t="str">
        <f t="shared" si="52"/>
        <v/>
      </c>
      <c r="I883" s="6" t="str">
        <f t="shared" si="53"/>
        <v>0</v>
      </c>
    </row>
    <row r="884" spans="1:11" x14ac:dyDescent="0.2">
      <c r="A884" t="s">
        <v>1157</v>
      </c>
      <c r="B884" t="s">
        <v>6734</v>
      </c>
      <c r="G884" s="5" t="str">
        <f t="shared" si="52"/>
        <v/>
      </c>
      <c r="I884" s="6" t="str">
        <f t="shared" si="53"/>
        <v>0</v>
      </c>
    </row>
    <row r="885" spans="1:11" x14ac:dyDescent="0.2">
      <c r="A885" t="s">
        <v>1158</v>
      </c>
      <c r="B885" t="s">
        <v>6735</v>
      </c>
      <c r="G885" s="5" t="str">
        <f t="shared" si="52"/>
        <v/>
      </c>
      <c r="I885" s="6" t="str">
        <f t="shared" si="53"/>
        <v>0</v>
      </c>
    </row>
    <row r="886" spans="1:11" x14ac:dyDescent="0.2">
      <c r="A886" t="s">
        <v>1159</v>
      </c>
      <c r="B886" t="s">
        <v>6736</v>
      </c>
      <c r="G886" s="5" t="str">
        <f t="shared" si="52"/>
        <v/>
      </c>
      <c r="I886" s="6" t="str">
        <f t="shared" si="53"/>
        <v>0</v>
      </c>
    </row>
    <row r="887" spans="1:11" x14ac:dyDescent="0.2">
      <c r="A887" t="s">
        <v>1160</v>
      </c>
      <c r="B887" t="s">
        <v>3870</v>
      </c>
      <c r="G887" s="5" t="str">
        <f t="shared" si="52"/>
        <v/>
      </c>
      <c r="I887" s="6" t="str">
        <f t="shared" si="53"/>
        <v>0</v>
      </c>
      <c r="K887" s="19" t="s">
        <v>3871</v>
      </c>
    </row>
    <row r="888" spans="1:11" x14ac:dyDescent="0.2">
      <c r="A888" t="s">
        <v>1161</v>
      </c>
      <c r="B888" t="s">
        <v>6737</v>
      </c>
      <c r="G888" s="5" t="str">
        <f t="shared" si="52"/>
        <v/>
      </c>
      <c r="I888" s="6" t="str">
        <f t="shared" si="53"/>
        <v>0</v>
      </c>
    </row>
    <row r="889" spans="1:11" x14ac:dyDescent="0.2">
      <c r="A889" t="s">
        <v>1162</v>
      </c>
      <c r="B889" t="s">
        <v>5782</v>
      </c>
      <c r="G889" s="5" t="str">
        <f t="shared" si="52"/>
        <v/>
      </c>
      <c r="I889" s="6" t="str">
        <f t="shared" si="53"/>
        <v>0</v>
      </c>
      <c r="K889" s="19" t="s">
        <v>5783</v>
      </c>
    </row>
    <row r="890" spans="1:11" x14ac:dyDescent="0.2">
      <c r="A890" t="s">
        <v>1163</v>
      </c>
      <c r="B890" t="s">
        <v>4911</v>
      </c>
      <c r="C890" s="5" t="s">
        <v>7</v>
      </c>
      <c r="F890" s="5" t="s">
        <v>4912</v>
      </c>
      <c r="G890" s="5">
        <f t="shared" si="52"/>
        <v>18572</v>
      </c>
      <c r="I890" s="6" t="str">
        <f t="shared" si="53"/>
        <v>0</v>
      </c>
      <c r="K890" s="19" t="s">
        <v>4913</v>
      </c>
    </row>
    <row r="891" spans="1:11" x14ac:dyDescent="0.2">
      <c r="A891" t="s">
        <v>1164</v>
      </c>
      <c r="B891" t="s">
        <v>6738</v>
      </c>
      <c r="G891" s="5" t="str">
        <f t="shared" si="52"/>
        <v/>
      </c>
      <c r="I891" s="6" t="str">
        <f t="shared" si="53"/>
        <v>0</v>
      </c>
    </row>
    <row r="892" spans="1:11" x14ac:dyDescent="0.2">
      <c r="A892" t="s">
        <v>1165</v>
      </c>
      <c r="B892" t="s">
        <v>6739</v>
      </c>
      <c r="G892" s="5" t="str">
        <f t="shared" si="52"/>
        <v/>
      </c>
      <c r="I892" s="6" t="str">
        <f t="shared" si="53"/>
        <v>0</v>
      </c>
    </row>
    <row r="893" spans="1:11" x14ac:dyDescent="0.2">
      <c r="A893" t="s">
        <v>1166</v>
      </c>
      <c r="B893" t="s">
        <v>6740</v>
      </c>
      <c r="G893" s="5" t="str">
        <f t="shared" si="52"/>
        <v/>
      </c>
      <c r="I893" s="6" t="str">
        <f t="shared" si="53"/>
        <v>0</v>
      </c>
    </row>
    <row r="894" spans="1:11" x14ac:dyDescent="0.2">
      <c r="A894" t="s">
        <v>1167</v>
      </c>
      <c r="B894" t="s">
        <v>6741</v>
      </c>
      <c r="G894" s="5" t="str">
        <f t="shared" si="52"/>
        <v/>
      </c>
      <c r="I894" s="6" t="str">
        <f t="shared" si="53"/>
        <v>0</v>
      </c>
    </row>
    <row r="895" spans="1:11" x14ac:dyDescent="0.2">
      <c r="A895" t="s">
        <v>1168</v>
      </c>
      <c r="B895" t="s">
        <v>6742</v>
      </c>
      <c r="G895" s="5" t="str">
        <f t="shared" si="52"/>
        <v/>
      </c>
      <c r="I895" s="6" t="str">
        <f t="shared" si="53"/>
        <v>0</v>
      </c>
    </row>
    <row r="896" spans="1:11" x14ac:dyDescent="0.2">
      <c r="A896" t="s">
        <v>1169</v>
      </c>
      <c r="B896" t="s">
        <v>6743</v>
      </c>
      <c r="G896" s="5" t="str">
        <f t="shared" si="52"/>
        <v/>
      </c>
      <c r="I896" s="6" t="str">
        <f t="shared" si="53"/>
        <v>0</v>
      </c>
    </row>
    <row r="897" spans="1:11" x14ac:dyDescent="0.2">
      <c r="A897" t="s">
        <v>1170</v>
      </c>
      <c r="B897" t="s">
        <v>6744</v>
      </c>
      <c r="G897" s="5" t="str">
        <f t="shared" ref="G897:G960" si="55">IF(F897&lt;&gt;"",HEX2DEC(SUBSTITUTE(SUBSTITUTE(F897,"adrEA",""),"$","")),"")</f>
        <v/>
      </c>
      <c r="I897" s="6" t="str">
        <f t="shared" ref="I897:I960" si="56">IFERROR(DEC2HEX(H897),"")</f>
        <v>0</v>
      </c>
    </row>
    <row r="898" spans="1:11" x14ac:dyDescent="0.2">
      <c r="A898" t="s">
        <v>1172</v>
      </c>
      <c r="B898" t="s">
        <v>6745</v>
      </c>
      <c r="G898" s="5" t="str">
        <f t="shared" si="55"/>
        <v/>
      </c>
      <c r="I898" s="6" t="str">
        <f t="shared" si="56"/>
        <v>0</v>
      </c>
    </row>
    <row r="899" spans="1:11" x14ac:dyDescent="0.2">
      <c r="A899" t="s">
        <v>1173</v>
      </c>
      <c r="B899" t="s">
        <v>5701</v>
      </c>
      <c r="G899" s="5" t="str">
        <f t="shared" si="55"/>
        <v/>
      </c>
      <c r="I899" s="6" t="str">
        <f t="shared" si="56"/>
        <v>0</v>
      </c>
      <c r="K899" s="19" t="s">
        <v>5702</v>
      </c>
    </row>
    <row r="900" spans="1:11" x14ac:dyDescent="0.2">
      <c r="A900" t="s">
        <v>1174</v>
      </c>
      <c r="B900" t="s">
        <v>6746</v>
      </c>
      <c r="G900" s="5" t="str">
        <f t="shared" si="55"/>
        <v/>
      </c>
      <c r="I900" s="6" t="str">
        <f t="shared" si="56"/>
        <v>0</v>
      </c>
    </row>
    <row r="901" spans="1:11" x14ac:dyDescent="0.2">
      <c r="A901" t="s">
        <v>1176</v>
      </c>
      <c r="B901" t="s">
        <v>6747</v>
      </c>
      <c r="G901" s="5" t="str">
        <f t="shared" si="55"/>
        <v/>
      </c>
      <c r="I901" s="6" t="str">
        <f t="shared" si="56"/>
        <v>0</v>
      </c>
    </row>
    <row r="902" spans="1:11" x14ac:dyDescent="0.2">
      <c r="A902" t="s">
        <v>1177</v>
      </c>
      <c r="B902" t="s">
        <v>5784</v>
      </c>
      <c r="G902" s="5" t="str">
        <f t="shared" si="55"/>
        <v/>
      </c>
      <c r="I902" s="6" t="str">
        <f t="shared" si="56"/>
        <v>0</v>
      </c>
      <c r="K902" s="19" t="s">
        <v>5785</v>
      </c>
    </row>
    <row r="903" spans="1:11" x14ac:dyDescent="0.2">
      <c r="A903" t="s">
        <v>1178</v>
      </c>
      <c r="B903" t="s">
        <v>6748</v>
      </c>
      <c r="G903" s="5" t="str">
        <f t="shared" si="55"/>
        <v/>
      </c>
      <c r="I903" s="6" t="str">
        <f t="shared" si="56"/>
        <v>0</v>
      </c>
    </row>
    <row r="904" spans="1:11" x14ac:dyDescent="0.2">
      <c r="A904" t="s">
        <v>1179</v>
      </c>
      <c r="B904" t="s">
        <v>6749</v>
      </c>
      <c r="G904" s="5" t="str">
        <f t="shared" si="55"/>
        <v/>
      </c>
      <c r="I904" s="6" t="str">
        <f t="shared" si="56"/>
        <v>0</v>
      </c>
    </row>
    <row r="905" spans="1:11" x14ac:dyDescent="0.2">
      <c r="A905" t="s">
        <v>1180</v>
      </c>
      <c r="B905" t="s">
        <v>4884</v>
      </c>
      <c r="C905" s="5" t="s">
        <v>7</v>
      </c>
      <c r="F905" s="5" t="s">
        <v>4885</v>
      </c>
      <c r="G905" s="5">
        <f t="shared" si="55"/>
        <v>18982</v>
      </c>
      <c r="I905" s="6" t="str">
        <f t="shared" si="56"/>
        <v>0</v>
      </c>
      <c r="K905" s="19" t="s">
        <v>4886</v>
      </c>
    </row>
    <row r="906" spans="1:11" x14ac:dyDescent="0.2">
      <c r="A906" t="s">
        <v>1182</v>
      </c>
      <c r="B906" t="s">
        <v>6750</v>
      </c>
      <c r="G906" s="5" t="str">
        <f t="shared" si="55"/>
        <v/>
      </c>
      <c r="I906" s="6" t="str">
        <f t="shared" si="56"/>
        <v>0</v>
      </c>
    </row>
    <row r="907" spans="1:11" x14ac:dyDescent="0.2">
      <c r="A907" t="s">
        <v>1183</v>
      </c>
      <c r="B907" t="s">
        <v>6751</v>
      </c>
      <c r="G907" s="5" t="str">
        <f t="shared" si="55"/>
        <v/>
      </c>
      <c r="I907" s="6" t="str">
        <f t="shared" si="56"/>
        <v>0</v>
      </c>
    </row>
    <row r="908" spans="1:11" x14ac:dyDescent="0.2">
      <c r="A908" t="s">
        <v>1185</v>
      </c>
      <c r="B908" t="s">
        <v>6752</v>
      </c>
      <c r="G908" s="5" t="str">
        <f t="shared" si="55"/>
        <v/>
      </c>
      <c r="I908" s="6" t="str">
        <f t="shared" si="56"/>
        <v>0</v>
      </c>
    </row>
    <row r="909" spans="1:11" x14ac:dyDescent="0.2">
      <c r="A909" t="s">
        <v>1186</v>
      </c>
      <c r="B909" t="s">
        <v>6753</v>
      </c>
      <c r="G909" s="5" t="str">
        <f t="shared" si="55"/>
        <v/>
      </c>
      <c r="I909" s="6" t="str">
        <f t="shared" si="56"/>
        <v>0</v>
      </c>
    </row>
    <row r="910" spans="1:11" x14ac:dyDescent="0.2">
      <c r="A910" t="s">
        <v>1188</v>
      </c>
      <c r="B910" t="s">
        <v>6754</v>
      </c>
      <c r="G910" s="5" t="str">
        <f t="shared" si="55"/>
        <v/>
      </c>
      <c r="I910" s="6" t="str">
        <f t="shared" si="56"/>
        <v>0</v>
      </c>
    </row>
    <row r="911" spans="1:11" x14ac:dyDescent="0.2">
      <c r="A911" t="s">
        <v>1189</v>
      </c>
      <c r="B911" t="s">
        <v>6755</v>
      </c>
      <c r="G911" s="5" t="str">
        <f t="shared" si="55"/>
        <v/>
      </c>
      <c r="I911" s="6" t="str">
        <f t="shared" si="56"/>
        <v>0</v>
      </c>
    </row>
    <row r="912" spans="1:11" x14ac:dyDescent="0.2">
      <c r="A912" t="s">
        <v>1190</v>
      </c>
      <c r="B912" t="s">
        <v>6756</v>
      </c>
      <c r="G912" s="5" t="str">
        <f t="shared" si="55"/>
        <v/>
      </c>
      <c r="I912" s="6" t="str">
        <f t="shared" si="56"/>
        <v>0</v>
      </c>
    </row>
    <row r="913" spans="1:11" x14ac:dyDescent="0.2">
      <c r="A913" t="s">
        <v>1191</v>
      </c>
      <c r="B913" t="s">
        <v>6757</v>
      </c>
      <c r="G913" s="5" t="str">
        <f t="shared" si="55"/>
        <v/>
      </c>
      <c r="I913" s="6" t="str">
        <f t="shared" si="56"/>
        <v>0</v>
      </c>
    </row>
    <row r="914" spans="1:11" x14ac:dyDescent="0.2">
      <c r="A914" t="s">
        <v>1192</v>
      </c>
      <c r="B914" t="s">
        <v>6758</v>
      </c>
      <c r="G914" s="5" t="str">
        <f t="shared" si="55"/>
        <v/>
      </c>
      <c r="I914" s="6" t="str">
        <f t="shared" si="56"/>
        <v>0</v>
      </c>
    </row>
    <row r="915" spans="1:11" x14ac:dyDescent="0.2">
      <c r="A915" t="s">
        <v>1193</v>
      </c>
      <c r="B915" t="s">
        <v>6759</v>
      </c>
      <c r="G915" s="5" t="str">
        <f t="shared" si="55"/>
        <v/>
      </c>
      <c r="I915" s="6" t="str">
        <f t="shared" si="56"/>
        <v>0</v>
      </c>
    </row>
    <row r="916" spans="1:11" x14ac:dyDescent="0.2">
      <c r="A916" t="s">
        <v>1194</v>
      </c>
      <c r="B916" t="s">
        <v>1195</v>
      </c>
      <c r="E916" t="str">
        <f t="shared" ref="E916" si="57">IF(D916&lt;&gt;"",C916&amp;"/"&amp;D916,"")</f>
        <v/>
      </c>
      <c r="G916" s="5" t="str">
        <f t="shared" si="55"/>
        <v/>
      </c>
      <c r="I916" s="6" t="str">
        <f t="shared" si="56"/>
        <v>0</v>
      </c>
    </row>
    <row r="917" spans="1:11" x14ac:dyDescent="0.2">
      <c r="A917" t="s">
        <v>1196</v>
      </c>
      <c r="B917" t="s">
        <v>6760</v>
      </c>
      <c r="G917" s="5" t="str">
        <f t="shared" si="55"/>
        <v/>
      </c>
      <c r="I917" s="6" t="str">
        <f t="shared" si="56"/>
        <v>0</v>
      </c>
    </row>
    <row r="918" spans="1:11" x14ac:dyDescent="0.2">
      <c r="A918" t="s">
        <v>1197</v>
      </c>
      <c r="B918" t="s">
        <v>6761</v>
      </c>
      <c r="G918" s="5" t="str">
        <f t="shared" si="55"/>
        <v/>
      </c>
      <c r="I918" s="6" t="str">
        <f t="shared" si="56"/>
        <v>0</v>
      </c>
    </row>
    <row r="919" spans="1:11" x14ac:dyDescent="0.2">
      <c r="A919" t="s">
        <v>1199</v>
      </c>
      <c r="B919" t="s">
        <v>4670</v>
      </c>
      <c r="C919" s="5" t="s">
        <v>7</v>
      </c>
      <c r="F919" s="5" t="s">
        <v>4671</v>
      </c>
      <c r="G919" s="5">
        <f t="shared" si="55"/>
        <v>20128</v>
      </c>
      <c r="I919" s="6" t="str">
        <f t="shared" si="56"/>
        <v>0</v>
      </c>
      <c r="K919" s="19" t="s">
        <v>4672</v>
      </c>
    </row>
    <row r="920" spans="1:11" x14ac:dyDescent="0.2">
      <c r="A920" t="s">
        <v>1200</v>
      </c>
      <c r="B920" t="s">
        <v>4673</v>
      </c>
      <c r="C920" s="5" t="s">
        <v>7</v>
      </c>
      <c r="F920" s="5" t="s">
        <v>4674</v>
      </c>
      <c r="G920" s="5">
        <f t="shared" si="55"/>
        <v>20158</v>
      </c>
      <c r="I920" s="6" t="str">
        <f t="shared" si="56"/>
        <v>0</v>
      </c>
      <c r="K920" s="19" t="s">
        <v>4675</v>
      </c>
    </row>
    <row r="921" spans="1:11" x14ac:dyDescent="0.2">
      <c r="A921" t="s">
        <v>1201</v>
      </c>
      <c r="B921" t="s">
        <v>4676</v>
      </c>
      <c r="C921" s="5" t="s">
        <v>7</v>
      </c>
      <c r="F921" s="5" t="s">
        <v>4677</v>
      </c>
      <c r="G921" s="5">
        <f t="shared" si="55"/>
        <v>20168</v>
      </c>
      <c r="I921" s="6" t="str">
        <f t="shared" si="56"/>
        <v>0</v>
      </c>
      <c r="K921" s="19" t="s">
        <v>4678</v>
      </c>
    </row>
    <row r="922" spans="1:11" x14ac:dyDescent="0.2">
      <c r="A922" t="s">
        <v>1202</v>
      </c>
      <c r="B922" t="s">
        <v>4679</v>
      </c>
      <c r="C922" s="5" t="s">
        <v>7</v>
      </c>
      <c r="F922" s="5" t="s">
        <v>4680</v>
      </c>
      <c r="G922" s="5">
        <f t="shared" si="55"/>
        <v>20218</v>
      </c>
      <c r="I922" s="6" t="str">
        <f t="shared" si="56"/>
        <v>0</v>
      </c>
      <c r="K922" s="19" t="s">
        <v>6229</v>
      </c>
    </row>
    <row r="923" spans="1:11" x14ac:dyDescent="0.2">
      <c r="A923" t="s">
        <v>1203</v>
      </c>
      <c r="B923" t="s">
        <v>4681</v>
      </c>
      <c r="C923" s="5" t="s">
        <v>7</v>
      </c>
      <c r="F923" s="5" t="s">
        <v>4682</v>
      </c>
      <c r="G923" s="5">
        <f t="shared" si="55"/>
        <v>20256</v>
      </c>
      <c r="I923" s="6" t="str">
        <f t="shared" si="56"/>
        <v>0</v>
      </c>
      <c r="K923" s="19" t="s">
        <v>4683</v>
      </c>
    </row>
    <row r="924" spans="1:11" x14ac:dyDescent="0.2">
      <c r="A924" t="s">
        <v>1204</v>
      </c>
      <c r="B924" t="s">
        <v>4684</v>
      </c>
      <c r="C924" s="5" t="s">
        <v>7</v>
      </c>
      <c r="F924" s="5" t="s">
        <v>4685</v>
      </c>
      <c r="G924" s="5">
        <f t="shared" si="55"/>
        <v>20318</v>
      </c>
      <c r="I924" s="6" t="str">
        <f t="shared" si="56"/>
        <v>0</v>
      </c>
      <c r="K924" s="19" t="s">
        <v>4686</v>
      </c>
    </row>
    <row r="925" spans="1:11" x14ac:dyDescent="0.2">
      <c r="A925" t="s">
        <v>1205</v>
      </c>
      <c r="B925" t="s">
        <v>4687</v>
      </c>
      <c r="C925" s="5" t="s">
        <v>7</v>
      </c>
      <c r="F925" s="5" t="s">
        <v>4688</v>
      </c>
      <c r="G925" s="5">
        <f t="shared" si="55"/>
        <v>20358</v>
      </c>
      <c r="I925" s="6" t="str">
        <f t="shared" si="56"/>
        <v>0</v>
      </c>
      <c r="K925" s="19" t="s">
        <v>4689</v>
      </c>
    </row>
    <row r="926" spans="1:11" x14ac:dyDescent="0.2">
      <c r="A926" t="s">
        <v>1206</v>
      </c>
      <c r="B926" t="s">
        <v>4690</v>
      </c>
      <c r="C926" s="5" t="s">
        <v>7</v>
      </c>
      <c r="F926" s="5" t="s">
        <v>4691</v>
      </c>
      <c r="G926" s="5">
        <f t="shared" si="55"/>
        <v>20366</v>
      </c>
      <c r="I926" s="6" t="str">
        <f t="shared" si="56"/>
        <v>0</v>
      </c>
      <c r="K926" s="19" t="s">
        <v>4692</v>
      </c>
    </row>
    <row r="927" spans="1:11" x14ac:dyDescent="0.2">
      <c r="A927" t="s">
        <v>1207</v>
      </c>
      <c r="B927" t="s">
        <v>4693</v>
      </c>
      <c r="C927" s="5" t="s">
        <v>7</v>
      </c>
      <c r="F927" s="5" t="s">
        <v>4694</v>
      </c>
      <c r="G927" s="5">
        <f t="shared" si="55"/>
        <v>20392</v>
      </c>
      <c r="I927" s="6" t="str">
        <f t="shared" si="56"/>
        <v>0</v>
      </c>
      <c r="K927" s="19" t="s">
        <v>4695</v>
      </c>
    </row>
    <row r="928" spans="1:11" x14ac:dyDescent="0.2">
      <c r="A928" t="s">
        <v>1208</v>
      </c>
      <c r="B928" t="s">
        <v>4696</v>
      </c>
      <c r="C928" s="5" t="s">
        <v>7</v>
      </c>
      <c r="F928" s="5" t="s">
        <v>4697</v>
      </c>
      <c r="G928" s="5">
        <f t="shared" si="55"/>
        <v>20400</v>
      </c>
      <c r="I928" s="6" t="str">
        <f t="shared" si="56"/>
        <v>0</v>
      </c>
      <c r="K928" s="19" t="s">
        <v>4698</v>
      </c>
    </row>
    <row r="929" spans="1:11" x14ac:dyDescent="0.2">
      <c r="A929" t="s">
        <v>1209</v>
      </c>
      <c r="B929" t="s">
        <v>4699</v>
      </c>
      <c r="C929" s="5" t="s">
        <v>7</v>
      </c>
      <c r="F929" s="5" t="s">
        <v>4700</v>
      </c>
      <c r="G929" s="5">
        <f t="shared" si="55"/>
        <v>20414</v>
      </c>
      <c r="I929" s="6" t="str">
        <f t="shared" si="56"/>
        <v>0</v>
      </c>
      <c r="K929" s="19" t="s">
        <v>4701</v>
      </c>
    </row>
    <row r="930" spans="1:11" x14ac:dyDescent="0.2">
      <c r="A930" t="s">
        <v>1210</v>
      </c>
      <c r="B930" t="s">
        <v>4702</v>
      </c>
      <c r="C930" s="5" t="s">
        <v>7</v>
      </c>
      <c r="F930" s="5" t="s">
        <v>4703</v>
      </c>
      <c r="G930" s="5">
        <f t="shared" si="55"/>
        <v>20436</v>
      </c>
      <c r="I930" s="6" t="str">
        <f t="shared" si="56"/>
        <v>0</v>
      </c>
      <c r="K930" s="19" t="s">
        <v>4704</v>
      </c>
    </row>
    <row r="931" spans="1:11" x14ac:dyDescent="0.2">
      <c r="A931" t="s">
        <v>1211</v>
      </c>
      <c r="B931" t="s">
        <v>4705</v>
      </c>
      <c r="C931" s="5" t="s">
        <v>7</v>
      </c>
      <c r="F931" s="5" t="s">
        <v>4706</v>
      </c>
      <c r="G931" s="5">
        <f t="shared" si="55"/>
        <v>20438</v>
      </c>
      <c r="I931" s="6" t="str">
        <f t="shared" si="56"/>
        <v>0</v>
      </c>
      <c r="K931" s="19" t="s">
        <v>4707</v>
      </c>
    </row>
    <row r="932" spans="1:11" x14ac:dyDescent="0.2">
      <c r="A932" t="s">
        <v>1212</v>
      </c>
      <c r="B932" t="s">
        <v>4708</v>
      </c>
      <c r="C932" s="5" t="s">
        <v>7</v>
      </c>
      <c r="F932" s="5" t="s">
        <v>4709</v>
      </c>
      <c r="G932" s="5">
        <f t="shared" si="55"/>
        <v>20462</v>
      </c>
      <c r="I932" s="6" t="str">
        <f t="shared" si="56"/>
        <v>0</v>
      </c>
      <c r="K932" s="19" t="s">
        <v>4710</v>
      </c>
    </row>
    <row r="933" spans="1:11" x14ac:dyDescent="0.2">
      <c r="A933" t="s">
        <v>1213</v>
      </c>
      <c r="B933" t="s">
        <v>3893</v>
      </c>
      <c r="E933" t="str">
        <f>IF(D933&lt;&gt;"",C933&amp;"/"&amp;D933,"")</f>
        <v/>
      </c>
      <c r="G933" s="5" t="str">
        <f t="shared" si="55"/>
        <v/>
      </c>
      <c r="I933" s="6" t="str">
        <f t="shared" si="56"/>
        <v>0</v>
      </c>
    </row>
    <row r="934" spans="1:11" x14ac:dyDescent="0.2">
      <c r="A934" t="s">
        <v>1214</v>
      </c>
      <c r="B934" t="s">
        <v>1215</v>
      </c>
      <c r="E934" t="str">
        <f>IF(D934&lt;&gt;"",C934&amp;"/"&amp;D934,"")</f>
        <v/>
      </c>
      <c r="G934" s="5" t="str">
        <f t="shared" si="55"/>
        <v/>
      </c>
      <c r="I934" s="6" t="str">
        <f t="shared" si="56"/>
        <v>0</v>
      </c>
    </row>
    <row r="935" spans="1:11" x14ac:dyDescent="0.2">
      <c r="A935" t="s">
        <v>1216</v>
      </c>
      <c r="B935" t="s">
        <v>3894</v>
      </c>
      <c r="E935" t="str">
        <f>IF(D935&lt;&gt;"",C935&amp;"/"&amp;D935,"")</f>
        <v/>
      </c>
      <c r="G935" s="5" t="str">
        <f t="shared" si="55"/>
        <v/>
      </c>
      <c r="I935" s="6" t="str">
        <f t="shared" si="56"/>
        <v>0</v>
      </c>
    </row>
    <row r="936" spans="1:11" x14ac:dyDescent="0.2">
      <c r="A936" t="s">
        <v>1217</v>
      </c>
      <c r="B936" t="s">
        <v>4711</v>
      </c>
      <c r="C936" s="5" t="s">
        <v>7</v>
      </c>
      <c r="F936" s="5" t="s">
        <v>4712</v>
      </c>
      <c r="G936" s="5">
        <f t="shared" si="55"/>
        <v>20570</v>
      </c>
      <c r="I936" s="6" t="str">
        <f t="shared" si="56"/>
        <v>0</v>
      </c>
      <c r="K936" s="19" t="s">
        <v>4713</v>
      </c>
    </row>
    <row r="937" spans="1:11" x14ac:dyDescent="0.2">
      <c r="A937" t="s">
        <v>1218</v>
      </c>
      <c r="B937" t="s">
        <v>6190</v>
      </c>
      <c r="G937" s="5" t="str">
        <f t="shared" si="55"/>
        <v/>
      </c>
      <c r="I937" s="6" t="str">
        <f t="shared" si="56"/>
        <v>0</v>
      </c>
      <c r="K937" s="19" t="s">
        <v>6191</v>
      </c>
    </row>
    <row r="938" spans="1:11" x14ac:dyDescent="0.2">
      <c r="A938" t="s">
        <v>1219</v>
      </c>
      <c r="B938" t="s">
        <v>1220</v>
      </c>
      <c r="E938" t="str">
        <f>IF(D938&lt;&gt;"",C938&amp;"/"&amp;D938,"")</f>
        <v/>
      </c>
      <c r="G938" s="5" t="str">
        <f t="shared" si="55"/>
        <v/>
      </c>
      <c r="I938" s="6" t="str">
        <f t="shared" si="56"/>
        <v>0</v>
      </c>
    </row>
    <row r="939" spans="1:11" x14ac:dyDescent="0.2">
      <c r="A939" t="s">
        <v>1221</v>
      </c>
      <c r="B939" t="s">
        <v>4714</v>
      </c>
      <c r="C939" s="5" t="s">
        <v>7</v>
      </c>
      <c r="F939" s="5" t="s">
        <v>4715</v>
      </c>
      <c r="G939" s="5">
        <f t="shared" si="55"/>
        <v>20576</v>
      </c>
      <c r="I939" s="6" t="str">
        <f t="shared" si="56"/>
        <v>0</v>
      </c>
      <c r="K939" s="19" t="s">
        <v>4716</v>
      </c>
    </row>
    <row r="940" spans="1:11" x14ac:dyDescent="0.2">
      <c r="A940" t="s">
        <v>1222</v>
      </c>
      <c r="B940" t="s">
        <v>4717</v>
      </c>
      <c r="C940" s="5" t="s">
        <v>7</v>
      </c>
      <c r="F940" s="5" t="s">
        <v>4718</v>
      </c>
      <c r="G940" s="5">
        <f t="shared" si="55"/>
        <v>20584</v>
      </c>
      <c r="I940" s="6" t="str">
        <f t="shared" si="56"/>
        <v>0</v>
      </c>
      <c r="K940" s="19" t="s">
        <v>4719</v>
      </c>
    </row>
    <row r="941" spans="1:11" x14ac:dyDescent="0.2">
      <c r="A941" t="s">
        <v>1223</v>
      </c>
      <c r="B941" t="s">
        <v>1224</v>
      </c>
      <c r="E941" t="str">
        <f>IF(D941&lt;&gt;"",C941&amp;"/"&amp;D941,"")</f>
        <v/>
      </c>
      <c r="G941" s="5" t="str">
        <f t="shared" si="55"/>
        <v/>
      </c>
      <c r="I941" s="6" t="str">
        <f t="shared" si="56"/>
        <v>0</v>
      </c>
    </row>
    <row r="942" spans="1:11" x14ac:dyDescent="0.2">
      <c r="A942" t="s">
        <v>1225</v>
      </c>
      <c r="B942" t="s">
        <v>1226</v>
      </c>
      <c r="E942" t="str">
        <f>IF(D942&lt;&gt;"",C942&amp;"/"&amp;D942,"")</f>
        <v/>
      </c>
      <c r="G942" s="5" t="str">
        <f t="shared" si="55"/>
        <v/>
      </c>
      <c r="I942" s="6" t="str">
        <f t="shared" si="56"/>
        <v>0</v>
      </c>
    </row>
    <row r="943" spans="1:11" x14ac:dyDescent="0.2">
      <c r="A943" t="s">
        <v>1228</v>
      </c>
      <c r="B943" t="s">
        <v>4720</v>
      </c>
      <c r="C943" s="5" t="s">
        <v>7</v>
      </c>
      <c r="F943" s="5" t="s">
        <v>4721</v>
      </c>
      <c r="G943" s="5">
        <f t="shared" si="55"/>
        <v>20668</v>
      </c>
      <c r="I943" s="6" t="str">
        <f t="shared" si="56"/>
        <v>0</v>
      </c>
      <c r="K943" s="19" t="s">
        <v>4722</v>
      </c>
    </row>
    <row r="944" spans="1:11" x14ac:dyDescent="0.2">
      <c r="A944" t="s">
        <v>1229</v>
      </c>
      <c r="B944" t="s">
        <v>1230</v>
      </c>
      <c r="E944" t="str">
        <f>IF(D944&lt;&gt;"",C944&amp;"/"&amp;D944,"")</f>
        <v/>
      </c>
      <c r="G944" s="5" t="str">
        <f t="shared" si="55"/>
        <v/>
      </c>
      <c r="I944" s="6" t="str">
        <f t="shared" si="56"/>
        <v>0</v>
      </c>
    </row>
    <row r="945" spans="1:11" x14ac:dyDescent="0.2">
      <c r="A945" t="s">
        <v>1231</v>
      </c>
      <c r="B945" t="s">
        <v>1232</v>
      </c>
      <c r="G945" s="5" t="str">
        <f t="shared" si="55"/>
        <v/>
      </c>
      <c r="I945" s="6" t="str">
        <f t="shared" si="56"/>
        <v>0</v>
      </c>
      <c r="K945" s="19" t="s">
        <v>6230</v>
      </c>
    </row>
    <row r="946" spans="1:11" x14ac:dyDescent="0.2">
      <c r="A946" t="s">
        <v>1233</v>
      </c>
      <c r="B946" t="s">
        <v>4723</v>
      </c>
      <c r="C946" s="5" t="s">
        <v>7</v>
      </c>
      <c r="F946" s="5" t="s">
        <v>4724</v>
      </c>
      <c r="G946" s="5">
        <f t="shared" si="55"/>
        <v>20712</v>
      </c>
      <c r="I946" s="6" t="str">
        <f t="shared" si="56"/>
        <v>0</v>
      </c>
      <c r="K946" s="19" t="s">
        <v>4725</v>
      </c>
    </row>
    <row r="947" spans="1:11" x14ac:dyDescent="0.2">
      <c r="A947" t="s">
        <v>1234</v>
      </c>
      <c r="B947" t="s">
        <v>4726</v>
      </c>
      <c r="C947" s="5" t="s">
        <v>7</v>
      </c>
      <c r="F947" s="5" t="s">
        <v>4727</v>
      </c>
      <c r="G947" s="5">
        <f t="shared" si="55"/>
        <v>20764</v>
      </c>
      <c r="I947" s="6" t="str">
        <f t="shared" si="56"/>
        <v>0</v>
      </c>
      <c r="K947" s="19" t="s">
        <v>4728</v>
      </c>
    </row>
    <row r="948" spans="1:11" x14ac:dyDescent="0.2">
      <c r="A948" t="s">
        <v>1235</v>
      </c>
      <c r="B948" t="s">
        <v>4729</v>
      </c>
      <c r="C948" s="5" t="s">
        <v>7</v>
      </c>
      <c r="F948" s="5" t="s">
        <v>4730</v>
      </c>
      <c r="G948" s="5">
        <f t="shared" si="55"/>
        <v>20782</v>
      </c>
      <c r="I948" s="6" t="str">
        <f t="shared" si="56"/>
        <v>0</v>
      </c>
      <c r="K948" s="19" t="s">
        <v>4731</v>
      </c>
    </row>
    <row r="949" spans="1:11" x14ac:dyDescent="0.2">
      <c r="A949" t="s">
        <v>1236</v>
      </c>
      <c r="B949" t="s">
        <v>4732</v>
      </c>
      <c r="C949" s="5" t="s">
        <v>7</v>
      </c>
      <c r="F949" s="5" t="s">
        <v>4733</v>
      </c>
      <c r="G949" s="5">
        <f t="shared" si="55"/>
        <v>20788</v>
      </c>
      <c r="I949" s="6" t="str">
        <f t="shared" si="56"/>
        <v>0</v>
      </c>
      <c r="K949" s="19" t="s">
        <v>4734</v>
      </c>
    </row>
    <row r="950" spans="1:11" x14ac:dyDescent="0.2">
      <c r="A950" t="s">
        <v>1237</v>
      </c>
      <c r="B950" t="s">
        <v>1238</v>
      </c>
      <c r="E950" t="str">
        <f t="shared" ref="E950:E956" si="58">IF(D950&lt;&gt;"",C950&amp;"/"&amp;D950,"")</f>
        <v/>
      </c>
      <c r="G950" s="5" t="str">
        <f t="shared" si="55"/>
        <v/>
      </c>
      <c r="I950" s="6" t="str">
        <f t="shared" si="56"/>
        <v>0</v>
      </c>
    </row>
    <row r="951" spans="1:11" x14ac:dyDescent="0.2">
      <c r="A951" t="s">
        <v>1239</v>
      </c>
      <c r="B951" t="s">
        <v>6762</v>
      </c>
      <c r="G951" s="5" t="str">
        <f t="shared" si="55"/>
        <v/>
      </c>
      <c r="I951" s="6" t="str">
        <f t="shared" si="56"/>
        <v>0</v>
      </c>
    </row>
    <row r="952" spans="1:11" x14ac:dyDescent="0.2">
      <c r="A952" t="s">
        <v>1240</v>
      </c>
      <c r="B952" t="s">
        <v>1241</v>
      </c>
      <c r="E952" t="str">
        <f t="shared" si="58"/>
        <v/>
      </c>
      <c r="G952" s="5" t="str">
        <f t="shared" si="55"/>
        <v/>
      </c>
      <c r="I952" s="6" t="str">
        <f t="shared" si="56"/>
        <v>0</v>
      </c>
    </row>
    <row r="953" spans="1:11" x14ac:dyDescent="0.2">
      <c r="A953" t="s">
        <v>1242</v>
      </c>
      <c r="B953" t="s">
        <v>1243</v>
      </c>
      <c r="E953" t="str">
        <f t="shared" si="58"/>
        <v/>
      </c>
      <c r="G953" s="5" t="str">
        <f t="shared" si="55"/>
        <v/>
      </c>
      <c r="I953" s="6" t="str">
        <f t="shared" si="56"/>
        <v>0</v>
      </c>
    </row>
    <row r="954" spans="1:11" x14ac:dyDescent="0.2">
      <c r="A954" t="s">
        <v>1244</v>
      </c>
      <c r="B954" t="s">
        <v>1245</v>
      </c>
      <c r="E954" t="str">
        <f t="shared" si="58"/>
        <v/>
      </c>
      <c r="G954" s="5" t="str">
        <f t="shared" si="55"/>
        <v/>
      </c>
      <c r="I954" s="6" t="str">
        <f t="shared" si="56"/>
        <v>0</v>
      </c>
    </row>
    <row r="955" spans="1:11" x14ac:dyDescent="0.2">
      <c r="A955" t="s">
        <v>1246</v>
      </c>
      <c r="B955" t="s">
        <v>1247</v>
      </c>
      <c r="E955" t="str">
        <f t="shared" si="58"/>
        <v/>
      </c>
      <c r="G955" s="5" t="str">
        <f t="shared" si="55"/>
        <v/>
      </c>
      <c r="I955" s="6" t="str">
        <f t="shared" si="56"/>
        <v>0</v>
      </c>
    </row>
    <row r="956" spans="1:11" x14ac:dyDescent="0.2">
      <c r="A956" t="s">
        <v>1248</v>
      </c>
      <c r="B956" t="s">
        <v>1249</v>
      </c>
      <c r="E956" t="str">
        <f t="shared" si="58"/>
        <v/>
      </c>
      <c r="G956" s="5" t="str">
        <f t="shared" si="55"/>
        <v/>
      </c>
      <c r="I956" s="6" t="str">
        <f t="shared" si="56"/>
        <v>0</v>
      </c>
    </row>
    <row r="957" spans="1:11" x14ac:dyDescent="0.2">
      <c r="A957" t="s">
        <v>1250</v>
      </c>
      <c r="B957" t="s">
        <v>4735</v>
      </c>
      <c r="C957" s="5" t="s">
        <v>7</v>
      </c>
      <c r="F957" s="5" t="s">
        <v>4736</v>
      </c>
      <c r="G957" s="5">
        <f t="shared" si="55"/>
        <v>20882</v>
      </c>
      <c r="I957" s="6" t="str">
        <f t="shared" si="56"/>
        <v>0</v>
      </c>
      <c r="K957" s="19" t="s">
        <v>4737</v>
      </c>
    </row>
    <row r="958" spans="1:11" x14ac:dyDescent="0.2">
      <c r="A958" t="s">
        <v>1251</v>
      </c>
      <c r="B958" t="s">
        <v>4738</v>
      </c>
      <c r="C958" s="5" t="s">
        <v>7</v>
      </c>
      <c r="F958" s="5" t="s">
        <v>4739</v>
      </c>
      <c r="G958" s="5">
        <f t="shared" si="55"/>
        <v>20900</v>
      </c>
      <c r="I958" s="6" t="str">
        <f t="shared" si="56"/>
        <v>0</v>
      </c>
      <c r="K958" s="19" t="s">
        <v>4740</v>
      </c>
    </row>
    <row r="959" spans="1:11" x14ac:dyDescent="0.2">
      <c r="A959" t="s">
        <v>1252</v>
      </c>
      <c r="B959" t="s">
        <v>4741</v>
      </c>
      <c r="C959" s="5" t="s">
        <v>7</v>
      </c>
      <c r="F959" s="5" t="s">
        <v>4742</v>
      </c>
      <c r="G959" s="5">
        <f t="shared" si="55"/>
        <v>20914</v>
      </c>
      <c r="I959" s="6" t="str">
        <f t="shared" si="56"/>
        <v>0</v>
      </c>
      <c r="K959" s="19" t="s">
        <v>4743</v>
      </c>
    </row>
    <row r="960" spans="1:11" x14ac:dyDescent="0.2">
      <c r="A960" t="s">
        <v>1253</v>
      </c>
      <c r="B960" t="s">
        <v>4744</v>
      </c>
      <c r="C960" s="5" t="s">
        <v>7</v>
      </c>
      <c r="F960" s="5" t="s">
        <v>4745</v>
      </c>
      <c r="G960" s="5">
        <f t="shared" si="55"/>
        <v>20920</v>
      </c>
      <c r="I960" s="6" t="str">
        <f t="shared" si="56"/>
        <v>0</v>
      </c>
      <c r="K960" s="19" t="s">
        <v>4746</v>
      </c>
    </row>
    <row r="961" spans="1:11" x14ac:dyDescent="0.2">
      <c r="A961" t="s">
        <v>1254</v>
      </c>
      <c r="B961" t="s">
        <v>6763</v>
      </c>
      <c r="G961" s="5" t="str">
        <f t="shared" ref="G961:G1024" si="59">IF(F961&lt;&gt;"",HEX2DEC(SUBSTITUTE(SUBSTITUTE(F961,"adrEA",""),"$","")),"")</f>
        <v/>
      </c>
      <c r="I961" s="6" t="str">
        <f t="shared" ref="I961:I1024" si="60">IFERROR(DEC2HEX(H961),"")</f>
        <v>0</v>
      </c>
    </row>
    <row r="962" spans="1:11" x14ac:dyDescent="0.2">
      <c r="A962" t="s">
        <v>1255</v>
      </c>
      <c r="B962" t="s">
        <v>4747</v>
      </c>
      <c r="C962" s="5" t="s">
        <v>7</v>
      </c>
      <c r="F962" s="5" t="s">
        <v>4748</v>
      </c>
      <c r="G962" s="5">
        <f t="shared" si="59"/>
        <v>20942</v>
      </c>
      <c r="I962" s="6" t="str">
        <f t="shared" si="60"/>
        <v>0</v>
      </c>
      <c r="K962" s="19" t="s">
        <v>4749</v>
      </c>
    </row>
    <row r="963" spans="1:11" x14ac:dyDescent="0.2">
      <c r="A963" t="s">
        <v>1256</v>
      </c>
      <c r="B963" t="s">
        <v>1257</v>
      </c>
      <c r="E963" t="str">
        <f>IF(D963&lt;&gt;"",C963&amp;"/"&amp;D963,"")</f>
        <v/>
      </c>
      <c r="G963" s="5" t="str">
        <f t="shared" si="59"/>
        <v/>
      </c>
      <c r="I963" s="6" t="str">
        <f t="shared" si="60"/>
        <v>0</v>
      </c>
    </row>
    <row r="964" spans="1:11" x14ac:dyDescent="0.2">
      <c r="A964" t="s">
        <v>1258</v>
      </c>
      <c r="B964" t="s">
        <v>1259</v>
      </c>
      <c r="E964" t="str">
        <f>IF(D964&lt;&gt;"",C964&amp;"/"&amp;D964,"")</f>
        <v/>
      </c>
      <c r="G964" s="5" t="str">
        <f t="shared" si="59"/>
        <v/>
      </c>
      <c r="I964" s="6" t="str">
        <f t="shared" si="60"/>
        <v>0</v>
      </c>
    </row>
    <row r="965" spans="1:11" x14ac:dyDescent="0.2">
      <c r="A965" t="s">
        <v>1260</v>
      </c>
      <c r="B965" t="s">
        <v>1261</v>
      </c>
      <c r="E965" t="str">
        <f>IF(D965&lt;&gt;"",C965&amp;"/"&amp;D965,"")</f>
        <v/>
      </c>
      <c r="G965" s="5" t="str">
        <f t="shared" si="59"/>
        <v/>
      </c>
      <c r="I965" s="6" t="str">
        <f t="shared" si="60"/>
        <v>0</v>
      </c>
    </row>
    <row r="966" spans="1:11" x14ac:dyDescent="0.2">
      <c r="A966" t="s">
        <v>1262</v>
      </c>
      <c r="B966" t="s">
        <v>1263</v>
      </c>
      <c r="E966" t="str">
        <f>IF(D966&lt;&gt;"",C966&amp;"/"&amp;D966,"")</f>
        <v/>
      </c>
      <c r="G966" s="5" t="str">
        <f t="shared" si="59"/>
        <v/>
      </c>
      <c r="I966" s="6" t="str">
        <f t="shared" si="60"/>
        <v>0</v>
      </c>
    </row>
    <row r="967" spans="1:11" x14ac:dyDescent="0.2">
      <c r="A967" t="s">
        <v>1264</v>
      </c>
      <c r="B967" t="s">
        <v>4750</v>
      </c>
      <c r="C967" s="5" t="s">
        <v>7</v>
      </c>
      <c r="F967" s="5" t="s">
        <v>4751</v>
      </c>
      <c r="G967" s="5">
        <f t="shared" si="59"/>
        <v>20996</v>
      </c>
      <c r="I967" s="6" t="str">
        <f t="shared" si="60"/>
        <v>0</v>
      </c>
      <c r="K967" s="19" t="s">
        <v>4752</v>
      </c>
    </row>
    <row r="968" spans="1:11" x14ac:dyDescent="0.2">
      <c r="A968" t="s">
        <v>1265</v>
      </c>
      <c r="B968" t="s">
        <v>4753</v>
      </c>
      <c r="C968" s="5" t="s">
        <v>7</v>
      </c>
      <c r="F968" s="5" t="s">
        <v>4754</v>
      </c>
      <c r="G968" s="5">
        <f t="shared" si="59"/>
        <v>21012</v>
      </c>
      <c r="I968" s="6" t="str">
        <f t="shared" si="60"/>
        <v>0</v>
      </c>
      <c r="K968" s="19" t="s">
        <v>4755</v>
      </c>
    </row>
    <row r="969" spans="1:11" x14ac:dyDescent="0.2">
      <c r="A969" t="s">
        <v>1266</v>
      </c>
      <c r="B969" t="s">
        <v>4756</v>
      </c>
      <c r="C969" s="5" t="s">
        <v>7</v>
      </c>
      <c r="F969" s="5" t="s">
        <v>4757</v>
      </c>
      <c r="G969" s="5">
        <f t="shared" si="59"/>
        <v>21028</v>
      </c>
      <c r="I969" s="6" t="str">
        <f t="shared" si="60"/>
        <v>0</v>
      </c>
      <c r="K969" s="19" t="s">
        <v>4758</v>
      </c>
    </row>
    <row r="970" spans="1:11" x14ac:dyDescent="0.2">
      <c r="A970" t="s">
        <v>1267</v>
      </c>
      <c r="B970" t="s">
        <v>1268</v>
      </c>
      <c r="E970" t="str">
        <f>IF(D970&lt;&gt;"",C970&amp;"/"&amp;D970,"")</f>
        <v/>
      </c>
      <c r="G970" s="5" t="str">
        <f t="shared" si="59"/>
        <v/>
      </c>
      <c r="I970" s="6" t="str">
        <f t="shared" si="60"/>
        <v>0</v>
      </c>
    </row>
    <row r="971" spans="1:11" x14ac:dyDescent="0.2">
      <c r="A971" t="s">
        <v>1269</v>
      </c>
      <c r="B971" t="s">
        <v>1270</v>
      </c>
      <c r="E971" t="str">
        <f>IF(D971&lt;&gt;"",C971&amp;"/"&amp;D971,"")</f>
        <v/>
      </c>
      <c r="G971" s="5" t="str">
        <f t="shared" si="59"/>
        <v/>
      </c>
      <c r="I971" s="6" t="str">
        <f t="shared" si="60"/>
        <v>0</v>
      </c>
    </row>
    <row r="972" spans="1:11" x14ac:dyDescent="0.2">
      <c r="A972" t="s">
        <v>1271</v>
      </c>
      <c r="B972" t="s">
        <v>4759</v>
      </c>
      <c r="C972" s="5" t="s">
        <v>7</v>
      </c>
      <c r="F972" s="5" t="s">
        <v>4760</v>
      </c>
      <c r="G972" s="5">
        <f t="shared" si="59"/>
        <v>21046</v>
      </c>
      <c r="I972" s="6" t="str">
        <f t="shared" si="60"/>
        <v>0</v>
      </c>
      <c r="K972" s="19" t="s">
        <v>4761</v>
      </c>
    </row>
    <row r="973" spans="1:11" x14ac:dyDescent="0.2">
      <c r="A973" t="s">
        <v>1272</v>
      </c>
      <c r="B973" t="s">
        <v>4762</v>
      </c>
      <c r="C973" s="5" t="s">
        <v>7</v>
      </c>
      <c r="F973" s="5" t="s">
        <v>4763</v>
      </c>
      <c r="G973" s="5">
        <f t="shared" si="59"/>
        <v>21048</v>
      </c>
      <c r="I973" s="6" t="str">
        <f t="shared" si="60"/>
        <v>0</v>
      </c>
      <c r="K973" s="19" t="s">
        <v>4764</v>
      </c>
    </row>
    <row r="974" spans="1:11" x14ac:dyDescent="0.2">
      <c r="A974" t="s">
        <v>1273</v>
      </c>
      <c r="B974" t="s">
        <v>4765</v>
      </c>
      <c r="C974" s="5" t="s">
        <v>7</v>
      </c>
      <c r="F974" s="5" t="s">
        <v>4766</v>
      </c>
      <c r="G974" s="5">
        <f t="shared" si="59"/>
        <v>21066</v>
      </c>
      <c r="I974" s="6" t="str">
        <f t="shared" si="60"/>
        <v>0</v>
      </c>
      <c r="K974" s="19" t="s">
        <v>4767</v>
      </c>
    </row>
    <row r="975" spans="1:11" x14ac:dyDescent="0.2">
      <c r="A975" t="s">
        <v>1274</v>
      </c>
      <c r="B975" t="s">
        <v>4768</v>
      </c>
      <c r="C975" s="5" t="s">
        <v>7</v>
      </c>
      <c r="F975" s="5" t="s">
        <v>4769</v>
      </c>
      <c r="G975" s="5">
        <f t="shared" si="59"/>
        <v>21068</v>
      </c>
      <c r="I975" s="6" t="str">
        <f t="shared" si="60"/>
        <v>0</v>
      </c>
      <c r="K975" s="19" t="s">
        <v>4770</v>
      </c>
    </row>
    <row r="976" spans="1:11" x14ac:dyDescent="0.2">
      <c r="A976" t="s">
        <v>1275</v>
      </c>
      <c r="B976" t="s">
        <v>4771</v>
      </c>
      <c r="C976" s="5" t="s">
        <v>7</v>
      </c>
      <c r="F976" s="5" t="s">
        <v>4772</v>
      </c>
      <c r="G976" s="5">
        <f t="shared" si="59"/>
        <v>21096</v>
      </c>
      <c r="I976" s="6" t="str">
        <f t="shared" si="60"/>
        <v>0</v>
      </c>
      <c r="K976" s="19" t="s">
        <v>4773</v>
      </c>
    </row>
    <row r="977" spans="1:11" x14ac:dyDescent="0.2">
      <c r="A977" t="s">
        <v>1276</v>
      </c>
      <c r="B977" t="s">
        <v>4774</v>
      </c>
      <c r="C977" s="5" t="s">
        <v>7</v>
      </c>
      <c r="F977" s="5" t="s">
        <v>4775</v>
      </c>
      <c r="G977" s="5">
        <f t="shared" si="59"/>
        <v>21106</v>
      </c>
      <c r="I977" s="6" t="str">
        <f t="shared" si="60"/>
        <v>0</v>
      </c>
      <c r="K977" s="19" t="s">
        <v>4776</v>
      </c>
    </row>
    <row r="978" spans="1:11" x14ac:dyDescent="0.2">
      <c r="A978" t="s">
        <v>1277</v>
      </c>
      <c r="B978" t="s">
        <v>4777</v>
      </c>
      <c r="C978" s="5" t="s">
        <v>7</v>
      </c>
      <c r="F978" s="5" t="s">
        <v>4778</v>
      </c>
      <c r="G978" s="5">
        <f t="shared" si="59"/>
        <v>21110</v>
      </c>
      <c r="I978" s="6" t="str">
        <f t="shared" si="60"/>
        <v>0</v>
      </c>
      <c r="K978" s="19" t="s">
        <v>4779</v>
      </c>
    </row>
    <row r="979" spans="1:11" x14ac:dyDescent="0.2">
      <c r="A979" t="s">
        <v>1278</v>
      </c>
      <c r="B979" t="s">
        <v>1279</v>
      </c>
      <c r="E979" t="str">
        <f>IF(D979&lt;&gt;"",C979&amp;"/"&amp;D979,"")</f>
        <v/>
      </c>
      <c r="G979" s="5" t="str">
        <f t="shared" si="59"/>
        <v/>
      </c>
      <c r="I979" s="6" t="str">
        <f t="shared" si="60"/>
        <v>0</v>
      </c>
    </row>
    <row r="980" spans="1:11" x14ac:dyDescent="0.2">
      <c r="A980" t="s">
        <v>1280</v>
      </c>
      <c r="B980" t="s">
        <v>4780</v>
      </c>
      <c r="C980" s="5" t="s">
        <v>7</v>
      </c>
      <c r="F980" s="5" t="s">
        <v>4781</v>
      </c>
      <c r="G980" s="5">
        <f t="shared" si="59"/>
        <v>21150</v>
      </c>
      <c r="I980" s="6" t="str">
        <f t="shared" si="60"/>
        <v>0</v>
      </c>
      <c r="K980" s="19" t="s">
        <v>4782</v>
      </c>
    </row>
    <row r="981" spans="1:11" x14ac:dyDescent="0.2">
      <c r="A981" t="s">
        <v>1281</v>
      </c>
      <c r="B981" t="s">
        <v>4783</v>
      </c>
      <c r="C981" s="5" t="s">
        <v>7</v>
      </c>
      <c r="F981" s="5" t="s">
        <v>4784</v>
      </c>
      <c r="G981" s="5">
        <f t="shared" si="59"/>
        <v>21152</v>
      </c>
      <c r="I981" s="6" t="str">
        <f t="shared" si="60"/>
        <v>0</v>
      </c>
      <c r="K981" s="19" t="s">
        <v>4785</v>
      </c>
    </row>
    <row r="982" spans="1:11" x14ac:dyDescent="0.2">
      <c r="A982" t="s">
        <v>1282</v>
      </c>
      <c r="B982" t="s">
        <v>1283</v>
      </c>
      <c r="E982" t="str">
        <f>IF(D982&lt;&gt;"",C982&amp;"/"&amp;D982,"")</f>
        <v/>
      </c>
      <c r="G982" s="5" t="str">
        <f t="shared" si="59"/>
        <v/>
      </c>
      <c r="I982" s="6" t="str">
        <f t="shared" si="60"/>
        <v>0</v>
      </c>
    </row>
    <row r="983" spans="1:11" x14ac:dyDescent="0.2">
      <c r="A983" t="s">
        <v>1284</v>
      </c>
      <c r="B983" t="s">
        <v>4786</v>
      </c>
      <c r="C983" s="5" t="s">
        <v>7</v>
      </c>
      <c r="F983" s="5" t="s">
        <v>4787</v>
      </c>
      <c r="G983" s="5">
        <f t="shared" si="59"/>
        <v>21202</v>
      </c>
      <c r="I983" s="6" t="str">
        <f t="shared" si="60"/>
        <v>0</v>
      </c>
      <c r="K983" s="19" t="s">
        <v>4788</v>
      </c>
    </row>
    <row r="984" spans="1:11" x14ac:dyDescent="0.2">
      <c r="A984" t="s">
        <v>1285</v>
      </c>
      <c r="B984" t="s">
        <v>4789</v>
      </c>
      <c r="C984" s="5" t="s">
        <v>7</v>
      </c>
      <c r="F984" s="5" t="s">
        <v>4790</v>
      </c>
      <c r="G984" s="5">
        <f t="shared" si="59"/>
        <v>21208</v>
      </c>
      <c r="I984" s="6" t="str">
        <f t="shared" si="60"/>
        <v>0</v>
      </c>
      <c r="K984" s="19" t="s">
        <v>4791</v>
      </c>
    </row>
    <row r="985" spans="1:11" x14ac:dyDescent="0.2">
      <c r="A985" t="s">
        <v>1286</v>
      </c>
      <c r="B985" t="s">
        <v>4792</v>
      </c>
      <c r="C985" s="5" t="s">
        <v>7</v>
      </c>
      <c r="F985" s="5" t="s">
        <v>4793</v>
      </c>
      <c r="G985" s="5">
        <f t="shared" si="59"/>
        <v>21210</v>
      </c>
      <c r="I985" s="6" t="str">
        <f t="shared" si="60"/>
        <v>0</v>
      </c>
      <c r="K985" s="19" t="s">
        <v>4794</v>
      </c>
    </row>
    <row r="986" spans="1:11" x14ac:dyDescent="0.2">
      <c r="A986" t="s">
        <v>1287</v>
      </c>
      <c r="B986" t="s">
        <v>4795</v>
      </c>
      <c r="C986" s="5" t="s">
        <v>7</v>
      </c>
      <c r="F986" s="5" t="s">
        <v>4796</v>
      </c>
      <c r="G986" s="5">
        <f t="shared" si="59"/>
        <v>21218</v>
      </c>
      <c r="I986" s="6" t="str">
        <f t="shared" si="60"/>
        <v>0</v>
      </c>
      <c r="K986" s="19" t="s">
        <v>4797</v>
      </c>
    </row>
    <row r="987" spans="1:11" x14ac:dyDescent="0.2">
      <c r="A987" t="s">
        <v>1288</v>
      </c>
      <c r="B987" t="s">
        <v>1289</v>
      </c>
      <c r="E987" t="str">
        <f>IF(D987&lt;&gt;"",C987&amp;"/"&amp;D987,"")</f>
        <v/>
      </c>
      <c r="G987" s="5" t="str">
        <f t="shared" si="59"/>
        <v/>
      </c>
      <c r="I987" s="6" t="str">
        <f t="shared" si="60"/>
        <v>0</v>
      </c>
    </row>
    <row r="988" spans="1:11" x14ac:dyDescent="0.2">
      <c r="A988" t="s">
        <v>1290</v>
      </c>
      <c r="B988" t="s">
        <v>1291</v>
      </c>
      <c r="E988" t="str">
        <f>IF(D988&lt;&gt;"",C988&amp;"/"&amp;D988,"")</f>
        <v/>
      </c>
      <c r="G988" s="5" t="str">
        <f t="shared" si="59"/>
        <v/>
      </c>
      <c r="I988" s="6" t="str">
        <f t="shared" si="60"/>
        <v>0</v>
      </c>
    </row>
    <row r="989" spans="1:11" x14ac:dyDescent="0.2">
      <c r="A989" t="s">
        <v>1292</v>
      </c>
      <c r="B989" t="s">
        <v>1293</v>
      </c>
      <c r="E989" t="str">
        <f>IF(D989&lt;&gt;"",C989&amp;"/"&amp;D989,"")</f>
        <v/>
      </c>
      <c r="G989" s="5" t="str">
        <f t="shared" si="59"/>
        <v/>
      </c>
      <c r="I989" s="6" t="str">
        <f t="shared" si="60"/>
        <v>0</v>
      </c>
    </row>
    <row r="990" spans="1:11" x14ac:dyDescent="0.2">
      <c r="A990" t="s">
        <v>1294</v>
      </c>
      <c r="B990" t="s">
        <v>1295</v>
      </c>
      <c r="E990" t="str">
        <f>IF(D990&lt;&gt;"",C990&amp;"/"&amp;D990,"")</f>
        <v/>
      </c>
      <c r="G990" s="5" t="str">
        <f t="shared" si="59"/>
        <v/>
      </c>
      <c r="I990" s="6" t="str">
        <f t="shared" si="60"/>
        <v>0</v>
      </c>
    </row>
    <row r="991" spans="1:11" x14ac:dyDescent="0.2">
      <c r="A991" t="s">
        <v>1296</v>
      </c>
      <c r="B991" t="s">
        <v>1297</v>
      </c>
      <c r="E991" t="str">
        <f>IF(D991&lt;&gt;"",C991&amp;"/"&amp;D991,"")</f>
        <v/>
      </c>
      <c r="G991" s="5" t="str">
        <f t="shared" si="59"/>
        <v/>
      </c>
      <c r="I991" s="6" t="str">
        <f t="shared" si="60"/>
        <v>0</v>
      </c>
    </row>
    <row r="992" spans="1:11" x14ac:dyDescent="0.2">
      <c r="A992" t="s">
        <v>1298</v>
      </c>
      <c r="B992" t="s">
        <v>4798</v>
      </c>
      <c r="C992" s="5" t="s">
        <v>7</v>
      </c>
      <c r="F992" s="5" t="s">
        <v>4799</v>
      </c>
      <c r="G992" s="5">
        <f t="shared" si="59"/>
        <v>21270</v>
      </c>
      <c r="I992" s="6" t="str">
        <f t="shared" si="60"/>
        <v>0</v>
      </c>
      <c r="K992" s="19" t="s">
        <v>4800</v>
      </c>
    </row>
    <row r="993" spans="1:11" x14ac:dyDescent="0.2">
      <c r="A993" t="s">
        <v>1299</v>
      </c>
      <c r="B993" t="s">
        <v>1300</v>
      </c>
      <c r="E993" t="str">
        <f>IF(D993&lt;&gt;"",C993&amp;"/"&amp;D993,"")</f>
        <v/>
      </c>
      <c r="G993" s="5" t="str">
        <f t="shared" si="59"/>
        <v/>
      </c>
      <c r="I993" s="6" t="str">
        <f t="shared" si="60"/>
        <v>0</v>
      </c>
    </row>
    <row r="994" spans="1:11" x14ac:dyDescent="0.2">
      <c r="A994" t="s">
        <v>1301</v>
      </c>
      <c r="B994" t="s">
        <v>4801</v>
      </c>
      <c r="C994" s="5" t="s">
        <v>7</v>
      </c>
      <c r="F994" s="5" t="s">
        <v>4802</v>
      </c>
      <c r="G994" s="5">
        <f t="shared" si="59"/>
        <v>21280</v>
      </c>
      <c r="I994" s="6" t="str">
        <f t="shared" si="60"/>
        <v>0</v>
      </c>
      <c r="K994" s="19" t="s">
        <v>4803</v>
      </c>
    </row>
    <row r="995" spans="1:11" x14ac:dyDescent="0.2">
      <c r="A995" t="s">
        <v>1302</v>
      </c>
      <c r="B995" t="s">
        <v>4804</v>
      </c>
      <c r="C995" s="5" t="s">
        <v>7</v>
      </c>
      <c r="F995" s="5" t="s">
        <v>4805</v>
      </c>
      <c r="G995" s="5">
        <f t="shared" si="59"/>
        <v>21288</v>
      </c>
      <c r="I995" s="6" t="str">
        <f t="shared" si="60"/>
        <v>0</v>
      </c>
      <c r="K995" s="19" t="s">
        <v>4806</v>
      </c>
    </row>
    <row r="996" spans="1:11" x14ac:dyDescent="0.2">
      <c r="A996" t="s">
        <v>1303</v>
      </c>
      <c r="B996" t="s">
        <v>4807</v>
      </c>
      <c r="C996" s="5" t="s">
        <v>7</v>
      </c>
      <c r="F996" s="5" t="s">
        <v>4808</v>
      </c>
      <c r="G996" s="5">
        <f t="shared" si="59"/>
        <v>21298</v>
      </c>
      <c r="I996" s="6" t="str">
        <f t="shared" si="60"/>
        <v>0</v>
      </c>
      <c r="K996" s="19" t="s">
        <v>4809</v>
      </c>
    </row>
    <row r="997" spans="1:11" x14ac:dyDescent="0.2">
      <c r="A997" t="s">
        <v>1304</v>
      </c>
      <c r="B997" t="s">
        <v>4810</v>
      </c>
      <c r="C997" s="5" t="s">
        <v>7</v>
      </c>
      <c r="F997" s="5" t="s">
        <v>4811</v>
      </c>
      <c r="G997" s="5">
        <f t="shared" si="59"/>
        <v>21308</v>
      </c>
      <c r="I997" s="6" t="str">
        <f t="shared" si="60"/>
        <v>0</v>
      </c>
      <c r="K997" s="19" t="s">
        <v>4812</v>
      </c>
    </row>
    <row r="998" spans="1:11" x14ac:dyDescent="0.2">
      <c r="A998" t="s">
        <v>1305</v>
      </c>
      <c r="B998" t="s">
        <v>4813</v>
      </c>
      <c r="C998" s="5" t="s">
        <v>7</v>
      </c>
      <c r="F998" s="5" t="s">
        <v>4814</v>
      </c>
      <c r="G998" s="5">
        <f t="shared" si="59"/>
        <v>21330</v>
      </c>
      <c r="I998" s="6" t="str">
        <f t="shared" si="60"/>
        <v>0</v>
      </c>
      <c r="K998" s="19" t="s">
        <v>4815</v>
      </c>
    </row>
    <row r="999" spans="1:11" x14ac:dyDescent="0.2">
      <c r="A999" t="s">
        <v>1306</v>
      </c>
      <c r="B999" t="s">
        <v>4816</v>
      </c>
      <c r="C999" s="5" t="s">
        <v>7</v>
      </c>
      <c r="F999" s="5" t="s">
        <v>4817</v>
      </c>
      <c r="G999" s="5">
        <f t="shared" si="59"/>
        <v>21336</v>
      </c>
      <c r="I999" s="6" t="str">
        <f t="shared" si="60"/>
        <v>0</v>
      </c>
      <c r="K999" s="19" t="s">
        <v>4818</v>
      </c>
    </row>
    <row r="1000" spans="1:11" x14ac:dyDescent="0.2">
      <c r="A1000" t="s">
        <v>1307</v>
      </c>
      <c r="B1000" t="s">
        <v>4819</v>
      </c>
      <c r="C1000" s="5" t="s">
        <v>7</v>
      </c>
      <c r="F1000" s="5" t="s">
        <v>4820</v>
      </c>
      <c r="G1000" s="5">
        <f t="shared" si="59"/>
        <v>21342</v>
      </c>
      <c r="I1000" s="6" t="str">
        <f t="shared" si="60"/>
        <v>0</v>
      </c>
      <c r="K1000" s="19" t="s">
        <v>4821</v>
      </c>
    </row>
    <row r="1001" spans="1:11" x14ac:dyDescent="0.2">
      <c r="A1001" t="s">
        <v>1308</v>
      </c>
      <c r="B1001" t="s">
        <v>4822</v>
      </c>
      <c r="C1001" s="5" t="s">
        <v>7</v>
      </c>
      <c r="F1001" s="5" t="s">
        <v>4823</v>
      </c>
      <c r="G1001" s="5">
        <f t="shared" si="59"/>
        <v>21372</v>
      </c>
      <c r="I1001" s="6" t="str">
        <f t="shared" si="60"/>
        <v>0</v>
      </c>
      <c r="K1001" s="19" t="s">
        <v>4824</v>
      </c>
    </row>
    <row r="1002" spans="1:11" x14ac:dyDescent="0.2">
      <c r="A1002" t="s">
        <v>1309</v>
      </c>
      <c r="B1002" t="s">
        <v>4825</v>
      </c>
      <c r="C1002" s="5" t="s">
        <v>7</v>
      </c>
      <c r="F1002" s="5" t="s">
        <v>4826</v>
      </c>
      <c r="G1002" s="5">
        <f t="shared" si="59"/>
        <v>21462</v>
      </c>
      <c r="I1002" s="6" t="str">
        <f t="shared" si="60"/>
        <v>0</v>
      </c>
      <c r="K1002" s="19" t="s">
        <v>4827</v>
      </c>
    </row>
    <row r="1003" spans="1:11" x14ac:dyDescent="0.2">
      <c r="A1003" t="s">
        <v>1310</v>
      </c>
      <c r="B1003" t="s">
        <v>4828</v>
      </c>
      <c r="C1003" s="5" t="s">
        <v>7</v>
      </c>
      <c r="F1003" s="5" t="s">
        <v>4829</v>
      </c>
      <c r="G1003" s="5">
        <f t="shared" si="59"/>
        <v>21474</v>
      </c>
      <c r="I1003" s="6" t="str">
        <f t="shared" si="60"/>
        <v>0</v>
      </c>
      <c r="K1003" s="19" t="s">
        <v>4830</v>
      </c>
    </row>
    <row r="1004" spans="1:11" x14ac:dyDescent="0.2">
      <c r="A1004" t="s">
        <v>1311</v>
      </c>
      <c r="B1004" t="s">
        <v>4831</v>
      </c>
      <c r="C1004" s="5" t="s">
        <v>7</v>
      </c>
      <c r="F1004" s="5" t="s">
        <v>4832</v>
      </c>
      <c r="G1004" s="5">
        <f t="shared" si="59"/>
        <v>21502</v>
      </c>
      <c r="I1004" s="6" t="str">
        <f t="shared" si="60"/>
        <v>0</v>
      </c>
      <c r="K1004" s="19" t="s">
        <v>4833</v>
      </c>
    </row>
    <row r="1005" spans="1:11" x14ac:dyDescent="0.2">
      <c r="A1005" t="s">
        <v>1312</v>
      </c>
      <c r="B1005" t="s">
        <v>4834</v>
      </c>
      <c r="C1005" s="5" t="s">
        <v>7</v>
      </c>
      <c r="F1005" s="5" t="s">
        <v>4835</v>
      </c>
      <c r="G1005" s="5">
        <f t="shared" si="59"/>
        <v>21522</v>
      </c>
      <c r="I1005" s="6" t="str">
        <f t="shared" si="60"/>
        <v>0</v>
      </c>
      <c r="K1005" s="19" t="s">
        <v>4836</v>
      </c>
    </row>
    <row r="1006" spans="1:11" x14ac:dyDescent="0.2">
      <c r="A1006" t="s">
        <v>1313</v>
      </c>
      <c r="B1006" t="s">
        <v>1314</v>
      </c>
      <c r="E1006" t="str">
        <f>IF(D1006&lt;&gt;"",C1006&amp;"/"&amp;D1006,"")</f>
        <v/>
      </c>
      <c r="G1006" s="5" t="str">
        <f t="shared" si="59"/>
        <v/>
      </c>
      <c r="I1006" s="6" t="str">
        <f t="shared" si="60"/>
        <v>0</v>
      </c>
    </row>
    <row r="1007" spans="1:11" x14ac:dyDescent="0.2">
      <c r="A1007" t="s">
        <v>1315</v>
      </c>
      <c r="B1007" t="s">
        <v>4863</v>
      </c>
      <c r="C1007" s="5" t="s">
        <v>7</v>
      </c>
      <c r="F1007" s="5" t="s">
        <v>4837</v>
      </c>
      <c r="G1007" s="5">
        <f t="shared" si="59"/>
        <v>21540</v>
      </c>
      <c r="I1007" s="6" t="str">
        <f t="shared" si="60"/>
        <v>0</v>
      </c>
      <c r="K1007" s="19" t="s">
        <v>4838</v>
      </c>
    </row>
    <row r="1008" spans="1:11" x14ac:dyDescent="0.2">
      <c r="A1008" t="s">
        <v>1316</v>
      </c>
      <c r="B1008" t="s">
        <v>4864</v>
      </c>
      <c r="C1008" s="5" t="s">
        <v>7</v>
      </c>
      <c r="F1008" s="5" t="s">
        <v>4839</v>
      </c>
      <c r="G1008" s="5">
        <f t="shared" si="59"/>
        <v>21580</v>
      </c>
      <c r="I1008" s="6" t="str">
        <f t="shared" si="60"/>
        <v>0</v>
      </c>
      <c r="K1008" s="19" t="s">
        <v>4840</v>
      </c>
    </row>
    <row r="1009" spans="1:11" x14ac:dyDescent="0.2">
      <c r="A1009" t="s">
        <v>1317</v>
      </c>
      <c r="B1009" t="s">
        <v>4865</v>
      </c>
      <c r="C1009" s="5" t="s">
        <v>7</v>
      </c>
      <c r="F1009" s="5" t="s">
        <v>4841</v>
      </c>
      <c r="G1009" s="5">
        <f t="shared" si="59"/>
        <v>21592</v>
      </c>
      <c r="I1009" s="6" t="str">
        <f t="shared" si="60"/>
        <v>0</v>
      </c>
      <c r="K1009" s="19" t="s">
        <v>4842</v>
      </c>
    </row>
    <row r="1010" spans="1:11" x14ac:dyDescent="0.2">
      <c r="A1010" t="s">
        <v>1318</v>
      </c>
      <c r="B1010" t="s">
        <v>4866</v>
      </c>
      <c r="C1010" s="5" t="s">
        <v>7</v>
      </c>
      <c r="F1010" s="5" t="s">
        <v>4843</v>
      </c>
      <c r="G1010" s="5">
        <f t="shared" si="59"/>
        <v>21606</v>
      </c>
      <c r="I1010" s="6" t="str">
        <f t="shared" si="60"/>
        <v>0</v>
      </c>
      <c r="K1010" s="19" t="s">
        <v>4844</v>
      </c>
    </row>
    <row r="1011" spans="1:11" x14ac:dyDescent="0.2">
      <c r="A1011" t="s">
        <v>1319</v>
      </c>
      <c r="B1011" t="s">
        <v>1320</v>
      </c>
      <c r="E1011" t="str">
        <f>IF(D1011&lt;&gt;"",C1011&amp;"/"&amp;D1011,"")</f>
        <v/>
      </c>
      <c r="G1011" s="5" t="str">
        <f t="shared" si="59"/>
        <v/>
      </c>
      <c r="I1011" s="6" t="str">
        <f t="shared" si="60"/>
        <v>0</v>
      </c>
    </row>
    <row r="1012" spans="1:11" x14ac:dyDescent="0.2">
      <c r="A1012" t="s">
        <v>1321</v>
      </c>
      <c r="B1012" t="s">
        <v>1322</v>
      </c>
      <c r="E1012" t="str">
        <f>IF(D1012&lt;&gt;"",C1012&amp;"/"&amp;D1012,"")</f>
        <v/>
      </c>
      <c r="G1012" s="5" t="str">
        <f t="shared" si="59"/>
        <v/>
      </c>
      <c r="I1012" s="6" t="str">
        <f t="shared" si="60"/>
        <v>0</v>
      </c>
    </row>
    <row r="1013" spans="1:11" x14ac:dyDescent="0.2">
      <c r="A1013" t="s">
        <v>1323</v>
      </c>
      <c r="B1013" t="s">
        <v>4845</v>
      </c>
      <c r="C1013" s="5" t="s">
        <v>7</v>
      </c>
      <c r="F1013" s="5" t="s">
        <v>4846</v>
      </c>
      <c r="G1013" s="5">
        <f t="shared" si="59"/>
        <v>21624</v>
      </c>
      <c r="I1013" s="6" t="str">
        <f t="shared" si="60"/>
        <v>0</v>
      </c>
      <c r="K1013" s="19" t="s">
        <v>4847</v>
      </c>
    </row>
    <row r="1014" spans="1:11" x14ac:dyDescent="0.2">
      <c r="A1014" t="s">
        <v>1324</v>
      </c>
      <c r="B1014" t="s">
        <v>4848</v>
      </c>
      <c r="C1014" s="5" t="s">
        <v>7</v>
      </c>
      <c r="F1014" s="5" t="s">
        <v>4849</v>
      </c>
      <c r="G1014" s="5">
        <f t="shared" si="59"/>
        <v>21694</v>
      </c>
      <c r="I1014" s="6" t="str">
        <f t="shared" si="60"/>
        <v>0</v>
      </c>
      <c r="K1014" s="19" t="s">
        <v>4850</v>
      </c>
    </row>
    <row r="1015" spans="1:11" x14ac:dyDescent="0.2">
      <c r="A1015" t="s">
        <v>1325</v>
      </c>
      <c r="B1015" t="s">
        <v>4851</v>
      </c>
      <c r="C1015" s="5" t="s">
        <v>7</v>
      </c>
      <c r="F1015" s="5" t="s">
        <v>4852</v>
      </c>
      <c r="G1015" s="5">
        <f t="shared" si="59"/>
        <v>21708</v>
      </c>
      <c r="I1015" s="6" t="str">
        <f t="shared" si="60"/>
        <v>0</v>
      </c>
      <c r="K1015" s="19" t="s">
        <v>4853</v>
      </c>
    </row>
    <row r="1016" spans="1:11" x14ac:dyDescent="0.2">
      <c r="A1016" t="s">
        <v>1326</v>
      </c>
      <c r="B1016" t="s">
        <v>4854</v>
      </c>
      <c r="C1016" s="5" t="s">
        <v>7</v>
      </c>
      <c r="F1016" s="5" t="s">
        <v>4855</v>
      </c>
      <c r="G1016" s="5">
        <f t="shared" si="59"/>
        <v>21724</v>
      </c>
      <c r="I1016" s="6" t="str">
        <f t="shared" si="60"/>
        <v>0</v>
      </c>
      <c r="K1016" s="19" t="s">
        <v>4856</v>
      </c>
    </row>
    <row r="1017" spans="1:11" x14ac:dyDescent="0.2">
      <c r="A1017" t="s">
        <v>1327</v>
      </c>
      <c r="B1017" t="s">
        <v>4857</v>
      </c>
      <c r="C1017" s="5" t="s">
        <v>7</v>
      </c>
      <c r="F1017" s="5" t="s">
        <v>4858</v>
      </c>
      <c r="G1017" s="5">
        <f t="shared" si="59"/>
        <v>21728</v>
      </c>
      <c r="I1017" s="6" t="str">
        <f t="shared" si="60"/>
        <v>0</v>
      </c>
      <c r="K1017" s="19" t="s">
        <v>4859</v>
      </c>
    </row>
    <row r="1018" spans="1:11" x14ac:dyDescent="0.2">
      <c r="A1018" t="s">
        <v>1328</v>
      </c>
      <c r="B1018" t="s">
        <v>4860</v>
      </c>
      <c r="C1018" s="5" t="s">
        <v>7</v>
      </c>
      <c r="F1018" s="5" t="s">
        <v>4861</v>
      </c>
      <c r="G1018" s="5">
        <f t="shared" si="59"/>
        <v>21732</v>
      </c>
      <c r="I1018" s="6" t="str">
        <f t="shared" si="60"/>
        <v>0</v>
      </c>
      <c r="K1018" s="19" t="s">
        <v>4862</v>
      </c>
    </row>
    <row r="1019" spans="1:11" x14ac:dyDescent="0.2">
      <c r="A1019" t="s">
        <v>1329</v>
      </c>
      <c r="B1019" t="s">
        <v>1330</v>
      </c>
      <c r="E1019" t="str">
        <f t="shared" ref="E1019:E1063" si="61">IF(D1019&lt;&gt;"",C1019&amp;"/"&amp;D1019,"")</f>
        <v/>
      </c>
      <c r="G1019" s="5" t="str">
        <f t="shared" si="59"/>
        <v/>
      </c>
      <c r="I1019" s="6" t="str">
        <f t="shared" si="60"/>
        <v>0</v>
      </c>
    </row>
    <row r="1020" spans="1:11" x14ac:dyDescent="0.2">
      <c r="A1020" t="s">
        <v>1331</v>
      </c>
      <c r="B1020" t="s">
        <v>1332</v>
      </c>
      <c r="E1020" t="str">
        <f t="shared" si="61"/>
        <v/>
      </c>
      <c r="G1020" s="5" t="str">
        <f t="shared" si="59"/>
        <v/>
      </c>
      <c r="I1020" s="6" t="str">
        <f t="shared" si="60"/>
        <v>0</v>
      </c>
    </row>
    <row r="1021" spans="1:11" x14ac:dyDescent="0.2">
      <c r="A1021" t="s">
        <v>1333</v>
      </c>
      <c r="B1021" t="s">
        <v>1334</v>
      </c>
      <c r="E1021" t="str">
        <f t="shared" si="61"/>
        <v/>
      </c>
      <c r="G1021" s="5" t="str">
        <f t="shared" si="59"/>
        <v/>
      </c>
      <c r="I1021" s="6" t="str">
        <f t="shared" si="60"/>
        <v>0</v>
      </c>
    </row>
    <row r="1022" spans="1:11" x14ac:dyDescent="0.2">
      <c r="A1022" t="s">
        <v>1335</v>
      </c>
      <c r="B1022" t="s">
        <v>6764</v>
      </c>
      <c r="G1022" s="5" t="str">
        <f t="shared" si="59"/>
        <v/>
      </c>
      <c r="I1022" s="6" t="str">
        <f t="shared" si="60"/>
        <v>0</v>
      </c>
      <c r="K1022" s="19" t="s">
        <v>6231</v>
      </c>
    </row>
    <row r="1023" spans="1:11" x14ac:dyDescent="0.2">
      <c r="A1023" t="s">
        <v>1336</v>
      </c>
      <c r="B1023" t="s">
        <v>6765</v>
      </c>
      <c r="G1023" s="5" t="str">
        <f t="shared" si="59"/>
        <v/>
      </c>
      <c r="I1023" s="6" t="str">
        <f t="shared" si="60"/>
        <v>0</v>
      </c>
    </row>
    <row r="1024" spans="1:11" x14ac:dyDescent="0.2">
      <c r="A1024" t="s">
        <v>1337</v>
      </c>
      <c r="B1024" t="s">
        <v>6766</v>
      </c>
      <c r="G1024" s="5" t="str">
        <f t="shared" si="59"/>
        <v/>
      </c>
      <c r="I1024" s="6" t="str">
        <f t="shared" si="60"/>
        <v>0</v>
      </c>
    </row>
    <row r="1025" spans="1:11" x14ac:dyDescent="0.2">
      <c r="A1025" t="s">
        <v>1338</v>
      </c>
      <c r="B1025" t="s">
        <v>6767</v>
      </c>
      <c r="G1025" s="5" t="str">
        <f t="shared" ref="G1025:G1088" si="62">IF(F1025&lt;&gt;"",HEX2DEC(SUBSTITUTE(SUBSTITUTE(F1025,"adrEA",""),"$","")),"")</f>
        <v/>
      </c>
      <c r="I1025" s="6" t="str">
        <f t="shared" ref="I1025:I1088" si="63">IFERROR(DEC2HEX(H1025),"")</f>
        <v>0</v>
      </c>
    </row>
    <row r="1026" spans="1:11" x14ac:dyDescent="0.2">
      <c r="A1026" t="s">
        <v>1339</v>
      </c>
      <c r="B1026" t="s">
        <v>6768</v>
      </c>
      <c r="G1026" s="5" t="str">
        <f t="shared" si="62"/>
        <v/>
      </c>
      <c r="I1026" s="6" t="str">
        <f t="shared" si="63"/>
        <v>0</v>
      </c>
      <c r="K1026" s="19" t="s">
        <v>6232</v>
      </c>
    </row>
    <row r="1027" spans="1:11" x14ac:dyDescent="0.2">
      <c r="A1027" t="s">
        <v>1340</v>
      </c>
      <c r="B1027" t="s">
        <v>6769</v>
      </c>
      <c r="G1027" s="5" t="str">
        <f t="shared" si="62"/>
        <v/>
      </c>
      <c r="I1027" s="6" t="str">
        <f t="shared" si="63"/>
        <v>0</v>
      </c>
    </row>
    <row r="1028" spans="1:11" x14ac:dyDescent="0.2">
      <c r="A1028" t="s">
        <v>1341</v>
      </c>
      <c r="B1028" t="s">
        <v>6770</v>
      </c>
      <c r="G1028" s="5" t="str">
        <f t="shared" si="62"/>
        <v/>
      </c>
      <c r="I1028" s="6" t="str">
        <f t="shared" si="63"/>
        <v>0</v>
      </c>
      <c r="K1028" s="19" t="s">
        <v>6233</v>
      </c>
    </row>
    <row r="1029" spans="1:11" x14ac:dyDescent="0.2">
      <c r="A1029" t="s">
        <v>1342</v>
      </c>
      <c r="B1029" t="s">
        <v>6771</v>
      </c>
      <c r="G1029" s="5" t="str">
        <f t="shared" si="62"/>
        <v/>
      </c>
      <c r="I1029" s="6" t="str">
        <f t="shared" si="63"/>
        <v>0</v>
      </c>
    </row>
    <row r="1030" spans="1:11" x14ac:dyDescent="0.2">
      <c r="A1030" t="s">
        <v>1343</v>
      </c>
      <c r="B1030" t="s">
        <v>6772</v>
      </c>
      <c r="G1030" s="5" t="str">
        <f t="shared" si="62"/>
        <v/>
      </c>
      <c r="I1030" s="6" t="str">
        <f t="shared" si="63"/>
        <v>0</v>
      </c>
    </row>
    <row r="1031" spans="1:11" x14ac:dyDescent="0.2">
      <c r="A1031" t="s">
        <v>1344</v>
      </c>
      <c r="B1031" t="s">
        <v>6773</v>
      </c>
      <c r="G1031" s="5" t="str">
        <f t="shared" si="62"/>
        <v/>
      </c>
      <c r="I1031" s="6" t="str">
        <f t="shared" si="63"/>
        <v>0</v>
      </c>
    </row>
    <row r="1032" spans="1:11" x14ac:dyDescent="0.2">
      <c r="A1032" t="s">
        <v>1345</v>
      </c>
      <c r="B1032" t="s">
        <v>6774</v>
      </c>
      <c r="G1032" s="5" t="str">
        <f t="shared" si="62"/>
        <v/>
      </c>
      <c r="I1032" s="6" t="str">
        <f t="shared" si="63"/>
        <v>0</v>
      </c>
    </row>
    <row r="1033" spans="1:11" x14ac:dyDescent="0.2">
      <c r="A1033" t="s">
        <v>1346</v>
      </c>
      <c r="B1033" t="s">
        <v>6775</v>
      </c>
      <c r="G1033" s="5" t="str">
        <f t="shared" si="62"/>
        <v/>
      </c>
      <c r="I1033" s="6" t="str">
        <f t="shared" si="63"/>
        <v>0</v>
      </c>
    </row>
    <row r="1034" spans="1:11" x14ac:dyDescent="0.2">
      <c r="A1034" t="s">
        <v>1347</v>
      </c>
      <c r="B1034" t="s">
        <v>1348</v>
      </c>
      <c r="E1034" t="str">
        <f t="shared" si="61"/>
        <v/>
      </c>
      <c r="G1034" s="5" t="str">
        <f t="shared" si="62"/>
        <v/>
      </c>
      <c r="I1034" s="6" t="str">
        <f t="shared" si="63"/>
        <v>0</v>
      </c>
    </row>
    <row r="1035" spans="1:11" x14ac:dyDescent="0.2">
      <c r="A1035" t="s">
        <v>1349</v>
      </c>
      <c r="B1035" t="s">
        <v>1350</v>
      </c>
      <c r="G1035" s="5" t="str">
        <f t="shared" si="62"/>
        <v/>
      </c>
      <c r="I1035" s="6" t="str">
        <f t="shared" si="63"/>
        <v>0</v>
      </c>
      <c r="K1035" s="19" t="s">
        <v>6234</v>
      </c>
    </row>
    <row r="1036" spans="1:11" x14ac:dyDescent="0.2">
      <c r="A1036" t="s">
        <v>1351</v>
      </c>
      <c r="B1036" t="s">
        <v>1352</v>
      </c>
      <c r="G1036" s="5" t="str">
        <f t="shared" si="62"/>
        <v/>
      </c>
      <c r="I1036" s="6" t="str">
        <f t="shared" si="63"/>
        <v>0</v>
      </c>
      <c r="K1036" s="19" t="s">
        <v>6235</v>
      </c>
    </row>
    <row r="1037" spans="1:11" x14ac:dyDescent="0.2">
      <c r="A1037" t="s">
        <v>1353</v>
      </c>
      <c r="B1037" t="s">
        <v>1354</v>
      </c>
      <c r="G1037" s="5" t="str">
        <f t="shared" si="62"/>
        <v/>
      </c>
      <c r="I1037" s="6" t="str">
        <f t="shared" si="63"/>
        <v>0</v>
      </c>
      <c r="K1037" s="19" t="s">
        <v>6236</v>
      </c>
    </row>
    <row r="1038" spans="1:11" x14ac:dyDescent="0.2">
      <c r="A1038" t="s">
        <v>1355</v>
      </c>
      <c r="B1038" t="s">
        <v>5786</v>
      </c>
      <c r="G1038" s="5" t="str">
        <f t="shared" si="62"/>
        <v/>
      </c>
      <c r="I1038" s="6" t="str">
        <f t="shared" si="63"/>
        <v>0</v>
      </c>
      <c r="K1038" s="19" t="s">
        <v>5787</v>
      </c>
    </row>
    <row r="1039" spans="1:11" x14ac:dyDescent="0.2">
      <c r="A1039" t="s">
        <v>1356</v>
      </c>
      <c r="B1039" t="s">
        <v>1357</v>
      </c>
      <c r="E1039" t="str">
        <f t="shared" si="61"/>
        <v/>
      </c>
      <c r="G1039" s="5" t="str">
        <f t="shared" si="62"/>
        <v/>
      </c>
      <c r="I1039" s="6" t="str">
        <f t="shared" si="63"/>
        <v>0</v>
      </c>
    </row>
    <row r="1040" spans="1:11" x14ac:dyDescent="0.2">
      <c r="A1040" t="s">
        <v>1358</v>
      </c>
      <c r="B1040" t="s">
        <v>6776</v>
      </c>
      <c r="G1040" s="5" t="str">
        <f t="shared" si="62"/>
        <v/>
      </c>
      <c r="I1040" s="6" t="str">
        <f t="shared" si="63"/>
        <v>0</v>
      </c>
    </row>
    <row r="1041" spans="1:11" x14ac:dyDescent="0.2">
      <c r="A1041" t="s">
        <v>1359</v>
      </c>
      <c r="B1041" t="s">
        <v>6777</v>
      </c>
      <c r="G1041" s="5" t="str">
        <f t="shared" si="62"/>
        <v/>
      </c>
      <c r="I1041" s="6" t="str">
        <f t="shared" si="63"/>
        <v>0</v>
      </c>
    </row>
    <row r="1042" spans="1:11" x14ac:dyDescent="0.2">
      <c r="A1042" t="s">
        <v>1360</v>
      </c>
      <c r="B1042" t="s">
        <v>6778</v>
      </c>
      <c r="G1042" s="5" t="str">
        <f t="shared" si="62"/>
        <v/>
      </c>
      <c r="I1042" s="6" t="str">
        <f t="shared" si="63"/>
        <v>0</v>
      </c>
    </row>
    <row r="1043" spans="1:11" x14ac:dyDescent="0.2">
      <c r="A1043" t="s">
        <v>1361</v>
      </c>
      <c r="B1043" t="s">
        <v>6779</v>
      </c>
      <c r="G1043" s="5" t="str">
        <f t="shared" si="62"/>
        <v/>
      </c>
      <c r="I1043" s="6" t="str">
        <f t="shared" si="63"/>
        <v>0</v>
      </c>
    </row>
    <row r="1044" spans="1:11" x14ac:dyDescent="0.2">
      <c r="A1044" t="s">
        <v>1362</v>
      </c>
      <c r="B1044" t="s">
        <v>6780</v>
      </c>
      <c r="G1044" s="5" t="str">
        <f t="shared" si="62"/>
        <v/>
      </c>
      <c r="I1044" s="6" t="str">
        <f t="shared" si="63"/>
        <v>0</v>
      </c>
    </row>
    <row r="1045" spans="1:11" x14ac:dyDescent="0.2">
      <c r="A1045" t="s">
        <v>1363</v>
      </c>
      <c r="B1045" t="s">
        <v>6781</v>
      </c>
      <c r="G1045" s="5" t="str">
        <f t="shared" si="62"/>
        <v/>
      </c>
      <c r="I1045" s="6" t="str">
        <f t="shared" si="63"/>
        <v>0</v>
      </c>
    </row>
    <row r="1046" spans="1:11" x14ac:dyDescent="0.2">
      <c r="A1046" t="s">
        <v>1364</v>
      </c>
      <c r="B1046" t="s">
        <v>6782</v>
      </c>
      <c r="G1046" s="5" t="str">
        <f t="shared" si="62"/>
        <v/>
      </c>
      <c r="I1046" s="6" t="str">
        <f t="shared" si="63"/>
        <v>0</v>
      </c>
    </row>
    <row r="1047" spans="1:11" x14ac:dyDescent="0.2">
      <c r="A1047" t="s">
        <v>1365</v>
      </c>
      <c r="B1047" t="s">
        <v>6783</v>
      </c>
      <c r="G1047" s="5" t="str">
        <f t="shared" si="62"/>
        <v/>
      </c>
      <c r="I1047" s="6" t="str">
        <f t="shared" si="63"/>
        <v>0</v>
      </c>
    </row>
    <row r="1048" spans="1:11" x14ac:dyDescent="0.2">
      <c r="A1048" t="s">
        <v>1366</v>
      </c>
      <c r="B1048" t="s">
        <v>5788</v>
      </c>
      <c r="G1048" s="5" t="str">
        <f t="shared" si="62"/>
        <v/>
      </c>
      <c r="I1048" s="6" t="str">
        <f t="shared" si="63"/>
        <v>0</v>
      </c>
      <c r="K1048" s="19" t="s">
        <v>5789</v>
      </c>
    </row>
    <row r="1049" spans="1:11" x14ac:dyDescent="0.2">
      <c r="A1049" t="s">
        <v>1367</v>
      </c>
      <c r="B1049" t="s">
        <v>5558</v>
      </c>
      <c r="G1049" s="5" t="str">
        <f t="shared" si="62"/>
        <v/>
      </c>
      <c r="I1049" s="6" t="str">
        <f t="shared" si="63"/>
        <v>0</v>
      </c>
      <c r="K1049" s="19" t="s">
        <v>7262</v>
      </c>
    </row>
    <row r="1050" spans="1:11" x14ac:dyDescent="0.2">
      <c r="A1050" t="s">
        <v>1368</v>
      </c>
      <c r="B1050" t="s">
        <v>6784</v>
      </c>
      <c r="G1050" s="5" t="str">
        <f t="shared" si="62"/>
        <v/>
      </c>
      <c r="I1050" s="6" t="str">
        <f t="shared" si="63"/>
        <v>0</v>
      </c>
    </row>
    <row r="1051" spans="1:11" x14ac:dyDescent="0.2">
      <c r="A1051" t="s">
        <v>1369</v>
      </c>
      <c r="B1051" t="s">
        <v>6785</v>
      </c>
      <c r="G1051" s="5" t="str">
        <f t="shared" si="62"/>
        <v/>
      </c>
      <c r="I1051" s="6" t="str">
        <f t="shared" si="63"/>
        <v>0</v>
      </c>
    </row>
    <row r="1052" spans="1:11" x14ac:dyDescent="0.2">
      <c r="A1052" t="s">
        <v>1370</v>
      </c>
      <c r="B1052" t="s">
        <v>6786</v>
      </c>
      <c r="G1052" s="5" t="str">
        <f t="shared" si="62"/>
        <v/>
      </c>
      <c r="I1052" s="6" t="str">
        <f t="shared" si="63"/>
        <v>0</v>
      </c>
    </row>
    <row r="1053" spans="1:11" x14ac:dyDescent="0.2">
      <c r="A1053" t="s">
        <v>1371</v>
      </c>
      <c r="B1053" t="s">
        <v>6787</v>
      </c>
      <c r="G1053" s="5" t="str">
        <f t="shared" si="62"/>
        <v/>
      </c>
      <c r="I1053" s="6" t="str">
        <f t="shared" si="63"/>
        <v>0</v>
      </c>
    </row>
    <row r="1054" spans="1:11" x14ac:dyDescent="0.2">
      <c r="A1054" t="s">
        <v>1372</v>
      </c>
      <c r="B1054" t="s">
        <v>6788</v>
      </c>
      <c r="G1054" s="5" t="str">
        <f t="shared" si="62"/>
        <v/>
      </c>
      <c r="I1054" s="6" t="str">
        <f t="shared" si="63"/>
        <v>0</v>
      </c>
    </row>
    <row r="1055" spans="1:11" x14ac:dyDescent="0.2">
      <c r="A1055" t="s">
        <v>1373</v>
      </c>
      <c r="B1055" t="s">
        <v>6789</v>
      </c>
      <c r="G1055" s="5" t="str">
        <f t="shared" si="62"/>
        <v/>
      </c>
      <c r="I1055" s="6" t="str">
        <f t="shared" si="63"/>
        <v>0</v>
      </c>
    </row>
    <row r="1056" spans="1:11" x14ac:dyDescent="0.2">
      <c r="A1056" t="s">
        <v>1374</v>
      </c>
      <c r="B1056" t="s">
        <v>6790</v>
      </c>
      <c r="G1056" s="5" t="str">
        <f t="shared" si="62"/>
        <v/>
      </c>
      <c r="I1056" s="6" t="str">
        <f t="shared" si="63"/>
        <v>0</v>
      </c>
    </row>
    <row r="1057" spans="1:11" x14ac:dyDescent="0.2">
      <c r="A1057" t="s">
        <v>1375</v>
      </c>
      <c r="B1057" t="s">
        <v>6791</v>
      </c>
      <c r="G1057" s="5" t="str">
        <f t="shared" si="62"/>
        <v/>
      </c>
      <c r="I1057" s="6" t="str">
        <f t="shared" si="63"/>
        <v>0</v>
      </c>
    </row>
    <row r="1058" spans="1:11" x14ac:dyDescent="0.2">
      <c r="A1058" t="s">
        <v>1376</v>
      </c>
      <c r="B1058" t="s">
        <v>6792</v>
      </c>
      <c r="G1058" s="5" t="str">
        <f t="shared" si="62"/>
        <v/>
      </c>
      <c r="I1058" s="6" t="str">
        <f t="shared" si="63"/>
        <v>0</v>
      </c>
    </row>
    <row r="1059" spans="1:11" x14ac:dyDescent="0.2">
      <c r="A1059" t="s">
        <v>1377</v>
      </c>
      <c r="B1059" t="s">
        <v>6793</v>
      </c>
      <c r="G1059" s="5" t="str">
        <f t="shared" si="62"/>
        <v/>
      </c>
      <c r="I1059" s="6" t="str">
        <f t="shared" si="63"/>
        <v>0</v>
      </c>
    </row>
    <row r="1060" spans="1:11" x14ac:dyDescent="0.2">
      <c r="A1060" t="s">
        <v>1378</v>
      </c>
      <c r="B1060" t="s">
        <v>6794</v>
      </c>
      <c r="G1060" s="5" t="str">
        <f t="shared" si="62"/>
        <v/>
      </c>
      <c r="I1060" s="6" t="str">
        <f t="shared" si="63"/>
        <v>0</v>
      </c>
    </row>
    <row r="1061" spans="1:11" x14ac:dyDescent="0.2">
      <c r="A1061" t="s">
        <v>1379</v>
      </c>
      <c r="B1061" t="s">
        <v>5434</v>
      </c>
      <c r="G1061" s="5" t="str">
        <f t="shared" si="62"/>
        <v/>
      </c>
      <c r="I1061" s="6" t="str">
        <f t="shared" si="63"/>
        <v>0</v>
      </c>
      <c r="K1061" s="19" t="s">
        <v>7263</v>
      </c>
    </row>
    <row r="1062" spans="1:11" x14ac:dyDescent="0.2">
      <c r="A1062" t="s">
        <v>1380</v>
      </c>
      <c r="B1062" t="s">
        <v>6795</v>
      </c>
      <c r="G1062" s="5" t="str">
        <f t="shared" si="62"/>
        <v/>
      </c>
      <c r="I1062" s="6" t="str">
        <f t="shared" si="63"/>
        <v>0</v>
      </c>
    </row>
    <row r="1063" spans="1:11" x14ac:dyDescent="0.2">
      <c r="A1063" t="s">
        <v>1382</v>
      </c>
      <c r="B1063" t="s">
        <v>3306</v>
      </c>
      <c r="E1063" t="str">
        <f t="shared" si="61"/>
        <v/>
      </c>
      <c r="G1063" s="5" t="str">
        <f t="shared" si="62"/>
        <v/>
      </c>
      <c r="I1063" s="6" t="str">
        <f t="shared" si="63"/>
        <v>0</v>
      </c>
    </row>
    <row r="1064" spans="1:11" x14ac:dyDescent="0.2">
      <c r="A1064" t="s">
        <v>1383</v>
      </c>
      <c r="B1064" t="s">
        <v>3296</v>
      </c>
      <c r="G1064" s="5" t="str">
        <f t="shared" si="62"/>
        <v/>
      </c>
      <c r="I1064" s="6" t="str">
        <f t="shared" si="63"/>
        <v>0</v>
      </c>
      <c r="K1064" s="19" t="s">
        <v>6237</v>
      </c>
    </row>
    <row r="1065" spans="1:11" x14ac:dyDescent="0.2">
      <c r="A1065" t="s">
        <v>1387</v>
      </c>
      <c r="B1065" t="s">
        <v>5118</v>
      </c>
      <c r="C1065" s="5" t="s">
        <v>5119</v>
      </c>
      <c r="G1065" s="5" t="str">
        <f t="shared" si="62"/>
        <v/>
      </c>
      <c r="I1065" s="6" t="str">
        <f t="shared" si="63"/>
        <v>0</v>
      </c>
      <c r="K1065" s="19" t="s">
        <v>6238</v>
      </c>
    </row>
    <row r="1066" spans="1:11" x14ac:dyDescent="0.2">
      <c r="A1066" t="s">
        <v>1388</v>
      </c>
      <c r="B1066" t="s">
        <v>4867</v>
      </c>
      <c r="C1066" s="5" t="s">
        <v>48</v>
      </c>
      <c r="D1066" t="s">
        <v>7402</v>
      </c>
      <c r="E1066" t="str">
        <f t="shared" ref="E1066" si="64">IF(D1066&lt;&gt;"",C1066&amp;"/"&amp;D1066,"")</f>
        <v>data/Interface_Hitboxes_Display.lookup</v>
      </c>
      <c r="F1066" s="5" t="s">
        <v>4858</v>
      </c>
      <c r="G1066" s="5">
        <f t="shared" si="62"/>
        <v>21728</v>
      </c>
      <c r="H1066" s="5">
        <v>24</v>
      </c>
      <c r="I1066" s="6" t="str">
        <f t="shared" si="63"/>
        <v>18</v>
      </c>
      <c r="J1066" s="6" t="s">
        <v>3409</v>
      </c>
      <c r="K1066" s="19" t="s">
        <v>5131</v>
      </c>
    </row>
    <row r="1067" spans="1:11" x14ac:dyDescent="0.2">
      <c r="A1067" t="s">
        <v>1390</v>
      </c>
      <c r="B1067" t="s">
        <v>1391</v>
      </c>
      <c r="C1067" s="5" t="s">
        <v>5119</v>
      </c>
      <c r="G1067" s="5" t="str">
        <f t="shared" si="62"/>
        <v/>
      </c>
      <c r="I1067" s="6" t="str">
        <f t="shared" si="63"/>
        <v>0</v>
      </c>
      <c r="K1067" s="19" t="s">
        <v>5132</v>
      </c>
    </row>
    <row r="1068" spans="1:11" x14ac:dyDescent="0.2">
      <c r="A1068" t="s">
        <v>1393</v>
      </c>
      <c r="B1068" t="s">
        <v>4879</v>
      </c>
      <c r="C1068" s="5" t="s">
        <v>5119</v>
      </c>
      <c r="G1068" s="5" t="str">
        <f t="shared" si="62"/>
        <v/>
      </c>
      <c r="I1068" s="6" t="str">
        <f t="shared" si="63"/>
        <v>0</v>
      </c>
      <c r="K1068" s="19" t="s">
        <v>5134</v>
      </c>
    </row>
    <row r="1069" spans="1:11" x14ac:dyDescent="0.2">
      <c r="A1069" t="s">
        <v>1394</v>
      </c>
      <c r="B1069" t="s">
        <v>4500</v>
      </c>
      <c r="C1069" s="5" t="s">
        <v>48</v>
      </c>
      <c r="D1069" t="s">
        <v>7403</v>
      </c>
      <c r="E1069" t="str">
        <f t="shared" ref="E1069" si="65">IF(D1069&lt;&gt;"",C1069&amp;"/"&amp;D1069,"")</f>
        <v>data/MainWall_Action.lookup</v>
      </c>
      <c r="F1069" s="5" t="s">
        <v>5266</v>
      </c>
      <c r="G1069" s="5">
        <f t="shared" si="62"/>
        <v>21864</v>
      </c>
      <c r="H1069" s="5">
        <v>8</v>
      </c>
      <c r="I1069" s="6" t="str">
        <f t="shared" si="63"/>
        <v>8</v>
      </c>
      <c r="J1069" s="6" t="s">
        <v>3409</v>
      </c>
      <c r="K1069" s="19" t="s">
        <v>5135</v>
      </c>
    </row>
    <row r="1070" spans="1:11" x14ac:dyDescent="0.2">
      <c r="A1070" t="s">
        <v>1395</v>
      </c>
      <c r="B1070" t="s">
        <v>3083</v>
      </c>
      <c r="G1070" s="5" t="str">
        <f t="shared" si="62"/>
        <v/>
      </c>
      <c r="I1070" s="6" t="str">
        <f t="shared" si="63"/>
        <v>0</v>
      </c>
      <c r="K1070" s="19" t="s">
        <v>4460</v>
      </c>
    </row>
    <row r="1071" spans="1:11" x14ac:dyDescent="0.2">
      <c r="A1071" t="s">
        <v>1396</v>
      </c>
      <c r="B1071" t="s">
        <v>3082</v>
      </c>
      <c r="G1071" s="5" t="str">
        <f t="shared" si="62"/>
        <v/>
      </c>
      <c r="I1071" s="6" t="str">
        <f t="shared" si="63"/>
        <v>0</v>
      </c>
      <c r="K1071" s="19" t="s">
        <v>4461</v>
      </c>
    </row>
    <row r="1072" spans="1:11" x14ac:dyDescent="0.2">
      <c r="A1072" t="s">
        <v>1397</v>
      </c>
      <c r="B1072" t="s">
        <v>3084</v>
      </c>
      <c r="G1072" s="5" t="str">
        <f t="shared" si="62"/>
        <v/>
      </c>
      <c r="I1072" s="6" t="str">
        <f t="shared" si="63"/>
        <v>0</v>
      </c>
      <c r="K1072" s="19" t="s">
        <v>4462</v>
      </c>
    </row>
    <row r="1073" spans="1:11" x14ac:dyDescent="0.2">
      <c r="A1073" t="s">
        <v>1399</v>
      </c>
      <c r="B1073" t="s">
        <v>3086</v>
      </c>
      <c r="G1073" s="5" t="str">
        <f t="shared" si="62"/>
        <v/>
      </c>
      <c r="I1073" s="6" t="str">
        <f t="shared" si="63"/>
        <v>0</v>
      </c>
      <c r="K1073" s="19" t="s">
        <v>4463</v>
      </c>
    </row>
    <row r="1074" spans="1:11" x14ac:dyDescent="0.2">
      <c r="A1074" t="s">
        <v>1400</v>
      </c>
      <c r="B1074" t="s">
        <v>3088</v>
      </c>
      <c r="E1074" t="str">
        <f>IF(D1074&lt;&gt;"",C1074&amp;"/"&amp;D1074,"")</f>
        <v/>
      </c>
      <c r="G1074" s="5" t="str">
        <f t="shared" si="62"/>
        <v/>
      </c>
      <c r="I1074" s="6" t="str">
        <f t="shared" si="63"/>
        <v>0</v>
      </c>
    </row>
    <row r="1075" spans="1:11" x14ac:dyDescent="0.2">
      <c r="A1075" t="s">
        <v>1401</v>
      </c>
      <c r="B1075" t="s">
        <v>3087</v>
      </c>
      <c r="G1075" s="5" t="str">
        <f t="shared" si="62"/>
        <v/>
      </c>
      <c r="I1075" s="6" t="str">
        <f t="shared" si="63"/>
        <v>0</v>
      </c>
      <c r="K1075" s="19" t="s">
        <v>4464</v>
      </c>
    </row>
    <row r="1076" spans="1:11" x14ac:dyDescent="0.2">
      <c r="A1076" t="s">
        <v>1402</v>
      </c>
      <c r="B1076" t="s">
        <v>1403</v>
      </c>
      <c r="E1076" t="str">
        <f t="shared" ref="E1076:E1089" si="66">IF(D1076&lt;&gt;"",C1076&amp;"/"&amp;D1076,"")</f>
        <v/>
      </c>
      <c r="G1076" s="5" t="str">
        <f t="shared" si="62"/>
        <v/>
      </c>
      <c r="I1076" s="6" t="str">
        <f t="shared" si="63"/>
        <v>0</v>
      </c>
    </row>
    <row r="1077" spans="1:11" x14ac:dyDescent="0.2">
      <c r="A1077" t="s">
        <v>1404</v>
      </c>
      <c r="B1077" t="s">
        <v>1405</v>
      </c>
      <c r="E1077" t="str">
        <f t="shared" si="66"/>
        <v/>
      </c>
      <c r="G1077" s="5" t="str">
        <f t="shared" si="62"/>
        <v/>
      </c>
      <c r="I1077" s="6" t="str">
        <f t="shared" si="63"/>
        <v>0</v>
      </c>
    </row>
    <row r="1078" spans="1:11" x14ac:dyDescent="0.2">
      <c r="A1078" t="s">
        <v>1406</v>
      </c>
      <c r="B1078" t="s">
        <v>1406</v>
      </c>
      <c r="G1078" s="5" t="str">
        <f t="shared" si="62"/>
        <v/>
      </c>
      <c r="I1078" s="6" t="str">
        <f t="shared" si="63"/>
        <v>0</v>
      </c>
      <c r="K1078" s="19" t="s">
        <v>6239</v>
      </c>
    </row>
    <row r="1079" spans="1:11" x14ac:dyDescent="0.2">
      <c r="A1079" t="s">
        <v>1407</v>
      </c>
      <c r="B1079" t="s">
        <v>1408</v>
      </c>
      <c r="E1079" t="str">
        <f t="shared" si="66"/>
        <v/>
      </c>
      <c r="G1079" s="5" t="str">
        <f t="shared" si="62"/>
        <v/>
      </c>
      <c r="I1079" s="6" t="str">
        <f t="shared" si="63"/>
        <v>0</v>
      </c>
    </row>
    <row r="1080" spans="1:11" x14ac:dyDescent="0.2">
      <c r="A1080" t="s">
        <v>1409</v>
      </c>
      <c r="B1080" t="s">
        <v>1410</v>
      </c>
      <c r="E1080" t="str">
        <f t="shared" si="66"/>
        <v/>
      </c>
      <c r="G1080" s="5" t="str">
        <f t="shared" si="62"/>
        <v/>
      </c>
      <c r="I1080" s="6" t="str">
        <f t="shared" si="63"/>
        <v>0</v>
      </c>
    </row>
    <row r="1081" spans="1:11" x14ac:dyDescent="0.2">
      <c r="A1081" t="s">
        <v>1411</v>
      </c>
      <c r="B1081" t="s">
        <v>1412</v>
      </c>
      <c r="E1081" t="str">
        <f t="shared" si="66"/>
        <v/>
      </c>
      <c r="G1081" s="5" t="str">
        <f t="shared" si="62"/>
        <v/>
      </c>
      <c r="I1081" s="6" t="str">
        <f t="shared" si="63"/>
        <v>0</v>
      </c>
    </row>
    <row r="1082" spans="1:11" x14ac:dyDescent="0.2">
      <c r="A1082" t="s">
        <v>1413</v>
      </c>
      <c r="B1082" t="s">
        <v>1414</v>
      </c>
      <c r="E1082" t="str">
        <f t="shared" si="66"/>
        <v/>
      </c>
      <c r="G1082" s="5" t="str">
        <f t="shared" si="62"/>
        <v/>
      </c>
      <c r="I1082" s="6" t="str">
        <f t="shared" si="63"/>
        <v>0</v>
      </c>
    </row>
    <row r="1083" spans="1:11" x14ac:dyDescent="0.2">
      <c r="A1083" t="s">
        <v>1415</v>
      </c>
      <c r="B1083" t="s">
        <v>1416</v>
      </c>
      <c r="E1083" t="str">
        <f t="shared" si="66"/>
        <v/>
      </c>
      <c r="G1083" s="5" t="str">
        <f t="shared" si="62"/>
        <v/>
      </c>
      <c r="I1083" s="6" t="str">
        <f t="shared" si="63"/>
        <v>0</v>
      </c>
    </row>
    <row r="1084" spans="1:11" x14ac:dyDescent="0.2">
      <c r="A1084" t="s">
        <v>1417</v>
      </c>
      <c r="B1084" t="s">
        <v>5454</v>
      </c>
      <c r="G1084" s="5" t="str">
        <f t="shared" si="62"/>
        <v/>
      </c>
      <c r="I1084" s="6" t="str">
        <f t="shared" si="63"/>
        <v>0</v>
      </c>
      <c r="K1084" s="19" t="s">
        <v>5455</v>
      </c>
    </row>
    <row r="1085" spans="1:11" x14ac:dyDescent="0.2">
      <c r="A1085" t="s">
        <v>1418</v>
      </c>
      <c r="B1085" t="s">
        <v>6796</v>
      </c>
      <c r="G1085" s="5" t="str">
        <f t="shared" si="62"/>
        <v/>
      </c>
      <c r="I1085" s="6" t="str">
        <f t="shared" si="63"/>
        <v>0</v>
      </c>
    </row>
    <row r="1086" spans="1:11" x14ac:dyDescent="0.2">
      <c r="A1086" t="s">
        <v>1419</v>
      </c>
      <c r="B1086" t="s">
        <v>6797</v>
      </c>
      <c r="G1086" s="5" t="str">
        <f t="shared" si="62"/>
        <v/>
      </c>
      <c r="I1086" s="6" t="str">
        <f t="shared" si="63"/>
        <v>0</v>
      </c>
    </row>
    <row r="1087" spans="1:11" x14ac:dyDescent="0.2">
      <c r="A1087" t="s">
        <v>1420</v>
      </c>
      <c r="B1087" t="s">
        <v>1421</v>
      </c>
      <c r="E1087" t="str">
        <f t="shared" si="66"/>
        <v/>
      </c>
      <c r="G1087" s="5" t="str">
        <f t="shared" si="62"/>
        <v/>
      </c>
      <c r="I1087" s="6" t="str">
        <f t="shared" si="63"/>
        <v>0</v>
      </c>
    </row>
    <row r="1088" spans="1:11" x14ac:dyDescent="0.2">
      <c r="A1088" t="s">
        <v>1422</v>
      </c>
      <c r="B1088" t="s">
        <v>1423</v>
      </c>
      <c r="E1088" t="str">
        <f t="shared" si="66"/>
        <v/>
      </c>
      <c r="G1088" s="5" t="str">
        <f t="shared" si="62"/>
        <v/>
      </c>
      <c r="I1088" s="6" t="str">
        <f t="shared" si="63"/>
        <v>0</v>
      </c>
    </row>
    <row r="1089" spans="1:12" x14ac:dyDescent="0.2">
      <c r="A1089" t="s">
        <v>1424</v>
      </c>
      <c r="B1089" t="s">
        <v>1425</v>
      </c>
      <c r="E1089" t="str">
        <f t="shared" si="66"/>
        <v/>
      </c>
      <c r="G1089" s="5" t="str">
        <f t="shared" ref="G1089:G1152" si="67">IF(F1089&lt;&gt;"",HEX2DEC(SUBSTITUTE(SUBSTITUTE(F1089,"adrEA",""),"$","")),"")</f>
        <v/>
      </c>
      <c r="I1089" s="6" t="str">
        <f t="shared" ref="I1089:I1152" si="68">IFERROR(DEC2HEX(H1089),"")</f>
        <v>0</v>
      </c>
    </row>
    <row r="1090" spans="1:12" x14ac:dyDescent="0.2">
      <c r="A1090" t="s">
        <v>1426</v>
      </c>
      <c r="B1090" t="s">
        <v>6798</v>
      </c>
      <c r="G1090" s="5" t="str">
        <f t="shared" si="67"/>
        <v/>
      </c>
      <c r="I1090" s="6" t="str">
        <f t="shared" si="68"/>
        <v>0</v>
      </c>
    </row>
    <row r="1091" spans="1:12" x14ac:dyDescent="0.2">
      <c r="A1091" t="s">
        <v>1427</v>
      </c>
      <c r="B1091" t="s">
        <v>3085</v>
      </c>
      <c r="G1091" s="5" t="str">
        <f t="shared" si="67"/>
        <v/>
      </c>
      <c r="I1091" s="6" t="str">
        <f t="shared" si="68"/>
        <v>0</v>
      </c>
      <c r="K1091" s="19" t="s">
        <v>6240</v>
      </c>
    </row>
    <row r="1092" spans="1:12" x14ac:dyDescent="0.2">
      <c r="A1092" t="s">
        <v>1428</v>
      </c>
      <c r="B1092" t="s">
        <v>1429</v>
      </c>
      <c r="G1092" s="5" t="str">
        <f t="shared" si="67"/>
        <v/>
      </c>
      <c r="I1092" s="6" t="str">
        <f t="shared" si="68"/>
        <v>0</v>
      </c>
      <c r="L1092" s="24" t="s">
        <v>5278</v>
      </c>
    </row>
    <row r="1093" spans="1:12" x14ac:dyDescent="0.2">
      <c r="A1093" t="s">
        <v>1430</v>
      </c>
      <c r="B1093" t="s">
        <v>1431</v>
      </c>
      <c r="G1093" s="5" t="str">
        <f t="shared" si="67"/>
        <v/>
      </c>
      <c r="I1093" s="6" t="str">
        <f t="shared" si="68"/>
        <v>0</v>
      </c>
      <c r="L1093" s="24" t="s">
        <v>5279</v>
      </c>
    </row>
    <row r="1094" spans="1:12" x14ac:dyDescent="0.2">
      <c r="A1094" t="s">
        <v>1432</v>
      </c>
      <c r="B1094" t="s">
        <v>5280</v>
      </c>
      <c r="G1094" s="5" t="str">
        <f t="shared" si="67"/>
        <v/>
      </c>
      <c r="I1094" s="6" t="str">
        <f t="shared" si="68"/>
        <v>0</v>
      </c>
      <c r="K1094" s="19" t="s">
        <v>6241</v>
      </c>
    </row>
    <row r="1095" spans="1:12" x14ac:dyDescent="0.2">
      <c r="A1095" t="s">
        <v>1433</v>
      </c>
      <c r="B1095" t="s">
        <v>5281</v>
      </c>
      <c r="G1095" s="5" t="str">
        <f t="shared" si="67"/>
        <v/>
      </c>
      <c r="I1095" s="6" t="str">
        <f t="shared" si="68"/>
        <v>0</v>
      </c>
      <c r="K1095" s="19" t="s">
        <v>6242</v>
      </c>
    </row>
    <row r="1096" spans="1:12" x14ac:dyDescent="0.2">
      <c r="A1096" t="s">
        <v>1434</v>
      </c>
      <c r="B1096" t="s">
        <v>5282</v>
      </c>
      <c r="G1096" s="5" t="str">
        <f t="shared" si="67"/>
        <v/>
      </c>
      <c r="I1096" s="6" t="str">
        <f t="shared" si="68"/>
        <v>0</v>
      </c>
      <c r="L1096" s="24" t="s">
        <v>5283</v>
      </c>
    </row>
    <row r="1097" spans="1:12" x14ac:dyDescent="0.2">
      <c r="A1097" t="s">
        <v>1435</v>
      </c>
      <c r="B1097" t="s">
        <v>1436</v>
      </c>
      <c r="G1097" s="5" t="str">
        <f t="shared" si="67"/>
        <v/>
      </c>
      <c r="I1097" s="6" t="str">
        <f t="shared" si="68"/>
        <v>0</v>
      </c>
      <c r="K1097" s="19" t="s">
        <v>6243</v>
      </c>
    </row>
    <row r="1098" spans="1:12" x14ac:dyDescent="0.2">
      <c r="A1098" t="s">
        <v>1437</v>
      </c>
      <c r="B1098" t="s">
        <v>5284</v>
      </c>
      <c r="G1098" s="5" t="str">
        <f t="shared" si="67"/>
        <v/>
      </c>
      <c r="I1098" s="6" t="str">
        <f t="shared" si="68"/>
        <v>0</v>
      </c>
      <c r="L1098" s="24" t="s">
        <v>5285</v>
      </c>
    </row>
    <row r="1099" spans="1:12" x14ac:dyDescent="0.2">
      <c r="A1099" t="s">
        <v>1438</v>
      </c>
      <c r="B1099" t="s">
        <v>5286</v>
      </c>
      <c r="G1099" s="5" t="str">
        <f t="shared" si="67"/>
        <v/>
      </c>
      <c r="I1099" s="6" t="str">
        <f t="shared" si="68"/>
        <v>0</v>
      </c>
      <c r="K1099" s="19" t="s">
        <v>6244</v>
      </c>
    </row>
    <row r="1100" spans="1:12" x14ac:dyDescent="0.2">
      <c r="A1100" t="s">
        <v>1439</v>
      </c>
      <c r="B1100" t="s">
        <v>6799</v>
      </c>
      <c r="G1100" s="5" t="str">
        <f t="shared" si="67"/>
        <v/>
      </c>
      <c r="I1100" s="6" t="str">
        <f t="shared" si="68"/>
        <v>0</v>
      </c>
      <c r="K1100" s="19" t="s">
        <v>6245</v>
      </c>
    </row>
    <row r="1101" spans="1:12" x14ac:dyDescent="0.2">
      <c r="A1101" t="s">
        <v>1440</v>
      </c>
      <c r="B1101" t="s">
        <v>5559</v>
      </c>
      <c r="G1101" s="5" t="str">
        <f t="shared" si="67"/>
        <v/>
      </c>
      <c r="I1101" s="6" t="str">
        <f t="shared" si="68"/>
        <v>0</v>
      </c>
      <c r="K1101" s="19" t="s">
        <v>5560</v>
      </c>
    </row>
    <row r="1102" spans="1:12" x14ac:dyDescent="0.2">
      <c r="A1102" t="s">
        <v>1441</v>
      </c>
      <c r="B1102" t="s">
        <v>6800</v>
      </c>
      <c r="G1102" s="5" t="str">
        <f t="shared" si="67"/>
        <v/>
      </c>
      <c r="I1102" s="6" t="str">
        <f t="shared" si="68"/>
        <v>0</v>
      </c>
    </row>
    <row r="1103" spans="1:12" x14ac:dyDescent="0.2">
      <c r="A1103" t="s">
        <v>1442</v>
      </c>
      <c r="B1103" t="s">
        <v>5561</v>
      </c>
      <c r="G1103" s="5" t="str">
        <f t="shared" si="67"/>
        <v/>
      </c>
      <c r="I1103" s="6" t="str">
        <f t="shared" si="68"/>
        <v>0</v>
      </c>
      <c r="K1103" s="19" t="s">
        <v>7285</v>
      </c>
    </row>
    <row r="1104" spans="1:12" x14ac:dyDescent="0.2">
      <c r="A1104" t="s">
        <v>1443</v>
      </c>
      <c r="B1104" t="s">
        <v>6801</v>
      </c>
      <c r="G1104" s="5" t="str">
        <f t="shared" si="67"/>
        <v/>
      </c>
      <c r="I1104" s="6" t="str">
        <f t="shared" si="68"/>
        <v>0</v>
      </c>
    </row>
    <row r="1105" spans="1:11" x14ac:dyDescent="0.2">
      <c r="A1105" t="s">
        <v>1444</v>
      </c>
      <c r="B1105" t="s">
        <v>6802</v>
      </c>
      <c r="G1105" s="5" t="str">
        <f t="shared" si="67"/>
        <v/>
      </c>
      <c r="I1105" s="6" t="str">
        <f t="shared" si="68"/>
        <v>0</v>
      </c>
    </row>
    <row r="1106" spans="1:11" x14ac:dyDescent="0.2">
      <c r="A1106" t="s">
        <v>1445</v>
      </c>
      <c r="B1106" t="s">
        <v>6803</v>
      </c>
      <c r="G1106" s="5" t="str">
        <f t="shared" si="67"/>
        <v/>
      </c>
      <c r="I1106" s="6" t="str">
        <f t="shared" si="68"/>
        <v>0</v>
      </c>
    </row>
    <row r="1107" spans="1:11" x14ac:dyDescent="0.2">
      <c r="A1107" t="s">
        <v>1446</v>
      </c>
      <c r="B1107" t="s">
        <v>6804</v>
      </c>
      <c r="G1107" s="5" t="str">
        <f t="shared" si="67"/>
        <v/>
      </c>
      <c r="I1107" s="6" t="str">
        <f t="shared" si="68"/>
        <v>0</v>
      </c>
    </row>
    <row r="1108" spans="1:11" x14ac:dyDescent="0.2">
      <c r="A1108" t="s">
        <v>1447</v>
      </c>
      <c r="B1108" t="s">
        <v>6805</v>
      </c>
      <c r="G1108" s="5" t="str">
        <f t="shared" si="67"/>
        <v/>
      </c>
      <c r="I1108" s="6" t="str">
        <f t="shared" si="68"/>
        <v>0</v>
      </c>
      <c r="K1108" s="19" t="s">
        <v>6246</v>
      </c>
    </row>
    <row r="1109" spans="1:11" x14ac:dyDescent="0.2">
      <c r="A1109" t="s">
        <v>1448</v>
      </c>
      <c r="B1109" t="s">
        <v>6806</v>
      </c>
      <c r="G1109" s="5" t="str">
        <f t="shared" si="67"/>
        <v/>
      </c>
      <c r="I1109" s="6" t="str">
        <f t="shared" si="68"/>
        <v>0</v>
      </c>
    </row>
    <row r="1110" spans="1:11" x14ac:dyDescent="0.2">
      <c r="A1110" t="s">
        <v>1449</v>
      </c>
      <c r="B1110" t="s">
        <v>5562</v>
      </c>
      <c r="G1110" s="5" t="str">
        <f t="shared" si="67"/>
        <v/>
      </c>
      <c r="I1110" s="6" t="str">
        <f t="shared" si="68"/>
        <v>0</v>
      </c>
      <c r="K1110" s="19" t="s">
        <v>5563</v>
      </c>
    </row>
    <row r="1111" spans="1:11" x14ac:dyDescent="0.2">
      <c r="A1111" t="s">
        <v>1450</v>
      </c>
      <c r="B1111" t="s">
        <v>5564</v>
      </c>
      <c r="G1111" s="5" t="str">
        <f t="shared" si="67"/>
        <v/>
      </c>
      <c r="I1111" s="6" t="str">
        <f t="shared" si="68"/>
        <v>0</v>
      </c>
      <c r="K1111" s="19" t="s">
        <v>5565</v>
      </c>
    </row>
    <row r="1112" spans="1:11" x14ac:dyDescent="0.2">
      <c r="A1112" t="s">
        <v>1451</v>
      </c>
      <c r="B1112" t="s">
        <v>6807</v>
      </c>
      <c r="G1112" s="5" t="str">
        <f t="shared" si="67"/>
        <v/>
      </c>
      <c r="I1112" s="6" t="str">
        <f t="shared" si="68"/>
        <v>0</v>
      </c>
    </row>
    <row r="1113" spans="1:11" x14ac:dyDescent="0.2">
      <c r="A1113" t="s">
        <v>1452</v>
      </c>
      <c r="B1113" t="s">
        <v>6808</v>
      </c>
      <c r="G1113" s="5" t="str">
        <f t="shared" si="67"/>
        <v/>
      </c>
      <c r="I1113" s="6" t="str">
        <f t="shared" si="68"/>
        <v>0</v>
      </c>
    </row>
    <row r="1114" spans="1:11" x14ac:dyDescent="0.2">
      <c r="A1114" t="s">
        <v>1453</v>
      </c>
      <c r="B1114" t="s">
        <v>6809</v>
      </c>
      <c r="G1114" s="5" t="str">
        <f t="shared" si="67"/>
        <v/>
      </c>
      <c r="I1114" s="6" t="str">
        <f t="shared" si="68"/>
        <v>0</v>
      </c>
    </row>
    <row r="1115" spans="1:11" x14ac:dyDescent="0.2">
      <c r="A1115" t="s">
        <v>1454</v>
      </c>
      <c r="B1115" t="s">
        <v>6810</v>
      </c>
      <c r="G1115" s="5" t="str">
        <f t="shared" si="67"/>
        <v/>
      </c>
      <c r="I1115" s="6" t="str">
        <f t="shared" si="68"/>
        <v>0</v>
      </c>
    </row>
    <row r="1116" spans="1:11" x14ac:dyDescent="0.2">
      <c r="A1116" t="s">
        <v>1455</v>
      </c>
      <c r="B1116" t="s">
        <v>6811</v>
      </c>
      <c r="G1116" s="5" t="str">
        <f t="shared" si="67"/>
        <v/>
      </c>
      <c r="I1116" s="6" t="str">
        <f t="shared" si="68"/>
        <v>0</v>
      </c>
    </row>
    <row r="1117" spans="1:11" x14ac:dyDescent="0.2">
      <c r="A1117" t="s">
        <v>1456</v>
      </c>
      <c r="B1117" t="s">
        <v>5566</v>
      </c>
      <c r="G1117" s="5" t="str">
        <f t="shared" si="67"/>
        <v/>
      </c>
      <c r="I1117" s="6" t="str">
        <f t="shared" si="68"/>
        <v>0</v>
      </c>
      <c r="K1117" s="19" t="s">
        <v>5567</v>
      </c>
    </row>
    <row r="1118" spans="1:11" x14ac:dyDescent="0.2">
      <c r="A1118" t="s">
        <v>1457</v>
      </c>
      <c r="B1118" t="s">
        <v>6812</v>
      </c>
      <c r="G1118" s="5" t="str">
        <f t="shared" si="67"/>
        <v/>
      </c>
      <c r="I1118" s="6" t="str">
        <f t="shared" si="68"/>
        <v>0</v>
      </c>
    </row>
    <row r="1119" spans="1:11" x14ac:dyDescent="0.2">
      <c r="A1119" t="s">
        <v>1458</v>
      </c>
      <c r="B1119" t="s">
        <v>6813</v>
      </c>
      <c r="G1119" s="5" t="str">
        <f t="shared" si="67"/>
        <v/>
      </c>
      <c r="I1119" s="6" t="str">
        <f t="shared" si="68"/>
        <v>0</v>
      </c>
    </row>
    <row r="1120" spans="1:11" x14ac:dyDescent="0.2">
      <c r="A1120" t="s">
        <v>1459</v>
      </c>
      <c r="B1120" t="s">
        <v>6814</v>
      </c>
      <c r="G1120" s="5" t="str">
        <f t="shared" si="67"/>
        <v/>
      </c>
      <c r="I1120" s="6" t="str">
        <f t="shared" si="68"/>
        <v>0</v>
      </c>
    </row>
    <row r="1121" spans="1:11" x14ac:dyDescent="0.2">
      <c r="A1121" t="s">
        <v>1460</v>
      </c>
      <c r="B1121" t="s">
        <v>6815</v>
      </c>
      <c r="G1121" s="5" t="str">
        <f t="shared" si="67"/>
        <v/>
      </c>
      <c r="I1121" s="6" t="str">
        <f t="shared" si="68"/>
        <v>0</v>
      </c>
    </row>
    <row r="1122" spans="1:11" x14ac:dyDescent="0.2">
      <c r="A1122" t="s">
        <v>1461</v>
      </c>
      <c r="B1122" t="s">
        <v>5568</v>
      </c>
      <c r="G1122" s="5" t="str">
        <f t="shared" si="67"/>
        <v/>
      </c>
      <c r="I1122" s="6" t="str">
        <f t="shared" si="68"/>
        <v>0</v>
      </c>
      <c r="K1122" s="19" t="s">
        <v>5569</v>
      </c>
    </row>
    <row r="1123" spans="1:11" x14ac:dyDescent="0.2">
      <c r="A1123" t="s">
        <v>1462</v>
      </c>
      <c r="B1123" t="s">
        <v>6816</v>
      </c>
      <c r="G1123" s="5" t="str">
        <f t="shared" si="67"/>
        <v/>
      </c>
      <c r="I1123" s="6" t="str">
        <f t="shared" si="68"/>
        <v>0</v>
      </c>
    </row>
    <row r="1124" spans="1:11" x14ac:dyDescent="0.2">
      <c r="A1124" t="s">
        <v>1463</v>
      </c>
      <c r="B1124" t="s">
        <v>6817</v>
      </c>
      <c r="G1124" s="5" t="str">
        <f t="shared" si="67"/>
        <v/>
      </c>
      <c r="I1124" s="6" t="str">
        <f t="shared" si="68"/>
        <v>0</v>
      </c>
    </row>
    <row r="1125" spans="1:11" x14ac:dyDescent="0.2">
      <c r="A1125" t="s">
        <v>1464</v>
      </c>
      <c r="B1125" t="s">
        <v>6818</v>
      </c>
      <c r="G1125" s="5" t="str">
        <f t="shared" si="67"/>
        <v/>
      </c>
      <c r="I1125" s="6" t="str">
        <f t="shared" si="68"/>
        <v>0</v>
      </c>
    </row>
    <row r="1126" spans="1:11" x14ac:dyDescent="0.2">
      <c r="A1126" t="s">
        <v>1465</v>
      </c>
      <c r="B1126" t="s">
        <v>6819</v>
      </c>
      <c r="G1126" s="5" t="str">
        <f t="shared" si="67"/>
        <v/>
      </c>
      <c r="I1126" s="6" t="str">
        <f t="shared" si="68"/>
        <v>0</v>
      </c>
    </row>
    <row r="1127" spans="1:11" x14ac:dyDescent="0.2">
      <c r="A1127" t="s">
        <v>1466</v>
      </c>
      <c r="B1127" t="s">
        <v>6820</v>
      </c>
      <c r="G1127" s="5" t="str">
        <f t="shared" si="67"/>
        <v/>
      </c>
      <c r="I1127" s="6" t="str">
        <f t="shared" si="68"/>
        <v>0</v>
      </c>
    </row>
    <row r="1128" spans="1:11" x14ac:dyDescent="0.2">
      <c r="A1128" t="s">
        <v>1467</v>
      </c>
      <c r="B1128" t="s">
        <v>6821</v>
      </c>
      <c r="G1128" s="5" t="str">
        <f t="shared" si="67"/>
        <v/>
      </c>
      <c r="I1128" s="6" t="str">
        <f t="shared" si="68"/>
        <v>0</v>
      </c>
    </row>
    <row r="1129" spans="1:11" x14ac:dyDescent="0.2">
      <c r="A1129" t="s">
        <v>1468</v>
      </c>
      <c r="B1129" t="s">
        <v>6822</v>
      </c>
      <c r="G1129" s="5" t="str">
        <f t="shared" si="67"/>
        <v/>
      </c>
      <c r="I1129" s="6" t="str">
        <f t="shared" si="68"/>
        <v>0</v>
      </c>
    </row>
    <row r="1130" spans="1:11" x14ac:dyDescent="0.2">
      <c r="A1130" t="s">
        <v>1469</v>
      </c>
      <c r="B1130" t="s">
        <v>6823</v>
      </c>
      <c r="G1130" s="5" t="str">
        <f t="shared" si="67"/>
        <v/>
      </c>
      <c r="I1130" s="6" t="str">
        <f t="shared" si="68"/>
        <v>0</v>
      </c>
      <c r="K1130" s="19" t="s">
        <v>6247</v>
      </c>
    </row>
    <row r="1131" spans="1:11" x14ac:dyDescent="0.2">
      <c r="A1131" t="s">
        <v>1470</v>
      </c>
      <c r="B1131" t="s">
        <v>5790</v>
      </c>
      <c r="G1131" s="5" t="str">
        <f t="shared" si="67"/>
        <v/>
      </c>
      <c r="I1131" s="6" t="str">
        <f t="shared" si="68"/>
        <v>0</v>
      </c>
      <c r="K1131" s="19" t="s">
        <v>5791</v>
      </c>
    </row>
    <row r="1132" spans="1:11" x14ac:dyDescent="0.2">
      <c r="A1132" t="s">
        <v>1471</v>
      </c>
      <c r="B1132" t="s">
        <v>6824</v>
      </c>
      <c r="G1132" s="5" t="str">
        <f t="shared" si="67"/>
        <v/>
      </c>
      <c r="I1132" s="6" t="str">
        <f t="shared" si="68"/>
        <v>0</v>
      </c>
      <c r="K1132" s="19" t="s">
        <v>6248</v>
      </c>
    </row>
    <row r="1133" spans="1:11" x14ac:dyDescent="0.2">
      <c r="A1133" t="s">
        <v>1472</v>
      </c>
      <c r="B1133" t="s">
        <v>6825</v>
      </c>
      <c r="G1133" s="5" t="str">
        <f t="shared" si="67"/>
        <v/>
      </c>
      <c r="I1133" s="6" t="str">
        <f t="shared" si="68"/>
        <v>0</v>
      </c>
    </row>
    <row r="1134" spans="1:11" x14ac:dyDescent="0.2">
      <c r="A1134" t="s">
        <v>1473</v>
      </c>
      <c r="B1134" t="s">
        <v>6826</v>
      </c>
      <c r="G1134" s="5" t="str">
        <f t="shared" si="67"/>
        <v/>
      </c>
      <c r="I1134" s="6" t="str">
        <f t="shared" si="68"/>
        <v>0</v>
      </c>
      <c r="K1134" s="19" t="s">
        <v>6249</v>
      </c>
    </row>
    <row r="1135" spans="1:11" x14ac:dyDescent="0.2">
      <c r="A1135" t="s">
        <v>1474</v>
      </c>
      <c r="B1135" t="s">
        <v>6827</v>
      </c>
      <c r="G1135" s="5" t="str">
        <f t="shared" si="67"/>
        <v/>
      </c>
      <c r="I1135" s="6" t="str">
        <f t="shared" si="68"/>
        <v>0</v>
      </c>
    </row>
    <row r="1136" spans="1:11" x14ac:dyDescent="0.2">
      <c r="A1136" t="s">
        <v>1475</v>
      </c>
      <c r="B1136" t="s">
        <v>6828</v>
      </c>
      <c r="G1136" s="5" t="str">
        <f t="shared" si="67"/>
        <v/>
      </c>
      <c r="I1136" s="6" t="str">
        <f t="shared" si="68"/>
        <v>0</v>
      </c>
    </row>
    <row r="1137" spans="1:11" x14ac:dyDescent="0.2">
      <c r="A1137" t="s">
        <v>1476</v>
      </c>
      <c r="B1137" t="s">
        <v>6829</v>
      </c>
      <c r="G1137" s="5" t="str">
        <f t="shared" si="67"/>
        <v/>
      </c>
      <c r="I1137" s="6" t="str">
        <f t="shared" si="68"/>
        <v>0</v>
      </c>
    </row>
    <row r="1138" spans="1:11" x14ac:dyDescent="0.2">
      <c r="A1138" t="s">
        <v>1477</v>
      </c>
      <c r="B1138" t="s">
        <v>6830</v>
      </c>
      <c r="G1138" s="5" t="str">
        <f t="shared" si="67"/>
        <v/>
      </c>
      <c r="I1138" s="6" t="str">
        <f t="shared" si="68"/>
        <v>0</v>
      </c>
    </row>
    <row r="1139" spans="1:11" x14ac:dyDescent="0.2">
      <c r="A1139" t="s">
        <v>1478</v>
      </c>
      <c r="B1139" t="s">
        <v>1479</v>
      </c>
      <c r="G1139" s="5" t="str">
        <f t="shared" si="67"/>
        <v/>
      </c>
      <c r="I1139" s="6" t="str">
        <f t="shared" si="68"/>
        <v>0</v>
      </c>
      <c r="K1139" s="19" t="s">
        <v>6250</v>
      </c>
    </row>
    <row r="1140" spans="1:11" x14ac:dyDescent="0.2">
      <c r="A1140" t="s">
        <v>1482</v>
      </c>
      <c r="B1140" t="s">
        <v>5570</v>
      </c>
      <c r="G1140" s="5" t="str">
        <f t="shared" si="67"/>
        <v/>
      </c>
      <c r="I1140" s="6" t="str">
        <f t="shared" si="68"/>
        <v>0</v>
      </c>
      <c r="K1140" s="19" t="s">
        <v>5571</v>
      </c>
    </row>
    <row r="1141" spans="1:11" x14ac:dyDescent="0.2">
      <c r="A1141" t="s">
        <v>1483</v>
      </c>
      <c r="B1141" t="s">
        <v>5792</v>
      </c>
      <c r="G1141" s="5" t="str">
        <f t="shared" si="67"/>
        <v/>
      </c>
      <c r="I1141" s="6" t="str">
        <f t="shared" si="68"/>
        <v>0</v>
      </c>
      <c r="K1141" s="19" t="s">
        <v>5793</v>
      </c>
    </row>
    <row r="1142" spans="1:11" x14ac:dyDescent="0.2">
      <c r="A1142" t="s">
        <v>1484</v>
      </c>
      <c r="B1142" t="s">
        <v>5794</v>
      </c>
      <c r="G1142" s="5" t="str">
        <f t="shared" si="67"/>
        <v/>
      </c>
      <c r="I1142" s="6" t="str">
        <f t="shared" si="68"/>
        <v>0</v>
      </c>
      <c r="K1142" s="19" t="s">
        <v>5795</v>
      </c>
    </row>
    <row r="1143" spans="1:11" x14ac:dyDescent="0.2">
      <c r="A1143" t="s">
        <v>1485</v>
      </c>
      <c r="B1143" t="s">
        <v>6831</v>
      </c>
      <c r="G1143" s="5" t="str">
        <f t="shared" si="67"/>
        <v/>
      </c>
      <c r="I1143" s="6" t="str">
        <f t="shared" si="68"/>
        <v>0</v>
      </c>
      <c r="K1143" s="19" t="s">
        <v>6251</v>
      </c>
    </row>
    <row r="1144" spans="1:11" x14ac:dyDescent="0.2">
      <c r="A1144" t="s">
        <v>1486</v>
      </c>
      <c r="B1144" t="s">
        <v>6832</v>
      </c>
      <c r="G1144" s="5" t="str">
        <f t="shared" si="67"/>
        <v/>
      </c>
      <c r="I1144" s="6" t="str">
        <f t="shared" si="68"/>
        <v>0</v>
      </c>
      <c r="K1144" s="19" t="s">
        <v>6252</v>
      </c>
    </row>
    <row r="1145" spans="1:11" x14ac:dyDescent="0.2">
      <c r="A1145" t="s">
        <v>1487</v>
      </c>
      <c r="B1145" t="s">
        <v>6833</v>
      </c>
      <c r="G1145" s="5" t="str">
        <f t="shared" si="67"/>
        <v/>
      </c>
      <c r="I1145" s="6" t="str">
        <f t="shared" si="68"/>
        <v>0</v>
      </c>
    </row>
    <row r="1146" spans="1:11" x14ac:dyDescent="0.2">
      <c r="A1146" t="s">
        <v>1488</v>
      </c>
      <c r="B1146" t="s">
        <v>6834</v>
      </c>
      <c r="G1146" s="5" t="str">
        <f t="shared" si="67"/>
        <v/>
      </c>
      <c r="I1146" s="6" t="str">
        <f t="shared" si="68"/>
        <v>0</v>
      </c>
    </row>
    <row r="1147" spans="1:11" x14ac:dyDescent="0.2">
      <c r="A1147" t="s">
        <v>1489</v>
      </c>
      <c r="B1147" t="s">
        <v>6835</v>
      </c>
      <c r="G1147" s="5" t="str">
        <f t="shared" si="67"/>
        <v/>
      </c>
      <c r="I1147" s="6" t="str">
        <f t="shared" si="68"/>
        <v>0</v>
      </c>
    </row>
    <row r="1148" spans="1:11" x14ac:dyDescent="0.2">
      <c r="A1148" t="s">
        <v>1490</v>
      </c>
      <c r="B1148" t="s">
        <v>6836</v>
      </c>
      <c r="G1148" s="5" t="str">
        <f t="shared" si="67"/>
        <v/>
      </c>
      <c r="I1148" s="6" t="str">
        <f t="shared" si="68"/>
        <v>0</v>
      </c>
    </row>
    <row r="1149" spans="1:11" x14ac:dyDescent="0.2">
      <c r="A1149" t="s">
        <v>1491</v>
      </c>
      <c r="B1149" t="s">
        <v>5572</v>
      </c>
      <c r="G1149" s="5" t="str">
        <f t="shared" si="67"/>
        <v/>
      </c>
      <c r="I1149" s="6" t="str">
        <f t="shared" si="68"/>
        <v>0</v>
      </c>
      <c r="K1149" s="19" t="s">
        <v>5573</v>
      </c>
    </row>
    <row r="1150" spans="1:11" x14ac:dyDescent="0.2">
      <c r="A1150" t="s">
        <v>1492</v>
      </c>
      <c r="B1150" t="s">
        <v>6837</v>
      </c>
      <c r="G1150" s="5" t="str">
        <f t="shared" si="67"/>
        <v/>
      </c>
      <c r="I1150" s="6" t="str">
        <f t="shared" si="68"/>
        <v>0</v>
      </c>
    </row>
    <row r="1151" spans="1:11" x14ac:dyDescent="0.2">
      <c r="A1151" t="s">
        <v>1493</v>
      </c>
      <c r="B1151" t="s">
        <v>5796</v>
      </c>
      <c r="G1151" s="5" t="str">
        <f t="shared" si="67"/>
        <v/>
      </c>
      <c r="I1151" s="6" t="str">
        <f t="shared" si="68"/>
        <v>0</v>
      </c>
      <c r="K1151" s="19" t="s">
        <v>5797</v>
      </c>
    </row>
    <row r="1152" spans="1:11" x14ac:dyDescent="0.2">
      <c r="A1152" t="s">
        <v>1494</v>
      </c>
      <c r="B1152" t="s">
        <v>5798</v>
      </c>
      <c r="G1152" s="5" t="str">
        <f t="shared" si="67"/>
        <v/>
      </c>
      <c r="I1152" s="6" t="str">
        <f t="shared" si="68"/>
        <v>0</v>
      </c>
      <c r="K1152" s="19" t="s">
        <v>5799</v>
      </c>
    </row>
    <row r="1153" spans="1:11" x14ac:dyDescent="0.2">
      <c r="A1153" t="s">
        <v>1495</v>
      </c>
      <c r="B1153" t="s">
        <v>6838</v>
      </c>
      <c r="G1153" s="5" t="str">
        <f t="shared" ref="G1153:G1216" si="69">IF(F1153&lt;&gt;"",HEX2DEC(SUBSTITUTE(SUBSTITUTE(F1153,"adrEA",""),"$","")),"")</f>
        <v/>
      </c>
      <c r="I1153" s="6" t="str">
        <f t="shared" ref="I1153:I1216" si="70">IFERROR(DEC2HEX(H1153),"")</f>
        <v>0</v>
      </c>
    </row>
    <row r="1154" spans="1:11" x14ac:dyDescent="0.2">
      <c r="A1154" t="s">
        <v>1496</v>
      </c>
      <c r="B1154" t="s">
        <v>6839</v>
      </c>
      <c r="G1154" s="5" t="str">
        <f t="shared" si="69"/>
        <v/>
      </c>
      <c r="I1154" s="6" t="str">
        <f t="shared" si="70"/>
        <v>0</v>
      </c>
    </row>
    <row r="1155" spans="1:11" x14ac:dyDescent="0.2">
      <c r="A1155" t="s">
        <v>1497</v>
      </c>
      <c r="B1155" t="s">
        <v>6840</v>
      </c>
      <c r="G1155" s="5" t="str">
        <f t="shared" si="69"/>
        <v/>
      </c>
      <c r="I1155" s="6" t="str">
        <f t="shared" si="70"/>
        <v>0</v>
      </c>
    </row>
    <row r="1156" spans="1:11" x14ac:dyDescent="0.2">
      <c r="A1156" t="s">
        <v>1498</v>
      </c>
      <c r="B1156" t="s">
        <v>6841</v>
      </c>
      <c r="G1156" s="5" t="str">
        <f t="shared" si="69"/>
        <v/>
      </c>
      <c r="I1156" s="6" t="str">
        <f t="shared" si="70"/>
        <v>0</v>
      </c>
    </row>
    <row r="1157" spans="1:11" x14ac:dyDescent="0.2">
      <c r="A1157" t="s">
        <v>1499</v>
      </c>
      <c r="B1157" t="s">
        <v>6842</v>
      </c>
      <c r="G1157" s="5" t="str">
        <f t="shared" si="69"/>
        <v/>
      </c>
      <c r="I1157" s="6" t="str">
        <f t="shared" si="70"/>
        <v>0</v>
      </c>
    </row>
    <row r="1158" spans="1:11" x14ac:dyDescent="0.2">
      <c r="A1158" t="s">
        <v>1500</v>
      </c>
      <c r="B1158" t="s">
        <v>5800</v>
      </c>
      <c r="G1158" s="5" t="str">
        <f t="shared" si="69"/>
        <v/>
      </c>
      <c r="I1158" s="6" t="str">
        <f t="shared" si="70"/>
        <v>0</v>
      </c>
      <c r="K1158" s="19" t="s">
        <v>5801</v>
      </c>
    </row>
    <row r="1159" spans="1:11" x14ac:dyDescent="0.2">
      <c r="A1159" t="s">
        <v>1501</v>
      </c>
      <c r="B1159" t="s">
        <v>1501</v>
      </c>
      <c r="E1159" t="str">
        <f t="shared" ref="E1159:E1166" si="71">IF(D1159&lt;&gt;"",C1159&amp;"/"&amp;D1159,"")</f>
        <v/>
      </c>
      <c r="G1159" s="5" t="str">
        <f t="shared" si="69"/>
        <v/>
      </c>
      <c r="I1159" s="6" t="str">
        <f t="shared" si="70"/>
        <v>0</v>
      </c>
    </row>
    <row r="1160" spans="1:11" x14ac:dyDescent="0.2">
      <c r="A1160" t="s">
        <v>1502</v>
      </c>
      <c r="B1160" t="s">
        <v>1502</v>
      </c>
      <c r="E1160" t="str">
        <f t="shared" si="71"/>
        <v/>
      </c>
      <c r="G1160" s="5" t="str">
        <f t="shared" si="69"/>
        <v/>
      </c>
      <c r="I1160" s="6" t="str">
        <f t="shared" si="70"/>
        <v>0</v>
      </c>
    </row>
    <row r="1161" spans="1:11" x14ac:dyDescent="0.2">
      <c r="A1161" t="s">
        <v>1503</v>
      </c>
      <c r="B1161" t="s">
        <v>1503</v>
      </c>
      <c r="E1161" t="str">
        <f t="shared" si="71"/>
        <v/>
      </c>
      <c r="G1161" s="5" t="str">
        <f t="shared" si="69"/>
        <v/>
      </c>
      <c r="I1161" s="6" t="str">
        <f t="shared" si="70"/>
        <v>0</v>
      </c>
    </row>
    <row r="1162" spans="1:11" x14ac:dyDescent="0.2">
      <c r="A1162" t="s">
        <v>1504</v>
      </c>
      <c r="B1162" t="s">
        <v>1504</v>
      </c>
      <c r="E1162" t="str">
        <f t="shared" si="71"/>
        <v/>
      </c>
      <c r="G1162" s="5" t="str">
        <f t="shared" si="69"/>
        <v/>
      </c>
      <c r="I1162" s="6" t="str">
        <f t="shared" si="70"/>
        <v>0</v>
      </c>
    </row>
    <row r="1163" spans="1:11" x14ac:dyDescent="0.2">
      <c r="A1163" t="s">
        <v>1505</v>
      </c>
      <c r="B1163" t="s">
        <v>1505</v>
      </c>
      <c r="E1163" t="str">
        <f t="shared" si="71"/>
        <v/>
      </c>
      <c r="G1163" s="5" t="str">
        <f t="shared" si="69"/>
        <v/>
      </c>
      <c r="I1163" s="6" t="str">
        <f t="shared" si="70"/>
        <v>0</v>
      </c>
    </row>
    <row r="1164" spans="1:11" x14ac:dyDescent="0.2">
      <c r="A1164" t="s">
        <v>1506</v>
      </c>
      <c r="B1164" t="s">
        <v>1506</v>
      </c>
      <c r="E1164" t="str">
        <f t="shared" si="71"/>
        <v/>
      </c>
      <c r="G1164" s="5" t="str">
        <f t="shared" si="69"/>
        <v/>
      </c>
      <c r="I1164" s="6" t="str">
        <f t="shared" si="70"/>
        <v>0</v>
      </c>
    </row>
    <row r="1165" spans="1:11" x14ac:dyDescent="0.2">
      <c r="A1165" t="s">
        <v>1507</v>
      </c>
      <c r="B1165" t="s">
        <v>1507</v>
      </c>
      <c r="E1165" t="str">
        <f t="shared" si="71"/>
        <v/>
      </c>
      <c r="G1165" s="5" t="str">
        <f t="shared" si="69"/>
        <v/>
      </c>
      <c r="I1165" s="6" t="str">
        <f t="shared" si="70"/>
        <v>0</v>
      </c>
    </row>
    <row r="1166" spans="1:11" x14ac:dyDescent="0.2">
      <c r="A1166" t="s">
        <v>1508</v>
      </c>
      <c r="B1166" t="s">
        <v>3899</v>
      </c>
      <c r="E1166" t="str">
        <f t="shared" si="71"/>
        <v/>
      </c>
      <c r="G1166" s="5" t="str">
        <f t="shared" si="69"/>
        <v/>
      </c>
      <c r="I1166" s="6" t="str">
        <f t="shared" si="70"/>
        <v>0</v>
      </c>
    </row>
    <row r="1167" spans="1:11" x14ac:dyDescent="0.2">
      <c r="A1167" t="s">
        <v>1509</v>
      </c>
      <c r="B1167" t="s">
        <v>5574</v>
      </c>
      <c r="G1167" s="5" t="str">
        <f t="shared" si="69"/>
        <v/>
      </c>
      <c r="I1167" s="6" t="str">
        <f t="shared" si="70"/>
        <v>0</v>
      </c>
      <c r="K1167" s="19" t="s">
        <v>5575</v>
      </c>
    </row>
    <row r="1168" spans="1:11" x14ac:dyDescent="0.2">
      <c r="A1168" t="s">
        <v>1510</v>
      </c>
      <c r="B1168" t="s">
        <v>6843</v>
      </c>
      <c r="G1168" s="5" t="str">
        <f t="shared" si="69"/>
        <v/>
      </c>
      <c r="I1168" s="6" t="str">
        <f t="shared" si="70"/>
        <v>0</v>
      </c>
    </row>
    <row r="1169" spans="1:11" x14ac:dyDescent="0.2">
      <c r="A1169" t="s">
        <v>1511</v>
      </c>
      <c r="B1169" t="s">
        <v>6844</v>
      </c>
      <c r="G1169" s="5" t="str">
        <f t="shared" si="69"/>
        <v/>
      </c>
      <c r="I1169" s="6" t="str">
        <f t="shared" si="70"/>
        <v>0</v>
      </c>
    </row>
    <row r="1170" spans="1:11" x14ac:dyDescent="0.2">
      <c r="A1170" t="s">
        <v>1512</v>
      </c>
      <c r="B1170" t="s">
        <v>6845</v>
      </c>
      <c r="G1170" s="5" t="str">
        <f t="shared" si="69"/>
        <v/>
      </c>
      <c r="I1170" s="6" t="str">
        <f t="shared" si="70"/>
        <v>0</v>
      </c>
    </row>
    <row r="1171" spans="1:11" x14ac:dyDescent="0.2">
      <c r="A1171" t="s">
        <v>1515</v>
      </c>
      <c r="B1171" t="s">
        <v>3834</v>
      </c>
      <c r="G1171" s="5" t="str">
        <f t="shared" si="69"/>
        <v/>
      </c>
      <c r="I1171" s="6" t="str">
        <f t="shared" si="70"/>
        <v>0</v>
      </c>
      <c r="K1171" s="19" t="s">
        <v>7286</v>
      </c>
    </row>
    <row r="1172" spans="1:11" x14ac:dyDescent="0.2">
      <c r="A1172" t="s">
        <v>1524</v>
      </c>
      <c r="B1172" t="s">
        <v>3872</v>
      </c>
      <c r="G1172" s="5" t="str">
        <f t="shared" si="69"/>
        <v/>
      </c>
      <c r="I1172" s="6" t="str">
        <f t="shared" si="70"/>
        <v>0</v>
      </c>
      <c r="K1172" s="19" t="s">
        <v>3873</v>
      </c>
    </row>
    <row r="1173" spans="1:11" x14ac:dyDescent="0.2">
      <c r="A1173" t="s">
        <v>1525</v>
      </c>
      <c r="B1173" t="s">
        <v>3835</v>
      </c>
      <c r="G1173" s="5" t="str">
        <f t="shared" si="69"/>
        <v/>
      </c>
      <c r="I1173" s="6" t="str">
        <f t="shared" si="70"/>
        <v>0</v>
      </c>
      <c r="K1173" s="19" t="s">
        <v>3836</v>
      </c>
    </row>
    <row r="1174" spans="1:11" x14ac:dyDescent="0.2">
      <c r="A1174" t="s">
        <v>1526</v>
      </c>
      <c r="B1174" t="s">
        <v>3874</v>
      </c>
      <c r="G1174" s="5" t="str">
        <f t="shared" si="69"/>
        <v/>
      </c>
      <c r="I1174" s="6" t="str">
        <f t="shared" si="70"/>
        <v>0</v>
      </c>
      <c r="K1174" s="19" t="s">
        <v>6253</v>
      </c>
    </row>
    <row r="1175" spans="1:11" x14ac:dyDescent="0.2">
      <c r="A1175" t="s">
        <v>1527</v>
      </c>
      <c r="B1175" t="s">
        <v>3875</v>
      </c>
      <c r="G1175" s="5" t="str">
        <f t="shared" si="69"/>
        <v/>
      </c>
      <c r="I1175" s="6" t="str">
        <f t="shared" si="70"/>
        <v>0</v>
      </c>
      <c r="K1175" s="19" t="s">
        <v>3876</v>
      </c>
    </row>
    <row r="1176" spans="1:11" x14ac:dyDescent="0.2">
      <c r="A1176" t="s">
        <v>1528</v>
      </c>
      <c r="B1176" t="s">
        <v>3877</v>
      </c>
      <c r="G1176" s="5" t="str">
        <f t="shared" si="69"/>
        <v/>
      </c>
      <c r="I1176" s="6" t="str">
        <f t="shared" si="70"/>
        <v>0</v>
      </c>
      <c r="K1176" s="19" t="s">
        <v>3878</v>
      </c>
    </row>
    <row r="1177" spans="1:11" x14ac:dyDescent="0.2">
      <c r="A1177" t="s">
        <v>1529</v>
      </c>
      <c r="B1177" t="s">
        <v>3879</v>
      </c>
      <c r="G1177" s="5" t="str">
        <f t="shared" si="69"/>
        <v/>
      </c>
      <c r="I1177" s="6" t="str">
        <f t="shared" si="70"/>
        <v>0</v>
      </c>
      <c r="K1177" s="19" t="s">
        <v>3880</v>
      </c>
    </row>
    <row r="1178" spans="1:11" x14ac:dyDescent="0.2">
      <c r="A1178" t="s">
        <v>1530</v>
      </c>
      <c r="B1178" t="s">
        <v>3785</v>
      </c>
      <c r="G1178" s="5" t="str">
        <f t="shared" si="69"/>
        <v/>
      </c>
      <c r="I1178" s="6" t="str">
        <f t="shared" si="70"/>
        <v>0</v>
      </c>
      <c r="K1178" s="19" t="s">
        <v>7287</v>
      </c>
    </row>
    <row r="1179" spans="1:11" x14ac:dyDescent="0.2">
      <c r="A1179" t="s">
        <v>1536</v>
      </c>
      <c r="B1179" t="s">
        <v>3786</v>
      </c>
      <c r="G1179" s="5" t="str">
        <f t="shared" si="69"/>
        <v/>
      </c>
      <c r="I1179" s="6" t="str">
        <f t="shared" si="70"/>
        <v>0</v>
      </c>
      <c r="K1179" s="19" t="s">
        <v>7288</v>
      </c>
    </row>
    <row r="1180" spans="1:11" x14ac:dyDescent="0.2">
      <c r="A1180" t="s">
        <v>1541</v>
      </c>
      <c r="B1180" t="s">
        <v>3828</v>
      </c>
      <c r="C1180" s="5" t="s">
        <v>48</v>
      </c>
      <c r="D1180" t="s">
        <v>7381</v>
      </c>
      <c r="E1180" t="str">
        <f t="shared" ref="E1180" si="72">IF(D1180&lt;&gt;"",C1180&amp;"/"&amp;D1180,"")</f>
        <v>data/Weapon_CombatModifiers.stats</v>
      </c>
      <c r="F1180" s="5" t="s">
        <v>3829</v>
      </c>
      <c r="G1180" s="5">
        <f t="shared" si="69"/>
        <v>24664</v>
      </c>
      <c r="H1180" s="5">
        <v>64</v>
      </c>
      <c r="I1180" s="6" t="str">
        <f t="shared" si="70"/>
        <v>40</v>
      </c>
      <c r="K1180" s="19" t="s">
        <v>7382</v>
      </c>
    </row>
    <row r="1181" spans="1:11" x14ac:dyDescent="0.2">
      <c r="A1181" t="s">
        <v>1542</v>
      </c>
      <c r="B1181" t="s">
        <v>3837</v>
      </c>
      <c r="G1181" s="5" t="str">
        <f t="shared" si="69"/>
        <v/>
      </c>
      <c r="I1181" s="6" t="str">
        <f t="shared" si="70"/>
        <v>0</v>
      </c>
      <c r="K1181" s="19" t="s">
        <v>7289</v>
      </c>
    </row>
    <row r="1182" spans="1:11" x14ac:dyDescent="0.2">
      <c r="A1182" t="s">
        <v>1544</v>
      </c>
      <c r="B1182" t="s">
        <v>3881</v>
      </c>
      <c r="G1182" s="5" t="str">
        <f t="shared" si="69"/>
        <v/>
      </c>
      <c r="I1182" s="6" t="str">
        <f t="shared" si="70"/>
        <v>0</v>
      </c>
      <c r="K1182" s="19" t="s">
        <v>3882</v>
      </c>
    </row>
    <row r="1183" spans="1:11" x14ac:dyDescent="0.2">
      <c r="A1183" t="s">
        <v>1545</v>
      </c>
      <c r="B1183" t="s">
        <v>3838</v>
      </c>
      <c r="G1183" s="5" t="str">
        <f t="shared" si="69"/>
        <v/>
      </c>
      <c r="I1183" s="6" t="str">
        <f t="shared" si="70"/>
        <v>0</v>
      </c>
      <c r="K1183" s="19" t="s">
        <v>7290</v>
      </c>
    </row>
    <row r="1184" spans="1:11" x14ac:dyDescent="0.2">
      <c r="A1184" t="s">
        <v>1549</v>
      </c>
      <c r="B1184" t="s">
        <v>1550</v>
      </c>
      <c r="G1184" s="5" t="str">
        <f t="shared" si="69"/>
        <v/>
      </c>
      <c r="I1184" s="6" t="str">
        <f t="shared" si="70"/>
        <v>0</v>
      </c>
      <c r="K1184" s="19" t="s">
        <v>6254</v>
      </c>
    </row>
    <row r="1185" spans="1:11" x14ac:dyDescent="0.2">
      <c r="A1185" t="s">
        <v>1552</v>
      </c>
      <c r="B1185" t="s">
        <v>5124</v>
      </c>
      <c r="C1185" s="5" t="s">
        <v>5119</v>
      </c>
      <c r="G1185" s="5" t="str">
        <f t="shared" si="69"/>
        <v/>
      </c>
      <c r="I1185" s="6" t="str">
        <f t="shared" si="70"/>
        <v>0</v>
      </c>
      <c r="K1185" s="19" t="s">
        <v>6255</v>
      </c>
    </row>
    <row r="1186" spans="1:11" x14ac:dyDescent="0.2">
      <c r="A1186" t="s">
        <v>1553</v>
      </c>
      <c r="B1186" t="s">
        <v>5264</v>
      </c>
      <c r="C1186" s="5" t="s">
        <v>5119</v>
      </c>
      <c r="G1186" s="5" t="str">
        <f t="shared" si="69"/>
        <v/>
      </c>
      <c r="I1186" s="6" t="str">
        <f t="shared" si="70"/>
        <v>0</v>
      </c>
      <c r="K1186" s="19" t="s">
        <v>5265</v>
      </c>
    </row>
    <row r="1187" spans="1:11" x14ac:dyDescent="0.2">
      <c r="A1187" t="s">
        <v>1554</v>
      </c>
      <c r="B1187" t="s">
        <v>5125</v>
      </c>
      <c r="C1187" s="5" t="s">
        <v>5119</v>
      </c>
      <c r="G1187" s="5" t="str">
        <f t="shared" si="69"/>
        <v/>
      </c>
      <c r="I1187" s="6" t="str">
        <f t="shared" si="70"/>
        <v>0</v>
      </c>
      <c r="K1187" s="19" t="s">
        <v>6256</v>
      </c>
    </row>
    <row r="1188" spans="1:11" x14ac:dyDescent="0.2">
      <c r="A1188" t="s">
        <v>1555</v>
      </c>
      <c r="B1188" t="s">
        <v>5126</v>
      </c>
      <c r="C1188" s="5" t="s">
        <v>5119</v>
      </c>
      <c r="G1188" s="5" t="str">
        <f t="shared" si="69"/>
        <v/>
      </c>
      <c r="I1188" s="6" t="str">
        <f t="shared" si="70"/>
        <v>0</v>
      </c>
      <c r="K1188" s="19" t="s">
        <v>6257</v>
      </c>
    </row>
    <row r="1189" spans="1:11" x14ac:dyDescent="0.2">
      <c r="A1189" t="s">
        <v>1556</v>
      </c>
      <c r="B1189" t="s">
        <v>5127</v>
      </c>
      <c r="C1189" s="5" t="s">
        <v>5119</v>
      </c>
      <c r="G1189" s="5" t="str">
        <f t="shared" si="69"/>
        <v/>
      </c>
      <c r="I1189" s="6" t="str">
        <f t="shared" si="70"/>
        <v>0</v>
      </c>
      <c r="K1189" s="19" t="s">
        <v>6258</v>
      </c>
    </row>
    <row r="1190" spans="1:11" x14ac:dyDescent="0.2">
      <c r="A1190" t="s">
        <v>1558</v>
      </c>
      <c r="B1190" t="s">
        <v>5128</v>
      </c>
      <c r="C1190" s="5" t="s">
        <v>5119</v>
      </c>
      <c r="G1190" s="5" t="str">
        <f t="shared" si="69"/>
        <v/>
      </c>
      <c r="I1190" s="6" t="str">
        <f t="shared" si="70"/>
        <v>0</v>
      </c>
      <c r="K1190" s="19" t="s">
        <v>6259</v>
      </c>
    </row>
    <row r="1191" spans="1:11" x14ac:dyDescent="0.2">
      <c r="A1191" t="s">
        <v>1559</v>
      </c>
      <c r="B1191" t="s">
        <v>5129</v>
      </c>
      <c r="C1191" s="5" t="s">
        <v>5119</v>
      </c>
      <c r="G1191" s="5" t="str">
        <f t="shared" si="69"/>
        <v/>
      </c>
      <c r="I1191" s="6" t="str">
        <f t="shared" si="70"/>
        <v>0</v>
      </c>
      <c r="K1191" s="19" t="s">
        <v>6260</v>
      </c>
    </row>
    <row r="1192" spans="1:11" x14ac:dyDescent="0.2">
      <c r="A1192" t="s">
        <v>1561</v>
      </c>
      <c r="B1192" t="s">
        <v>3900</v>
      </c>
      <c r="E1192" t="str">
        <f t="shared" ref="E1192:E1193" si="73">IF(D1192&lt;&gt;"",C1192&amp;"/"&amp;D1192,"")</f>
        <v/>
      </c>
      <c r="G1192" s="5" t="str">
        <f t="shared" si="69"/>
        <v/>
      </c>
      <c r="I1192" s="6" t="str">
        <f t="shared" si="70"/>
        <v>0</v>
      </c>
    </row>
    <row r="1193" spans="1:11" x14ac:dyDescent="0.2">
      <c r="A1193" t="s">
        <v>1562</v>
      </c>
      <c r="B1193" t="s">
        <v>1563</v>
      </c>
      <c r="E1193" t="str">
        <f t="shared" si="73"/>
        <v/>
      </c>
      <c r="G1193" s="5" t="str">
        <f t="shared" si="69"/>
        <v/>
      </c>
      <c r="I1193" s="6" t="str">
        <f t="shared" si="70"/>
        <v>0</v>
      </c>
    </row>
    <row r="1194" spans="1:11" x14ac:dyDescent="0.2">
      <c r="A1194" t="s">
        <v>1564</v>
      </c>
      <c r="B1194" t="s">
        <v>6846</v>
      </c>
      <c r="G1194" s="5" t="str">
        <f t="shared" si="69"/>
        <v/>
      </c>
      <c r="I1194" s="6" t="str">
        <f t="shared" si="70"/>
        <v>0</v>
      </c>
    </row>
    <row r="1195" spans="1:11" x14ac:dyDescent="0.2">
      <c r="A1195" t="s">
        <v>1565</v>
      </c>
      <c r="B1195" t="s">
        <v>6847</v>
      </c>
      <c r="G1195" s="5" t="str">
        <f t="shared" si="69"/>
        <v/>
      </c>
      <c r="I1195" s="6" t="str">
        <f t="shared" si="70"/>
        <v>0</v>
      </c>
    </row>
    <row r="1196" spans="1:11" x14ac:dyDescent="0.2">
      <c r="A1196" t="s">
        <v>1566</v>
      </c>
      <c r="B1196" t="s">
        <v>6848</v>
      </c>
      <c r="G1196" s="5" t="str">
        <f t="shared" si="69"/>
        <v/>
      </c>
      <c r="I1196" s="6" t="str">
        <f t="shared" si="70"/>
        <v>0</v>
      </c>
    </row>
    <row r="1197" spans="1:11" x14ac:dyDescent="0.2">
      <c r="A1197" t="s">
        <v>1567</v>
      </c>
      <c r="B1197" t="s">
        <v>6849</v>
      </c>
      <c r="G1197" s="5" t="str">
        <f t="shared" si="69"/>
        <v/>
      </c>
      <c r="I1197" s="6" t="str">
        <f t="shared" si="70"/>
        <v>0</v>
      </c>
    </row>
    <row r="1198" spans="1:11" x14ac:dyDescent="0.2">
      <c r="A1198" t="s">
        <v>1568</v>
      </c>
      <c r="B1198" t="s">
        <v>1569</v>
      </c>
      <c r="G1198" s="5" t="str">
        <f t="shared" si="69"/>
        <v/>
      </c>
      <c r="I1198" s="6" t="str">
        <f t="shared" si="70"/>
        <v>0</v>
      </c>
      <c r="K1198" s="19" t="s">
        <v>3746</v>
      </c>
    </row>
    <row r="1199" spans="1:11" x14ac:dyDescent="0.2">
      <c r="A1199" t="s">
        <v>1572</v>
      </c>
      <c r="B1199" t="s">
        <v>6850</v>
      </c>
      <c r="G1199" s="5" t="str">
        <f t="shared" si="69"/>
        <v/>
      </c>
      <c r="I1199" s="6" t="str">
        <f t="shared" si="70"/>
        <v>0</v>
      </c>
    </row>
    <row r="1200" spans="1:11" x14ac:dyDescent="0.2">
      <c r="A1200" t="s">
        <v>1573</v>
      </c>
      <c r="B1200" t="s">
        <v>5576</v>
      </c>
      <c r="G1200" s="5" t="str">
        <f t="shared" si="69"/>
        <v/>
      </c>
      <c r="I1200" s="6" t="str">
        <f t="shared" si="70"/>
        <v>0</v>
      </c>
      <c r="K1200" s="19" t="s">
        <v>5577</v>
      </c>
    </row>
    <row r="1201" spans="1:11" x14ac:dyDescent="0.2">
      <c r="A1201" t="s">
        <v>1574</v>
      </c>
      <c r="B1201" t="s">
        <v>6851</v>
      </c>
      <c r="G1201" s="5" t="str">
        <f t="shared" si="69"/>
        <v/>
      </c>
      <c r="I1201" s="6" t="str">
        <f t="shared" si="70"/>
        <v>0</v>
      </c>
    </row>
    <row r="1202" spans="1:11" x14ac:dyDescent="0.2">
      <c r="A1202" t="s">
        <v>1575</v>
      </c>
      <c r="B1202" t="s">
        <v>4936</v>
      </c>
      <c r="C1202" s="5" t="s">
        <v>7</v>
      </c>
      <c r="F1202" s="5" t="s">
        <v>4937</v>
      </c>
      <c r="G1202" s="5">
        <f t="shared" si="69"/>
        <v>25344</v>
      </c>
      <c r="I1202" s="6" t="str">
        <f t="shared" si="70"/>
        <v>0</v>
      </c>
      <c r="K1202" s="19" t="s">
        <v>4938</v>
      </c>
    </row>
    <row r="1203" spans="1:11" x14ac:dyDescent="0.2">
      <c r="A1203" t="s">
        <v>1576</v>
      </c>
      <c r="B1203" t="s">
        <v>5083</v>
      </c>
      <c r="C1203" s="5" t="s">
        <v>7</v>
      </c>
      <c r="F1203" s="5" t="s">
        <v>5084</v>
      </c>
      <c r="G1203" s="5">
        <f t="shared" si="69"/>
        <v>25364</v>
      </c>
      <c r="I1203" s="6" t="str">
        <f t="shared" si="70"/>
        <v>0</v>
      </c>
      <c r="K1203" s="19" t="s">
        <v>5085</v>
      </c>
    </row>
    <row r="1204" spans="1:11" x14ac:dyDescent="0.2">
      <c r="A1204" t="s">
        <v>1577</v>
      </c>
      <c r="B1204" t="s">
        <v>6852</v>
      </c>
      <c r="G1204" s="5" t="str">
        <f t="shared" si="69"/>
        <v/>
      </c>
      <c r="I1204" s="6" t="str">
        <f t="shared" si="70"/>
        <v>0</v>
      </c>
      <c r="K1204" s="19" t="s">
        <v>6261</v>
      </c>
    </row>
    <row r="1205" spans="1:11" x14ac:dyDescent="0.2">
      <c r="A1205" t="s">
        <v>1578</v>
      </c>
      <c r="B1205" t="s">
        <v>6853</v>
      </c>
      <c r="G1205" s="5" t="str">
        <f t="shared" si="69"/>
        <v/>
      </c>
      <c r="I1205" s="6" t="str">
        <f t="shared" si="70"/>
        <v>0</v>
      </c>
    </row>
    <row r="1206" spans="1:11" x14ac:dyDescent="0.2">
      <c r="A1206" t="s">
        <v>1579</v>
      </c>
      <c r="B1206" t="s">
        <v>6854</v>
      </c>
      <c r="G1206" s="5" t="str">
        <f t="shared" si="69"/>
        <v/>
      </c>
      <c r="I1206" s="6" t="str">
        <f t="shared" si="70"/>
        <v>0</v>
      </c>
      <c r="K1206" s="19" t="s">
        <v>6262</v>
      </c>
    </row>
    <row r="1207" spans="1:11" x14ac:dyDescent="0.2">
      <c r="A1207" t="s">
        <v>1580</v>
      </c>
      <c r="B1207" t="s">
        <v>6855</v>
      </c>
      <c r="G1207" s="5" t="str">
        <f t="shared" si="69"/>
        <v/>
      </c>
      <c r="I1207" s="6" t="str">
        <f t="shared" si="70"/>
        <v>0</v>
      </c>
    </row>
    <row r="1208" spans="1:11" x14ac:dyDescent="0.2">
      <c r="A1208" t="s">
        <v>1581</v>
      </c>
      <c r="B1208" t="s">
        <v>6856</v>
      </c>
      <c r="G1208" s="5" t="str">
        <f t="shared" si="69"/>
        <v/>
      </c>
      <c r="I1208" s="6" t="str">
        <f t="shared" si="70"/>
        <v>0</v>
      </c>
    </row>
    <row r="1209" spans="1:11" x14ac:dyDescent="0.2">
      <c r="A1209" t="s">
        <v>1582</v>
      </c>
      <c r="B1209" t="s">
        <v>5578</v>
      </c>
      <c r="G1209" s="5" t="str">
        <f t="shared" si="69"/>
        <v/>
      </c>
      <c r="I1209" s="6" t="str">
        <f t="shared" si="70"/>
        <v>0</v>
      </c>
      <c r="K1209" s="19" t="s">
        <v>5579</v>
      </c>
    </row>
    <row r="1210" spans="1:11" x14ac:dyDescent="0.2">
      <c r="A1210" t="s">
        <v>1583</v>
      </c>
      <c r="B1210" t="s">
        <v>5086</v>
      </c>
      <c r="C1210" s="5" t="s">
        <v>7</v>
      </c>
      <c r="F1210" s="5" t="s">
        <v>5087</v>
      </c>
      <c r="G1210" s="5">
        <f t="shared" si="69"/>
        <v>25500</v>
      </c>
      <c r="I1210" s="6" t="str">
        <f t="shared" si="70"/>
        <v>0</v>
      </c>
      <c r="K1210" s="19" t="s">
        <v>5088</v>
      </c>
    </row>
    <row r="1211" spans="1:11" x14ac:dyDescent="0.2">
      <c r="A1211" t="s">
        <v>1584</v>
      </c>
      <c r="B1211" t="s">
        <v>6857</v>
      </c>
      <c r="G1211" s="5" t="str">
        <f t="shared" si="69"/>
        <v/>
      </c>
      <c r="I1211" s="6" t="str">
        <f t="shared" si="70"/>
        <v>0</v>
      </c>
    </row>
    <row r="1212" spans="1:11" x14ac:dyDescent="0.2">
      <c r="A1212" t="s">
        <v>1585</v>
      </c>
      <c r="B1212" t="s">
        <v>6858</v>
      </c>
      <c r="G1212" s="5" t="str">
        <f t="shared" si="69"/>
        <v/>
      </c>
      <c r="I1212" s="6" t="str">
        <f t="shared" si="70"/>
        <v>0</v>
      </c>
    </row>
    <row r="1213" spans="1:11" x14ac:dyDescent="0.2">
      <c r="A1213" t="s">
        <v>1586</v>
      </c>
      <c r="B1213" t="s">
        <v>5089</v>
      </c>
      <c r="C1213" s="5" t="s">
        <v>48</v>
      </c>
      <c r="D1213" t="s">
        <v>5090</v>
      </c>
      <c r="E1213" t="str">
        <f t="shared" ref="E1213" si="74">IF(D1213&lt;&gt;"",C1213&amp;"/"&amp;D1213,"")</f>
        <v>data/SpellCasting_CastBarPercentages.lookup</v>
      </c>
      <c r="F1213" s="5" t="s">
        <v>5091</v>
      </c>
      <c r="G1213" s="5">
        <f t="shared" si="69"/>
        <v>25564</v>
      </c>
      <c r="H1213" s="5">
        <v>20</v>
      </c>
      <c r="I1213" s="6" t="str">
        <f t="shared" si="70"/>
        <v>14</v>
      </c>
      <c r="J1213" s="6" t="s">
        <v>3409</v>
      </c>
      <c r="K1213" s="19" t="s">
        <v>5092</v>
      </c>
    </row>
    <row r="1214" spans="1:11" x14ac:dyDescent="0.2">
      <c r="A1214" t="s">
        <v>1587</v>
      </c>
      <c r="B1214" t="s">
        <v>3883</v>
      </c>
      <c r="C1214" s="5" t="s">
        <v>7</v>
      </c>
      <c r="F1214" s="5" t="s">
        <v>5093</v>
      </c>
      <c r="G1214" s="5">
        <f t="shared" si="69"/>
        <v>25588</v>
      </c>
      <c r="I1214" s="6" t="str">
        <f t="shared" si="70"/>
        <v>0</v>
      </c>
      <c r="K1214" s="19" t="s">
        <v>5094</v>
      </c>
    </row>
    <row r="1215" spans="1:11" x14ac:dyDescent="0.2">
      <c r="A1215" t="s">
        <v>1588</v>
      </c>
      <c r="B1215" t="s">
        <v>6859</v>
      </c>
      <c r="G1215" s="5" t="str">
        <f t="shared" si="69"/>
        <v/>
      </c>
      <c r="I1215" s="6" t="str">
        <f t="shared" si="70"/>
        <v>0</v>
      </c>
    </row>
    <row r="1216" spans="1:11" x14ac:dyDescent="0.2">
      <c r="A1216" t="s">
        <v>1589</v>
      </c>
      <c r="B1216" t="s">
        <v>6860</v>
      </c>
      <c r="G1216" s="5" t="str">
        <f t="shared" si="69"/>
        <v/>
      </c>
      <c r="I1216" s="6" t="str">
        <f t="shared" si="70"/>
        <v>0</v>
      </c>
    </row>
    <row r="1217" spans="1:11" x14ac:dyDescent="0.2">
      <c r="A1217" t="s">
        <v>1590</v>
      </c>
      <c r="B1217" t="s">
        <v>6861</v>
      </c>
      <c r="G1217" s="5" t="str">
        <f t="shared" ref="G1217:G1280" si="75">IF(F1217&lt;&gt;"",HEX2DEC(SUBSTITUTE(SUBSTITUTE(F1217,"adrEA",""),"$","")),"")</f>
        <v/>
      </c>
      <c r="I1217" s="6" t="str">
        <f t="shared" ref="I1217:I1280" si="76">IFERROR(DEC2HEX(H1217),"")</f>
        <v>0</v>
      </c>
    </row>
    <row r="1218" spans="1:11" x14ac:dyDescent="0.2">
      <c r="A1218" t="s">
        <v>1591</v>
      </c>
      <c r="B1218" t="s">
        <v>5802</v>
      </c>
      <c r="G1218" s="5" t="str">
        <f t="shared" si="75"/>
        <v/>
      </c>
      <c r="I1218" s="6" t="str">
        <f t="shared" si="76"/>
        <v>0</v>
      </c>
      <c r="K1218" s="19" t="s">
        <v>5803</v>
      </c>
    </row>
    <row r="1219" spans="1:11" x14ac:dyDescent="0.2">
      <c r="A1219" t="s">
        <v>1592</v>
      </c>
      <c r="B1219" t="s">
        <v>3884</v>
      </c>
      <c r="C1219" s="5" t="s">
        <v>48</v>
      </c>
      <c r="D1219" t="s">
        <v>3885</v>
      </c>
      <c r="E1219" t="str">
        <f t="shared" ref="E1219" si="77">IF(D1219&lt;&gt;"",C1219&amp;"/"&amp;D1219,"")</f>
        <v>data/SpellCasting_ProfessionBaseBonuses.lookup</v>
      </c>
      <c r="F1219" s="5" t="s">
        <v>3886</v>
      </c>
      <c r="G1219" s="5">
        <f t="shared" si="75"/>
        <v>25698</v>
      </c>
      <c r="H1219" s="5">
        <v>4</v>
      </c>
      <c r="I1219" s="6" t="str">
        <f t="shared" si="76"/>
        <v>4</v>
      </c>
      <c r="K1219" s="19" t="s">
        <v>3887</v>
      </c>
    </row>
    <row r="1220" spans="1:11" x14ac:dyDescent="0.2">
      <c r="A1220" t="s">
        <v>1593</v>
      </c>
      <c r="B1220" t="s">
        <v>6862</v>
      </c>
      <c r="G1220" s="5" t="str">
        <f t="shared" si="75"/>
        <v/>
      </c>
      <c r="I1220" s="6" t="str">
        <f t="shared" si="76"/>
        <v>0</v>
      </c>
    </row>
    <row r="1221" spans="1:11" x14ac:dyDescent="0.2">
      <c r="A1221" t="s">
        <v>1594</v>
      </c>
      <c r="B1221" t="s">
        <v>6863</v>
      </c>
      <c r="G1221" s="5" t="str">
        <f t="shared" si="75"/>
        <v/>
      </c>
      <c r="I1221" s="6" t="str">
        <f t="shared" si="76"/>
        <v>0</v>
      </c>
    </row>
    <row r="1222" spans="1:11" x14ac:dyDescent="0.2">
      <c r="A1222" t="s">
        <v>1595</v>
      </c>
      <c r="B1222" t="s">
        <v>3888</v>
      </c>
      <c r="G1222" s="5" t="str">
        <f t="shared" si="75"/>
        <v/>
      </c>
      <c r="I1222" s="6" t="str">
        <f t="shared" si="76"/>
        <v>0</v>
      </c>
      <c r="K1222" s="19" t="s">
        <v>3889</v>
      </c>
    </row>
    <row r="1223" spans="1:11" x14ac:dyDescent="0.2">
      <c r="A1223" t="s">
        <v>1596</v>
      </c>
      <c r="B1223" t="s">
        <v>6864</v>
      </c>
      <c r="G1223" s="5" t="str">
        <f t="shared" si="75"/>
        <v/>
      </c>
      <c r="I1223" s="6" t="str">
        <f t="shared" si="76"/>
        <v>0</v>
      </c>
    </row>
    <row r="1224" spans="1:11" x14ac:dyDescent="0.2">
      <c r="A1224" t="s">
        <v>1597</v>
      </c>
      <c r="B1224" t="s">
        <v>3890</v>
      </c>
      <c r="C1224" s="5" t="s">
        <v>48</v>
      </c>
      <c r="D1224" t="s">
        <v>3891</v>
      </c>
      <c r="E1224" t="str">
        <f t="shared" ref="E1224:E1226" si="78">IF(D1224&lt;&gt;"",C1224&amp;"/"&amp;D1224,"")</f>
        <v>data/SpellCasting_SpellDifficultyPenalties.lookup</v>
      </c>
      <c r="F1224" s="5" t="s">
        <v>3892</v>
      </c>
      <c r="G1224" s="5">
        <f t="shared" si="75"/>
        <v>25786</v>
      </c>
      <c r="H1224" s="5">
        <v>32</v>
      </c>
      <c r="I1224" s="6" t="str">
        <f t="shared" si="76"/>
        <v>20</v>
      </c>
      <c r="J1224" s="6" t="s">
        <v>3409</v>
      </c>
      <c r="K1224" s="19" t="s">
        <v>5130</v>
      </c>
    </row>
    <row r="1225" spans="1:11" x14ac:dyDescent="0.2">
      <c r="A1225" t="s">
        <v>1598</v>
      </c>
      <c r="B1225" t="s">
        <v>3261</v>
      </c>
      <c r="C1225" s="5" t="s">
        <v>48</v>
      </c>
      <c r="D1225" t="s">
        <v>5095</v>
      </c>
      <c r="E1225" t="str">
        <f t="shared" si="78"/>
        <v>data/SpellCasting_CostValues.lookup</v>
      </c>
      <c r="F1225" s="5" t="s">
        <v>5096</v>
      </c>
      <c r="G1225" s="5">
        <f t="shared" si="75"/>
        <v>25818</v>
      </c>
      <c r="H1225" s="5">
        <v>32</v>
      </c>
      <c r="I1225" s="6" t="str">
        <f t="shared" si="76"/>
        <v>20</v>
      </c>
      <c r="J1225" s="6" t="s">
        <v>3414</v>
      </c>
      <c r="K1225" s="19" t="s">
        <v>5097</v>
      </c>
    </row>
    <row r="1226" spans="1:11" ht="17" x14ac:dyDescent="0.25">
      <c r="A1226" t="s">
        <v>1599</v>
      </c>
      <c r="B1226" t="s">
        <v>5098</v>
      </c>
      <c r="C1226" s="5" t="s">
        <v>48</v>
      </c>
      <c r="D1226" t="s">
        <v>5099</v>
      </c>
      <c r="E1226" t="str">
        <f t="shared" si="78"/>
        <v>data/SpellCasting_CastPowerCostAdjustments.lookup</v>
      </c>
      <c r="F1226" s="5" t="s">
        <v>5100</v>
      </c>
      <c r="G1226" s="5">
        <f t="shared" si="75"/>
        <v>25850</v>
      </c>
      <c r="H1226" s="5">
        <v>14</v>
      </c>
      <c r="I1226" s="6" t="str">
        <f t="shared" si="76"/>
        <v>E</v>
      </c>
      <c r="J1226" s="6" t="s">
        <v>3414</v>
      </c>
      <c r="K1226" s="19" t="s">
        <v>5101</v>
      </c>
    </row>
    <row r="1227" spans="1:11" ht="17" x14ac:dyDescent="0.25">
      <c r="A1227" t="s">
        <v>1600</v>
      </c>
      <c r="B1227" t="s">
        <v>5102</v>
      </c>
      <c r="C1227" s="5" t="s">
        <v>7</v>
      </c>
      <c r="F1227" s="5" t="s">
        <v>5103</v>
      </c>
      <c r="G1227" s="5">
        <f t="shared" si="75"/>
        <v>25864</v>
      </c>
      <c r="I1227" s="6" t="str">
        <f t="shared" si="76"/>
        <v>0</v>
      </c>
      <c r="K1227" s="19" t="s">
        <v>5104</v>
      </c>
    </row>
    <row r="1228" spans="1:11" x14ac:dyDescent="0.2">
      <c r="A1228" t="s">
        <v>1601</v>
      </c>
      <c r="B1228" t="s">
        <v>6865</v>
      </c>
      <c r="G1228" s="5" t="str">
        <f t="shared" si="75"/>
        <v/>
      </c>
      <c r="I1228" s="6" t="str">
        <f t="shared" si="76"/>
        <v>0</v>
      </c>
      <c r="K1228" s="19" t="s">
        <v>6263</v>
      </c>
    </row>
    <row r="1229" spans="1:11" x14ac:dyDescent="0.2">
      <c r="A1229" t="s">
        <v>1602</v>
      </c>
      <c r="B1229" t="s">
        <v>6866</v>
      </c>
      <c r="G1229" s="5" t="str">
        <f t="shared" si="75"/>
        <v/>
      </c>
      <c r="I1229" s="6" t="str">
        <f t="shared" si="76"/>
        <v>0</v>
      </c>
    </row>
    <row r="1230" spans="1:11" x14ac:dyDescent="0.2">
      <c r="A1230" t="s">
        <v>1603</v>
      </c>
      <c r="B1230" t="s">
        <v>6867</v>
      </c>
      <c r="G1230" s="5" t="str">
        <f t="shared" si="75"/>
        <v/>
      </c>
      <c r="I1230" s="6" t="str">
        <f t="shared" si="76"/>
        <v>0</v>
      </c>
    </row>
    <row r="1231" spans="1:11" x14ac:dyDescent="0.2">
      <c r="A1231" t="s">
        <v>1604</v>
      </c>
      <c r="B1231" t="s">
        <v>6868</v>
      </c>
      <c r="G1231" s="5" t="str">
        <f t="shared" si="75"/>
        <v/>
      </c>
      <c r="I1231" s="6" t="str">
        <f t="shared" si="76"/>
        <v>0</v>
      </c>
    </row>
    <row r="1232" spans="1:11" x14ac:dyDescent="0.2">
      <c r="A1232" t="s">
        <v>1605</v>
      </c>
      <c r="B1232" t="s">
        <v>6869</v>
      </c>
      <c r="G1232" s="5" t="str">
        <f t="shared" si="75"/>
        <v/>
      </c>
      <c r="I1232" s="6" t="str">
        <f t="shared" si="76"/>
        <v>0</v>
      </c>
    </row>
    <row r="1233" spans="1:11" x14ac:dyDescent="0.2">
      <c r="A1233" t="s">
        <v>1606</v>
      </c>
      <c r="B1233" t="s">
        <v>3739</v>
      </c>
      <c r="G1233" s="5" t="str">
        <f t="shared" si="75"/>
        <v/>
      </c>
      <c r="I1233" s="6" t="str">
        <f t="shared" si="76"/>
        <v>0</v>
      </c>
      <c r="K1233" s="19" t="s">
        <v>3740</v>
      </c>
    </row>
    <row r="1234" spans="1:11" x14ac:dyDescent="0.2">
      <c r="A1234" t="s">
        <v>1607</v>
      </c>
      <c r="B1234" t="s">
        <v>3903</v>
      </c>
      <c r="E1234" t="str">
        <f t="shared" ref="E1234:E1242" si="79">IF(D1234&lt;&gt;"",C1234&amp;"/"&amp;D1234,"")</f>
        <v/>
      </c>
      <c r="G1234" s="5" t="str">
        <f t="shared" si="75"/>
        <v/>
      </c>
      <c r="I1234" s="6" t="str">
        <f t="shared" si="76"/>
        <v>0</v>
      </c>
      <c r="K1234" s="19" t="s">
        <v>3904</v>
      </c>
    </row>
    <row r="1235" spans="1:11" x14ac:dyDescent="0.2">
      <c r="A1235" t="s">
        <v>1608</v>
      </c>
      <c r="B1235" t="s">
        <v>3905</v>
      </c>
      <c r="E1235" t="str">
        <f t="shared" si="79"/>
        <v/>
      </c>
      <c r="G1235" s="5" t="str">
        <f t="shared" si="75"/>
        <v/>
      </c>
      <c r="I1235" s="6" t="str">
        <f t="shared" si="76"/>
        <v>0</v>
      </c>
      <c r="K1235" s="19" t="s">
        <v>3906</v>
      </c>
    </row>
    <row r="1236" spans="1:11" x14ac:dyDescent="0.2">
      <c r="A1236" t="s">
        <v>1609</v>
      </c>
      <c r="B1236" t="s">
        <v>1610</v>
      </c>
      <c r="E1236" t="str">
        <f t="shared" si="79"/>
        <v/>
      </c>
      <c r="G1236" s="5" t="str">
        <f t="shared" si="75"/>
        <v/>
      </c>
      <c r="I1236" s="6" t="str">
        <f t="shared" si="76"/>
        <v>0</v>
      </c>
      <c r="K1236" s="19" t="s">
        <v>3907</v>
      </c>
    </row>
    <row r="1237" spans="1:11" x14ac:dyDescent="0.2">
      <c r="A1237" t="s">
        <v>1611</v>
      </c>
      <c r="B1237" t="s">
        <v>1612</v>
      </c>
      <c r="E1237" t="str">
        <f t="shared" si="79"/>
        <v/>
      </c>
      <c r="G1237" s="5" t="str">
        <f t="shared" si="75"/>
        <v/>
      </c>
      <c r="I1237" s="6" t="str">
        <f t="shared" si="76"/>
        <v>0</v>
      </c>
      <c r="K1237" s="19" t="s">
        <v>3908</v>
      </c>
    </row>
    <row r="1238" spans="1:11" x14ac:dyDescent="0.2">
      <c r="A1238" t="s">
        <v>1613</v>
      </c>
      <c r="B1238" t="s">
        <v>1614</v>
      </c>
      <c r="E1238" t="str">
        <f t="shared" si="79"/>
        <v/>
      </c>
      <c r="G1238" s="5" t="str">
        <f t="shared" si="75"/>
        <v/>
      </c>
      <c r="I1238" s="6" t="str">
        <f t="shared" si="76"/>
        <v>0</v>
      </c>
      <c r="K1238" s="19" t="s">
        <v>3909</v>
      </c>
    </row>
    <row r="1239" spans="1:11" x14ac:dyDescent="0.2">
      <c r="A1239" t="s">
        <v>1615</v>
      </c>
      <c r="B1239" t="s">
        <v>1616</v>
      </c>
      <c r="E1239" t="str">
        <f t="shared" si="79"/>
        <v/>
      </c>
      <c r="G1239" s="5" t="str">
        <f t="shared" si="75"/>
        <v/>
      </c>
      <c r="I1239" s="6" t="str">
        <f t="shared" si="76"/>
        <v>0</v>
      </c>
      <c r="K1239" s="19" t="s">
        <v>3910</v>
      </c>
    </row>
    <row r="1240" spans="1:11" x14ac:dyDescent="0.2">
      <c r="A1240" t="s">
        <v>1617</v>
      </c>
      <c r="B1240" t="s">
        <v>1618</v>
      </c>
      <c r="E1240" t="str">
        <f t="shared" si="79"/>
        <v/>
      </c>
      <c r="G1240" s="5" t="str">
        <f t="shared" si="75"/>
        <v/>
      </c>
      <c r="I1240" s="6" t="str">
        <f t="shared" si="76"/>
        <v>0</v>
      </c>
      <c r="K1240" s="19" t="s">
        <v>3911</v>
      </c>
    </row>
    <row r="1241" spans="1:11" x14ac:dyDescent="0.2">
      <c r="A1241" t="s">
        <v>1619</v>
      </c>
      <c r="B1241" t="s">
        <v>1620</v>
      </c>
      <c r="E1241" t="str">
        <f t="shared" si="79"/>
        <v/>
      </c>
      <c r="G1241" s="5" t="str">
        <f t="shared" si="75"/>
        <v/>
      </c>
      <c r="I1241" s="6" t="str">
        <f t="shared" si="76"/>
        <v>0</v>
      </c>
      <c r="K1241" s="19" t="s">
        <v>3912</v>
      </c>
    </row>
    <row r="1242" spans="1:11" x14ac:dyDescent="0.2">
      <c r="A1242" t="s">
        <v>1621</v>
      </c>
      <c r="B1242" t="s">
        <v>3913</v>
      </c>
      <c r="E1242" t="str">
        <f t="shared" si="79"/>
        <v/>
      </c>
      <c r="G1242" s="5" t="str">
        <f t="shared" si="75"/>
        <v/>
      </c>
      <c r="I1242" s="6" t="str">
        <f t="shared" si="76"/>
        <v>0</v>
      </c>
      <c r="K1242" s="19" t="s">
        <v>3914</v>
      </c>
    </row>
    <row r="1243" spans="1:11" x14ac:dyDescent="0.2">
      <c r="A1243" t="s">
        <v>1622</v>
      </c>
      <c r="B1243" t="s">
        <v>3787</v>
      </c>
      <c r="G1243" s="5" t="str">
        <f t="shared" si="75"/>
        <v/>
      </c>
      <c r="I1243" s="6" t="str">
        <f t="shared" si="76"/>
        <v>0</v>
      </c>
      <c r="K1243" s="19" t="s">
        <v>3915</v>
      </c>
    </row>
    <row r="1244" spans="1:11" x14ac:dyDescent="0.2">
      <c r="A1244" t="s">
        <v>1623</v>
      </c>
      <c r="B1244" t="s">
        <v>3916</v>
      </c>
      <c r="E1244" t="str">
        <f t="shared" ref="E1244:E1270" si="80">IF(D1244&lt;&gt;"",C1244&amp;"/"&amp;D1244,"")</f>
        <v/>
      </c>
      <c r="G1244" s="5" t="str">
        <f t="shared" si="75"/>
        <v/>
      </c>
      <c r="I1244" s="6" t="str">
        <f t="shared" si="76"/>
        <v>0</v>
      </c>
      <c r="K1244" s="19" t="s">
        <v>3917</v>
      </c>
    </row>
    <row r="1245" spans="1:11" x14ac:dyDescent="0.2">
      <c r="A1245" t="s">
        <v>1624</v>
      </c>
      <c r="B1245" t="s">
        <v>3301</v>
      </c>
      <c r="E1245" t="str">
        <f t="shared" si="80"/>
        <v/>
      </c>
      <c r="G1245" s="5" t="str">
        <f t="shared" si="75"/>
        <v/>
      </c>
      <c r="I1245" s="6" t="str">
        <f t="shared" si="76"/>
        <v>0</v>
      </c>
      <c r="K1245" s="19" t="s">
        <v>3918</v>
      </c>
    </row>
    <row r="1246" spans="1:11" x14ac:dyDescent="0.2">
      <c r="A1246" t="s">
        <v>1625</v>
      </c>
      <c r="B1246" t="s">
        <v>3919</v>
      </c>
      <c r="E1246" t="str">
        <f t="shared" si="80"/>
        <v/>
      </c>
      <c r="G1246" s="5" t="str">
        <f t="shared" si="75"/>
        <v/>
      </c>
      <c r="I1246" s="6" t="str">
        <f t="shared" si="76"/>
        <v>0</v>
      </c>
      <c r="K1246" s="19" t="s">
        <v>3920</v>
      </c>
    </row>
    <row r="1247" spans="1:11" x14ac:dyDescent="0.2">
      <c r="A1247" t="s">
        <v>1626</v>
      </c>
      <c r="B1247" t="s">
        <v>3921</v>
      </c>
      <c r="E1247" t="str">
        <f t="shared" si="80"/>
        <v/>
      </c>
      <c r="G1247" s="5" t="str">
        <f t="shared" si="75"/>
        <v/>
      </c>
      <c r="I1247" s="6" t="str">
        <f t="shared" si="76"/>
        <v>0</v>
      </c>
      <c r="K1247" s="19" t="s">
        <v>3922</v>
      </c>
    </row>
    <row r="1248" spans="1:11" x14ac:dyDescent="0.2">
      <c r="A1248" t="s">
        <v>1627</v>
      </c>
      <c r="B1248" t="s">
        <v>3923</v>
      </c>
      <c r="E1248" t="str">
        <f t="shared" si="80"/>
        <v/>
      </c>
      <c r="G1248" s="5" t="str">
        <f t="shared" si="75"/>
        <v/>
      </c>
      <c r="I1248" s="6" t="str">
        <f t="shared" si="76"/>
        <v>0</v>
      </c>
      <c r="K1248" s="19" t="s">
        <v>3924</v>
      </c>
    </row>
    <row r="1249" spans="1:11" x14ac:dyDescent="0.2">
      <c r="A1249" t="s">
        <v>1628</v>
      </c>
      <c r="B1249" t="s">
        <v>3925</v>
      </c>
      <c r="E1249" t="str">
        <f t="shared" si="80"/>
        <v/>
      </c>
      <c r="G1249" s="5" t="str">
        <f t="shared" si="75"/>
        <v/>
      </c>
      <c r="I1249" s="6" t="str">
        <f t="shared" si="76"/>
        <v>0</v>
      </c>
      <c r="K1249" s="19" t="s">
        <v>3926</v>
      </c>
    </row>
    <row r="1250" spans="1:11" x14ac:dyDescent="0.2">
      <c r="A1250" t="s">
        <v>1629</v>
      </c>
      <c r="B1250" t="s">
        <v>3927</v>
      </c>
      <c r="E1250" t="str">
        <f t="shared" si="80"/>
        <v/>
      </c>
      <c r="G1250" s="5" t="str">
        <f t="shared" si="75"/>
        <v/>
      </c>
      <c r="I1250" s="6" t="str">
        <f t="shared" si="76"/>
        <v>0</v>
      </c>
      <c r="K1250" s="19" t="s">
        <v>3928</v>
      </c>
    </row>
    <row r="1251" spans="1:11" x14ac:dyDescent="0.2">
      <c r="A1251" t="s">
        <v>1630</v>
      </c>
      <c r="B1251" t="s">
        <v>3300</v>
      </c>
      <c r="E1251" t="str">
        <f t="shared" si="80"/>
        <v/>
      </c>
      <c r="G1251" s="5" t="str">
        <f t="shared" si="75"/>
        <v/>
      </c>
      <c r="I1251" s="6" t="str">
        <f t="shared" si="76"/>
        <v>0</v>
      </c>
      <c r="K1251" s="19" t="s">
        <v>3929</v>
      </c>
    </row>
    <row r="1252" spans="1:11" x14ac:dyDescent="0.2">
      <c r="A1252" t="s">
        <v>1631</v>
      </c>
      <c r="B1252" t="s">
        <v>3930</v>
      </c>
      <c r="E1252" t="str">
        <f t="shared" si="80"/>
        <v/>
      </c>
      <c r="G1252" s="5" t="str">
        <f t="shared" si="75"/>
        <v/>
      </c>
      <c r="I1252" s="6" t="str">
        <f t="shared" si="76"/>
        <v>0</v>
      </c>
      <c r="K1252" s="19" t="s">
        <v>3931</v>
      </c>
    </row>
    <row r="1253" spans="1:11" x14ac:dyDescent="0.2">
      <c r="A1253" t="s">
        <v>1633</v>
      </c>
      <c r="B1253" t="s">
        <v>3297</v>
      </c>
      <c r="E1253" t="str">
        <f t="shared" si="80"/>
        <v/>
      </c>
      <c r="G1253" s="5" t="str">
        <f t="shared" si="75"/>
        <v/>
      </c>
      <c r="I1253" s="6" t="str">
        <f t="shared" si="76"/>
        <v>0</v>
      </c>
      <c r="K1253" s="19" t="s">
        <v>3932</v>
      </c>
    </row>
    <row r="1254" spans="1:11" x14ac:dyDescent="0.2">
      <c r="A1254" t="s">
        <v>1634</v>
      </c>
      <c r="B1254" t="s">
        <v>3933</v>
      </c>
      <c r="E1254" t="str">
        <f t="shared" si="80"/>
        <v/>
      </c>
      <c r="G1254" s="5" t="str">
        <f t="shared" si="75"/>
        <v/>
      </c>
      <c r="I1254" s="6" t="str">
        <f t="shared" si="76"/>
        <v>0</v>
      </c>
      <c r="K1254" s="19" t="s">
        <v>3934</v>
      </c>
    </row>
    <row r="1255" spans="1:11" x14ac:dyDescent="0.2">
      <c r="A1255" t="s">
        <v>1635</v>
      </c>
      <c r="B1255" t="s">
        <v>3935</v>
      </c>
      <c r="E1255" t="str">
        <f t="shared" si="80"/>
        <v/>
      </c>
      <c r="G1255" s="5" t="str">
        <f t="shared" si="75"/>
        <v/>
      </c>
      <c r="I1255" s="6" t="str">
        <f t="shared" si="76"/>
        <v>0</v>
      </c>
      <c r="K1255" s="19" t="s">
        <v>3936</v>
      </c>
    </row>
    <row r="1256" spans="1:11" x14ac:dyDescent="0.2">
      <c r="A1256" t="s">
        <v>1636</v>
      </c>
      <c r="B1256" t="s">
        <v>3937</v>
      </c>
      <c r="E1256" t="str">
        <f t="shared" si="80"/>
        <v/>
      </c>
      <c r="G1256" s="5" t="str">
        <f t="shared" si="75"/>
        <v/>
      </c>
      <c r="I1256" s="6" t="str">
        <f t="shared" si="76"/>
        <v>0</v>
      </c>
      <c r="K1256" s="19" t="s">
        <v>3938</v>
      </c>
    </row>
    <row r="1257" spans="1:11" x14ac:dyDescent="0.2">
      <c r="A1257" t="s">
        <v>1637</v>
      </c>
      <c r="B1257" t="s">
        <v>3939</v>
      </c>
      <c r="E1257" t="str">
        <f t="shared" si="80"/>
        <v/>
      </c>
      <c r="G1257" s="5" t="str">
        <f t="shared" si="75"/>
        <v/>
      </c>
      <c r="I1257" s="6" t="str">
        <f t="shared" si="76"/>
        <v>0</v>
      </c>
      <c r="K1257" s="19" t="s">
        <v>3940</v>
      </c>
    </row>
    <row r="1258" spans="1:11" x14ac:dyDescent="0.2">
      <c r="A1258" t="s">
        <v>1639</v>
      </c>
      <c r="B1258" t="s">
        <v>3941</v>
      </c>
      <c r="E1258" t="str">
        <f t="shared" si="80"/>
        <v/>
      </c>
      <c r="G1258" s="5" t="str">
        <f t="shared" si="75"/>
        <v/>
      </c>
      <c r="I1258" s="6" t="str">
        <f t="shared" si="76"/>
        <v>0</v>
      </c>
      <c r="K1258" s="19" t="s">
        <v>3942</v>
      </c>
    </row>
    <row r="1259" spans="1:11" x14ac:dyDescent="0.2">
      <c r="A1259" t="s">
        <v>1640</v>
      </c>
      <c r="B1259" t="s">
        <v>3943</v>
      </c>
      <c r="E1259" t="str">
        <f t="shared" si="80"/>
        <v/>
      </c>
      <c r="G1259" s="5" t="str">
        <f t="shared" si="75"/>
        <v/>
      </c>
      <c r="I1259" s="6" t="str">
        <f t="shared" si="76"/>
        <v>0</v>
      </c>
      <c r="K1259" s="19" t="s">
        <v>3944</v>
      </c>
    </row>
    <row r="1260" spans="1:11" x14ac:dyDescent="0.2">
      <c r="A1260" t="s">
        <v>1641</v>
      </c>
      <c r="B1260" t="s">
        <v>3945</v>
      </c>
      <c r="E1260" t="str">
        <f t="shared" si="80"/>
        <v/>
      </c>
      <c r="G1260" s="5" t="str">
        <f t="shared" si="75"/>
        <v/>
      </c>
      <c r="I1260" s="6" t="str">
        <f t="shared" si="76"/>
        <v>0</v>
      </c>
      <c r="K1260" s="19" t="s">
        <v>3946</v>
      </c>
    </row>
    <row r="1261" spans="1:11" x14ac:dyDescent="0.2">
      <c r="A1261" t="s">
        <v>1642</v>
      </c>
      <c r="B1261" t="s">
        <v>3947</v>
      </c>
      <c r="E1261" t="str">
        <f t="shared" si="80"/>
        <v/>
      </c>
      <c r="G1261" s="5" t="str">
        <f t="shared" si="75"/>
        <v/>
      </c>
      <c r="I1261" s="6" t="str">
        <f t="shared" si="76"/>
        <v>0</v>
      </c>
      <c r="K1261" s="19" t="s">
        <v>3948</v>
      </c>
    </row>
    <row r="1262" spans="1:11" x14ac:dyDescent="0.2">
      <c r="A1262" t="s">
        <v>1643</v>
      </c>
      <c r="B1262" t="s">
        <v>3949</v>
      </c>
      <c r="E1262" t="str">
        <f t="shared" si="80"/>
        <v/>
      </c>
      <c r="G1262" s="5" t="str">
        <f t="shared" si="75"/>
        <v/>
      </c>
      <c r="I1262" s="6" t="str">
        <f t="shared" si="76"/>
        <v>0</v>
      </c>
      <c r="K1262" s="19" t="s">
        <v>3950</v>
      </c>
    </row>
    <row r="1263" spans="1:11" x14ac:dyDescent="0.2">
      <c r="A1263" t="s">
        <v>1644</v>
      </c>
      <c r="B1263" t="s">
        <v>3951</v>
      </c>
      <c r="E1263" t="str">
        <f t="shared" si="80"/>
        <v/>
      </c>
      <c r="G1263" s="5" t="str">
        <f t="shared" si="75"/>
        <v/>
      </c>
      <c r="I1263" s="6" t="str">
        <f t="shared" si="76"/>
        <v>0</v>
      </c>
      <c r="K1263" s="19" t="s">
        <v>3952</v>
      </c>
    </row>
    <row r="1264" spans="1:11" x14ac:dyDescent="0.2">
      <c r="A1264" t="s">
        <v>1645</v>
      </c>
      <c r="B1264" t="s">
        <v>3953</v>
      </c>
      <c r="E1264" t="str">
        <f t="shared" si="80"/>
        <v/>
      </c>
      <c r="G1264" s="5" t="str">
        <f t="shared" si="75"/>
        <v/>
      </c>
      <c r="I1264" s="6" t="str">
        <f t="shared" si="76"/>
        <v>0</v>
      </c>
      <c r="K1264" s="19" t="s">
        <v>3954</v>
      </c>
    </row>
    <row r="1265" spans="1:11" x14ac:dyDescent="0.2">
      <c r="A1265" t="s">
        <v>1646</v>
      </c>
      <c r="B1265" t="s">
        <v>3955</v>
      </c>
      <c r="E1265" t="str">
        <f t="shared" si="80"/>
        <v/>
      </c>
      <c r="G1265" s="5" t="str">
        <f t="shared" si="75"/>
        <v/>
      </c>
      <c r="I1265" s="6" t="str">
        <f t="shared" si="76"/>
        <v>0</v>
      </c>
      <c r="K1265" s="19" t="s">
        <v>3956</v>
      </c>
    </row>
    <row r="1266" spans="1:11" x14ac:dyDescent="0.2">
      <c r="A1266" t="s">
        <v>1647</v>
      </c>
      <c r="B1266" t="s">
        <v>3957</v>
      </c>
      <c r="E1266" t="str">
        <f t="shared" si="80"/>
        <v/>
      </c>
      <c r="G1266" s="5" t="str">
        <f t="shared" si="75"/>
        <v/>
      </c>
      <c r="I1266" s="6" t="str">
        <f t="shared" si="76"/>
        <v>0</v>
      </c>
      <c r="K1266" s="19" t="s">
        <v>3958</v>
      </c>
    </row>
    <row r="1267" spans="1:11" x14ac:dyDescent="0.2">
      <c r="A1267" t="s">
        <v>1648</v>
      </c>
      <c r="B1267" t="s">
        <v>3959</v>
      </c>
      <c r="E1267" t="str">
        <f t="shared" si="80"/>
        <v/>
      </c>
      <c r="G1267" s="5" t="str">
        <f t="shared" si="75"/>
        <v/>
      </c>
      <c r="I1267" s="6" t="str">
        <f t="shared" si="76"/>
        <v>0</v>
      </c>
      <c r="K1267" s="19" t="s">
        <v>3960</v>
      </c>
    </row>
    <row r="1268" spans="1:11" x14ac:dyDescent="0.2">
      <c r="A1268" t="s">
        <v>1650</v>
      </c>
      <c r="B1268" t="s">
        <v>3961</v>
      </c>
      <c r="E1268" t="str">
        <f t="shared" si="80"/>
        <v/>
      </c>
      <c r="G1268" s="5" t="str">
        <f t="shared" si="75"/>
        <v/>
      </c>
      <c r="I1268" s="6" t="str">
        <f t="shared" si="76"/>
        <v>0</v>
      </c>
      <c r="K1268" s="19" t="s">
        <v>3962</v>
      </c>
    </row>
    <row r="1269" spans="1:11" x14ac:dyDescent="0.2">
      <c r="A1269" t="s">
        <v>1651</v>
      </c>
      <c r="B1269" t="s">
        <v>3963</v>
      </c>
      <c r="E1269" t="str">
        <f t="shared" si="80"/>
        <v/>
      </c>
      <c r="G1269" s="5" t="str">
        <f t="shared" si="75"/>
        <v/>
      </c>
      <c r="I1269" s="6" t="str">
        <f t="shared" si="76"/>
        <v>0</v>
      </c>
      <c r="K1269" s="19" t="s">
        <v>3964</v>
      </c>
    </row>
    <row r="1270" spans="1:11" x14ac:dyDescent="0.2">
      <c r="A1270" t="s">
        <v>1652</v>
      </c>
      <c r="B1270" t="s">
        <v>3965</v>
      </c>
      <c r="E1270" t="str">
        <f t="shared" si="80"/>
        <v/>
      </c>
      <c r="G1270" s="5" t="str">
        <f t="shared" si="75"/>
        <v/>
      </c>
      <c r="I1270" s="6" t="str">
        <f t="shared" si="76"/>
        <v>0</v>
      </c>
      <c r="K1270" s="19" t="s">
        <v>3966</v>
      </c>
    </row>
    <row r="1271" spans="1:11" x14ac:dyDescent="0.2">
      <c r="A1271" t="s">
        <v>1654</v>
      </c>
      <c r="B1271" t="s">
        <v>1655</v>
      </c>
      <c r="C1271" s="5" t="s">
        <v>7</v>
      </c>
      <c r="F1271" s="5" t="s">
        <v>5046</v>
      </c>
      <c r="G1271" s="5">
        <f t="shared" si="75"/>
        <v>26732</v>
      </c>
      <c r="I1271" s="6" t="str">
        <f t="shared" si="76"/>
        <v>0</v>
      </c>
      <c r="K1271" s="19" t="s">
        <v>5047</v>
      </c>
    </row>
    <row r="1272" spans="1:11" x14ac:dyDescent="0.2">
      <c r="A1272" t="s">
        <v>1656</v>
      </c>
      <c r="B1272" t="s">
        <v>3299</v>
      </c>
      <c r="C1272" s="5" t="s">
        <v>7</v>
      </c>
      <c r="F1272" s="5" t="s">
        <v>5048</v>
      </c>
      <c r="G1272" s="5">
        <f t="shared" si="75"/>
        <v>26758</v>
      </c>
      <c r="I1272" s="6" t="str">
        <f t="shared" si="76"/>
        <v>0</v>
      </c>
      <c r="K1272" s="19" t="s">
        <v>5049</v>
      </c>
    </row>
    <row r="1273" spans="1:11" x14ac:dyDescent="0.2">
      <c r="A1273" t="s">
        <v>1657</v>
      </c>
      <c r="B1273" t="s">
        <v>3967</v>
      </c>
      <c r="E1273" t="str">
        <f>IF(D1273&lt;&gt;"",C1273&amp;"/"&amp;D1273,"")</f>
        <v/>
      </c>
      <c r="G1273" s="5" t="str">
        <f t="shared" si="75"/>
        <v/>
      </c>
      <c r="I1273" s="6" t="str">
        <f t="shared" si="76"/>
        <v>0</v>
      </c>
      <c r="K1273" s="19" t="s">
        <v>3968</v>
      </c>
    </row>
    <row r="1274" spans="1:11" x14ac:dyDescent="0.2">
      <c r="A1274" t="s">
        <v>1658</v>
      </c>
      <c r="B1274" t="s">
        <v>3969</v>
      </c>
      <c r="E1274" t="str">
        <f>IF(D1274&lt;&gt;"",C1274&amp;"/"&amp;D1274,"")</f>
        <v/>
      </c>
      <c r="G1274" s="5" t="str">
        <f t="shared" si="75"/>
        <v/>
      </c>
      <c r="I1274" s="6" t="str">
        <f t="shared" si="76"/>
        <v>0</v>
      </c>
      <c r="K1274" s="19" t="s">
        <v>3970</v>
      </c>
    </row>
    <row r="1275" spans="1:11" x14ac:dyDescent="0.2">
      <c r="A1275" t="s">
        <v>1659</v>
      </c>
      <c r="B1275" t="s">
        <v>3971</v>
      </c>
      <c r="G1275" s="5" t="str">
        <f t="shared" si="75"/>
        <v/>
      </c>
      <c r="I1275" s="6" t="str">
        <f t="shared" si="76"/>
        <v>0</v>
      </c>
      <c r="K1275" s="19" t="s">
        <v>6264</v>
      </c>
    </row>
    <row r="1276" spans="1:11" x14ac:dyDescent="0.2">
      <c r="A1276" t="s">
        <v>1660</v>
      </c>
      <c r="B1276" t="s">
        <v>3972</v>
      </c>
      <c r="E1276" t="str">
        <f>IF(D1276&lt;&gt;"",C1276&amp;"/"&amp;D1276,"")</f>
        <v/>
      </c>
      <c r="G1276" s="5" t="str">
        <f t="shared" si="75"/>
        <v/>
      </c>
      <c r="I1276" s="6" t="str">
        <f t="shared" si="76"/>
        <v>0</v>
      </c>
      <c r="K1276" s="19" t="s">
        <v>3973</v>
      </c>
    </row>
    <row r="1277" spans="1:11" x14ac:dyDescent="0.2">
      <c r="A1277" t="s">
        <v>1661</v>
      </c>
      <c r="B1277" t="s">
        <v>3788</v>
      </c>
      <c r="G1277" s="5" t="str">
        <f t="shared" si="75"/>
        <v/>
      </c>
      <c r="I1277" s="6" t="str">
        <f t="shared" si="76"/>
        <v>0</v>
      </c>
      <c r="K1277" s="19" t="s">
        <v>3789</v>
      </c>
    </row>
    <row r="1278" spans="1:11" x14ac:dyDescent="0.2">
      <c r="A1278" t="s">
        <v>1662</v>
      </c>
      <c r="B1278" t="s">
        <v>3974</v>
      </c>
      <c r="E1278" t="str">
        <f>IF(D1278&lt;&gt;"",C1278&amp;"/"&amp;D1278,"")</f>
        <v/>
      </c>
      <c r="G1278" s="5" t="str">
        <f t="shared" si="75"/>
        <v/>
      </c>
      <c r="I1278" s="6" t="str">
        <f t="shared" si="76"/>
        <v>0</v>
      </c>
      <c r="K1278" s="19" t="s">
        <v>3975</v>
      </c>
    </row>
    <row r="1279" spans="1:11" x14ac:dyDescent="0.2">
      <c r="A1279" t="s">
        <v>1663</v>
      </c>
      <c r="B1279" t="s">
        <v>3976</v>
      </c>
      <c r="E1279" t="str">
        <f>IF(D1279&lt;&gt;"",C1279&amp;"/"&amp;D1279,"")</f>
        <v/>
      </c>
      <c r="G1279" s="5" t="str">
        <f t="shared" si="75"/>
        <v/>
      </c>
      <c r="I1279" s="6" t="str">
        <f t="shared" si="76"/>
        <v>0</v>
      </c>
      <c r="K1279" s="19" t="s">
        <v>3977</v>
      </c>
    </row>
    <row r="1280" spans="1:11" x14ac:dyDescent="0.2">
      <c r="A1280" t="s">
        <v>1664</v>
      </c>
      <c r="B1280" t="s">
        <v>3790</v>
      </c>
      <c r="G1280" s="5" t="str">
        <f t="shared" si="75"/>
        <v/>
      </c>
      <c r="I1280" s="6" t="str">
        <f t="shared" si="76"/>
        <v>0</v>
      </c>
      <c r="K1280" s="19" t="s">
        <v>3791</v>
      </c>
    </row>
    <row r="1281" spans="1:11" x14ac:dyDescent="0.2">
      <c r="A1281" t="s">
        <v>1665</v>
      </c>
      <c r="B1281" t="s">
        <v>3978</v>
      </c>
      <c r="E1281" t="str">
        <f t="shared" ref="E1281:E1295" si="81">IF(D1281&lt;&gt;"",C1281&amp;"/"&amp;D1281,"")</f>
        <v/>
      </c>
      <c r="G1281" s="5" t="str">
        <f t="shared" ref="G1281:G1344" si="82">IF(F1281&lt;&gt;"",HEX2DEC(SUBSTITUTE(SUBSTITUTE(F1281,"adrEA",""),"$","")),"")</f>
        <v/>
      </c>
      <c r="I1281" s="6" t="str">
        <f t="shared" ref="I1281:I1344" si="83">IFERROR(DEC2HEX(H1281),"")</f>
        <v>0</v>
      </c>
      <c r="K1281" s="19" t="s">
        <v>3979</v>
      </c>
    </row>
    <row r="1282" spans="1:11" x14ac:dyDescent="0.2">
      <c r="A1282" t="s">
        <v>1666</v>
      </c>
      <c r="B1282" t="s">
        <v>3980</v>
      </c>
      <c r="E1282" t="str">
        <f t="shared" si="81"/>
        <v/>
      </c>
      <c r="G1282" s="5" t="str">
        <f t="shared" si="82"/>
        <v/>
      </c>
      <c r="I1282" s="6" t="str">
        <f t="shared" si="83"/>
        <v>0</v>
      </c>
      <c r="K1282" s="19" t="s">
        <v>3981</v>
      </c>
    </row>
    <row r="1283" spans="1:11" x14ac:dyDescent="0.2">
      <c r="A1283" t="s">
        <v>1667</v>
      </c>
      <c r="B1283" t="s">
        <v>5580</v>
      </c>
      <c r="G1283" s="5" t="str">
        <f t="shared" si="82"/>
        <v/>
      </c>
      <c r="I1283" s="6" t="str">
        <f t="shared" si="83"/>
        <v>0</v>
      </c>
      <c r="K1283" s="19" t="s">
        <v>5581</v>
      </c>
    </row>
    <row r="1284" spans="1:11" x14ac:dyDescent="0.2">
      <c r="A1284" t="s">
        <v>1668</v>
      </c>
      <c r="B1284" t="s">
        <v>6870</v>
      </c>
      <c r="G1284" s="5" t="str">
        <f t="shared" si="82"/>
        <v/>
      </c>
      <c r="I1284" s="6" t="str">
        <f t="shared" si="83"/>
        <v>0</v>
      </c>
    </row>
    <row r="1285" spans="1:11" x14ac:dyDescent="0.2">
      <c r="A1285" t="s">
        <v>1669</v>
      </c>
      <c r="B1285" t="s">
        <v>6871</v>
      </c>
      <c r="G1285" s="5" t="str">
        <f t="shared" si="82"/>
        <v/>
      </c>
      <c r="I1285" s="6" t="str">
        <f t="shared" si="83"/>
        <v>0</v>
      </c>
    </row>
    <row r="1286" spans="1:11" x14ac:dyDescent="0.2">
      <c r="A1286" t="s">
        <v>1670</v>
      </c>
      <c r="B1286" t="s">
        <v>6872</v>
      </c>
      <c r="G1286" s="5" t="str">
        <f t="shared" si="82"/>
        <v/>
      </c>
      <c r="I1286" s="6" t="str">
        <f t="shared" si="83"/>
        <v>0</v>
      </c>
    </row>
    <row r="1287" spans="1:11" x14ac:dyDescent="0.2">
      <c r="A1287" t="s">
        <v>1671</v>
      </c>
      <c r="B1287" t="s">
        <v>3304</v>
      </c>
      <c r="E1287" t="str">
        <f t="shared" si="81"/>
        <v/>
      </c>
      <c r="G1287" s="5" t="str">
        <f t="shared" si="82"/>
        <v/>
      </c>
      <c r="I1287" s="6" t="str">
        <f t="shared" si="83"/>
        <v>0</v>
      </c>
    </row>
    <row r="1288" spans="1:11" x14ac:dyDescent="0.2">
      <c r="A1288" t="s">
        <v>1672</v>
      </c>
      <c r="B1288" t="s">
        <v>3303</v>
      </c>
      <c r="E1288" t="str">
        <f t="shared" si="81"/>
        <v/>
      </c>
      <c r="G1288" s="5" t="str">
        <f t="shared" si="82"/>
        <v/>
      </c>
      <c r="I1288" s="6" t="str">
        <f t="shared" si="83"/>
        <v>0</v>
      </c>
    </row>
    <row r="1289" spans="1:11" x14ac:dyDescent="0.2">
      <c r="A1289" t="s">
        <v>1673</v>
      </c>
      <c r="B1289" t="s">
        <v>3302</v>
      </c>
      <c r="E1289" t="str">
        <f t="shared" si="81"/>
        <v/>
      </c>
      <c r="G1289" s="5" t="str">
        <f t="shared" si="82"/>
        <v/>
      </c>
      <c r="I1289" s="6" t="str">
        <f t="shared" si="83"/>
        <v>0</v>
      </c>
    </row>
    <row r="1290" spans="1:11" x14ac:dyDescent="0.2">
      <c r="A1290" t="s">
        <v>1674</v>
      </c>
      <c r="B1290" t="s">
        <v>3305</v>
      </c>
      <c r="E1290" t="str">
        <f t="shared" si="81"/>
        <v/>
      </c>
      <c r="G1290" s="5" t="str">
        <f t="shared" si="82"/>
        <v/>
      </c>
      <c r="I1290" s="6" t="str">
        <f t="shared" si="83"/>
        <v>0</v>
      </c>
    </row>
    <row r="1291" spans="1:11" x14ac:dyDescent="0.2">
      <c r="A1291" t="s">
        <v>1675</v>
      </c>
      <c r="B1291" t="s">
        <v>3307</v>
      </c>
      <c r="G1291" s="5" t="str">
        <f t="shared" si="82"/>
        <v/>
      </c>
      <c r="I1291" s="6" t="str">
        <f t="shared" si="83"/>
        <v>0</v>
      </c>
      <c r="K1291" s="19" t="s">
        <v>6265</v>
      </c>
    </row>
    <row r="1292" spans="1:11" x14ac:dyDescent="0.2">
      <c r="A1292" t="s">
        <v>1676</v>
      </c>
      <c r="B1292" t="s">
        <v>1677</v>
      </c>
      <c r="E1292" t="str">
        <f t="shared" si="81"/>
        <v/>
      </c>
      <c r="G1292" s="5" t="str">
        <f t="shared" si="82"/>
        <v/>
      </c>
      <c r="I1292" s="6" t="str">
        <f t="shared" si="83"/>
        <v>0</v>
      </c>
    </row>
    <row r="1293" spans="1:11" x14ac:dyDescent="0.2">
      <c r="A1293" t="s">
        <v>1678</v>
      </c>
      <c r="B1293" t="s">
        <v>1679</v>
      </c>
      <c r="E1293" t="str">
        <f t="shared" si="81"/>
        <v/>
      </c>
      <c r="G1293" s="5" t="str">
        <f t="shared" si="82"/>
        <v/>
      </c>
      <c r="I1293" s="6" t="str">
        <f t="shared" si="83"/>
        <v>0</v>
      </c>
    </row>
    <row r="1294" spans="1:11" x14ac:dyDescent="0.2">
      <c r="A1294" t="s">
        <v>1680</v>
      </c>
      <c r="B1294" t="s">
        <v>1681</v>
      </c>
      <c r="E1294" t="str">
        <f t="shared" si="81"/>
        <v/>
      </c>
      <c r="G1294" s="5" t="str">
        <f t="shared" si="82"/>
        <v/>
      </c>
      <c r="I1294" s="6" t="str">
        <f t="shared" si="83"/>
        <v>0</v>
      </c>
    </row>
    <row r="1295" spans="1:11" x14ac:dyDescent="0.2">
      <c r="A1295" t="s">
        <v>1682</v>
      </c>
      <c r="B1295" t="s">
        <v>1683</v>
      </c>
      <c r="E1295" t="str">
        <f t="shared" si="81"/>
        <v/>
      </c>
      <c r="G1295" s="5" t="str">
        <f t="shared" si="82"/>
        <v/>
      </c>
      <c r="I1295" s="6" t="str">
        <f t="shared" si="83"/>
        <v>0</v>
      </c>
    </row>
    <row r="1296" spans="1:11" x14ac:dyDescent="0.2">
      <c r="A1296" t="s">
        <v>1684</v>
      </c>
      <c r="B1296" t="s">
        <v>3428</v>
      </c>
      <c r="C1296" s="5" t="s">
        <v>5119</v>
      </c>
      <c r="G1296" s="5" t="str">
        <f t="shared" si="82"/>
        <v/>
      </c>
      <c r="I1296" s="6" t="str">
        <f t="shared" si="83"/>
        <v>0</v>
      </c>
      <c r="K1296" s="19" t="s">
        <v>6266</v>
      </c>
    </row>
    <row r="1297" spans="1:12" x14ac:dyDescent="0.2">
      <c r="A1297" t="s">
        <v>1685</v>
      </c>
      <c r="B1297" t="s">
        <v>5165</v>
      </c>
      <c r="C1297" s="5" t="s">
        <v>5119</v>
      </c>
      <c r="F1297" s="5" t="s">
        <v>5136</v>
      </c>
      <c r="G1297" s="5">
        <f t="shared" si="82"/>
        <v>28220</v>
      </c>
      <c r="I1297" s="6" t="str">
        <f t="shared" si="83"/>
        <v>0</v>
      </c>
      <c r="K1297" s="19" t="s">
        <v>5166</v>
      </c>
    </row>
    <row r="1298" spans="1:12" ht="17" x14ac:dyDescent="0.25">
      <c r="A1298" t="s">
        <v>1686</v>
      </c>
      <c r="B1298" t="s">
        <v>5167</v>
      </c>
      <c r="C1298" s="5" t="s">
        <v>5119</v>
      </c>
      <c r="F1298" s="5" t="s">
        <v>5120</v>
      </c>
      <c r="G1298" s="5">
        <f t="shared" si="82"/>
        <v>28222</v>
      </c>
      <c r="I1298" s="6" t="str">
        <f t="shared" si="83"/>
        <v>0</v>
      </c>
      <c r="K1298" s="19" t="s">
        <v>5168</v>
      </c>
    </row>
    <row r="1299" spans="1:12" x14ac:dyDescent="0.2">
      <c r="A1299" t="s">
        <v>1687</v>
      </c>
      <c r="B1299" t="s">
        <v>5287</v>
      </c>
      <c r="C1299" s="5" t="s">
        <v>5119</v>
      </c>
      <c r="F1299" s="5" t="s">
        <v>5288</v>
      </c>
      <c r="G1299" s="5">
        <f t="shared" si="82"/>
        <v>27404</v>
      </c>
      <c r="I1299" s="6" t="str">
        <f t="shared" si="83"/>
        <v>0</v>
      </c>
      <c r="K1299" s="19" t="s">
        <v>5289</v>
      </c>
    </row>
    <row r="1300" spans="1:12" x14ac:dyDescent="0.2">
      <c r="A1300" t="s">
        <v>1688</v>
      </c>
      <c r="B1300" t="s">
        <v>5290</v>
      </c>
      <c r="C1300" s="5" t="s">
        <v>5119</v>
      </c>
      <c r="F1300" s="5" t="s">
        <v>5291</v>
      </c>
      <c r="G1300" s="5">
        <f t="shared" si="82"/>
        <v>27420</v>
      </c>
      <c r="I1300" s="6" t="str">
        <f t="shared" si="83"/>
        <v>0</v>
      </c>
      <c r="K1300" s="19" t="s">
        <v>5292</v>
      </c>
    </row>
    <row r="1301" spans="1:12" x14ac:dyDescent="0.2">
      <c r="A1301" t="s">
        <v>1689</v>
      </c>
      <c r="B1301" t="s">
        <v>5169</v>
      </c>
      <c r="C1301" s="5" t="s">
        <v>5119</v>
      </c>
      <c r="F1301" s="5" t="s">
        <v>5170</v>
      </c>
      <c r="G1301" s="5">
        <f t="shared" si="82"/>
        <v>28328</v>
      </c>
      <c r="I1301" s="6" t="str">
        <f t="shared" si="83"/>
        <v>0</v>
      </c>
      <c r="K1301" s="19" t="s">
        <v>5171</v>
      </c>
    </row>
    <row r="1302" spans="1:12" x14ac:dyDescent="0.2">
      <c r="A1302" t="s">
        <v>1690</v>
      </c>
      <c r="B1302" t="s">
        <v>6182</v>
      </c>
      <c r="G1302" s="5" t="str">
        <f t="shared" si="82"/>
        <v/>
      </c>
      <c r="I1302" s="6" t="str">
        <f t="shared" si="83"/>
        <v>0</v>
      </c>
      <c r="K1302" s="19" t="s">
        <v>6183</v>
      </c>
    </row>
    <row r="1303" spans="1:12" x14ac:dyDescent="0.2">
      <c r="A1303" t="s">
        <v>1691</v>
      </c>
      <c r="B1303" t="s">
        <v>6184</v>
      </c>
      <c r="G1303" s="5" t="str">
        <f t="shared" si="82"/>
        <v/>
      </c>
      <c r="I1303" s="6" t="str">
        <f t="shared" si="83"/>
        <v>0</v>
      </c>
      <c r="K1303" s="19" t="s">
        <v>6185</v>
      </c>
    </row>
    <row r="1304" spans="1:12" x14ac:dyDescent="0.2">
      <c r="A1304" t="s">
        <v>1692</v>
      </c>
      <c r="B1304" t="s">
        <v>6186</v>
      </c>
      <c r="G1304" s="5" t="str">
        <f t="shared" si="82"/>
        <v/>
      </c>
      <c r="I1304" s="6" t="str">
        <f t="shared" si="83"/>
        <v>0</v>
      </c>
      <c r="K1304" s="19" t="s">
        <v>6187</v>
      </c>
    </row>
    <row r="1305" spans="1:12" x14ac:dyDescent="0.2">
      <c r="A1305" t="s">
        <v>1693</v>
      </c>
      <c r="B1305" t="s">
        <v>5172</v>
      </c>
      <c r="C1305" s="5" t="s">
        <v>5119</v>
      </c>
      <c r="F1305" s="5" t="s">
        <v>5173</v>
      </c>
      <c r="G1305" s="5">
        <f t="shared" si="82"/>
        <v>28472</v>
      </c>
      <c r="I1305" s="6" t="str">
        <f t="shared" si="83"/>
        <v>0</v>
      </c>
      <c r="K1305" s="19" t="s">
        <v>5174</v>
      </c>
    </row>
    <row r="1306" spans="1:12" x14ac:dyDescent="0.2">
      <c r="A1306" t="s">
        <v>1694</v>
      </c>
      <c r="B1306" t="s">
        <v>5175</v>
      </c>
      <c r="C1306" s="5" t="s">
        <v>5119</v>
      </c>
      <c r="F1306" s="5" t="s">
        <v>5176</v>
      </c>
      <c r="G1306" s="5">
        <f t="shared" si="82"/>
        <v>28490</v>
      </c>
      <c r="I1306" s="6" t="str">
        <f t="shared" si="83"/>
        <v>0</v>
      </c>
      <c r="K1306" s="19" t="s">
        <v>5177</v>
      </c>
    </row>
    <row r="1307" spans="1:12" x14ac:dyDescent="0.2">
      <c r="A1307" t="s">
        <v>1695</v>
      </c>
      <c r="B1307" t="s">
        <v>5178</v>
      </c>
      <c r="C1307" s="5" t="s">
        <v>5119</v>
      </c>
      <c r="F1307" s="5" t="s">
        <v>5179</v>
      </c>
      <c r="G1307" s="5">
        <f t="shared" si="82"/>
        <v>28504</v>
      </c>
      <c r="I1307" s="6" t="str">
        <f t="shared" si="83"/>
        <v>0</v>
      </c>
      <c r="K1307" s="19" t="s">
        <v>5180</v>
      </c>
    </row>
    <row r="1308" spans="1:12" x14ac:dyDescent="0.2">
      <c r="A1308" t="s">
        <v>1696</v>
      </c>
      <c r="B1308" t="s">
        <v>1697</v>
      </c>
      <c r="E1308" t="str">
        <f t="shared" ref="E1308:E1339" si="84">IF(D1308&lt;&gt;"",C1308&amp;"/"&amp;D1308,"")</f>
        <v/>
      </c>
      <c r="G1308" s="5" t="str">
        <f t="shared" si="82"/>
        <v/>
      </c>
      <c r="I1308" s="6" t="str">
        <f t="shared" si="83"/>
        <v>0</v>
      </c>
    </row>
    <row r="1309" spans="1:12" x14ac:dyDescent="0.2">
      <c r="A1309" t="s">
        <v>1698</v>
      </c>
      <c r="B1309" t="s">
        <v>1699</v>
      </c>
      <c r="E1309" t="str">
        <f t="shared" si="84"/>
        <v/>
      </c>
      <c r="G1309" s="5" t="str">
        <f t="shared" si="82"/>
        <v/>
      </c>
      <c r="I1309" s="6" t="str">
        <f t="shared" si="83"/>
        <v>0</v>
      </c>
    </row>
    <row r="1310" spans="1:12" x14ac:dyDescent="0.2">
      <c r="A1310" t="s">
        <v>1700</v>
      </c>
      <c r="B1310" t="s">
        <v>3308</v>
      </c>
      <c r="E1310" t="str">
        <f t="shared" si="84"/>
        <v/>
      </c>
      <c r="G1310" s="5" t="str">
        <f t="shared" si="82"/>
        <v/>
      </c>
      <c r="I1310" s="6" t="str">
        <f t="shared" si="83"/>
        <v>0</v>
      </c>
    </row>
    <row r="1311" spans="1:12" x14ac:dyDescent="0.2">
      <c r="A1311" t="s">
        <v>1701</v>
      </c>
      <c r="B1311" t="s">
        <v>5804</v>
      </c>
      <c r="G1311" s="5" t="str">
        <f t="shared" si="82"/>
        <v/>
      </c>
      <c r="I1311" s="6" t="str">
        <f t="shared" si="83"/>
        <v>0</v>
      </c>
      <c r="K1311" s="19" t="s">
        <v>5805</v>
      </c>
    </row>
    <row r="1312" spans="1:12" x14ac:dyDescent="0.2">
      <c r="A1312" t="s">
        <v>1702</v>
      </c>
      <c r="B1312" t="s">
        <v>5293</v>
      </c>
      <c r="G1312" s="5" t="str">
        <f t="shared" si="82"/>
        <v/>
      </c>
      <c r="I1312" s="6" t="str">
        <f t="shared" si="83"/>
        <v>0</v>
      </c>
      <c r="L1312" s="24" t="s">
        <v>5294</v>
      </c>
    </row>
    <row r="1313" spans="1:12" x14ac:dyDescent="0.2">
      <c r="A1313" t="s">
        <v>1703</v>
      </c>
      <c r="B1313" t="s">
        <v>5295</v>
      </c>
      <c r="G1313" s="5" t="str">
        <f t="shared" si="82"/>
        <v/>
      </c>
      <c r="I1313" s="6" t="str">
        <f t="shared" si="83"/>
        <v>0</v>
      </c>
      <c r="L1313" s="24" t="s">
        <v>5296</v>
      </c>
    </row>
    <row r="1314" spans="1:12" x14ac:dyDescent="0.2">
      <c r="A1314" t="s">
        <v>1704</v>
      </c>
      <c r="B1314" t="s">
        <v>5806</v>
      </c>
      <c r="G1314" s="5" t="str">
        <f t="shared" si="82"/>
        <v/>
      </c>
      <c r="I1314" s="6" t="str">
        <f t="shared" si="83"/>
        <v>0</v>
      </c>
      <c r="K1314" s="19" t="s">
        <v>5807</v>
      </c>
    </row>
    <row r="1315" spans="1:12" x14ac:dyDescent="0.2">
      <c r="A1315" t="s">
        <v>1705</v>
      </c>
      <c r="B1315" t="s">
        <v>5297</v>
      </c>
      <c r="G1315" s="5" t="str">
        <f t="shared" si="82"/>
        <v/>
      </c>
      <c r="I1315" s="6" t="str">
        <f t="shared" si="83"/>
        <v>0</v>
      </c>
      <c r="K1315" s="19" t="s">
        <v>6267</v>
      </c>
    </row>
    <row r="1316" spans="1:12" x14ac:dyDescent="0.2">
      <c r="A1316" t="s">
        <v>1706</v>
      </c>
      <c r="B1316" t="s">
        <v>5298</v>
      </c>
      <c r="G1316" s="5" t="str">
        <f t="shared" si="82"/>
        <v/>
      </c>
      <c r="I1316" s="6" t="str">
        <f t="shared" si="83"/>
        <v>0</v>
      </c>
      <c r="L1316" s="24" t="s">
        <v>5299</v>
      </c>
    </row>
    <row r="1317" spans="1:12" x14ac:dyDescent="0.2">
      <c r="A1317" t="s">
        <v>1707</v>
      </c>
      <c r="B1317" t="s">
        <v>5300</v>
      </c>
      <c r="G1317" s="5" t="str">
        <f t="shared" si="82"/>
        <v/>
      </c>
      <c r="I1317" s="6" t="str">
        <f t="shared" si="83"/>
        <v>0</v>
      </c>
      <c r="L1317" s="24" t="s">
        <v>5301</v>
      </c>
    </row>
    <row r="1318" spans="1:12" x14ac:dyDescent="0.2">
      <c r="A1318" t="s">
        <v>1708</v>
      </c>
      <c r="B1318" t="s">
        <v>5302</v>
      </c>
      <c r="G1318" s="5" t="str">
        <f t="shared" si="82"/>
        <v/>
      </c>
      <c r="I1318" s="6" t="str">
        <f t="shared" si="83"/>
        <v>0</v>
      </c>
      <c r="L1318" s="24" t="s">
        <v>5303</v>
      </c>
    </row>
    <row r="1319" spans="1:12" x14ac:dyDescent="0.2">
      <c r="A1319" t="s">
        <v>1709</v>
      </c>
      <c r="B1319" t="s">
        <v>5304</v>
      </c>
      <c r="G1319" s="5" t="str">
        <f t="shared" si="82"/>
        <v/>
      </c>
      <c r="I1319" s="6" t="str">
        <f t="shared" si="83"/>
        <v>0</v>
      </c>
      <c r="L1319" s="24" t="s">
        <v>5305</v>
      </c>
    </row>
    <row r="1320" spans="1:12" x14ac:dyDescent="0.2">
      <c r="A1320" t="s">
        <v>1710</v>
      </c>
      <c r="B1320" t="s">
        <v>1711</v>
      </c>
      <c r="G1320" s="5" t="str">
        <f t="shared" si="82"/>
        <v/>
      </c>
      <c r="I1320" s="6" t="str">
        <f t="shared" si="83"/>
        <v>0</v>
      </c>
      <c r="K1320" s="19" t="s">
        <v>6268</v>
      </c>
    </row>
    <row r="1321" spans="1:12" x14ac:dyDescent="0.2">
      <c r="A1321" t="s">
        <v>1712</v>
      </c>
      <c r="B1321" t="s">
        <v>1713</v>
      </c>
      <c r="G1321" s="5" t="str">
        <f t="shared" si="82"/>
        <v/>
      </c>
      <c r="I1321" s="6" t="str">
        <f t="shared" si="83"/>
        <v>0</v>
      </c>
      <c r="L1321" s="24" t="s">
        <v>5306</v>
      </c>
    </row>
    <row r="1322" spans="1:12" x14ac:dyDescent="0.2">
      <c r="A1322" t="s">
        <v>1714</v>
      </c>
      <c r="B1322" t="s">
        <v>3314</v>
      </c>
      <c r="G1322" s="5" t="str">
        <f t="shared" si="82"/>
        <v/>
      </c>
      <c r="I1322" s="6" t="str">
        <f t="shared" si="83"/>
        <v>0</v>
      </c>
      <c r="K1322" s="19" t="s">
        <v>6269</v>
      </c>
    </row>
    <row r="1323" spans="1:12" x14ac:dyDescent="0.2">
      <c r="A1323" t="s">
        <v>1715</v>
      </c>
      <c r="B1323" t="s">
        <v>3313</v>
      </c>
      <c r="G1323" s="5" t="str">
        <f t="shared" si="82"/>
        <v/>
      </c>
      <c r="I1323" s="6" t="str">
        <f t="shared" si="83"/>
        <v>0</v>
      </c>
      <c r="L1323" s="24" t="s">
        <v>5307</v>
      </c>
    </row>
    <row r="1324" spans="1:12" x14ac:dyDescent="0.2">
      <c r="A1324" t="s">
        <v>1716</v>
      </c>
      <c r="B1324" t="s">
        <v>5308</v>
      </c>
      <c r="G1324" s="5" t="str">
        <f t="shared" si="82"/>
        <v/>
      </c>
      <c r="I1324" s="6" t="str">
        <f t="shared" si="83"/>
        <v>0</v>
      </c>
      <c r="L1324" s="24" t="s">
        <v>5309</v>
      </c>
    </row>
    <row r="1325" spans="1:12" x14ac:dyDescent="0.2">
      <c r="A1325" t="s">
        <v>1717</v>
      </c>
      <c r="B1325" t="s">
        <v>5310</v>
      </c>
      <c r="G1325" s="5" t="str">
        <f t="shared" si="82"/>
        <v/>
      </c>
      <c r="I1325" s="6" t="str">
        <f t="shared" si="83"/>
        <v>0</v>
      </c>
      <c r="L1325" s="24" t="s">
        <v>5311</v>
      </c>
    </row>
    <row r="1326" spans="1:12" x14ac:dyDescent="0.2">
      <c r="A1326" t="s">
        <v>1720</v>
      </c>
      <c r="B1326" t="s">
        <v>3312</v>
      </c>
      <c r="G1326" s="5" t="str">
        <f t="shared" si="82"/>
        <v/>
      </c>
      <c r="I1326" s="6" t="str">
        <f t="shared" si="83"/>
        <v>0</v>
      </c>
      <c r="K1326" s="19" t="s">
        <v>6270</v>
      </c>
    </row>
    <row r="1327" spans="1:12" x14ac:dyDescent="0.2">
      <c r="A1327" t="s">
        <v>1721</v>
      </c>
      <c r="B1327" t="s">
        <v>5312</v>
      </c>
      <c r="G1327" s="5" t="str">
        <f t="shared" si="82"/>
        <v/>
      </c>
      <c r="I1327" s="6" t="str">
        <f t="shared" si="83"/>
        <v>0</v>
      </c>
      <c r="L1327" s="24" t="s">
        <v>5313</v>
      </c>
    </row>
    <row r="1328" spans="1:12" x14ac:dyDescent="0.2">
      <c r="A1328" t="s">
        <v>1722</v>
      </c>
      <c r="B1328" t="s">
        <v>3311</v>
      </c>
      <c r="G1328" s="5" t="str">
        <f t="shared" si="82"/>
        <v/>
      </c>
      <c r="I1328" s="6" t="str">
        <f t="shared" si="83"/>
        <v>0</v>
      </c>
      <c r="L1328" s="24" t="s">
        <v>5314</v>
      </c>
    </row>
    <row r="1329" spans="1:12" x14ac:dyDescent="0.2">
      <c r="A1329" t="s">
        <v>1723</v>
      </c>
      <c r="B1329" t="s">
        <v>5315</v>
      </c>
      <c r="G1329" s="5" t="str">
        <f t="shared" si="82"/>
        <v/>
      </c>
      <c r="I1329" s="6" t="str">
        <f t="shared" si="83"/>
        <v>0</v>
      </c>
      <c r="L1329" s="24" t="s">
        <v>5316</v>
      </c>
    </row>
    <row r="1330" spans="1:12" x14ac:dyDescent="0.2">
      <c r="A1330" t="s">
        <v>1724</v>
      </c>
      <c r="B1330" t="s">
        <v>5317</v>
      </c>
      <c r="G1330" s="5" t="str">
        <f t="shared" si="82"/>
        <v/>
      </c>
      <c r="I1330" s="6" t="str">
        <f t="shared" si="83"/>
        <v>0</v>
      </c>
      <c r="L1330" s="24" t="s">
        <v>5318</v>
      </c>
    </row>
    <row r="1331" spans="1:12" x14ac:dyDescent="0.2">
      <c r="A1331" t="s">
        <v>1725</v>
      </c>
      <c r="B1331" t="s">
        <v>5319</v>
      </c>
      <c r="G1331" s="5" t="str">
        <f t="shared" si="82"/>
        <v/>
      </c>
      <c r="I1331" s="6" t="str">
        <f t="shared" si="83"/>
        <v>0</v>
      </c>
      <c r="L1331" s="24" t="s">
        <v>5320</v>
      </c>
    </row>
    <row r="1332" spans="1:12" x14ac:dyDescent="0.2">
      <c r="A1332" t="s">
        <v>1726</v>
      </c>
      <c r="B1332" t="s">
        <v>5321</v>
      </c>
      <c r="G1332" s="5" t="str">
        <f t="shared" si="82"/>
        <v/>
      </c>
      <c r="I1332" s="6" t="str">
        <f t="shared" si="83"/>
        <v>0</v>
      </c>
      <c r="L1332" s="24" t="s">
        <v>5322</v>
      </c>
    </row>
    <row r="1333" spans="1:12" x14ac:dyDescent="0.2">
      <c r="A1333" t="s">
        <v>1728</v>
      </c>
      <c r="B1333" t="s">
        <v>5323</v>
      </c>
      <c r="G1333" s="5" t="str">
        <f t="shared" si="82"/>
        <v/>
      </c>
      <c r="I1333" s="6" t="str">
        <f t="shared" si="83"/>
        <v>0</v>
      </c>
      <c r="K1333" s="19" t="s">
        <v>6271</v>
      </c>
    </row>
    <row r="1334" spans="1:12" x14ac:dyDescent="0.2">
      <c r="A1334" t="s">
        <v>1729</v>
      </c>
      <c r="B1334" t="s">
        <v>5324</v>
      </c>
      <c r="G1334" s="5" t="str">
        <f t="shared" si="82"/>
        <v/>
      </c>
      <c r="I1334" s="6" t="str">
        <f t="shared" si="83"/>
        <v>0</v>
      </c>
      <c r="K1334" s="19" t="s">
        <v>6272</v>
      </c>
    </row>
    <row r="1335" spans="1:12" x14ac:dyDescent="0.2">
      <c r="A1335" t="s">
        <v>1730</v>
      </c>
      <c r="B1335" t="s">
        <v>1731</v>
      </c>
      <c r="E1335" t="str">
        <f t="shared" si="84"/>
        <v/>
      </c>
      <c r="G1335" s="5" t="str">
        <f t="shared" si="82"/>
        <v/>
      </c>
      <c r="I1335" s="6" t="str">
        <f t="shared" si="83"/>
        <v>0</v>
      </c>
    </row>
    <row r="1336" spans="1:12" x14ac:dyDescent="0.2">
      <c r="A1336" t="s">
        <v>1732</v>
      </c>
      <c r="B1336" t="s">
        <v>1733</v>
      </c>
      <c r="E1336" t="str">
        <f t="shared" si="84"/>
        <v/>
      </c>
      <c r="G1336" s="5" t="str">
        <f t="shared" si="82"/>
        <v/>
      </c>
      <c r="I1336" s="6" t="str">
        <f t="shared" si="83"/>
        <v>0</v>
      </c>
    </row>
    <row r="1337" spans="1:12" x14ac:dyDescent="0.2">
      <c r="A1337" t="s">
        <v>1734</v>
      </c>
      <c r="B1337" t="s">
        <v>6873</v>
      </c>
      <c r="G1337" s="5" t="str">
        <f t="shared" si="82"/>
        <v/>
      </c>
      <c r="I1337" s="6" t="str">
        <f t="shared" si="83"/>
        <v>0</v>
      </c>
    </row>
    <row r="1338" spans="1:12" x14ac:dyDescent="0.2">
      <c r="A1338" t="s">
        <v>3081</v>
      </c>
      <c r="B1338" t="s">
        <v>1735</v>
      </c>
      <c r="G1338" s="5" t="str">
        <f t="shared" si="82"/>
        <v/>
      </c>
      <c r="I1338" s="6" t="str">
        <f t="shared" si="83"/>
        <v>0</v>
      </c>
      <c r="K1338" s="19" t="s">
        <v>6273</v>
      </c>
    </row>
    <row r="1339" spans="1:12" x14ac:dyDescent="0.2">
      <c r="A1339" t="s">
        <v>1736</v>
      </c>
      <c r="B1339" t="s">
        <v>1736</v>
      </c>
      <c r="E1339" t="str">
        <f t="shared" si="84"/>
        <v/>
      </c>
      <c r="G1339" s="5" t="str">
        <f t="shared" si="82"/>
        <v/>
      </c>
      <c r="I1339" s="6" t="str">
        <f t="shared" si="83"/>
        <v>0</v>
      </c>
    </row>
    <row r="1340" spans="1:12" x14ac:dyDescent="0.2">
      <c r="A1340" t="s">
        <v>1737</v>
      </c>
      <c r="B1340" t="s">
        <v>1737</v>
      </c>
      <c r="E1340" t="str">
        <f t="shared" ref="E1340" si="85">IF(D1340&lt;&gt;"",C1340&amp;"/"&amp;D1340,"")</f>
        <v/>
      </c>
      <c r="G1340" s="5" t="str">
        <f t="shared" si="82"/>
        <v/>
      </c>
      <c r="I1340" s="6" t="str">
        <f t="shared" si="83"/>
        <v>0</v>
      </c>
    </row>
    <row r="1341" spans="1:12" x14ac:dyDescent="0.2">
      <c r="A1341" t="s">
        <v>1738</v>
      </c>
      <c r="B1341" t="s">
        <v>5808</v>
      </c>
      <c r="G1341" s="5" t="str">
        <f t="shared" si="82"/>
        <v/>
      </c>
      <c r="I1341" s="6" t="str">
        <f t="shared" si="83"/>
        <v>0</v>
      </c>
      <c r="K1341" s="19" t="s">
        <v>5809</v>
      </c>
    </row>
    <row r="1342" spans="1:12" x14ac:dyDescent="0.2">
      <c r="A1342" t="s">
        <v>1739</v>
      </c>
      <c r="B1342" t="s">
        <v>5325</v>
      </c>
      <c r="G1342" s="5" t="str">
        <f t="shared" si="82"/>
        <v/>
      </c>
      <c r="I1342" s="6" t="str">
        <f t="shared" si="83"/>
        <v>0</v>
      </c>
      <c r="K1342" s="19" t="s">
        <v>6274</v>
      </c>
    </row>
    <row r="1343" spans="1:12" x14ac:dyDescent="0.2">
      <c r="A1343" t="s">
        <v>1740</v>
      </c>
      <c r="B1343" t="s">
        <v>5326</v>
      </c>
      <c r="G1343" s="5" t="str">
        <f t="shared" si="82"/>
        <v/>
      </c>
      <c r="I1343" s="6" t="str">
        <f t="shared" si="83"/>
        <v>0</v>
      </c>
      <c r="L1343" s="24" t="s">
        <v>5327</v>
      </c>
    </row>
    <row r="1344" spans="1:12" x14ac:dyDescent="0.2">
      <c r="A1344" t="s">
        <v>1741</v>
      </c>
      <c r="B1344" t="s">
        <v>5582</v>
      </c>
      <c r="G1344" s="5" t="str">
        <f t="shared" si="82"/>
        <v/>
      </c>
      <c r="I1344" s="6" t="str">
        <f t="shared" si="83"/>
        <v>0</v>
      </c>
      <c r="K1344" s="19" t="s">
        <v>5583</v>
      </c>
    </row>
    <row r="1345" spans="1:12" x14ac:dyDescent="0.2">
      <c r="A1345" t="s">
        <v>1742</v>
      </c>
      <c r="B1345" t="s">
        <v>5328</v>
      </c>
      <c r="G1345" s="5" t="str">
        <f t="shared" ref="G1345:G1408" si="86">IF(F1345&lt;&gt;"",HEX2DEC(SUBSTITUTE(SUBSTITUTE(F1345,"adrEA",""),"$","")),"")</f>
        <v/>
      </c>
      <c r="I1345" s="6" t="str">
        <f t="shared" ref="I1345:I1408" si="87">IFERROR(DEC2HEX(H1345),"")</f>
        <v>0</v>
      </c>
      <c r="K1345" s="19" t="s">
        <v>6275</v>
      </c>
    </row>
    <row r="1346" spans="1:12" x14ac:dyDescent="0.2">
      <c r="A1346" t="s">
        <v>1743</v>
      </c>
      <c r="B1346" t="s">
        <v>5329</v>
      </c>
      <c r="G1346" s="5" t="str">
        <f t="shared" si="86"/>
        <v/>
      </c>
      <c r="I1346" s="6" t="str">
        <f t="shared" si="87"/>
        <v>0</v>
      </c>
      <c r="L1346" s="24" t="s">
        <v>5330</v>
      </c>
    </row>
    <row r="1347" spans="1:12" x14ac:dyDescent="0.2">
      <c r="A1347" t="s">
        <v>1744</v>
      </c>
      <c r="B1347" t="s">
        <v>3316</v>
      </c>
      <c r="G1347" s="5" t="str">
        <f t="shared" si="86"/>
        <v/>
      </c>
      <c r="I1347" s="6" t="str">
        <f t="shared" si="87"/>
        <v>0</v>
      </c>
      <c r="K1347" s="19" t="s">
        <v>6276</v>
      </c>
    </row>
    <row r="1348" spans="1:12" x14ac:dyDescent="0.2">
      <c r="A1348" t="s">
        <v>1745</v>
      </c>
      <c r="B1348" t="s">
        <v>1746</v>
      </c>
      <c r="G1348" s="5" t="str">
        <f t="shared" si="86"/>
        <v/>
      </c>
      <c r="I1348" s="6" t="str">
        <f t="shared" si="87"/>
        <v>0</v>
      </c>
      <c r="K1348" s="19" t="s">
        <v>6277</v>
      </c>
    </row>
    <row r="1349" spans="1:12" x14ac:dyDescent="0.2">
      <c r="A1349" t="s">
        <v>1747</v>
      </c>
      <c r="B1349" t="s">
        <v>1748</v>
      </c>
      <c r="G1349" s="5" t="str">
        <f t="shared" si="86"/>
        <v/>
      </c>
      <c r="I1349" s="6" t="str">
        <f t="shared" si="87"/>
        <v>0</v>
      </c>
      <c r="K1349" s="19" t="s">
        <v>6278</v>
      </c>
    </row>
    <row r="1350" spans="1:12" x14ac:dyDescent="0.2">
      <c r="A1350" t="s">
        <v>1749</v>
      </c>
      <c r="B1350" t="s">
        <v>3315</v>
      </c>
      <c r="G1350" s="5" t="str">
        <f t="shared" si="86"/>
        <v/>
      </c>
      <c r="I1350" s="6" t="str">
        <f t="shared" si="87"/>
        <v>0</v>
      </c>
      <c r="K1350" s="19" t="s">
        <v>6279</v>
      </c>
    </row>
    <row r="1351" spans="1:12" x14ac:dyDescent="0.2">
      <c r="A1351" t="s">
        <v>1750</v>
      </c>
      <c r="B1351" t="s">
        <v>5331</v>
      </c>
      <c r="G1351" s="5" t="str">
        <f t="shared" si="86"/>
        <v/>
      </c>
      <c r="I1351" s="6" t="str">
        <f t="shared" si="87"/>
        <v>0</v>
      </c>
      <c r="L1351" s="24" t="s">
        <v>5332</v>
      </c>
    </row>
    <row r="1352" spans="1:12" x14ac:dyDescent="0.2">
      <c r="A1352" t="s">
        <v>1751</v>
      </c>
      <c r="B1352" t="s">
        <v>1752</v>
      </c>
      <c r="G1352" s="5" t="str">
        <f t="shared" si="86"/>
        <v/>
      </c>
      <c r="I1352" s="6" t="str">
        <f t="shared" si="87"/>
        <v>0</v>
      </c>
      <c r="K1352" s="19" t="s">
        <v>6280</v>
      </c>
    </row>
    <row r="1353" spans="1:12" x14ac:dyDescent="0.2">
      <c r="A1353" t="s">
        <v>1753</v>
      </c>
      <c r="B1353" t="s">
        <v>1754</v>
      </c>
      <c r="G1353" s="5" t="str">
        <f t="shared" si="86"/>
        <v/>
      </c>
      <c r="I1353" s="6" t="str">
        <f t="shared" si="87"/>
        <v>0</v>
      </c>
      <c r="K1353" s="19" t="s">
        <v>6281</v>
      </c>
    </row>
    <row r="1354" spans="1:12" x14ac:dyDescent="0.2">
      <c r="A1354" t="s">
        <v>1755</v>
      </c>
      <c r="B1354" t="s">
        <v>5333</v>
      </c>
      <c r="G1354" s="5" t="str">
        <f t="shared" si="86"/>
        <v/>
      </c>
      <c r="I1354" s="6" t="str">
        <f t="shared" si="87"/>
        <v>0</v>
      </c>
      <c r="K1354" s="19" t="s">
        <v>6282</v>
      </c>
    </row>
    <row r="1355" spans="1:12" x14ac:dyDescent="0.2">
      <c r="A1355" t="s">
        <v>1756</v>
      </c>
      <c r="B1355" t="s">
        <v>3320</v>
      </c>
      <c r="G1355" s="5" t="str">
        <f t="shared" si="86"/>
        <v/>
      </c>
      <c r="I1355" s="6" t="str">
        <f t="shared" si="87"/>
        <v>0</v>
      </c>
      <c r="K1355" s="19" t="s">
        <v>6283</v>
      </c>
    </row>
    <row r="1356" spans="1:12" x14ac:dyDescent="0.2">
      <c r="A1356" t="s">
        <v>1757</v>
      </c>
      <c r="B1356" t="s">
        <v>3317</v>
      </c>
      <c r="G1356" s="5" t="str">
        <f t="shared" si="86"/>
        <v/>
      </c>
      <c r="I1356" s="6" t="str">
        <f t="shared" si="87"/>
        <v>0</v>
      </c>
      <c r="K1356" s="19" t="s">
        <v>6284</v>
      </c>
    </row>
    <row r="1357" spans="1:12" x14ac:dyDescent="0.2">
      <c r="A1357" t="s">
        <v>1758</v>
      </c>
      <c r="B1357" t="s">
        <v>5810</v>
      </c>
      <c r="G1357" s="5" t="str">
        <f t="shared" si="86"/>
        <v/>
      </c>
      <c r="I1357" s="6" t="str">
        <f t="shared" si="87"/>
        <v>0</v>
      </c>
      <c r="K1357" s="19" t="s">
        <v>5811</v>
      </c>
    </row>
    <row r="1358" spans="1:12" x14ac:dyDescent="0.2">
      <c r="A1358" t="s">
        <v>1759</v>
      </c>
      <c r="B1358" t="s">
        <v>3318</v>
      </c>
      <c r="G1358" s="5" t="str">
        <f t="shared" si="86"/>
        <v/>
      </c>
      <c r="I1358" s="6" t="str">
        <f t="shared" si="87"/>
        <v>0</v>
      </c>
      <c r="K1358" s="19" t="s">
        <v>6285</v>
      </c>
    </row>
    <row r="1359" spans="1:12" x14ac:dyDescent="0.2">
      <c r="A1359" t="s">
        <v>1760</v>
      </c>
      <c r="B1359" t="s">
        <v>3319</v>
      </c>
      <c r="G1359" s="5" t="str">
        <f t="shared" si="86"/>
        <v/>
      </c>
      <c r="I1359" s="6" t="str">
        <f t="shared" si="87"/>
        <v>0</v>
      </c>
      <c r="K1359" s="19" t="s">
        <v>6286</v>
      </c>
    </row>
    <row r="1360" spans="1:12" x14ac:dyDescent="0.2">
      <c r="A1360" t="s">
        <v>1761</v>
      </c>
      <c r="B1360" t="s">
        <v>5334</v>
      </c>
      <c r="G1360" s="5" t="str">
        <f t="shared" si="86"/>
        <v/>
      </c>
      <c r="I1360" s="6" t="str">
        <f t="shared" si="87"/>
        <v>0</v>
      </c>
      <c r="K1360" s="19" t="s">
        <v>6287</v>
      </c>
    </row>
    <row r="1361" spans="1:12" x14ac:dyDescent="0.2">
      <c r="A1361" t="s">
        <v>1762</v>
      </c>
      <c r="B1361" t="s">
        <v>5335</v>
      </c>
      <c r="G1361" s="5" t="str">
        <f t="shared" si="86"/>
        <v/>
      </c>
      <c r="I1361" s="6" t="str">
        <f t="shared" si="87"/>
        <v>0</v>
      </c>
      <c r="K1361" s="19" t="s">
        <v>6288</v>
      </c>
    </row>
    <row r="1362" spans="1:12" x14ac:dyDescent="0.2">
      <c r="A1362" t="s">
        <v>1763</v>
      </c>
      <c r="B1362" t="s">
        <v>5336</v>
      </c>
      <c r="G1362" s="5" t="str">
        <f t="shared" si="86"/>
        <v/>
      </c>
      <c r="I1362" s="6" t="str">
        <f t="shared" si="87"/>
        <v>0</v>
      </c>
      <c r="K1362" s="19" t="s">
        <v>6289</v>
      </c>
    </row>
    <row r="1363" spans="1:12" x14ac:dyDescent="0.2">
      <c r="A1363" t="s">
        <v>1764</v>
      </c>
      <c r="B1363" t="s">
        <v>5337</v>
      </c>
      <c r="G1363" s="5" t="str">
        <f t="shared" si="86"/>
        <v/>
      </c>
      <c r="I1363" s="6" t="str">
        <f t="shared" si="87"/>
        <v>0</v>
      </c>
      <c r="K1363" s="19" t="s">
        <v>6290</v>
      </c>
    </row>
    <row r="1364" spans="1:12" x14ac:dyDescent="0.2">
      <c r="A1364" t="s">
        <v>1765</v>
      </c>
      <c r="B1364" t="s">
        <v>3309</v>
      </c>
      <c r="G1364" s="5" t="str">
        <f t="shared" si="86"/>
        <v/>
      </c>
      <c r="I1364" s="6" t="str">
        <f t="shared" si="87"/>
        <v>0</v>
      </c>
      <c r="K1364" s="19" t="s">
        <v>6291</v>
      </c>
    </row>
    <row r="1365" spans="1:12" x14ac:dyDescent="0.2">
      <c r="A1365" t="s">
        <v>1766</v>
      </c>
      <c r="B1365" t="s">
        <v>5338</v>
      </c>
      <c r="G1365" s="5" t="str">
        <f t="shared" si="86"/>
        <v/>
      </c>
      <c r="I1365" s="6" t="str">
        <f t="shared" si="87"/>
        <v>0</v>
      </c>
      <c r="L1365" s="24" t="s">
        <v>5339</v>
      </c>
    </row>
    <row r="1366" spans="1:12" x14ac:dyDescent="0.2">
      <c r="A1366" t="s">
        <v>1767</v>
      </c>
      <c r="B1366" t="s">
        <v>5340</v>
      </c>
      <c r="G1366" s="5" t="str">
        <f t="shared" si="86"/>
        <v/>
      </c>
      <c r="I1366" s="6" t="str">
        <f t="shared" si="87"/>
        <v>0</v>
      </c>
      <c r="L1366" s="24" t="s">
        <v>5341</v>
      </c>
    </row>
    <row r="1367" spans="1:12" x14ac:dyDescent="0.2">
      <c r="A1367" t="s">
        <v>1768</v>
      </c>
      <c r="B1367" t="s">
        <v>5342</v>
      </c>
      <c r="G1367" s="5" t="str">
        <f t="shared" si="86"/>
        <v/>
      </c>
      <c r="I1367" s="6" t="str">
        <f t="shared" si="87"/>
        <v>0</v>
      </c>
      <c r="L1367" s="24" t="s">
        <v>5343</v>
      </c>
    </row>
    <row r="1368" spans="1:12" x14ac:dyDescent="0.2">
      <c r="A1368" t="s">
        <v>1769</v>
      </c>
      <c r="B1368" t="s">
        <v>5344</v>
      </c>
      <c r="G1368" s="5" t="str">
        <f t="shared" si="86"/>
        <v/>
      </c>
      <c r="I1368" s="6" t="str">
        <f t="shared" si="87"/>
        <v>0</v>
      </c>
      <c r="L1368" s="24" t="s">
        <v>5345</v>
      </c>
    </row>
    <row r="1369" spans="1:12" x14ac:dyDescent="0.2">
      <c r="A1369" t="s">
        <v>1770</v>
      </c>
      <c r="B1369" t="s">
        <v>5346</v>
      </c>
      <c r="G1369" s="5" t="str">
        <f t="shared" si="86"/>
        <v/>
      </c>
      <c r="I1369" s="6" t="str">
        <f t="shared" si="87"/>
        <v>0</v>
      </c>
      <c r="L1369" s="24" t="s">
        <v>5347</v>
      </c>
    </row>
    <row r="1370" spans="1:12" x14ac:dyDescent="0.2">
      <c r="A1370" t="s">
        <v>1771</v>
      </c>
      <c r="B1370" t="s">
        <v>5348</v>
      </c>
      <c r="G1370" s="5" t="str">
        <f t="shared" si="86"/>
        <v/>
      </c>
      <c r="I1370" s="6" t="str">
        <f t="shared" si="87"/>
        <v>0</v>
      </c>
      <c r="L1370" s="24" t="s">
        <v>5349</v>
      </c>
    </row>
    <row r="1371" spans="1:12" x14ac:dyDescent="0.2">
      <c r="A1371" t="s">
        <v>1772</v>
      </c>
      <c r="B1371" t="s">
        <v>5350</v>
      </c>
      <c r="G1371" s="5" t="str">
        <f t="shared" si="86"/>
        <v/>
      </c>
      <c r="I1371" s="6" t="str">
        <f t="shared" si="87"/>
        <v>0</v>
      </c>
      <c r="L1371" s="24" t="s">
        <v>5351</v>
      </c>
    </row>
    <row r="1372" spans="1:12" x14ac:dyDescent="0.2">
      <c r="A1372" t="s">
        <v>1773</v>
      </c>
      <c r="B1372" t="s">
        <v>5352</v>
      </c>
      <c r="G1372" s="5" t="str">
        <f t="shared" si="86"/>
        <v/>
      </c>
      <c r="I1372" s="6" t="str">
        <f t="shared" si="87"/>
        <v>0</v>
      </c>
      <c r="L1372" s="24" t="s">
        <v>5353</v>
      </c>
    </row>
    <row r="1373" spans="1:12" x14ac:dyDescent="0.2">
      <c r="A1373" t="s">
        <v>1774</v>
      </c>
      <c r="B1373" t="s">
        <v>5584</v>
      </c>
      <c r="G1373" s="5" t="str">
        <f t="shared" si="86"/>
        <v/>
      </c>
      <c r="I1373" s="6" t="str">
        <f t="shared" si="87"/>
        <v>0</v>
      </c>
      <c r="K1373" s="19" t="s">
        <v>5585</v>
      </c>
    </row>
    <row r="1374" spans="1:12" x14ac:dyDescent="0.2">
      <c r="A1374" t="s">
        <v>1775</v>
      </c>
      <c r="B1374" t="s">
        <v>5586</v>
      </c>
      <c r="G1374" s="5" t="str">
        <f t="shared" si="86"/>
        <v/>
      </c>
      <c r="I1374" s="6" t="str">
        <f t="shared" si="87"/>
        <v>0</v>
      </c>
      <c r="K1374" s="19" t="s">
        <v>5587</v>
      </c>
    </row>
    <row r="1375" spans="1:12" x14ac:dyDescent="0.2">
      <c r="A1375" t="s">
        <v>1776</v>
      </c>
      <c r="B1375" t="s">
        <v>5354</v>
      </c>
      <c r="G1375" s="5" t="str">
        <f t="shared" si="86"/>
        <v/>
      </c>
      <c r="I1375" s="6" t="str">
        <f t="shared" si="87"/>
        <v>0</v>
      </c>
      <c r="L1375" s="24" t="s">
        <v>5355</v>
      </c>
    </row>
    <row r="1376" spans="1:12" x14ac:dyDescent="0.2">
      <c r="A1376" t="s">
        <v>1777</v>
      </c>
      <c r="B1376" t="s">
        <v>5356</v>
      </c>
      <c r="G1376" s="5" t="str">
        <f t="shared" si="86"/>
        <v/>
      </c>
      <c r="I1376" s="6" t="str">
        <f t="shared" si="87"/>
        <v>0</v>
      </c>
      <c r="L1376" s="24" t="s">
        <v>5357</v>
      </c>
    </row>
    <row r="1377" spans="1:12" x14ac:dyDescent="0.2">
      <c r="A1377" t="s">
        <v>1778</v>
      </c>
      <c r="B1377" t="s">
        <v>5358</v>
      </c>
      <c r="G1377" s="5" t="str">
        <f t="shared" si="86"/>
        <v/>
      </c>
      <c r="I1377" s="6" t="str">
        <f t="shared" si="87"/>
        <v>0</v>
      </c>
      <c r="L1377" s="24" t="s">
        <v>5359</v>
      </c>
    </row>
    <row r="1378" spans="1:12" x14ac:dyDescent="0.2">
      <c r="A1378" t="s">
        <v>1779</v>
      </c>
      <c r="B1378" t="s">
        <v>3310</v>
      </c>
      <c r="G1378" s="5" t="str">
        <f t="shared" si="86"/>
        <v/>
      </c>
      <c r="I1378" s="6" t="str">
        <f t="shared" si="87"/>
        <v>0</v>
      </c>
      <c r="K1378" s="19" t="s">
        <v>6292</v>
      </c>
    </row>
    <row r="1379" spans="1:12" x14ac:dyDescent="0.2">
      <c r="A1379" t="s">
        <v>1780</v>
      </c>
      <c r="B1379" t="s">
        <v>5588</v>
      </c>
      <c r="G1379" s="5" t="str">
        <f t="shared" si="86"/>
        <v/>
      </c>
      <c r="I1379" s="6" t="str">
        <f t="shared" si="87"/>
        <v>0</v>
      </c>
      <c r="K1379" s="19" t="s">
        <v>5589</v>
      </c>
    </row>
    <row r="1380" spans="1:12" x14ac:dyDescent="0.2">
      <c r="A1380" t="s">
        <v>1781</v>
      </c>
      <c r="B1380" t="s">
        <v>5360</v>
      </c>
      <c r="G1380" s="5" t="str">
        <f t="shared" si="86"/>
        <v/>
      </c>
      <c r="I1380" s="6" t="str">
        <f t="shared" si="87"/>
        <v>0</v>
      </c>
      <c r="L1380" s="24" t="s">
        <v>5361</v>
      </c>
    </row>
    <row r="1381" spans="1:12" x14ac:dyDescent="0.2">
      <c r="A1381" t="s">
        <v>1782</v>
      </c>
      <c r="B1381" t="s">
        <v>5362</v>
      </c>
      <c r="G1381" s="5" t="str">
        <f t="shared" si="86"/>
        <v/>
      </c>
      <c r="I1381" s="6" t="str">
        <f t="shared" si="87"/>
        <v>0</v>
      </c>
      <c r="L1381" s="24" t="s">
        <v>5363</v>
      </c>
    </row>
    <row r="1382" spans="1:12" x14ac:dyDescent="0.2">
      <c r="A1382" t="s">
        <v>1783</v>
      </c>
      <c r="B1382" t="s">
        <v>5364</v>
      </c>
      <c r="G1382" s="5" t="str">
        <f t="shared" si="86"/>
        <v/>
      </c>
      <c r="I1382" s="6" t="str">
        <f t="shared" si="87"/>
        <v>0</v>
      </c>
      <c r="L1382" s="24" t="s">
        <v>5365</v>
      </c>
    </row>
    <row r="1383" spans="1:12" x14ac:dyDescent="0.2">
      <c r="A1383" t="s">
        <v>1784</v>
      </c>
      <c r="B1383" t="s">
        <v>5366</v>
      </c>
      <c r="G1383" s="5" t="str">
        <f t="shared" si="86"/>
        <v/>
      </c>
      <c r="I1383" s="6" t="str">
        <f t="shared" si="87"/>
        <v>0</v>
      </c>
      <c r="L1383" s="24" t="s">
        <v>5367</v>
      </c>
    </row>
    <row r="1384" spans="1:12" x14ac:dyDescent="0.2">
      <c r="A1384" t="s">
        <v>1785</v>
      </c>
      <c r="B1384" t="s">
        <v>5435</v>
      </c>
      <c r="G1384" s="5" t="str">
        <f t="shared" si="86"/>
        <v/>
      </c>
      <c r="I1384" s="6" t="str">
        <f t="shared" si="87"/>
        <v>0</v>
      </c>
      <c r="K1384" s="19" t="s">
        <v>5436</v>
      </c>
    </row>
    <row r="1385" spans="1:12" x14ac:dyDescent="0.2">
      <c r="A1385" t="s">
        <v>1786</v>
      </c>
      <c r="B1385" t="s">
        <v>6874</v>
      </c>
      <c r="G1385" s="5" t="str">
        <f t="shared" si="86"/>
        <v/>
      </c>
      <c r="I1385" s="6" t="str">
        <f t="shared" si="87"/>
        <v>0</v>
      </c>
    </row>
    <row r="1386" spans="1:12" x14ac:dyDescent="0.2">
      <c r="A1386" t="s">
        <v>1787</v>
      </c>
      <c r="B1386" t="s">
        <v>6875</v>
      </c>
      <c r="G1386" s="5" t="str">
        <f t="shared" si="86"/>
        <v/>
      </c>
      <c r="I1386" s="6" t="str">
        <f t="shared" si="87"/>
        <v>0</v>
      </c>
    </row>
    <row r="1387" spans="1:12" x14ac:dyDescent="0.2">
      <c r="A1387" t="s">
        <v>1788</v>
      </c>
      <c r="B1387" t="s">
        <v>6876</v>
      </c>
      <c r="G1387" s="5" t="str">
        <f t="shared" si="86"/>
        <v/>
      </c>
      <c r="I1387" s="6" t="str">
        <f t="shared" si="87"/>
        <v>0</v>
      </c>
    </row>
    <row r="1388" spans="1:12" x14ac:dyDescent="0.2">
      <c r="A1388" t="s">
        <v>1789</v>
      </c>
      <c r="B1388" t="s">
        <v>6877</v>
      </c>
      <c r="G1388" s="5" t="str">
        <f t="shared" si="86"/>
        <v/>
      </c>
      <c r="I1388" s="6" t="str">
        <f t="shared" si="87"/>
        <v>0</v>
      </c>
    </row>
    <row r="1389" spans="1:12" x14ac:dyDescent="0.2">
      <c r="A1389" t="s">
        <v>1790</v>
      </c>
      <c r="B1389" t="s">
        <v>6878</v>
      </c>
      <c r="G1389" s="5" t="str">
        <f t="shared" si="86"/>
        <v/>
      </c>
      <c r="I1389" s="6" t="str">
        <f t="shared" si="87"/>
        <v>0</v>
      </c>
    </row>
    <row r="1390" spans="1:12" x14ac:dyDescent="0.2">
      <c r="A1390" t="s">
        <v>1791</v>
      </c>
      <c r="B1390" t="s">
        <v>6879</v>
      </c>
      <c r="G1390" s="5" t="str">
        <f t="shared" si="86"/>
        <v/>
      </c>
      <c r="I1390" s="6" t="str">
        <f t="shared" si="87"/>
        <v>0</v>
      </c>
    </row>
    <row r="1391" spans="1:12" x14ac:dyDescent="0.2">
      <c r="A1391" t="s">
        <v>1792</v>
      </c>
      <c r="B1391" t="s">
        <v>6880</v>
      </c>
      <c r="G1391" s="5" t="str">
        <f t="shared" si="86"/>
        <v/>
      </c>
      <c r="I1391" s="6" t="str">
        <f t="shared" si="87"/>
        <v>0</v>
      </c>
    </row>
    <row r="1392" spans="1:12" x14ac:dyDescent="0.2">
      <c r="A1392" t="s">
        <v>1793</v>
      </c>
      <c r="B1392" t="s">
        <v>6881</v>
      </c>
      <c r="G1392" s="5" t="str">
        <f t="shared" si="86"/>
        <v/>
      </c>
      <c r="I1392" s="6" t="str">
        <f t="shared" si="87"/>
        <v>0</v>
      </c>
    </row>
    <row r="1393" spans="1:11" x14ac:dyDescent="0.2">
      <c r="A1393" t="s">
        <v>1794</v>
      </c>
      <c r="B1393" t="s">
        <v>6882</v>
      </c>
      <c r="G1393" s="5" t="str">
        <f t="shared" si="86"/>
        <v/>
      </c>
      <c r="I1393" s="6" t="str">
        <f t="shared" si="87"/>
        <v>0</v>
      </c>
    </row>
    <row r="1394" spans="1:11" x14ac:dyDescent="0.2">
      <c r="A1394" t="s">
        <v>1795</v>
      </c>
      <c r="B1394" t="s">
        <v>6883</v>
      </c>
      <c r="G1394" s="5" t="str">
        <f t="shared" si="86"/>
        <v/>
      </c>
      <c r="I1394" s="6" t="str">
        <f t="shared" si="87"/>
        <v>0</v>
      </c>
    </row>
    <row r="1395" spans="1:11" x14ac:dyDescent="0.2">
      <c r="A1395" t="s">
        <v>1796</v>
      </c>
      <c r="B1395" t="s">
        <v>5181</v>
      </c>
      <c r="C1395" s="5" t="s">
        <v>5119</v>
      </c>
      <c r="F1395" s="5" t="s">
        <v>5121</v>
      </c>
      <c r="G1395" s="5">
        <f t="shared" si="86"/>
        <v>31300</v>
      </c>
      <c r="I1395" s="6" t="str">
        <f t="shared" si="87"/>
        <v>0</v>
      </c>
      <c r="K1395" s="19" t="s">
        <v>5182</v>
      </c>
    </row>
    <row r="1396" spans="1:11" x14ac:dyDescent="0.2">
      <c r="A1396" t="s">
        <v>1797</v>
      </c>
      <c r="B1396" t="s">
        <v>5183</v>
      </c>
      <c r="C1396" s="5" t="s">
        <v>5119</v>
      </c>
      <c r="F1396" s="5" t="s">
        <v>5184</v>
      </c>
      <c r="G1396" s="5">
        <f t="shared" si="86"/>
        <v>31374</v>
      </c>
      <c r="I1396" s="6" t="str">
        <f t="shared" si="87"/>
        <v>0</v>
      </c>
      <c r="K1396" s="19" t="s">
        <v>5185</v>
      </c>
    </row>
    <row r="1397" spans="1:11" x14ac:dyDescent="0.2">
      <c r="A1397" t="s">
        <v>1798</v>
      </c>
      <c r="B1397" t="s">
        <v>5186</v>
      </c>
      <c r="C1397" s="5" t="s">
        <v>5119</v>
      </c>
      <c r="F1397" s="5" t="s">
        <v>5187</v>
      </c>
      <c r="G1397" s="5">
        <f t="shared" si="86"/>
        <v>31408</v>
      </c>
      <c r="I1397" s="6" t="str">
        <f t="shared" si="87"/>
        <v>0</v>
      </c>
      <c r="K1397" s="19" t="s">
        <v>5188</v>
      </c>
    </row>
    <row r="1398" spans="1:11" x14ac:dyDescent="0.2">
      <c r="A1398" t="s">
        <v>1799</v>
      </c>
      <c r="B1398" t="s">
        <v>5189</v>
      </c>
      <c r="C1398" s="5" t="s">
        <v>5119</v>
      </c>
      <c r="F1398" s="5" t="s">
        <v>5190</v>
      </c>
      <c r="G1398" s="5">
        <f t="shared" si="86"/>
        <v>31420</v>
      </c>
      <c r="I1398" s="6" t="str">
        <f t="shared" si="87"/>
        <v>0</v>
      </c>
      <c r="K1398" s="19" t="s">
        <v>5191</v>
      </c>
    </row>
    <row r="1399" spans="1:11" x14ac:dyDescent="0.2">
      <c r="A1399" t="s">
        <v>1800</v>
      </c>
      <c r="B1399" t="s">
        <v>5192</v>
      </c>
      <c r="C1399" s="5" t="s">
        <v>5119</v>
      </c>
      <c r="F1399" s="5" t="s">
        <v>5193</v>
      </c>
      <c r="G1399" s="5">
        <f t="shared" si="86"/>
        <v>31422</v>
      </c>
      <c r="I1399" s="6" t="str">
        <f t="shared" si="87"/>
        <v>0</v>
      </c>
      <c r="K1399" s="19" t="s">
        <v>5194</v>
      </c>
    </row>
    <row r="1400" spans="1:11" x14ac:dyDescent="0.2">
      <c r="A1400" t="s">
        <v>1801</v>
      </c>
      <c r="B1400" t="s">
        <v>5195</v>
      </c>
      <c r="C1400" s="5" t="s">
        <v>5119</v>
      </c>
      <c r="F1400" s="5" t="s">
        <v>5196</v>
      </c>
      <c r="G1400" s="5">
        <f t="shared" si="86"/>
        <v>31424</v>
      </c>
      <c r="I1400" s="6" t="str">
        <f t="shared" si="87"/>
        <v>0</v>
      </c>
      <c r="K1400" s="19" t="s">
        <v>5197</v>
      </c>
    </row>
    <row r="1401" spans="1:11" x14ac:dyDescent="0.2">
      <c r="A1401" t="s">
        <v>1802</v>
      </c>
      <c r="B1401" t="s">
        <v>5198</v>
      </c>
      <c r="C1401" s="5" t="s">
        <v>48</v>
      </c>
      <c r="D1401" t="s">
        <v>7404</v>
      </c>
      <c r="E1401" t="str">
        <f t="shared" ref="E1401" si="88">IF(D1401&lt;&gt;"",C1401&amp;"/"&amp;D1401,"")</f>
        <v>data/MapType_TraversalDispatch.lookup</v>
      </c>
      <c r="F1401" s="5" t="s">
        <v>5267</v>
      </c>
      <c r="G1401" s="5">
        <f t="shared" si="86"/>
        <v>30540</v>
      </c>
      <c r="H1401" s="5">
        <v>8</v>
      </c>
      <c r="I1401" s="6" t="str">
        <f t="shared" si="87"/>
        <v>8</v>
      </c>
      <c r="J1401" s="6" t="s">
        <v>3409</v>
      </c>
      <c r="K1401" s="19" t="s">
        <v>5268</v>
      </c>
    </row>
    <row r="1402" spans="1:11" x14ac:dyDescent="0.2">
      <c r="A1402" t="s">
        <v>1803</v>
      </c>
      <c r="B1402" t="s">
        <v>5199</v>
      </c>
      <c r="C1402" s="5" t="s">
        <v>5119</v>
      </c>
      <c r="F1402" s="5" t="s">
        <v>5137</v>
      </c>
      <c r="G1402" s="5">
        <f t="shared" si="86"/>
        <v>31448</v>
      </c>
      <c r="I1402" s="6" t="str">
        <f t="shared" si="87"/>
        <v>0</v>
      </c>
      <c r="K1402" s="19" t="s">
        <v>5200</v>
      </c>
    </row>
    <row r="1403" spans="1:11" x14ac:dyDescent="0.2">
      <c r="A1403" t="s">
        <v>1804</v>
      </c>
      <c r="B1403" t="s">
        <v>5201</v>
      </c>
      <c r="C1403" s="5" t="s">
        <v>5119</v>
      </c>
      <c r="F1403" s="5" t="s">
        <v>5138</v>
      </c>
      <c r="G1403" s="5">
        <f t="shared" si="86"/>
        <v>31452</v>
      </c>
      <c r="I1403" s="6" t="str">
        <f t="shared" si="87"/>
        <v>0</v>
      </c>
      <c r="K1403" s="19" t="s">
        <v>5202</v>
      </c>
    </row>
    <row r="1404" spans="1:11" x14ac:dyDescent="0.2">
      <c r="A1404" t="s">
        <v>1805</v>
      </c>
      <c r="B1404" t="s">
        <v>5203</v>
      </c>
      <c r="C1404" s="5" t="s">
        <v>5119</v>
      </c>
      <c r="F1404" s="5" t="s">
        <v>5139</v>
      </c>
      <c r="G1404" s="5">
        <f t="shared" si="86"/>
        <v>31454</v>
      </c>
      <c r="I1404" s="6" t="str">
        <f t="shared" si="87"/>
        <v>0</v>
      </c>
      <c r="K1404" s="19" t="s">
        <v>5204</v>
      </c>
    </row>
    <row r="1405" spans="1:11" x14ac:dyDescent="0.2">
      <c r="A1405" t="s">
        <v>1806</v>
      </c>
      <c r="B1405" t="s">
        <v>5205</v>
      </c>
      <c r="C1405" s="5" t="s">
        <v>5119</v>
      </c>
      <c r="F1405" s="5" t="s">
        <v>4961</v>
      </c>
      <c r="G1405" s="5">
        <f t="shared" si="86"/>
        <v>31462</v>
      </c>
      <c r="I1405" s="6" t="str">
        <f t="shared" si="87"/>
        <v>0</v>
      </c>
      <c r="K1405" s="19" t="s">
        <v>5206</v>
      </c>
    </row>
    <row r="1406" spans="1:11" x14ac:dyDescent="0.2">
      <c r="A1406" t="s">
        <v>1807</v>
      </c>
      <c r="B1406" t="s">
        <v>5207</v>
      </c>
      <c r="C1406" s="5" t="s">
        <v>5119</v>
      </c>
      <c r="F1406" s="5" t="s">
        <v>5122</v>
      </c>
      <c r="G1406" s="5">
        <f t="shared" si="86"/>
        <v>31476</v>
      </c>
      <c r="I1406" s="6" t="str">
        <f t="shared" si="87"/>
        <v>0</v>
      </c>
      <c r="K1406" s="19" t="s">
        <v>5208</v>
      </c>
    </row>
    <row r="1407" spans="1:11" x14ac:dyDescent="0.2">
      <c r="A1407" t="s">
        <v>1808</v>
      </c>
      <c r="B1407" t="s">
        <v>5209</v>
      </c>
      <c r="C1407" s="5" t="s">
        <v>5119</v>
      </c>
      <c r="F1407" s="5" t="s">
        <v>5123</v>
      </c>
      <c r="G1407" s="5">
        <f t="shared" si="86"/>
        <v>31480</v>
      </c>
      <c r="I1407" s="6" t="str">
        <f t="shared" si="87"/>
        <v>0</v>
      </c>
      <c r="K1407" s="19" t="s">
        <v>5210</v>
      </c>
    </row>
    <row r="1408" spans="1:11" x14ac:dyDescent="0.2">
      <c r="A1408" t="s">
        <v>1809</v>
      </c>
      <c r="B1408" t="s">
        <v>6884</v>
      </c>
      <c r="G1408" s="5" t="str">
        <f t="shared" si="86"/>
        <v/>
      </c>
      <c r="I1408" s="6" t="str">
        <f t="shared" si="87"/>
        <v>0</v>
      </c>
    </row>
    <row r="1409" spans="1:11" x14ac:dyDescent="0.2">
      <c r="A1409" t="s">
        <v>1810</v>
      </c>
      <c r="B1409" t="s">
        <v>5590</v>
      </c>
      <c r="G1409" s="5" t="str">
        <f t="shared" ref="G1409:G1472" si="89">IF(F1409&lt;&gt;"",HEX2DEC(SUBSTITUTE(SUBSTITUTE(F1409,"adrEA",""),"$","")),"")</f>
        <v/>
      </c>
      <c r="I1409" s="6" t="str">
        <f t="shared" ref="I1409:I1472" si="90">IFERROR(DEC2HEX(H1409),"")</f>
        <v>0</v>
      </c>
      <c r="K1409" s="19" t="s">
        <v>5591</v>
      </c>
    </row>
    <row r="1410" spans="1:11" x14ac:dyDescent="0.2">
      <c r="A1410" t="s">
        <v>1811</v>
      </c>
      <c r="B1410" t="s">
        <v>6885</v>
      </c>
      <c r="G1410" s="5" t="str">
        <f t="shared" si="89"/>
        <v/>
      </c>
      <c r="I1410" s="6" t="str">
        <f t="shared" si="90"/>
        <v>0</v>
      </c>
    </row>
    <row r="1411" spans="1:11" x14ac:dyDescent="0.2">
      <c r="A1411" t="s">
        <v>1812</v>
      </c>
      <c r="B1411" t="s">
        <v>5592</v>
      </c>
      <c r="G1411" s="5" t="str">
        <f t="shared" si="89"/>
        <v/>
      </c>
      <c r="I1411" s="6" t="str">
        <f t="shared" si="90"/>
        <v>0</v>
      </c>
      <c r="K1411" s="19" t="s">
        <v>5593</v>
      </c>
    </row>
    <row r="1412" spans="1:11" x14ac:dyDescent="0.2">
      <c r="A1412" t="s">
        <v>1813</v>
      </c>
      <c r="B1412" t="s">
        <v>5025</v>
      </c>
      <c r="C1412" s="5" t="s">
        <v>7</v>
      </c>
      <c r="F1412" s="5" t="s">
        <v>5026</v>
      </c>
      <c r="G1412" s="5">
        <f t="shared" si="89"/>
        <v>30634</v>
      </c>
      <c r="I1412" s="6" t="str">
        <f t="shared" si="90"/>
        <v>0</v>
      </c>
      <c r="K1412" s="19" t="s">
        <v>5027</v>
      </c>
    </row>
    <row r="1413" spans="1:11" x14ac:dyDescent="0.2">
      <c r="A1413" t="s">
        <v>1814</v>
      </c>
      <c r="B1413" t="s">
        <v>6886</v>
      </c>
      <c r="G1413" s="5" t="str">
        <f t="shared" si="89"/>
        <v/>
      </c>
      <c r="I1413" s="6" t="str">
        <f t="shared" si="90"/>
        <v>0</v>
      </c>
    </row>
    <row r="1414" spans="1:11" x14ac:dyDescent="0.2">
      <c r="A1414" t="s">
        <v>1815</v>
      </c>
      <c r="B1414" t="s">
        <v>6887</v>
      </c>
      <c r="G1414" s="5" t="str">
        <f t="shared" si="89"/>
        <v/>
      </c>
      <c r="I1414" s="6" t="str">
        <f t="shared" si="90"/>
        <v>0</v>
      </c>
    </row>
    <row r="1415" spans="1:11" x14ac:dyDescent="0.2">
      <c r="A1415" t="s">
        <v>1816</v>
      </c>
      <c r="B1415" t="s">
        <v>4888</v>
      </c>
      <c r="C1415" s="5" t="s">
        <v>7</v>
      </c>
      <c r="F1415" s="5" t="s">
        <v>4889</v>
      </c>
      <c r="G1415" s="5">
        <f t="shared" si="89"/>
        <v>30668</v>
      </c>
      <c r="I1415" s="6" t="str">
        <f t="shared" si="90"/>
        <v>0</v>
      </c>
      <c r="K1415" s="19" t="s">
        <v>4890</v>
      </c>
    </row>
    <row r="1416" spans="1:11" x14ac:dyDescent="0.2">
      <c r="A1416" t="s">
        <v>1071</v>
      </c>
      <c r="B1416" t="s">
        <v>5044</v>
      </c>
      <c r="C1416" s="5" t="s">
        <v>7</v>
      </c>
      <c r="F1416" s="5" t="s">
        <v>5045</v>
      </c>
      <c r="G1416" s="5">
        <f t="shared" si="89"/>
        <v>16048</v>
      </c>
      <c r="I1416" s="6" t="str">
        <f t="shared" si="90"/>
        <v>0</v>
      </c>
      <c r="K1416" s="19" t="s">
        <v>5145</v>
      </c>
    </row>
    <row r="1417" spans="1:11" x14ac:dyDescent="0.2">
      <c r="A1417" t="s">
        <v>1818</v>
      </c>
      <c r="B1417" t="s">
        <v>6888</v>
      </c>
      <c r="G1417" s="5" t="str">
        <f t="shared" si="89"/>
        <v/>
      </c>
      <c r="I1417" s="6" t="str">
        <f t="shared" si="90"/>
        <v>0</v>
      </c>
      <c r="K1417" s="19" t="s">
        <v>6293</v>
      </c>
    </row>
    <row r="1418" spans="1:11" x14ac:dyDescent="0.2">
      <c r="A1418" t="s">
        <v>1819</v>
      </c>
      <c r="B1418" t="s">
        <v>4915</v>
      </c>
      <c r="C1418" s="5" t="s">
        <v>7</v>
      </c>
      <c r="F1418" s="5" t="s">
        <v>4916</v>
      </c>
      <c r="G1418" s="5">
        <f t="shared" si="89"/>
        <v>30858</v>
      </c>
      <c r="I1418" s="6" t="str">
        <f t="shared" si="90"/>
        <v>0</v>
      </c>
      <c r="K1418" s="19" t="s">
        <v>4917</v>
      </c>
    </row>
    <row r="1419" spans="1:11" x14ac:dyDescent="0.2">
      <c r="A1419" t="s">
        <v>1822</v>
      </c>
      <c r="B1419" t="s">
        <v>4918</v>
      </c>
      <c r="C1419" s="5" t="s">
        <v>7</v>
      </c>
      <c r="F1419" s="5" t="s">
        <v>4919</v>
      </c>
      <c r="G1419" s="5">
        <f t="shared" si="89"/>
        <v>30888</v>
      </c>
      <c r="I1419" s="6" t="str">
        <f t="shared" si="90"/>
        <v>0</v>
      </c>
      <c r="K1419" s="19" t="s">
        <v>4920</v>
      </c>
    </row>
    <row r="1420" spans="1:11" x14ac:dyDescent="0.2">
      <c r="A1420" t="s">
        <v>1823</v>
      </c>
      <c r="B1420" t="s">
        <v>4921</v>
      </c>
      <c r="C1420" s="5" t="s">
        <v>7</v>
      </c>
      <c r="F1420" s="5" t="s">
        <v>4922</v>
      </c>
      <c r="G1420" s="5">
        <f t="shared" si="89"/>
        <v>30902</v>
      </c>
      <c r="I1420" s="6" t="str">
        <f t="shared" si="90"/>
        <v>0</v>
      </c>
      <c r="K1420" s="19" t="s">
        <v>4923</v>
      </c>
    </row>
    <row r="1421" spans="1:11" x14ac:dyDescent="0.2">
      <c r="A1421" t="s">
        <v>1824</v>
      </c>
      <c r="B1421" t="s">
        <v>4924</v>
      </c>
      <c r="C1421" s="5" t="s">
        <v>7</v>
      </c>
      <c r="F1421" s="5" t="s">
        <v>4925</v>
      </c>
      <c r="G1421" s="5">
        <f t="shared" si="89"/>
        <v>30921</v>
      </c>
      <c r="I1421" s="6" t="str">
        <f t="shared" si="90"/>
        <v>0</v>
      </c>
      <c r="K1421" s="19" t="s">
        <v>4926</v>
      </c>
    </row>
    <row r="1422" spans="1:11" x14ac:dyDescent="0.2">
      <c r="A1422" t="s">
        <v>1825</v>
      </c>
      <c r="B1422" t="s">
        <v>4927</v>
      </c>
      <c r="C1422" s="5" t="s">
        <v>7</v>
      </c>
      <c r="F1422" s="5" t="s">
        <v>4928</v>
      </c>
      <c r="G1422" s="5">
        <f t="shared" si="89"/>
        <v>30955</v>
      </c>
      <c r="I1422" s="6" t="str">
        <f t="shared" si="90"/>
        <v>0</v>
      </c>
      <c r="K1422" s="19" t="s">
        <v>4929</v>
      </c>
    </row>
    <row r="1423" spans="1:11" x14ac:dyDescent="0.2">
      <c r="A1423" t="s">
        <v>1826</v>
      </c>
      <c r="B1423" t="s">
        <v>4930</v>
      </c>
      <c r="C1423" s="5" t="s">
        <v>7</v>
      </c>
      <c r="F1423" s="5" t="s">
        <v>4931</v>
      </c>
      <c r="G1423" s="5">
        <f t="shared" si="89"/>
        <v>30979</v>
      </c>
      <c r="I1423" s="6" t="str">
        <f t="shared" si="90"/>
        <v>0</v>
      </c>
      <c r="K1423" s="19" t="s">
        <v>4932</v>
      </c>
    </row>
    <row r="1424" spans="1:11" x14ac:dyDescent="0.2">
      <c r="A1424" t="s">
        <v>1827</v>
      </c>
      <c r="B1424" t="s">
        <v>4933</v>
      </c>
      <c r="C1424" s="5" t="s">
        <v>7</v>
      </c>
      <c r="F1424" s="5" t="s">
        <v>4934</v>
      </c>
      <c r="G1424" s="5">
        <f t="shared" si="89"/>
        <v>30991</v>
      </c>
      <c r="I1424" s="6" t="str">
        <f t="shared" si="90"/>
        <v>0</v>
      </c>
      <c r="K1424" s="19" t="s">
        <v>4935</v>
      </c>
    </row>
    <row r="1425" spans="1:11" x14ac:dyDescent="0.2">
      <c r="A1425" t="s">
        <v>1828</v>
      </c>
      <c r="B1425" t="s">
        <v>6889</v>
      </c>
      <c r="G1425" s="5" t="str">
        <f t="shared" si="89"/>
        <v/>
      </c>
      <c r="I1425" s="6" t="str">
        <f t="shared" si="90"/>
        <v>0</v>
      </c>
    </row>
    <row r="1426" spans="1:11" x14ac:dyDescent="0.2">
      <c r="A1426" t="s">
        <v>1829</v>
      </c>
      <c r="B1426" t="s">
        <v>5594</v>
      </c>
      <c r="G1426" s="5" t="str">
        <f t="shared" si="89"/>
        <v/>
      </c>
      <c r="I1426" s="6" t="str">
        <f t="shared" si="90"/>
        <v>0</v>
      </c>
      <c r="K1426" s="19" t="s">
        <v>5595</v>
      </c>
    </row>
    <row r="1427" spans="1:11" x14ac:dyDescent="0.2">
      <c r="A1427" t="s">
        <v>1830</v>
      </c>
      <c r="B1427" t="s">
        <v>6890</v>
      </c>
      <c r="G1427" s="5" t="str">
        <f t="shared" si="89"/>
        <v/>
      </c>
      <c r="I1427" s="6" t="str">
        <f t="shared" si="90"/>
        <v>0</v>
      </c>
    </row>
    <row r="1428" spans="1:11" x14ac:dyDescent="0.2">
      <c r="A1428" t="s">
        <v>1831</v>
      </c>
      <c r="B1428" t="s">
        <v>6891</v>
      </c>
      <c r="G1428" s="5" t="str">
        <f t="shared" si="89"/>
        <v/>
      </c>
      <c r="I1428" s="6" t="str">
        <f t="shared" si="90"/>
        <v>0</v>
      </c>
    </row>
    <row r="1429" spans="1:11" x14ac:dyDescent="0.2">
      <c r="A1429" t="s">
        <v>1832</v>
      </c>
      <c r="B1429" t="s">
        <v>6892</v>
      </c>
      <c r="G1429" s="5" t="str">
        <f t="shared" si="89"/>
        <v/>
      </c>
      <c r="I1429" s="6" t="str">
        <f t="shared" si="90"/>
        <v>0</v>
      </c>
    </row>
    <row r="1430" spans="1:11" x14ac:dyDescent="0.2">
      <c r="A1430" t="s">
        <v>1833</v>
      </c>
      <c r="B1430" t="s">
        <v>6893</v>
      </c>
      <c r="G1430" s="5" t="str">
        <f t="shared" si="89"/>
        <v/>
      </c>
      <c r="I1430" s="6" t="str">
        <f t="shared" si="90"/>
        <v>0</v>
      </c>
    </row>
    <row r="1431" spans="1:11" x14ac:dyDescent="0.2">
      <c r="A1431" t="s">
        <v>1834</v>
      </c>
      <c r="B1431" t="s">
        <v>6894</v>
      </c>
      <c r="G1431" s="5" t="str">
        <f t="shared" si="89"/>
        <v/>
      </c>
      <c r="I1431" s="6" t="str">
        <f t="shared" si="90"/>
        <v>0</v>
      </c>
    </row>
    <row r="1432" spans="1:11" x14ac:dyDescent="0.2">
      <c r="A1432" t="s">
        <v>1835</v>
      </c>
      <c r="B1432" t="s">
        <v>5596</v>
      </c>
      <c r="G1432" s="5" t="str">
        <f t="shared" si="89"/>
        <v/>
      </c>
      <c r="I1432" s="6" t="str">
        <f t="shared" si="90"/>
        <v>0</v>
      </c>
      <c r="K1432" s="19" t="s">
        <v>5597</v>
      </c>
    </row>
    <row r="1433" spans="1:11" x14ac:dyDescent="0.2">
      <c r="A1433" t="s">
        <v>1836</v>
      </c>
      <c r="B1433" t="s">
        <v>6895</v>
      </c>
      <c r="G1433" s="5" t="str">
        <f t="shared" si="89"/>
        <v/>
      </c>
      <c r="I1433" s="6" t="str">
        <f t="shared" si="90"/>
        <v>0</v>
      </c>
    </row>
    <row r="1434" spans="1:11" x14ac:dyDescent="0.2">
      <c r="A1434" t="s">
        <v>1837</v>
      </c>
      <c r="B1434" t="s">
        <v>6896</v>
      </c>
      <c r="G1434" s="5" t="str">
        <f t="shared" si="89"/>
        <v/>
      </c>
      <c r="I1434" s="6" t="str">
        <f t="shared" si="90"/>
        <v>0</v>
      </c>
    </row>
    <row r="1435" spans="1:11" x14ac:dyDescent="0.2">
      <c r="A1435" t="s">
        <v>1838</v>
      </c>
      <c r="B1435" t="s">
        <v>6897</v>
      </c>
      <c r="G1435" s="5" t="str">
        <f t="shared" si="89"/>
        <v/>
      </c>
      <c r="I1435" s="6" t="str">
        <f t="shared" si="90"/>
        <v>0</v>
      </c>
    </row>
    <row r="1436" spans="1:11" x14ac:dyDescent="0.2">
      <c r="A1436" t="s">
        <v>1839</v>
      </c>
      <c r="B1436" t="s">
        <v>6898</v>
      </c>
      <c r="G1436" s="5" t="str">
        <f t="shared" si="89"/>
        <v/>
      </c>
      <c r="I1436" s="6" t="str">
        <f t="shared" si="90"/>
        <v>0</v>
      </c>
    </row>
    <row r="1437" spans="1:11" x14ac:dyDescent="0.2">
      <c r="A1437" t="s">
        <v>1840</v>
      </c>
      <c r="B1437" t="s">
        <v>6899</v>
      </c>
      <c r="G1437" s="5" t="str">
        <f t="shared" si="89"/>
        <v/>
      </c>
      <c r="I1437" s="6" t="str">
        <f t="shared" si="90"/>
        <v>0</v>
      </c>
    </row>
    <row r="1438" spans="1:11" x14ac:dyDescent="0.2">
      <c r="A1438" t="s">
        <v>1841</v>
      </c>
      <c r="B1438" t="s">
        <v>6900</v>
      </c>
      <c r="G1438" s="5" t="str">
        <f t="shared" si="89"/>
        <v/>
      </c>
      <c r="I1438" s="6" t="str">
        <f t="shared" si="90"/>
        <v>0</v>
      </c>
    </row>
    <row r="1439" spans="1:11" x14ac:dyDescent="0.2">
      <c r="A1439" t="s">
        <v>1842</v>
      </c>
      <c r="B1439" t="s">
        <v>6901</v>
      </c>
      <c r="G1439" s="5" t="str">
        <f t="shared" si="89"/>
        <v/>
      </c>
      <c r="I1439" s="6" t="str">
        <f t="shared" si="90"/>
        <v>0</v>
      </c>
    </row>
    <row r="1440" spans="1:11" x14ac:dyDescent="0.2">
      <c r="A1440" t="s">
        <v>1843</v>
      </c>
      <c r="B1440" t="s">
        <v>5812</v>
      </c>
      <c r="G1440" s="5" t="str">
        <f t="shared" si="89"/>
        <v/>
      </c>
      <c r="I1440" s="6" t="str">
        <f t="shared" si="90"/>
        <v>0</v>
      </c>
      <c r="K1440" s="19" t="s">
        <v>5813</v>
      </c>
    </row>
    <row r="1441" spans="1:11" x14ac:dyDescent="0.2">
      <c r="A1441" t="s">
        <v>1844</v>
      </c>
      <c r="B1441" t="s">
        <v>4891</v>
      </c>
      <c r="C1441" s="5" t="s">
        <v>7</v>
      </c>
      <c r="F1441" s="5" t="s">
        <v>4892</v>
      </c>
      <c r="G1441" s="5">
        <f t="shared" si="89"/>
        <v>31208</v>
      </c>
      <c r="I1441" s="6" t="str">
        <f t="shared" si="90"/>
        <v>0</v>
      </c>
      <c r="K1441" s="19" t="s">
        <v>4893</v>
      </c>
    </row>
    <row r="1442" spans="1:11" x14ac:dyDescent="0.2">
      <c r="A1442" t="s">
        <v>1845</v>
      </c>
      <c r="B1442" t="s">
        <v>6902</v>
      </c>
      <c r="G1442" s="5" t="str">
        <f t="shared" si="89"/>
        <v/>
      </c>
      <c r="I1442" s="6" t="str">
        <f t="shared" si="90"/>
        <v>0</v>
      </c>
    </row>
    <row r="1443" spans="1:11" x14ac:dyDescent="0.2">
      <c r="A1443" t="s">
        <v>1846</v>
      </c>
      <c r="B1443" t="s">
        <v>6903</v>
      </c>
      <c r="G1443" s="5" t="str">
        <f t="shared" si="89"/>
        <v/>
      </c>
      <c r="I1443" s="6" t="str">
        <f t="shared" si="90"/>
        <v>0</v>
      </c>
    </row>
    <row r="1444" spans="1:11" x14ac:dyDescent="0.2">
      <c r="A1444" t="s">
        <v>1847</v>
      </c>
      <c r="B1444" t="s">
        <v>6904</v>
      </c>
      <c r="G1444" s="5" t="str">
        <f t="shared" si="89"/>
        <v/>
      </c>
      <c r="I1444" s="6" t="str">
        <f t="shared" si="90"/>
        <v>0</v>
      </c>
    </row>
    <row r="1445" spans="1:11" x14ac:dyDescent="0.2">
      <c r="A1445" t="s">
        <v>1848</v>
      </c>
      <c r="B1445" t="s">
        <v>6905</v>
      </c>
      <c r="G1445" s="5" t="str">
        <f t="shared" si="89"/>
        <v/>
      </c>
      <c r="I1445" s="6" t="str">
        <f t="shared" si="90"/>
        <v>0</v>
      </c>
    </row>
    <row r="1446" spans="1:11" x14ac:dyDescent="0.2">
      <c r="A1446" t="s">
        <v>1849</v>
      </c>
      <c r="B1446" t="s">
        <v>6906</v>
      </c>
      <c r="G1446" s="5" t="str">
        <f t="shared" si="89"/>
        <v/>
      </c>
      <c r="I1446" s="6" t="str">
        <f t="shared" si="90"/>
        <v>0</v>
      </c>
    </row>
    <row r="1447" spans="1:11" x14ac:dyDescent="0.2">
      <c r="A1447" t="s">
        <v>1850</v>
      </c>
      <c r="B1447" t="s">
        <v>6907</v>
      </c>
      <c r="G1447" s="5" t="str">
        <f t="shared" si="89"/>
        <v/>
      </c>
      <c r="I1447" s="6" t="str">
        <f t="shared" si="90"/>
        <v>0</v>
      </c>
    </row>
    <row r="1448" spans="1:11" x14ac:dyDescent="0.2">
      <c r="A1448" t="s">
        <v>1851</v>
      </c>
      <c r="B1448" t="s">
        <v>7386</v>
      </c>
      <c r="I1448" s="6">
        <v>0</v>
      </c>
      <c r="K1448" s="19" t="s">
        <v>7387</v>
      </c>
    </row>
    <row r="1449" spans="1:11" x14ac:dyDescent="0.2">
      <c r="A1449" t="s">
        <v>1852</v>
      </c>
      <c r="B1449" t="s">
        <v>5598</v>
      </c>
      <c r="G1449" s="5" t="str">
        <f t="shared" si="89"/>
        <v/>
      </c>
      <c r="I1449" s="6" t="str">
        <f t="shared" si="90"/>
        <v>0</v>
      </c>
      <c r="K1449" s="19" t="s">
        <v>5599</v>
      </c>
    </row>
    <row r="1450" spans="1:11" x14ac:dyDescent="0.2">
      <c r="A1450" t="s">
        <v>1853</v>
      </c>
      <c r="B1450" t="s">
        <v>6908</v>
      </c>
      <c r="G1450" s="5" t="str">
        <f t="shared" si="89"/>
        <v/>
      </c>
      <c r="I1450" s="6" t="str">
        <f t="shared" si="90"/>
        <v>0</v>
      </c>
    </row>
    <row r="1451" spans="1:11" x14ac:dyDescent="0.2">
      <c r="A1451" t="s">
        <v>1854</v>
      </c>
      <c r="B1451" t="s">
        <v>4960</v>
      </c>
      <c r="C1451" s="5" t="s">
        <v>7</v>
      </c>
      <c r="F1451" s="5" t="s">
        <v>4961</v>
      </c>
      <c r="G1451" s="5">
        <f t="shared" si="89"/>
        <v>31462</v>
      </c>
      <c r="I1451" s="6" t="str">
        <f t="shared" si="90"/>
        <v>0</v>
      </c>
      <c r="K1451" s="19" t="s">
        <v>4962</v>
      </c>
    </row>
    <row r="1452" spans="1:11" x14ac:dyDescent="0.2">
      <c r="A1452" t="s">
        <v>1855</v>
      </c>
      <c r="B1452" t="s">
        <v>6909</v>
      </c>
      <c r="G1452" s="5" t="str">
        <f t="shared" si="89"/>
        <v/>
      </c>
      <c r="I1452" s="6" t="str">
        <f t="shared" si="90"/>
        <v>0</v>
      </c>
    </row>
    <row r="1453" spans="1:11" x14ac:dyDescent="0.2">
      <c r="A1453" t="s">
        <v>1856</v>
      </c>
      <c r="B1453" t="s">
        <v>6910</v>
      </c>
      <c r="G1453" s="5" t="str">
        <f t="shared" si="89"/>
        <v/>
      </c>
      <c r="I1453" s="6" t="str">
        <f t="shared" si="90"/>
        <v>0</v>
      </c>
    </row>
    <row r="1454" spans="1:11" x14ac:dyDescent="0.2">
      <c r="A1454" t="s">
        <v>1857</v>
      </c>
      <c r="B1454" t="s">
        <v>4963</v>
      </c>
      <c r="C1454" s="5" t="s">
        <v>7</v>
      </c>
      <c r="F1454" s="5" t="s">
        <v>4964</v>
      </c>
      <c r="G1454" s="5">
        <f t="shared" si="89"/>
        <v>31524</v>
      </c>
      <c r="I1454" s="6" t="str">
        <f t="shared" si="90"/>
        <v>0</v>
      </c>
      <c r="K1454" s="19" t="s">
        <v>4965</v>
      </c>
    </row>
    <row r="1455" spans="1:11" x14ac:dyDescent="0.2">
      <c r="A1455" t="s">
        <v>1858</v>
      </c>
      <c r="B1455" t="s">
        <v>5814</v>
      </c>
      <c r="G1455" s="5" t="str">
        <f t="shared" si="89"/>
        <v/>
      </c>
      <c r="I1455" s="6" t="str">
        <f t="shared" si="90"/>
        <v>0</v>
      </c>
      <c r="K1455" s="19" t="s">
        <v>5815</v>
      </c>
    </row>
    <row r="1456" spans="1:11" x14ac:dyDescent="0.2">
      <c r="A1456" t="s">
        <v>1859</v>
      </c>
      <c r="B1456" t="s">
        <v>5816</v>
      </c>
      <c r="G1456" s="5" t="str">
        <f t="shared" si="89"/>
        <v/>
      </c>
      <c r="I1456" s="6" t="str">
        <f t="shared" si="90"/>
        <v>0</v>
      </c>
      <c r="K1456" s="19" t="s">
        <v>5817</v>
      </c>
    </row>
    <row r="1457" spans="1:11" x14ac:dyDescent="0.2">
      <c r="A1457" t="s">
        <v>1860</v>
      </c>
      <c r="B1457" t="s">
        <v>4966</v>
      </c>
      <c r="C1457" s="5" t="s">
        <v>7</v>
      </c>
      <c r="F1457" s="5" t="s">
        <v>4967</v>
      </c>
      <c r="G1457" s="5">
        <f t="shared" si="89"/>
        <v>31548</v>
      </c>
      <c r="I1457" s="6" t="str">
        <f t="shared" si="90"/>
        <v>0</v>
      </c>
      <c r="K1457" s="19" t="s">
        <v>4968</v>
      </c>
    </row>
    <row r="1458" spans="1:11" x14ac:dyDescent="0.2">
      <c r="A1458" t="s">
        <v>1861</v>
      </c>
      <c r="B1458" t="s">
        <v>4969</v>
      </c>
      <c r="C1458" s="5" t="s">
        <v>7</v>
      </c>
      <c r="F1458" s="5" t="s">
        <v>4970</v>
      </c>
      <c r="G1458" s="5">
        <f t="shared" si="89"/>
        <v>31550</v>
      </c>
      <c r="I1458" s="6" t="str">
        <f t="shared" si="90"/>
        <v>0</v>
      </c>
      <c r="K1458" s="19" t="s">
        <v>4971</v>
      </c>
    </row>
    <row r="1459" spans="1:11" x14ac:dyDescent="0.2">
      <c r="A1459" t="s">
        <v>1862</v>
      </c>
      <c r="B1459" t="s">
        <v>4972</v>
      </c>
      <c r="C1459" s="5" t="s">
        <v>7</v>
      </c>
      <c r="F1459" s="5" t="s">
        <v>4973</v>
      </c>
      <c r="G1459" s="5">
        <f t="shared" si="89"/>
        <v>31566</v>
      </c>
      <c r="I1459" s="6" t="str">
        <f t="shared" si="90"/>
        <v>0</v>
      </c>
      <c r="K1459" s="19" t="s">
        <v>4974</v>
      </c>
    </row>
    <row r="1460" spans="1:11" x14ac:dyDescent="0.2">
      <c r="A1460" t="s">
        <v>1863</v>
      </c>
      <c r="B1460" t="s">
        <v>4975</v>
      </c>
      <c r="C1460" s="5" t="s">
        <v>7</v>
      </c>
      <c r="F1460" s="5" t="s">
        <v>4976</v>
      </c>
      <c r="G1460" s="5">
        <f t="shared" si="89"/>
        <v>31596</v>
      </c>
      <c r="I1460" s="6" t="str">
        <f t="shared" si="90"/>
        <v>0</v>
      </c>
      <c r="K1460" s="19" t="s">
        <v>4977</v>
      </c>
    </row>
    <row r="1461" spans="1:11" x14ac:dyDescent="0.2">
      <c r="A1461" t="s">
        <v>1864</v>
      </c>
      <c r="B1461" t="s">
        <v>6911</v>
      </c>
      <c r="G1461" s="5" t="str">
        <f t="shared" si="89"/>
        <v/>
      </c>
      <c r="I1461" s="6" t="str">
        <f t="shared" si="90"/>
        <v>0</v>
      </c>
    </row>
    <row r="1462" spans="1:11" x14ac:dyDescent="0.2">
      <c r="A1462" t="s">
        <v>1865</v>
      </c>
      <c r="B1462" t="s">
        <v>6912</v>
      </c>
      <c r="G1462" s="5" t="str">
        <f t="shared" si="89"/>
        <v/>
      </c>
      <c r="I1462" s="6" t="str">
        <f t="shared" si="90"/>
        <v>0</v>
      </c>
      <c r="K1462" s="19" t="s">
        <v>6294</v>
      </c>
    </row>
    <row r="1463" spans="1:11" x14ac:dyDescent="0.2">
      <c r="A1463" t="s">
        <v>1866</v>
      </c>
      <c r="B1463" t="s">
        <v>6913</v>
      </c>
      <c r="G1463" s="5" t="str">
        <f t="shared" si="89"/>
        <v/>
      </c>
      <c r="I1463" s="6" t="str">
        <f t="shared" si="90"/>
        <v>0</v>
      </c>
      <c r="K1463" s="19" t="s">
        <v>6295</v>
      </c>
    </row>
    <row r="1464" spans="1:11" x14ac:dyDescent="0.2">
      <c r="A1464" t="s">
        <v>1867</v>
      </c>
      <c r="B1464" t="s">
        <v>4978</v>
      </c>
      <c r="C1464" s="5" t="s">
        <v>7</v>
      </c>
      <c r="F1464" s="5" t="s">
        <v>4979</v>
      </c>
      <c r="G1464" s="5">
        <f t="shared" si="89"/>
        <v>31696</v>
      </c>
      <c r="I1464" s="6" t="str">
        <f t="shared" si="90"/>
        <v>0</v>
      </c>
      <c r="K1464" s="19" t="s">
        <v>4980</v>
      </c>
    </row>
    <row r="1465" spans="1:11" x14ac:dyDescent="0.2">
      <c r="A1465" t="s">
        <v>1868</v>
      </c>
      <c r="B1465" t="s">
        <v>4981</v>
      </c>
      <c r="C1465" s="5" t="s">
        <v>7</v>
      </c>
      <c r="F1465" s="5" t="s">
        <v>4982</v>
      </c>
      <c r="G1465" s="5">
        <f t="shared" si="89"/>
        <v>31746</v>
      </c>
      <c r="I1465" s="6" t="str">
        <f t="shared" si="90"/>
        <v>0</v>
      </c>
      <c r="K1465" s="19" t="s">
        <v>4983</v>
      </c>
    </row>
    <row r="1466" spans="1:11" x14ac:dyDescent="0.2">
      <c r="A1466" t="s">
        <v>1869</v>
      </c>
      <c r="B1466" t="s">
        <v>4984</v>
      </c>
      <c r="C1466" s="5" t="s">
        <v>7</v>
      </c>
      <c r="F1466" s="5" t="s">
        <v>4985</v>
      </c>
      <c r="G1466" s="5">
        <f t="shared" si="89"/>
        <v>31790</v>
      </c>
      <c r="I1466" s="6" t="str">
        <f t="shared" si="90"/>
        <v>0</v>
      </c>
      <c r="K1466" s="19" t="s">
        <v>4986</v>
      </c>
    </row>
    <row r="1467" spans="1:11" x14ac:dyDescent="0.2">
      <c r="A1467" t="s">
        <v>1870</v>
      </c>
      <c r="B1467" t="s">
        <v>4987</v>
      </c>
      <c r="C1467" s="5" t="s">
        <v>7</v>
      </c>
      <c r="F1467" s="5" t="s">
        <v>4988</v>
      </c>
      <c r="G1467" s="5">
        <f t="shared" si="89"/>
        <v>31824</v>
      </c>
      <c r="I1467" s="6" t="str">
        <f t="shared" si="90"/>
        <v>0</v>
      </c>
      <c r="K1467" s="19" t="s">
        <v>4989</v>
      </c>
    </row>
    <row r="1468" spans="1:11" x14ac:dyDescent="0.2">
      <c r="A1468" t="s">
        <v>1871</v>
      </c>
      <c r="B1468" t="s">
        <v>4990</v>
      </c>
      <c r="C1468" s="5" t="s">
        <v>7</v>
      </c>
      <c r="F1468" s="5" t="s">
        <v>4991</v>
      </c>
      <c r="G1468" s="5">
        <f t="shared" si="89"/>
        <v>31826</v>
      </c>
      <c r="I1468" s="6" t="str">
        <f t="shared" si="90"/>
        <v>0</v>
      </c>
      <c r="K1468" s="19" t="s">
        <v>4992</v>
      </c>
    </row>
    <row r="1469" spans="1:11" x14ac:dyDescent="0.2">
      <c r="A1469" t="s">
        <v>1872</v>
      </c>
      <c r="B1469" t="s">
        <v>4993</v>
      </c>
      <c r="C1469" s="5" t="s">
        <v>7</v>
      </c>
      <c r="F1469" s="5" t="s">
        <v>4994</v>
      </c>
      <c r="G1469" s="5">
        <f t="shared" si="89"/>
        <v>31834</v>
      </c>
      <c r="I1469" s="6" t="str">
        <f t="shared" si="90"/>
        <v>0</v>
      </c>
      <c r="K1469" s="19" t="s">
        <v>4995</v>
      </c>
    </row>
    <row r="1470" spans="1:11" x14ac:dyDescent="0.2">
      <c r="A1470" t="s">
        <v>1873</v>
      </c>
      <c r="B1470" t="s">
        <v>4996</v>
      </c>
      <c r="C1470" s="5" t="s">
        <v>7</v>
      </c>
      <c r="F1470" s="5" t="s">
        <v>4997</v>
      </c>
      <c r="G1470" s="5">
        <f t="shared" si="89"/>
        <v>31836</v>
      </c>
      <c r="I1470" s="6" t="str">
        <f t="shared" si="90"/>
        <v>0</v>
      </c>
      <c r="K1470" s="19" t="s">
        <v>4998</v>
      </c>
    </row>
    <row r="1471" spans="1:11" x14ac:dyDescent="0.2">
      <c r="A1471" t="s">
        <v>1874</v>
      </c>
      <c r="B1471" t="s">
        <v>4999</v>
      </c>
      <c r="C1471" s="5" t="s">
        <v>7</v>
      </c>
      <c r="F1471" s="5" t="s">
        <v>5000</v>
      </c>
      <c r="G1471" s="5">
        <f t="shared" si="89"/>
        <v>31856</v>
      </c>
      <c r="I1471" s="6" t="str">
        <f t="shared" si="90"/>
        <v>0</v>
      </c>
      <c r="K1471" s="19" t="s">
        <v>5001</v>
      </c>
    </row>
    <row r="1472" spans="1:11" x14ac:dyDescent="0.2">
      <c r="A1472" t="s">
        <v>1875</v>
      </c>
      <c r="B1472" t="s">
        <v>5013</v>
      </c>
      <c r="C1472" s="5" t="s">
        <v>7</v>
      </c>
      <c r="F1472" s="5" t="s">
        <v>5014</v>
      </c>
      <c r="G1472" s="5">
        <f t="shared" si="89"/>
        <v>31860</v>
      </c>
      <c r="I1472" s="6" t="str">
        <f t="shared" si="90"/>
        <v>0</v>
      </c>
      <c r="K1472" s="19" t="s">
        <v>5015</v>
      </c>
    </row>
    <row r="1473" spans="1:11" x14ac:dyDescent="0.2">
      <c r="A1473" t="s">
        <v>1876</v>
      </c>
      <c r="B1473" t="s">
        <v>4887</v>
      </c>
      <c r="G1473" s="5" t="str">
        <f t="shared" ref="G1473:G1536" si="91">IF(F1473&lt;&gt;"",HEX2DEC(SUBSTITUTE(SUBSTITUTE(F1473,"adrEA",""),"$","")),"")</f>
        <v/>
      </c>
      <c r="I1473" s="6" t="str">
        <f t="shared" ref="I1473:I1536" si="92">IFERROR(DEC2HEX(H1473),"")</f>
        <v>0</v>
      </c>
      <c r="K1473" s="19" t="s">
        <v>4949</v>
      </c>
    </row>
    <row r="1474" spans="1:11" x14ac:dyDescent="0.2">
      <c r="A1474" t="s">
        <v>1877</v>
      </c>
      <c r="B1474" t="s">
        <v>4950</v>
      </c>
      <c r="G1474" s="5" t="str">
        <f t="shared" si="91"/>
        <v/>
      </c>
      <c r="I1474" s="6" t="str">
        <f t="shared" si="92"/>
        <v>0</v>
      </c>
      <c r="K1474" s="19" t="s">
        <v>4951</v>
      </c>
    </row>
    <row r="1475" spans="1:11" x14ac:dyDescent="0.2">
      <c r="A1475" t="s">
        <v>1817</v>
      </c>
      <c r="B1475" t="s">
        <v>5050</v>
      </c>
      <c r="C1475" s="5" t="s">
        <v>7</v>
      </c>
      <c r="F1475" s="5" t="s">
        <v>5051</v>
      </c>
      <c r="G1475" s="5">
        <f t="shared" si="91"/>
        <v>30780</v>
      </c>
      <c r="I1475" s="6" t="str">
        <f t="shared" si="92"/>
        <v>0</v>
      </c>
      <c r="K1475" s="19" t="s">
        <v>5052</v>
      </c>
    </row>
    <row r="1476" spans="1:11" x14ac:dyDescent="0.2">
      <c r="A1476" t="s">
        <v>1878</v>
      </c>
      <c r="B1476" t="s">
        <v>5068</v>
      </c>
      <c r="C1476" s="5" t="s">
        <v>7</v>
      </c>
      <c r="F1476" s="5" t="s">
        <v>5069</v>
      </c>
      <c r="G1476" s="5">
        <f t="shared" si="91"/>
        <v>32174</v>
      </c>
      <c r="I1476" s="6" t="str">
        <f t="shared" si="92"/>
        <v>0</v>
      </c>
      <c r="K1476" s="19" t="s">
        <v>5070</v>
      </c>
    </row>
    <row r="1477" spans="1:11" x14ac:dyDescent="0.2">
      <c r="A1477" t="s">
        <v>1880</v>
      </c>
      <c r="B1477" t="s">
        <v>3747</v>
      </c>
      <c r="C1477" s="5" t="s">
        <v>7</v>
      </c>
      <c r="F1477" s="5" t="s">
        <v>5152</v>
      </c>
      <c r="G1477" s="5">
        <f t="shared" si="91"/>
        <v>32192</v>
      </c>
      <c r="I1477" s="6" t="str">
        <f t="shared" si="92"/>
        <v>0</v>
      </c>
      <c r="K1477" s="19" t="s">
        <v>5153</v>
      </c>
    </row>
    <row r="1478" spans="1:11" x14ac:dyDescent="0.2">
      <c r="A1478" t="s">
        <v>1879</v>
      </c>
      <c r="B1478" t="s">
        <v>5071</v>
      </c>
      <c r="C1478" s="5" t="s">
        <v>7</v>
      </c>
      <c r="F1478" s="5" t="s">
        <v>5072</v>
      </c>
      <c r="G1478" s="5">
        <f t="shared" si="91"/>
        <v>32184</v>
      </c>
      <c r="I1478" s="6" t="str">
        <f t="shared" si="92"/>
        <v>0</v>
      </c>
      <c r="K1478" s="19" t="s">
        <v>5073</v>
      </c>
    </row>
    <row r="1479" spans="1:11" x14ac:dyDescent="0.2">
      <c r="A1479" t="s">
        <v>1881</v>
      </c>
      <c r="B1479" t="s">
        <v>5074</v>
      </c>
      <c r="C1479" s="5" t="s">
        <v>7</v>
      </c>
      <c r="F1479" s="5" t="s">
        <v>5075</v>
      </c>
      <c r="G1479" s="5">
        <f t="shared" si="91"/>
        <v>32212</v>
      </c>
      <c r="I1479" s="6" t="str">
        <f t="shared" si="92"/>
        <v>0</v>
      </c>
      <c r="K1479" s="19" t="s">
        <v>5154</v>
      </c>
    </row>
    <row r="1480" spans="1:11" x14ac:dyDescent="0.2">
      <c r="A1480" t="s">
        <v>1882</v>
      </c>
      <c r="B1480" t="s">
        <v>5076</v>
      </c>
      <c r="C1480" s="5" t="s">
        <v>7</v>
      </c>
      <c r="F1480" s="5" t="s">
        <v>5077</v>
      </c>
      <c r="G1480" s="5">
        <f t="shared" si="91"/>
        <v>32216</v>
      </c>
      <c r="I1480" s="6" t="str">
        <f t="shared" si="92"/>
        <v>0</v>
      </c>
      <c r="K1480" s="19" t="s">
        <v>5155</v>
      </c>
    </row>
    <row r="1481" spans="1:11" x14ac:dyDescent="0.2">
      <c r="A1481" t="s">
        <v>1883</v>
      </c>
      <c r="B1481" t="s">
        <v>5078</v>
      </c>
      <c r="C1481" s="5" t="s">
        <v>7</v>
      </c>
      <c r="F1481" s="5" t="s">
        <v>5079</v>
      </c>
      <c r="G1481" s="5">
        <f t="shared" si="91"/>
        <v>32232</v>
      </c>
      <c r="I1481" s="6" t="str">
        <f t="shared" si="92"/>
        <v>0</v>
      </c>
      <c r="K1481" s="19" t="s">
        <v>5156</v>
      </c>
    </row>
    <row r="1482" spans="1:11" x14ac:dyDescent="0.2">
      <c r="A1482" t="s">
        <v>1884</v>
      </c>
      <c r="B1482" t="s">
        <v>5080</v>
      </c>
      <c r="C1482" s="5" t="s">
        <v>7</v>
      </c>
      <c r="F1482" s="5" t="s">
        <v>5081</v>
      </c>
      <c r="G1482" s="5">
        <f t="shared" si="91"/>
        <v>32316</v>
      </c>
      <c r="I1482" s="6" t="str">
        <f t="shared" si="92"/>
        <v>0</v>
      </c>
      <c r="K1482" s="19" t="s">
        <v>5157</v>
      </c>
    </row>
    <row r="1483" spans="1:11" x14ac:dyDescent="0.2">
      <c r="A1483" t="s">
        <v>1886</v>
      </c>
      <c r="B1483" t="s">
        <v>4882</v>
      </c>
      <c r="C1483" s="5" t="s">
        <v>48</v>
      </c>
      <c r="D1483" t="s">
        <v>5160</v>
      </c>
      <c r="E1483" t="str">
        <f t="shared" ref="E1483" si="93">IF(D1483&lt;&gt;"",C1483&amp;"/"&amp;D1483,"")</f>
        <v>data/ChampionClassBarColours.lookup</v>
      </c>
      <c r="F1483" s="5" t="s">
        <v>4883</v>
      </c>
      <c r="G1483" s="5">
        <f t="shared" si="91"/>
        <v>32326</v>
      </c>
      <c r="H1483" s="5">
        <v>4</v>
      </c>
      <c r="I1483" s="6" t="str">
        <f t="shared" si="92"/>
        <v>4</v>
      </c>
      <c r="J1483" s="6" t="s">
        <v>3409</v>
      </c>
      <c r="K1483" s="19" t="s">
        <v>5161</v>
      </c>
    </row>
    <row r="1484" spans="1:11" x14ac:dyDescent="0.2">
      <c r="A1484" t="s">
        <v>1887</v>
      </c>
      <c r="B1484" t="s">
        <v>5162</v>
      </c>
      <c r="C1484" s="5" t="s">
        <v>7</v>
      </c>
      <c r="F1484" s="5" t="s">
        <v>5163</v>
      </c>
      <c r="G1484" s="5">
        <f t="shared" si="91"/>
        <v>32330</v>
      </c>
      <c r="I1484" s="6" t="str">
        <f t="shared" si="92"/>
        <v>0</v>
      </c>
      <c r="K1484" s="19" t="s">
        <v>5164</v>
      </c>
    </row>
    <row r="1485" spans="1:11" x14ac:dyDescent="0.2">
      <c r="A1485" t="s">
        <v>1888</v>
      </c>
      <c r="B1485" t="s">
        <v>6914</v>
      </c>
      <c r="G1485" s="5" t="str">
        <f t="shared" si="91"/>
        <v/>
      </c>
      <c r="I1485" s="6" t="str">
        <f t="shared" si="92"/>
        <v>0</v>
      </c>
    </row>
    <row r="1486" spans="1:11" x14ac:dyDescent="0.2">
      <c r="A1486" t="s">
        <v>1889</v>
      </c>
      <c r="B1486" t="s">
        <v>6915</v>
      </c>
      <c r="G1486" s="5" t="str">
        <f t="shared" si="91"/>
        <v/>
      </c>
      <c r="I1486" s="6" t="str">
        <f t="shared" si="92"/>
        <v>0</v>
      </c>
    </row>
    <row r="1487" spans="1:11" x14ac:dyDescent="0.2">
      <c r="A1487" t="s">
        <v>1890</v>
      </c>
      <c r="B1487" t="s">
        <v>5818</v>
      </c>
      <c r="G1487" s="5" t="str">
        <f t="shared" si="91"/>
        <v/>
      </c>
      <c r="I1487" s="6" t="str">
        <f t="shared" si="92"/>
        <v>0</v>
      </c>
      <c r="K1487" s="19" t="s">
        <v>5819</v>
      </c>
    </row>
    <row r="1488" spans="1:11" x14ac:dyDescent="0.2">
      <c r="A1488" t="s">
        <v>1891</v>
      </c>
      <c r="B1488" t="s">
        <v>7388</v>
      </c>
      <c r="I1488" s="6">
        <v>0</v>
      </c>
      <c r="K1488" s="19" t="s">
        <v>7389</v>
      </c>
    </row>
    <row r="1489" spans="1:11" x14ac:dyDescent="0.2">
      <c r="A1489" t="s">
        <v>1892</v>
      </c>
      <c r="B1489" t="s">
        <v>6916</v>
      </c>
      <c r="G1489" s="5" t="str">
        <f t="shared" si="91"/>
        <v/>
      </c>
      <c r="I1489" s="6" t="str">
        <f t="shared" si="92"/>
        <v>0</v>
      </c>
    </row>
    <row r="1490" spans="1:11" x14ac:dyDescent="0.2">
      <c r="A1490" t="s">
        <v>1893</v>
      </c>
      <c r="B1490" t="s">
        <v>5443</v>
      </c>
      <c r="G1490" s="5" t="str">
        <f t="shared" si="91"/>
        <v/>
      </c>
      <c r="I1490" s="6" t="str">
        <f t="shared" si="92"/>
        <v>0</v>
      </c>
      <c r="K1490" s="19" t="s">
        <v>5444</v>
      </c>
    </row>
    <row r="1491" spans="1:11" x14ac:dyDescent="0.2">
      <c r="A1491" t="s">
        <v>1894</v>
      </c>
      <c r="B1491" t="s">
        <v>6917</v>
      </c>
      <c r="G1491" s="5" t="str">
        <f t="shared" si="91"/>
        <v/>
      </c>
      <c r="I1491" s="6" t="str">
        <f t="shared" si="92"/>
        <v>0</v>
      </c>
    </row>
    <row r="1492" spans="1:11" x14ac:dyDescent="0.2">
      <c r="A1492" t="s">
        <v>1895</v>
      </c>
      <c r="B1492" t="s">
        <v>5028</v>
      </c>
      <c r="C1492" s="5" t="s">
        <v>7</v>
      </c>
      <c r="F1492" s="5" t="s">
        <v>5029</v>
      </c>
      <c r="G1492" s="5">
        <f t="shared" si="91"/>
        <v>32468</v>
      </c>
      <c r="I1492" s="6" t="str">
        <f t="shared" si="92"/>
        <v>0</v>
      </c>
      <c r="K1492" s="19" t="s">
        <v>5030</v>
      </c>
    </row>
    <row r="1493" spans="1:11" x14ac:dyDescent="0.2">
      <c r="A1493" t="s">
        <v>1896</v>
      </c>
      <c r="B1493" t="s">
        <v>5031</v>
      </c>
      <c r="C1493" s="5" t="s">
        <v>7</v>
      </c>
      <c r="F1493" s="5" t="s">
        <v>5032</v>
      </c>
      <c r="G1493" s="5">
        <f t="shared" si="91"/>
        <v>32500</v>
      </c>
      <c r="I1493" s="6" t="str">
        <f t="shared" si="92"/>
        <v>0</v>
      </c>
      <c r="K1493" s="19" t="s">
        <v>5033</v>
      </c>
    </row>
    <row r="1494" spans="1:11" x14ac:dyDescent="0.2">
      <c r="A1494" t="s">
        <v>1885</v>
      </c>
      <c r="B1494" t="s">
        <v>5158</v>
      </c>
      <c r="C1494" s="5" t="s">
        <v>7</v>
      </c>
      <c r="F1494" s="5" t="s">
        <v>5082</v>
      </c>
      <c r="G1494" s="5">
        <f t="shared" si="91"/>
        <v>32324</v>
      </c>
      <c r="I1494" s="6" t="str">
        <f t="shared" si="92"/>
        <v>0</v>
      </c>
      <c r="K1494" s="19" t="s">
        <v>5159</v>
      </c>
    </row>
    <row r="1495" spans="1:11" x14ac:dyDescent="0.2">
      <c r="A1495" t="s">
        <v>1898</v>
      </c>
      <c r="B1495" t="s">
        <v>5034</v>
      </c>
      <c r="C1495" s="5" t="s">
        <v>7</v>
      </c>
      <c r="F1495" s="5" t="s">
        <v>5035</v>
      </c>
      <c r="G1495" s="5">
        <f t="shared" si="91"/>
        <v>32566</v>
      </c>
      <c r="I1495" s="6" t="str">
        <f t="shared" si="92"/>
        <v>0</v>
      </c>
      <c r="K1495" s="19" t="s">
        <v>5036</v>
      </c>
    </row>
    <row r="1496" spans="1:11" x14ac:dyDescent="0.2">
      <c r="A1496" t="s">
        <v>1899</v>
      </c>
      <c r="B1496" t="s">
        <v>6918</v>
      </c>
      <c r="G1496" s="5" t="str">
        <f t="shared" si="91"/>
        <v/>
      </c>
      <c r="I1496" s="6" t="str">
        <f t="shared" si="92"/>
        <v>0</v>
      </c>
    </row>
    <row r="1497" spans="1:11" x14ac:dyDescent="0.2">
      <c r="A1497" t="s">
        <v>1900</v>
      </c>
      <c r="B1497" t="s">
        <v>5037</v>
      </c>
      <c r="C1497" s="5" t="s">
        <v>7</v>
      </c>
      <c r="F1497" s="5" t="s">
        <v>5038</v>
      </c>
      <c r="G1497" s="5">
        <f t="shared" si="91"/>
        <v>32696</v>
      </c>
      <c r="I1497" s="6" t="str">
        <f t="shared" si="92"/>
        <v>0</v>
      </c>
      <c r="K1497" s="19" t="s">
        <v>5039</v>
      </c>
    </row>
    <row r="1498" spans="1:11" x14ac:dyDescent="0.2">
      <c r="A1498" t="s">
        <v>1901</v>
      </c>
      <c r="B1498" t="s">
        <v>5600</v>
      </c>
      <c r="G1498" s="5" t="str">
        <f t="shared" si="91"/>
        <v/>
      </c>
      <c r="I1498" s="6" t="str">
        <f t="shared" si="92"/>
        <v>0</v>
      </c>
      <c r="K1498" s="19" t="s">
        <v>5601</v>
      </c>
    </row>
    <row r="1499" spans="1:11" x14ac:dyDescent="0.2">
      <c r="A1499" t="s">
        <v>1902</v>
      </c>
      <c r="B1499" t="s">
        <v>6919</v>
      </c>
      <c r="G1499" s="5" t="str">
        <f t="shared" si="91"/>
        <v/>
      </c>
      <c r="I1499" s="6" t="str">
        <f t="shared" si="92"/>
        <v>0</v>
      </c>
    </row>
    <row r="1500" spans="1:11" x14ac:dyDescent="0.2">
      <c r="A1500" t="s">
        <v>1903</v>
      </c>
      <c r="B1500" t="s">
        <v>5820</v>
      </c>
      <c r="G1500" s="5" t="str">
        <f t="shared" si="91"/>
        <v/>
      </c>
      <c r="I1500" s="6" t="str">
        <f t="shared" si="92"/>
        <v>0</v>
      </c>
      <c r="K1500" s="19" t="s">
        <v>5821</v>
      </c>
    </row>
    <row r="1501" spans="1:11" x14ac:dyDescent="0.2">
      <c r="A1501" t="s">
        <v>1904</v>
      </c>
      <c r="B1501" t="s">
        <v>5602</v>
      </c>
      <c r="G1501" s="5" t="str">
        <f t="shared" si="91"/>
        <v/>
      </c>
      <c r="I1501" s="6" t="str">
        <f t="shared" si="92"/>
        <v>0</v>
      </c>
      <c r="K1501" s="19" t="s">
        <v>5603</v>
      </c>
    </row>
    <row r="1502" spans="1:11" x14ac:dyDescent="0.2">
      <c r="A1502" t="s">
        <v>1905</v>
      </c>
      <c r="B1502" t="s">
        <v>6920</v>
      </c>
      <c r="G1502" s="5" t="str">
        <f t="shared" si="91"/>
        <v/>
      </c>
      <c r="I1502" s="6" t="str">
        <f t="shared" si="92"/>
        <v>0</v>
      </c>
    </row>
    <row r="1503" spans="1:11" x14ac:dyDescent="0.2">
      <c r="A1503" t="s">
        <v>1906</v>
      </c>
      <c r="B1503" t="s">
        <v>6921</v>
      </c>
      <c r="G1503" s="5" t="str">
        <f t="shared" si="91"/>
        <v/>
      </c>
      <c r="I1503" s="6" t="str">
        <f t="shared" si="92"/>
        <v>0</v>
      </c>
    </row>
    <row r="1504" spans="1:11" x14ac:dyDescent="0.2">
      <c r="A1504" t="s">
        <v>1907</v>
      </c>
      <c r="B1504" t="s">
        <v>6922</v>
      </c>
      <c r="G1504" s="5" t="str">
        <f t="shared" si="91"/>
        <v/>
      </c>
      <c r="I1504" s="6" t="str">
        <f t="shared" si="92"/>
        <v>0</v>
      </c>
    </row>
    <row r="1505" spans="1:11" x14ac:dyDescent="0.2">
      <c r="A1505" t="s">
        <v>1908</v>
      </c>
      <c r="B1505" t="s">
        <v>6923</v>
      </c>
      <c r="G1505" s="5" t="str">
        <f t="shared" si="91"/>
        <v/>
      </c>
      <c r="I1505" s="6" t="str">
        <f t="shared" si="92"/>
        <v>0</v>
      </c>
    </row>
    <row r="1506" spans="1:11" x14ac:dyDescent="0.2">
      <c r="A1506" t="s">
        <v>1909</v>
      </c>
      <c r="B1506" t="s">
        <v>6924</v>
      </c>
      <c r="G1506" s="5" t="str">
        <f t="shared" si="91"/>
        <v/>
      </c>
      <c r="I1506" s="6" t="str">
        <f t="shared" si="92"/>
        <v>0</v>
      </c>
    </row>
    <row r="1507" spans="1:11" x14ac:dyDescent="0.2">
      <c r="A1507" t="s">
        <v>1910</v>
      </c>
      <c r="B1507" t="s">
        <v>6925</v>
      </c>
      <c r="G1507" s="5" t="str">
        <f t="shared" si="91"/>
        <v/>
      </c>
      <c r="I1507" s="6" t="str">
        <f t="shared" si="92"/>
        <v>0</v>
      </c>
    </row>
    <row r="1508" spans="1:11" x14ac:dyDescent="0.2">
      <c r="A1508" t="s">
        <v>1911</v>
      </c>
      <c r="B1508" t="s">
        <v>5604</v>
      </c>
      <c r="G1508" s="5" t="str">
        <f t="shared" si="91"/>
        <v/>
      </c>
      <c r="I1508" s="6" t="str">
        <f t="shared" si="92"/>
        <v>0</v>
      </c>
      <c r="K1508" s="19" t="s">
        <v>5605</v>
      </c>
    </row>
    <row r="1509" spans="1:11" x14ac:dyDescent="0.2">
      <c r="A1509" t="s">
        <v>1912</v>
      </c>
      <c r="B1509" t="s">
        <v>5606</v>
      </c>
      <c r="G1509" s="5" t="str">
        <f t="shared" si="91"/>
        <v/>
      </c>
      <c r="I1509" s="6" t="str">
        <f t="shared" si="92"/>
        <v>0</v>
      </c>
      <c r="K1509" s="19" t="s">
        <v>5607</v>
      </c>
    </row>
    <row r="1510" spans="1:11" x14ac:dyDescent="0.2">
      <c r="A1510" t="s">
        <v>1913</v>
      </c>
      <c r="B1510" t="s">
        <v>5608</v>
      </c>
      <c r="G1510" s="5" t="str">
        <f t="shared" si="91"/>
        <v/>
      </c>
      <c r="I1510" s="6" t="str">
        <f t="shared" si="92"/>
        <v>0</v>
      </c>
      <c r="K1510" s="19" t="s">
        <v>5609</v>
      </c>
    </row>
    <row r="1511" spans="1:11" x14ac:dyDescent="0.2">
      <c r="A1511" t="s">
        <v>1914</v>
      </c>
      <c r="B1511" t="s">
        <v>5610</v>
      </c>
      <c r="G1511" s="5" t="str">
        <f t="shared" si="91"/>
        <v/>
      </c>
      <c r="I1511" s="6" t="str">
        <f t="shared" si="92"/>
        <v>0</v>
      </c>
      <c r="K1511" s="19" t="s">
        <v>5611</v>
      </c>
    </row>
    <row r="1512" spans="1:11" x14ac:dyDescent="0.2">
      <c r="A1512" t="s">
        <v>1915</v>
      </c>
      <c r="B1512" t="s">
        <v>5612</v>
      </c>
      <c r="G1512" s="5" t="str">
        <f t="shared" si="91"/>
        <v/>
      </c>
      <c r="I1512" s="6" t="str">
        <f t="shared" si="92"/>
        <v>0</v>
      </c>
      <c r="K1512" s="19" t="s">
        <v>5613</v>
      </c>
    </row>
    <row r="1513" spans="1:11" x14ac:dyDescent="0.2">
      <c r="A1513" t="s">
        <v>1916</v>
      </c>
      <c r="B1513" t="s">
        <v>5614</v>
      </c>
      <c r="G1513" s="5" t="str">
        <f t="shared" si="91"/>
        <v/>
      </c>
      <c r="I1513" s="6" t="str">
        <f t="shared" si="92"/>
        <v>0</v>
      </c>
      <c r="K1513" s="19" t="s">
        <v>5615</v>
      </c>
    </row>
    <row r="1514" spans="1:11" x14ac:dyDescent="0.2">
      <c r="A1514" t="s">
        <v>1917</v>
      </c>
      <c r="B1514" t="s">
        <v>5822</v>
      </c>
      <c r="G1514" s="5" t="str">
        <f t="shared" si="91"/>
        <v/>
      </c>
      <c r="I1514" s="6" t="str">
        <f t="shared" si="92"/>
        <v>0</v>
      </c>
      <c r="K1514" s="19" t="s">
        <v>5823</v>
      </c>
    </row>
    <row r="1515" spans="1:11" x14ac:dyDescent="0.2">
      <c r="A1515" t="s">
        <v>1918</v>
      </c>
      <c r="B1515" t="s">
        <v>1919</v>
      </c>
      <c r="C1515" s="5" t="s">
        <v>3109</v>
      </c>
      <c r="D1515" t="s">
        <v>3736</v>
      </c>
      <c r="E1515" t="str">
        <f t="shared" ref="E1515" si="94">IF(D1515&lt;&gt;"",C1515&amp;"/"&amp;D1515,"")</f>
        <v>gfx-data/Champion_Class.colours</v>
      </c>
      <c r="F1515" s="5" t="s">
        <v>3737</v>
      </c>
      <c r="G1515" s="5">
        <f t="shared" si="91"/>
        <v>33002</v>
      </c>
      <c r="H1515" s="5">
        <v>16</v>
      </c>
      <c r="I1515" s="6" t="str">
        <f t="shared" si="92"/>
        <v>10</v>
      </c>
      <c r="K1515" s="19" t="s">
        <v>3738</v>
      </c>
    </row>
    <row r="1516" spans="1:11" x14ac:dyDescent="0.2">
      <c r="A1516" t="s">
        <v>1920</v>
      </c>
      <c r="B1516" t="s">
        <v>5379</v>
      </c>
      <c r="G1516" s="5" t="str">
        <f t="shared" si="91"/>
        <v/>
      </c>
      <c r="I1516" s="6" t="str">
        <f t="shared" si="92"/>
        <v>0</v>
      </c>
      <c r="K1516" s="19" t="s">
        <v>5380</v>
      </c>
    </row>
    <row r="1517" spans="1:11" x14ac:dyDescent="0.2">
      <c r="A1517" t="s">
        <v>1921</v>
      </c>
      <c r="B1517" t="s">
        <v>5616</v>
      </c>
      <c r="G1517" s="5" t="str">
        <f t="shared" si="91"/>
        <v/>
      </c>
      <c r="I1517" s="6" t="str">
        <f t="shared" si="92"/>
        <v>0</v>
      </c>
      <c r="K1517" s="19" t="s">
        <v>5617</v>
      </c>
    </row>
    <row r="1518" spans="1:11" x14ac:dyDescent="0.2">
      <c r="A1518" t="s">
        <v>1922</v>
      </c>
      <c r="B1518" t="s">
        <v>5456</v>
      </c>
      <c r="G1518" s="5" t="str">
        <f t="shared" si="91"/>
        <v/>
      </c>
      <c r="I1518" s="6" t="str">
        <f t="shared" si="92"/>
        <v>0</v>
      </c>
      <c r="K1518" s="19" t="s">
        <v>5457</v>
      </c>
    </row>
    <row r="1519" spans="1:11" x14ac:dyDescent="0.2">
      <c r="A1519" t="s">
        <v>1923</v>
      </c>
      <c r="B1519" t="s">
        <v>5381</v>
      </c>
      <c r="G1519" s="5" t="str">
        <f t="shared" si="91"/>
        <v/>
      </c>
      <c r="I1519" s="6" t="str">
        <f t="shared" si="92"/>
        <v>0</v>
      </c>
      <c r="K1519" s="19" t="s">
        <v>5382</v>
      </c>
    </row>
    <row r="1520" spans="1:11" x14ac:dyDescent="0.2">
      <c r="A1520" t="s">
        <v>1924</v>
      </c>
      <c r="B1520" t="s">
        <v>1924</v>
      </c>
      <c r="G1520" s="5" t="str">
        <f t="shared" si="91"/>
        <v/>
      </c>
      <c r="I1520" s="6" t="str">
        <f t="shared" si="92"/>
        <v>0</v>
      </c>
      <c r="K1520" s="19" t="s">
        <v>6296</v>
      </c>
    </row>
    <row r="1521" spans="1:11" x14ac:dyDescent="0.2">
      <c r="A1521" t="s">
        <v>1925</v>
      </c>
      <c r="B1521" t="s">
        <v>5618</v>
      </c>
      <c r="G1521" s="5" t="str">
        <f t="shared" si="91"/>
        <v/>
      </c>
      <c r="I1521" s="6" t="str">
        <f t="shared" si="92"/>
        <v>0</v>
      </c>
      <c r="K1521" s="19" t="s">
        <v>5619</v>
      </c>
    </row>
    <row r="1522" spans="1:11" x14ac:dyDescent="0.2">
      <c r="A1522" t="s">
        <v>1926</v>
      </c>
      <c r="B1522" t="s">
        <v>6926</v>
      </c>
      <c r="G1522" s="5" t="str">
        <f t="shared" si="91"/>
        <v/>
      </c>
      <c r="I1522" s="6" t="str">
        <f t="shared" si="92"/>
        <v>0</v>
      </c>
      <c r="K1522" s="19" t="s">
        <v>6297</v>
      </c>
    </row>
    <row r="1523" spans="1:11" x14ac:dyDescent="0.2">
      <c r="A1523" t="s">
        <v>1927</v>
      </c>
      <c r="B1523" t="s">
        <v>5383</v>
      </c>
      <c r="G1523" s="5" t="str">
        <f t="shared" si="91"/>
        <v/>
      </c>
      <c r="I1523" s="6" t="str">
        <f t="shared" si="92"/>
        <v>0</v>
      </c>
      <c r="K1523" s="19" t="s">
        <v>5384</v>
      </c>
    </row>
    <row r="1524" spans="1:11" x14ac:dyDescent="0.2">
      <c r="A1524" t="s">
        <v>1928</v>
      </c>
      <c r="B1524" t="s">
        <v>5385</v>
      </c>
      <c r="G1524" s="5" t="str">
        <f t="shared" si="91"/>
        <v/>
      </c>
      <c r="I1524" s="6" t="str">
        <f t="shared" si="92"/>
        <v>0</v>
      </c>
      <c r="K1524" s="19" t="s">
        <v>5386</v>
      </c>
    </row>
    <row r="1525" spans="1:11" x14ac:dyDescent="0.2">
      <c r="A1525" t="s">
        <v>1929</v>
      </c>
      <c r="B1525" t="s">
        <v>6927</v>
      </c>
      <c r="G1525" s="5" t="str">
        <f t="shared" si="91"/>
        <v/>
      </c>
      <c r="I1525" s="6" t="str">
        <f t="shared" si="92"/>
        <v>0</v>
      </c>
      <c r="K1525" s="19" t="s">
        <v>6298</v>
      </c>
    </row>
    <row r="1526" spans="1:11" x14ac:dyDescent="0.2">
      <c r="A1526" t="s">
        <v>1930</v>
      </c>
      <c r="B1526" t="s">
        <v>6928</v>
      </c>
      <c r="G1526" s="5" t="str">
        <f t="shared" si="91"/>
        <v/>
      </c>
      <c r="I1526" s="6" t="str">
        <f t="shared" si="92"/>
        <v>0</v>
      </c>
    </row>
    <row r="1527" spans="1:11" x14ac:dyDescent="0.2">
      <c r="A1527" t="s">
        <v>1931</v>
      </c>
      <c r="B1527" t="s">
        <v>5824</v>
      </c>
      <c r="G1527" s="5" t="str">
        <f t="shared" si="91"/>
        <v/>
      </c>
      <c r="I1527" s="6" t="str">
        <f t="shared" si="92"/>
        <v>0</v>
      </c>
      <c r="K1527" s="19" t="s">
        <v>5825</v>
      </c>
    </row>
    <row r="1528" spans="1:11" x14ac:dyDescent="0.2">
      <c r="A1528" t="s">
        <v>1932</v>
      </c>
      <c r="B1528" t="s">
        <v>5679</v>
      </c>
      <c r="G1528" s="5" t="str">
        <f t="shared" si="91"/>
        <v/>
      </c>
      <c r="I1528" s="6" t="str">
        <f t="shared" si="92"/>
        <v>0</v>
      </c>
      <c r="K1528" s="19" t="s">
        <v>5680</v>
      </c>
    </row>
    <row r="1529" spans="1:11" x14ac:dyDescent="0.2">
      <c r="A1529" t="s">
        <v>1933</v>
      </c>
      <c r="B1529" t="s">
        <v>5620</v>
      </c>
      <c r="G1529" s="5" t="str">
        <f t="shared" si="91"/>
        <v/>
      </c>
      <c r="I1529" s="6" t="str">
        <f t="shared" si="92"/>
        <v>0</v>
      </c>
      <c r="K1529" s="19" t="s">
        <v>5621</v>
      </c>
    </row>
    <row r="1530" spans="1:11" x14ac:dyDescent="0.2">
      <c r="A1530" t="s">
        <v>1934</v>
      </c>
      <c r="B1530" t="s">
        <v>6929</v>
      </c>
      <c r="G1530" s="5" t="str">
        <f t="shared" si="91"/>
        <v/>
      </c>
      <c r="I1530" s="6" t="str">
        <f t="shared" si="92"/>
        <v>0</v>
      </c>
    </row>
    <row r="1531" spans="1:11" x14ac:dyDescent="0.2">
      <c r="A1531" t="s">
        <v>1935</v>
      </c>
      <c r="B1531" t="s">
        <v>6930</v>
      </c>
      <c r="G1531" s="5" t="str">
        <f t="shared" si="91"/>
        <v/>
      </c>
      <c r="I1531" s="6" t="str">
        <f t="shared" si="92"/>
        <v>0</v>
      </c>
    </row>
    <row r="1532" spans="1:11" x14ac:dyDescent="0.2">
      <c r="A1532" t="s">
        <v>1936</v>
      </c>
      <c r="B1532" t="s">
        <v>6931</v>
      </c>
      <c r="G1532" s="5" t="str">
        <f t="shared" si="91"/>
        <v/>
      </c>
      <c r="I1532" s="6" t="str">
        <f t="shared" si="92"/>
        <v>0</v>
      </c>
    </row>
    <row r="1533" spans="1:11" x14ac:dyDescent="0.2">
      <c r="A1533" t="s">
        <v>1937</v>
      </c>
      <c r="B1533" t="s">
        <v>6932</v>
      </c>
      <c r="G1533" s="5" t="str">
        <f t="shared" si="91"/>
        <v/>
      </c>
      <c r="I1533" s="6" t="str">
        <f t="shared" si="92"/>
        <v>0</v>
      </c>
    </row>
    <row r="1534" spans="1:11" x14ac:dyDescent="0.2">
      <c r="A1534" t="s">
        <v>1938</v>
      </c>
      <c r="B1534" t="s">
        <v>6933</v>
      </c>
      <c r="G1534" s="5" t="str">
        <f t="shared" si="91"/>
        <v/>
      </c>
      <c r="I1534" s="6" t="str">
        <f t="shared" si="92"/>
        <v>0</v>
      </c>
    </row>
    <row r="1535" spans="1:11" x14ac:dyDescent="0.2">
      <c r="A1535" t="s">
        <v>1939</v>
      </c>
      <c r="B1535" t="s">
        <v>5387</v>
      </c>
      <c r="G1535" s="5" t="str">
        <f t="shared" si="91"/>
        <v/>
      </c>
      <c r="I1535" s="6" t="str">
        <f t="shared" si="92"/>
        <v>0</v>
      </c>
      <c r="K1535" s="19" t="s">
        <v>5388</v>
      </c>
    </row>
    <row r="1536" spans="1:11" x14ac:dyDescent="0.2">
      <c r="A1536" t="s">
        <v>1940</v>
      </c>
      <c r="B1536" t="s">
        <v>6934</v>
      </c>
      <c r="G1536" s="5" t="str">
        <f t="shared" si="91"/>
        <v/>
      </c>
      <c r="I1536" s="6" t="str">
        <f t="shared" si="92"/>
        <v>0</v>
      </c>
    </row>
    <row r="1537" spans="1:11" x14ac:dyDescent="0.2">
      <c r="A1537" t="s">
        <v>1941</v>
      </c>
      <c r="B1537" t="s">
        <v>5681</v>
      </c>
      <c r="G1537" s="5" t="str">
        <f t="shared" ref="G1537:G1600" si="95">IF(F1537&lt;&gt;"",HEX2DEC(SUBSTITUTE(SUBSTITUTE(F1537,"adrEA",""),"$","")),"")</f>
        <v/>
      </c>
      <c r="I1537" s="6" t="str">
        <f t="shared" ref="I1537:I1600" si="96">IFERROR(DEC2HEX(H1537),"")</f>
        <v>0</v>
      </c>
      <c r="K1537" s="19" t="s">
        <v>5682</v>
      </c>
    </row>
    <row r="1538" spans="1:11" x14ac:dyDescent="0.2">
      <c r="A1538" t="s">
        <v>1942</v>
      </c>
      <c r="B1538" t="s">
        <v>6935</v>
      </c>
      <c r="G1538" s="5" t="str">
        <f t="shared" si="95"/>
        <v/>
      </c>
      <c r="I1538" s="6" t="str">
        <f t="shared" si="96"/>
        <v>0</v>
      </c>
    </row>
    <row r="1539" spans="1:11" x14ac:dyDescent="0.2">
      <c r="A1539" t="s">
        <v>1943</v>
      </c>
      <c r="B1539" t="s">
        <v>5703</v>
      </c>
      <c r="G1539" s="5" t="str">
        <f t="shared" si="95"/>
        <v/>
      </c>
      <c r="I1539" s="6" t="str">
        <f t="shared" si="96"/>
        <v>0</v>
      </c>
      <c r="K1539" s="19" t="s">
        <v>5704</v>
      </c>
    </row>
    <row r="1540" spans="1:11" x14ac:dyDescent="0.2">
      <c r="A1540" t="s">
        <v>1944</v>
      </c>
      <c r="B1540" t="s">
        <v>6936</v>
      </c>
      <c r="G1540" s="5" t="str">
        <f t="shared" si="95"/>
        <v/>
      </c>
      <c r="I1540" s="6" t="str">
        <f t="shared" si="96"/>
        <v>0</v>
      </c>
    </row>
    <row r="1541" spans="1:11" x14ac:dyDescent="0.2">
      <c r="A1541" t="s">
        <v>1945</v>
      </c>
      <c r="B1541" t="s">
        <v>5683</v>
      </c>
      <c r="G1541" s="5" t="str">
        <f t="shared" si="95"/>
        <v/>
      </c>
      <c r="I1541" s="6" t="str">
        <f t="shared" si="96"/>
        <v>0</v>
      </c>
      <c r="K1541" s="19" t="s">
        <v>5684</v>
      </c>
    </row>
    <row r="1542" spans="1:11" x14ac:dyDescent="0.2">
      <c r="A1542" t="s">
        <v>1946</v>
      </c>
      <c r="B1542" t="s">
        <v>6937</v>
      </c>
      <c r="G1542" s="5" t="str">
        <f t="shared" si="95"/>
        <v/>
      </c>
      <c r="I1542" s="6" t="str">
        <f t="shared" si="96"/>
        <v>0</v>
      </c>
    </row>
    <row r="1543" spans="1:11" x14ac:dyDescent="0.2">
      <c r="A1543" t="s">
        <v>1947</v>
      </c>
      <c r="B1543" t="s">
        <v>5458</v>
      </c>
      <c r="G1543" s="5" t="str">
        <f t="shared" si="95"/>
        <v/>
      </c>
      <c r="I1543" s="6" t="str">
        <f t="shared" si="96"/>
        <v>0</v>
      </c>
      <c r="K1543" s="19" t="s">
        <v>5459</v>
      </c>
    </row>
    <row r="1544" spans="1:11" x14ac:dyDescent="0.2">
      <c r="A1544" t="s">
        <v>1948</v>
      </c>
      <c r="B1544" t="s">
        <v>6938</v>
      </c>
      <c r="G1544" s="5" t="str">
        <f t="shared" si="95"/>
        <v/>
      </c>
      <c r="I1544" s="6" t="str">
        <f t="shared" si="96"/>
        <v>0</v>
      </c>
    </row>
    <row r="1545" spans="1:11" x14ac:dyDescent="0.2">
      <c r="A1545" t="s">
        <v>1949</v>
      </c>
      <c r="B1545" t="s">
        <v>6939</v>
      </c>
      <c r="G1545" s="5" t="str">
        <f t="shared" si="95"/>
        <v/>
      </c>
      <c r="I1545" s="6" t="str">
        <f t="shared" si="96"/>
        <v>0</v>
      </c>
    </row>
    <row r="1546" spans="1:11" x14ac:dyDescent="0.2">
      <c r="A1546" t="s">
        <v>1950</v>
      </c>
      <c r="B1546" t="s">
        <v>5622</v>
      </c>
      <c r="G1546" s="5" t="str">
        <f t="shared" si="95"/>
        <v/>
      </c>
      <c r="I1546" s="6" t="str">
        <f t="shared" si="96"/>
        <v>0</v>
      </c>
      <c r="K1546" s="19" t="s">
        <v>5623</v>
      </c>
    </row>
    <row r="1547" spans="1:11" x14ac:dyDescent="0.2">
      <c r="A1547" t="s">
        <v>1951</v>
      </c>
      <c r="B1547" t="s">
        <v>6940</v>
      </c>
      <c r="G1547" s="5" t="str">
        <f t="shared" si="95"/>
        <v/>
      </c>
      <c r="I1547" s="6" t="str">
        <f t="shared" si="96"/>
        <v>0</v>
      </c>
    </row>
    <row r="1548" spans="1:11" x14ac:dyDescent="0.2">
      <c r="A1548" t="s">
        <v>1952</v>
      </c>
      <c r="B1548" t="s">
        <v>6941</v>
      </c>
      <c r="G1548" s="5" t="str">
        <f t="shared" si="95"/>
        <v/>
      </c>
      <c r="I1548" s="6" t="str">
        <f t="shared" si="96"/>
        <v>0</v>
      </c>
    </row>
    <row r="1549" spans="1:11" x14ac:dyDescent="0.2">
      <c r="A1549" t="s">
        <v>1953</v>
      </c>
      <c r="B1549" t="s">
        <v>5624</v>
      </c>
      <c r="G1549" s="5" t="str">
        <f t="shared" si="95"/>
        <v/>
      </c>
      <c r="I1549" s="6" t="str">
        <f t="shared" si="96"/>
        <v>0</v>
      </c>
      <c r="K1549" s="19" t="s">
        <v>5625</v>
      </c>
    </row>
    <row r="1550" spans="1:11" x14ac:dyDescent="0.2">
      <c r="A1550" t="s">
        <v>1954</v>
      </c>
      <c r="B1550" t="s">
        <v>6942</v>
      </c>
      <c r="G1550" s="5" t="str">
        <f t="shared" si="95"/>
        <v/>
      </c>
      <c r="I1550" s="6" t="str">
        <f t="shared" si="96"/>
        <v>0</v>
      </c>
    </row>
    <row r="1551" spans="1:11" x14ac:dyDescent="0.2">
      <c r="A1551" t="s">
        <v>1955</v>
      </c>
      <c r="B1551" t="s">
        <v>6943</v>
      </c>
      <c r="G1551" s="5" t="str">
        <f t="shared" si="95"/>
        <v/>
      </c>
      <c r="I1551" s="6" t="str">
        <f t="shared" si="96"/>
        <v>0</v>
      </c>
    </row>
    <row r="1552" spans="1:11" x14ac:dyDescent="0.2">
      <c r="A1552" t="s">
        <v>1956</v>
      </c>
      <c r="B1552" t="s">
        <v>6944</v>
      </c>
      <c r="G1552" s="5" t="str">
        <f t="shared" si="95"/>
        <v/>
      </c>
      <c r="I1552" s="6" t="str">
        <f t="shared" si="96"/>
        <v>0</v>
      </c>
    </row>
    <row r="1553" spans="1:11" x14ac:dyDescent="0.2">
      <c r="A1553" t="s">
        <v>1957</v>
      </c>
      <c r="B1553" t="s">
        <v>6945</v>
      </c>
      <c r="G1553" s="5" t="str">
        <f t="shared" si="95"/>
        <v/>
      </c>
      <c r="I1553" s="6" t="str">
        <f t="shared" si="96"/>
        <v>0</v>
      </c>
    </row>
    <row r="1554" spans="1:11" x14ac:dyDescent="0.2">
      <c r="A1554" t="s">
        <v>1958</v>
      </c>
      <c r="B1554" t="s">
        <v>6946</v>
      </c>
      <c r="G1554" s="5" t="str">
        <f t="shared" si="95"/>
        <v/>
      </c>
      <c r="I1554" s="6" t="str">
        <f t="shared" si="96"/>
        <v>0</v>
      </c>
    </row>
    <row r="1555" spans="1:11" x14ac:dyDescent="0.2">
      <c r="A1555" t="s">
        <v>1959</v>
      </c>
      <c r="B1555" t="s">
        <v>6947</v>
      </c>
      <c r="G1555" s="5" t="str">
        <f t="shared" si="95"/>
        <v/>
      </c>
      <c r="I1555" s="6" t="str">
        <f t="shared" si="96"/>
        <v>0</v>
      </c>
    </row>
    <row r="1556" spans="1:11" x14ac:dyDescent="0.2">
      <c r="A1556" t="s">
        <v>1960</v>
      </c>
      <c r="B1556" t="s">
        <v>6948</v>
      </c>
      <c r="G1556" s="5" t="str">
        <f t="shared" si="95"/>
        <v/>
      </c>
      <c r="I1556" s="6" t="str">
        <f t="shared" si="96"/>
        <v>0</v>
      </c>
    </row>
    <row r="1557" spans="1:11" x14ac:dyDescent="0.2">
      <c r="A1557" t="s">
        <v>1961</v>
      </c>
      <c r="B1557" t="s">
        <v>5626</v>
      </c>
      <c r="G1557" s="5" t="str">
        <f t="shared" si="95"/>
        <v/>
      </c>
      <c r="I1557" s="6" t="str">
        <f t="shared" si="96"/>
        <v>0</v>
      </c>
      <c r="K1557" s="19" t="s">
        <v>5627</v>
      </c>
    </row>
    <row r="1558" spans="1:11" x14ac:dyDescent="0.2">
      <c r="A1558" t="s">
        <v>1962</v>
      </c>
      <c r="B1558" t="s">
        <v>6949</v>
      </c>
      <c r="G1558" s="5" t="str">
        <f t="shared" si="95"/>
        <v/>
      </c>
      <c r="I1558" s="6" t="str">
        <f t="shared" si="96"/>
        <v>0</v>
      </c>
    </row>
    <row r="1559" spans="1:11" x14ac:dyDescent="0.2">
      <c r="A1559" t="s">
        <v>1963</v>
      </c>
      <c r="B1559" t="s">
        <v>5389</v>
      </c>
      <c r="G1559" s="5" t="str">
        <f t="shared" si="95"/>
        <v/>
      </c>
      <c r="I1559" s="6" t="str">
        <f t="shared" si="96"/>
        <v>0</v>
      </c>
      <c r="K1559" s="19" t="s">
        <v>5390</v>
      </c>
    </row>
    <row r="1560" spans="1:11" x14ac:dyDescent="0.2">
      <c r="A1560" t="s">
        <v>1964</v>
      </c>
      <c r="B1560" t="s">
        <v>6950</v>
      </c>
      <c r="G1560" s="5" t="str">
        <f t="shared" si="95"/>
        <v/>
      </c>
      <c r="I1560" s="6" t="str">
        <f t="shared" si="96"/>
        <v>0</v>
      </c>
    </row>
    <row r="1561" spans="1:11" x14ac:dyDescent="0.2">
      <c r="A1561" t="s">
        <v>1965</v>
      </c>
      <c r="B1561" t="s">
        <v>5391</v>
      </c>
      <c r="G1561" s="5" t="str">
        <f t="shared" si="95"/>
        <v/>
      </c>
      <c r="I1561" s="6" t="str">
        <f t="shared" si="96"/>
        <v>0</v>
      </c>
      <c r="K1561" s="19" t="s">
        <v>5392</v>
      </c>
    </row>
    <row r="1562" spans="1:11" x14ac:dyDescent="0.2">
      <c r="A1562" t="s">
        <v>1966</v>
      </c>
      <c r="B1562" t="s">
        <v>5685</v>
      </c>
      <c r="G1562" s="5" t="str">
        <f t="shared" si="95"/>
        <v/>
      </c>
      <c r="I1562" s="6" t="str">
        <f t="shared" si="96"/>
        <v>0</v>
      </c>
      <c r="K1562" s="19" t="s">
        <v>5686</v>
      </c>
    </row>
    <row r="1563" spans="1:11" x14ac:dyDescent="0.2">
      <c r="A1563" t="s">
        <v>1967</v>
      </c>
      <c r="B1563" t="s">
        <v>6951</v>
      </c>
      <c r="G1563" s="5" t="str">
        <f t="shared" si="95"/>
        <v/>
      </c>
      <c r="I1563" s="6" t="str">
        <f t="shared" si="96"/>
        <v>0</v>
      </c>
    </row>
    <row r="1564" spans="1:11" x14ac:dyDescent="0.2">
      <c r="A1564" t="s">
        <v>1968</v>
      </c>
      <c r="B1564" t="s">
        <v>6952</v>
      </c>
      <c r="G1564" s="5" t="str">
        <f t="shared" si="95"/>
        <v/>
      </c>
      <c r="I1564" s="6" t="str">
        <f t="shared" si="96"/>
        <v>0</v>
      </c>
    </row>
    <row r="1565" spans="1:11" x14ac:dyDescent="0.2">
      <c r="A1565" t="s">
        <v>1969</v>
      </c>
      <c r="B1565" t="s">
        <v>5826</v>
      </c>
      <c r="G1565" s="5" t="str">
        <f t="shared" si="95"/>
        <v/>
      </c>
      <c r="I1565" s="6" t="str">
        <f t="shared" si="96"/>
        <v>0</v>
      </c>
      <c r="K1565" s="19" t="s">
        <v>5827</v>
      </c>
    </row>
    <row r="1566" spans="1:11" x14ac:dyDescent="0.2">
      <c r="A1566" t="s">
        <v>1970</v>
      </c>
      <c r="B1566" t="s">
        <v>7390</v>
      </c>
      <c r="I1566" s="6">
        <v>0</v>
      </c>
      <c r="K1566" s="19" t="s">
        <v>7391</v>
      </c>
    </row>
    <row r="1567" spans="1:11" x14ac:dyDescent="0.2">
      <c r="A1567" t="s">
        <v>1971</v>
      </c>
      <c r="B1567" t="s">
        <v>1971</v>
      </c>
      <c r="C1567" s="5" t="s">
        <v>4608</v>
      </c>
      <c r="G1567" s="5" t="str">
        <f t="shared" si="95"/>
        <v/>
      </c>
      <c r="I1567" s="6" t="str">
        <f t="shared" si="96"/>
        <v>0</v>
      </c>
      <c r="K1567" s="19" t="s">
        <v>4609</v>
      </c>
    </row>
    <row r="1568" spans="1:11" x14ac:dyDescent="0.2">
      <c r="A1568" t="s">
        <v>1972</v>
      </c>
      <c r="B1568" t="s">
        <v>1973</v>
      </c>
      <c r="E1568" t="str">
        <f>IF(D1568&lt;&gt;"",C1568&amp;"/"&amp;D1568,"")</f>
        <v/>
      </c>
      <c r="G1568" s="5" t="str">
        <f t="shared" si="95"/>
        <v/>
      </c>
      <c r="I1568" s="6" t="str">
        <f t="shared" si="96"/>
        <v>0</v>
      </c>
    </row>
    <row r="1569" spans="1:11" x14ac:dyDescent="0.2">
      <c r="A1569" t="s">
        <v>1974</v>
      </c>
      <c r="B1569" t="s">
        <v>1975</v>
      </c>
      <c r="E1569" t="str">
        <f>IF(D1569&lt;&gt;"",C1569&amp;"/"&amp;D1569,"")</f>
        <v/>
      </c>
      <c r="G1569" s="5" t="str">
        <f t="shared" si="95"/>
        <v/>
      </c>
      <c r="I1569" s="6" t="str">
        <f t="shared" si="96"/>
        <v>0</v>
      </c>
    </row>
    <row r="1570" spans="1:11" x14ac:dyDescent="0.2">
      <c r="A1570" t="s">
        <v>1976</v>
      </c>
      <c r="B1570" t="s">
        <v>1977</v>
      </c>
      <c r="C1570" s="5" t="s">
        <v>4610</v>
      </c>
      <c r="G1570" s="5" t="str">
        <f t="shared" si="95"/>
        <v/>
      </c>
      <c r="I1570" s="6" t="str">
        <f t="shared" si="96"/>
        <v>0</v>
      </c>
      <c r="K1570" s="19" t="s">
        <v>4611</v>
      </c>
    </row>
    <row r="1571" spans="1:11" x14ac:dyDescent="0.2">
      <c r="A1571" t="s">
        <v>1978</v>
      </c>
      <c r="B1571" t="s">
        <v>3080</v>
      </c>
      <c r="E1571" t="str">
        <f t="shared" ref="E1571:E1573" si="97">IF(D1571&lt;&gt;"",C1571&amp;"/"&amp;D1571,"")</f>
        <v/>
      </c>
      <c r="G1571" s="5" t="str">
        <f t="shared" si="95"/>
        <v/>
      </c>
      <c r="I1571" s="6" t="str">
        <f t="shared" si="96"/>
        <v>0</v>
      </c>
    </row>
    <row r="1572" spans="1:11" x14ac:dyDescent="0.2">
      <c r="A1572" t="s">
        <v>1979</v>
      </c>
      <c r="B1572" t="s">
        <v>5828</v>
      </c>
      <c r="G1572" s="5" t="str">
        <f t="shared" si="95"/>
        <v/>
      </c>
      <c r="I1572" s="6" t="str">
        <f t="shared" si="96"/>
        <v>0</v>
      </c>
      <c r="K1572" s="19" t="s">
        <v>5829</v>
      </c>
    </row>
    <row r="1573" spans="1:11" x14ac:dyDescent="0.2">
      <c r="A1573" t="s">
        <v>1980</v>
      </c>
      <c r="B1573" t="s">
        <v>1981</v>
      </c>
      <c r="E1573" t="str">
        <f t="shared" si="97"/>
        <v/>
      </c>
      <c r="G1573" s="5" t="str">
        <f t="shared" si="95"/>
        <v/>
      </c>
      <c r="I1573" s="6" t="str">
        <f t="shared" si="96"/>
        <v>0</v>
      </c>
    </row>
    <row r="1574" spans="1:11" x14ac:dyDescent="0.2">
      <c r="A1574" t="s">
        <v>1982</v>
      </c>
      <c r="B1574" t="s">
        <v>6953</v>
      </c>
      <c r="G1574" s="5" t="str">
        <f t="shared" si="95"/>
        <v/>
      </c>
      <c r="I1574" s="6" t="str">
        <f t="shared" si="96"/>
        <v>0</v>
      </c>
    </row>
    <row r="1575" spans="1:11" x14ac:dyDescent="0.2">
      <c r="A1575" t="s">
        <v>1983</v>
      </c>
      <c r="B1575" t="s">
        <v>6954</v>
      </c>
      <c r="G1575" s="5" t="str">
        <f t="shared" si="95"/>
        <v/>
      </c>
      <c r="I1575" s="6" t="str">
        <f t="shared" si="96"/>
        <v>0</v>
      </c>
    </row>
    <row r="1576" spans="1:11" x14ac:dyDescent="0.2">
      <c r="A1576" t="s">
        <v>1984</v>
      </c>
      <c r="B1576" t="s">
        <v>6955</v>
      </c>
      <c r="G1576" s="5" t="str">
        <f t="shared" si="95"/>
        <v/>
      </c>
      <c r="I1576" s="6" t="str">
        <f t="shared" si="96"/>
        <v>0</v>
      </c>
    </row>
    <row r="1577" spans="1:11" x14ac:dyDescent="0.2">
      <c r="A1577" t="s">
        <v>1985</v>
      </c>
      <c r="B1577" t="s">
        <v>6956</v>
      </c>
      <c r="G1577" s="5" t="str">
        <f t="shared" si="95"/>
        <v/>
      </c>
      <c r="I1577" s="6" t="str">
        <f t="shared" si="96"/>
        <v>0</v>
      </c>
    </row>
    <row r="1578" spans="1:11" x14ac:dyDescent="0.2">
      <c r="A1578" t="s">
        <v>1986</v>
      </c>
      <c r="B1578" t="s">
        <v>6957</v>
      </c>
      <c r="G1578" s="5" t="str">
        <f t="shared" si="95"/>
        <v/>
      </c>
      <c r="I1578" s="6" t="str">
        <f t="shared" si="96"/>
        <v>0</v>
      </c>
    </row>
    <row r="1579" spans="1:11" x14ac:dyDescent="0.2">
      <c r="A1579" t="s">
        <v>1987</v>
      </c>
      <c r="B1579" t="s">
        <v>6958</v>
      </c>
      <c r="G1579" s="5" t="str">
        <f t="shared" si="95"/>
        <v/>
      </c>
      <c r="I1579" s="6" t="str">
        <f t="shared" si="96"/>
        <v>0</v>
      </c>
    </row>
    <row r="1580" spans="1:11" x14ac:dyDescent="0.2">
      <c r="A1580" t="s">
        <v>1988</v>
      </c>
      <c r="B1580" t="s">
        <v>6959</v>
      </c>
      <c r="G1580" s="5" t="str">
        <f t="shared" si="95"/>
        <v/>
      </c>
      <c r="I1580" s="6" t="str">
        <f t="shared" si="96"/>
        <v>0</v>
      </c>
    </row>
    <row r="1581" spans="1:11" x14ac:dyDescent="0.2">
      <c r="A1581" t="s">
        <v>1989</v>
      </c>
      <c r="B1581" t="s">
        <v>5628</v>
      </c>
      <c r="G1581" s="5" t="str">
        <f t="shared" si="95"/>
        <v/>
      </c>
      <c r="I1581" s="6" t="str">
        <f t="shared" si="96"/>
        <v>0</v>
      </c>
      <c r="K1581" s="19" t="s">
        <v>5629</v>
      </c>
    </row>
    <row r="1582" spans="1:11" x14ac:dyDescent="0.2">
      <c r="A1582" t="s">
        <v>1990</v>
      </c>
      <c r="B1582" t="s">
        <v>6960</v>
      </c>
      <c r="G1582" s="5" t="str">
        <f t="shared" si="95"/>
        <v/>
      </c>
      <c r="I1582" s="6" t="str">
        <f t="shared" si="96"/>
        <v>0</v>
      </c>
    </row>
    <row r="1583" spans="1:11" x14ac:dyDescent="0.2">
      <c r="A1583" t="s">
        <v>1991</v>
      </c>
      <c r="B1583" t="s">
        <v>6961</v>
      </c>
      <c r="G1583" s="5" t="str">
        <f t="shared" si="95"/>
        <v/>
      </c>
      <c r="I1583" s="6" t="str">
        <f t="shared" si="96"/>
        <v>0</v>
      </c>
    </row>
    <row r="1584" spans="1:11" x14ac:dyDescent="0.2">
      <c r="A1584" t="s">
        <v>1992</v>
      </c>
      <c r="B1584" t="s">
        <v>6962</v>
      </c>
      <c r="G1584" s="5" t="str">
        <f t="shared" si="95"/>
        <v/>
      </c>
      <c r="I1584" s="6" t="str">
        <f t="shared" si="96"/>
        <v>0</v>
      </c>
    </row>
    <row r="1585" spans="1:11" x14ac:dyDescent="0.2">
      <c r="A1585" t="s">
        <v>1993</v>
      </c>
      <c r="B1585" t="s">
        <v>1994</v>
      </c>
      <c r="G1585" s="5" t="str">
        <f t="shared" si="95"/>
        <v/>
      </c>
      <c r="I1585" s="6" t="str">
        <f t="shared" si="96"/>
        <v>0</v>
      </c>
      <c r="K1585" s="19" t="s">
        <v>6299</v>
      </c>
    </row>
    <row r="1586" spans="1:11" x14ac:dyDescent="0.2">
      <c r="A1586" t="s">
        <v>1995</v>
      </c>
      <c r="B1586" t="s">
        <v>5460</v>
      </c>
      <c r="G1586" s="5" t="str">
        <f t="shared" si="95"/>
        <v/>
      </c>
      <c r="I1586" s="6" t="str">
        <f t="shared" si="96"/>
        <v>0</v>
      </c>
      <c r="K1586" s="19" t="s">
        <v>5461</v>
      </c>
    </row>
    <row r="1587" spans="1:11" x14ac:dyDescent="0.2">
      <c r="A1587" t="s">
        <v>1996</v>
      </c>
      <c r="B1587" t="s">
        <v>5630</v>
      </c>
      <c r="G1587" s="5" t="str">
        <f t="shared" si="95"/>
        <v/>
      </c>
      <c r="I1587" s="6" t="str">
        <f t="shared" si="96"/>
        <v>0</v>
      </c>
      <c r="K1587" s="19" t="s">
        <v>5631</v>
      </c>
    </row>
    <row r="1588" spans="1:11" x14ac:dyDescent="0.2">
      <c r="A1588" t="s">
        <v>1997</v>
      </c>
      <c r="B1588" t="s">
        <v>6963</v>
      </c>
      <c r="G1588" s="5" t="str">
        <f t="shared" si="95"/>
        <v/>
      </c>
      <c r="I1588" s="6" t="str">
        <f t="shared" si="96"/>
        <v>0</v>
      </c>
    </row>
    <row r="1589" spans="1:11" x14ac:dyDescent="0.2">
      <c r="A1589" t="s">
        <v>1998</v>
      </c>
      <c r="B1589" t="s">
        <v>6964</v>
      </c>
      <c r="G1589" s="5" t="str">
        <f t="shared" si="95"/>
        <v/>
      </c>
      <c r="I1589" s="6" t="str">
        <f t="shared" si="96"/>
        <v>0</v>
      </c>
    </row>
    <row r="1590" spans="1:11" x14ac:dyDescent="0.2">
      <c r="A1590" t="s">
        <v>1999</v>
      </c>
      <c r="B1590" t="s">
        <v>6965</v>
      </c>
      <c r="G1590" s="5" t="str">
        <f t="shared" si="95"/>
        <v/>
      </c>
      <c r="I1590" s="6" t="str">
        <f t="shared" si="96"/>
        <v>0</v>
      </c>
    </row>
    <row r="1591" spans="1:11" x14ac:dyDescent="0.2">
      <c r="A1591" t="s">
        <v>2000</v>
      </c>
      <c r="B1591" t="s">
        <v>6966</v>
      </c>
      <c r="G1591" s="5" t="str">
        <f t="shared" si="95"/>
        <v/>
      </c>
      <c r="I1591" s="6" t="str">
        <f t="shared" si="96"/>
        <v>0</v>
      </c>
    </row>
    <row r="1592" spans="1:11" x14ac:dyDescent="0.2">
      <c r="A1592" t="s">
        <v>2001</v>
      </c>
      <c r="B1592" t="s">
        <v>6967</v>
      </c>
      <c r="G1592" s="5" t="str">
        <f t="shared" si="95"/>
        <v/>
      </c>
      <c r="I1592" s="6" t="str">
        <f t="shared" si="96"/>
        <v>0</v>
      </c>
    </row>
    <row r="1593" spans="1:11" x14ac:dyDescent="0.2">
      <c r="A1593" t="s">
        <v>2002</v>
      </c>
      <c r="B1593" t="s">
        <v>5632</v>
      </c>
      <c r="G1593" s="5" t="str">
        <f t="shared" si="95"/>
        <v/>
      </c>
      <c r="I1593" s="6" t="str">
        <f t="shared" si="96"/>
        <v>0</v>
      </c>
      <c r="K1593" s="19" t="s">
        <v>5633</v>
      </c>
    </row>
    <row r="1594" spans="1:11" x14ac:dyDescent="0.2">
      <c r="A1594" t="s">
        <v>2003</v>
      </c>
      <c r="B1594" t="s">
        <v>5830</v>
      </c>
      <c r="G1594" s="5" t="str">
        <f t="shared" si="95"/>
        <v/>
      </c>
      <c r="I1594" s="6" t="str">
        <f t="shared" si="96"/>
        <v>0</v>
      </c>
      <c r="K1594" s="19" t="s">
        <v>5831</v>
      </c>
    </row>
    <row r="1595" spans="1:11" x14ac:dyDescent="0.2">
      <c r="A1595" t="s">
        <v>2004</v>
      </c>
      <c r="B1595" t="s">
        <v>5832</v>
      </c>
      <c r="G1595" s="5" t="str">
        <f t="shared" si="95"/>
        <v/>
      </c>
      <c r="I1595" s="6" t="str">
        <f t="shared" si="96"/>
        <v>0</v>
      </c>
      <c r="K1595" s="19" t="s">
        <v>5833</v>
      </c>
    </row>
    <row r="1596" spans="1:11" x14ac:dyDescent="0.2">
      <c r="A1596" t="s">
        <v>2005</v>
      </c>
      <c r="B1596" t="s">
        <v>2006</v>
      </c>
      <c r="G1596" s="5" t="str">
        <f t="shared" si="95"/>
        <v/>
      </c>
      <c r="I1596" s="6" t="str">
        <f t="shared" si="96"/>
        <v>0</v>
      </c>
      <c r="K1596" s="19" t="s">
        <v>6300</v>
      </c>
    </row>
    <row r="1597" spans="1:11" x14ac:dyDescent="0.2">
      <c r="A1597" t="s">
        <v>2007</v>
      </c>
      <c r="B1597" t="s">
        <v>6968</v>
      </c>
      <c r="G1597" s="5" t="str">
        <f t="shared" si="95"/>
        <v/>
      </c>
      <c r="I1597" s="6" t="str">
        <f t="shared" si="96"/>
        <v>0</v>
      </c>
    </row>
    <row r="1598" spans="1:11" x14ac:dyDescent="0.2">
      <c r="A1598" t="s">
        <v>2008</v>
      </c>
      <c r="B1598" t="s">
        <v>6969</v>
      </c>
      <c r="G1598" s="5" t="str">
        <f t="shared" si="95"/>
        <v/>
      </c>
      <c r="I1598" s="6" t="str">
        <f t="shared" si="96"/>
        <v>0</v>
      </c>
    </row>
    <row r="1599" spans="1:11" x14ac:dyDescent="0.2">
      <c r="A1599" t="s">
        <v>2009</v>
      </c>
      <c r="B1599" t="s">
        <v>6970</v>
      </c>
      <c r="G1599" s="5" t="str">
        <f t="shared" si="95"/>
        <v/>
      </c>
      <c r="I1599" s="6" t="str">
        <f t="shared" si="96"/>
        <v>0</v>
      </c>
    </row>
    <row r="1600" spans="1:11" x14ac:dyDescent="0.2">
      <c r="A1600" t="s">
        <v>2010</v>
      </c>
      <c r="B1600" t="s">
        <v>6971</v>
      </c>
      <c r="G1600" s="5" t="str">
        <f t="shared" si="95"/>
        <v/>
      </c>
      <c r="I1600" s="6" t="str">
        <f t="shared" si="96"/>
        <v>0</v>
      </c>
    </row>
    <row r="1601" spans="1:11" x14ac:dyDescent="0.2">
      <c r="A1601" t="s">
        <v>2011</v>
      </c>
      <c r="B1601" t="s">
        <v>4939</v>
      </c>
      <c r="C1601" s="5" t="s">
        <v>7</v>
      </c>
      <c r="F1601" s="5" t="s">
        <v>4914</v>
      </c>
      <c r="G1601" s="5">
        <f t="shared" ref="G1601:G1664" si="98">IF(F1601&lt;&gt;"",HEX2DEC(SUBSTITUTE(SUBSTITUTE(F1601,"adrEA",""),"$","")),"")</f>
        <v>34798</v>
      </c>
      <c r="I1601" s="6" t="str">
        <f t="shared" ref="I1601:I1664" si="99">IFERROR(DEC2HEX(H1601),"")</f>
        <v>0</v>
      </c>
      <c r="K1601" s="19" t="s">
        <v>4940</v>
      </c>
    </row>
    <row r="1602" spans="1:11" x14ac:dyDescent="0.2">
      <c r="A1602" t="s">
        <v>2012</v>
      </c>
      <c r="B1602" t="s">
        <v>6972</v>
      </c>
      <c r="G1602" s="5" t="str">
        <f t="shared" si="98"/>
        <v/>
      </c>
      <c r="I1602" s="6" t="str">
        <f t="shared" si="99"/>
        <v>0</v>
      </c>
    </row>
    <row r="1603" spans="1:11" x14ac:dyDescent="0.2">
      <c r="A1603" t="s">
        <v>2013</v>
      </c>
      <c r="B1603" t="s">
        <v>6973</v>
      </c>
      <c r="G1603" s="5" t="str">
        <f t="shared" si="98"/>
        <v/>
      </c>
      <c r="I1603" s="6" t="str">
        <f t="shared" si="99"/>
        <v>0</v>
      </c>
    </row>
    <row r="1604" spans="1:11" x14ac:dyDescent="0.2">
      <c r="A1604" t="s">
        <v>2014</v>
      </c>
      <c r="B1604" t="s">
        <v>6974</v>
      </c>
      <c r="G1604" s="5" t="str">
        <f t="shared" si="98"/>
        <v/>
      </c>
      <c r="I1604" s="6" t="str">
        <f t="shared" si="99"/>
        <v>0</v>
      </c>
    </row>
    <row r="1605" spans="1:11" x14ac:dyDescent="0.2">
      <c r="A1605" t="s">
        <v>2015</v>
      </c>
      <c r="B1605" t="s">
        <v>6975</v>
      </c>
      <c r="G1605" s="5" t="str">
        <f t="shared" si="98"/>
        <v/>
      </c>
      <c r="I1605" s="6" t="str">
        <f t="shared" si="99"/>
        <v>0</v>
      </c>
    </row>
    <row r="1606" spans="1:11" x14ac:dyDescent="0.2">
      <c r="A1606" t="s">
        <v>2016</v>
      </c>
      <c r="B1606" t="s">
        <v>6976</v>
      </c>
      <c r="G1606" s="5" t="str">
        <f t="shared" si="98"/>
        <v/>
      </c>
      <c r="I1606" s="6" t="str">
        <f t="shared" si="99"/>
        <v>0</v>
      </c>
    </row>
    <row r="1607" spans="1:11" x14ac:dyDescent="0.2">
      <c r="A1607" t="s">
        <v>2017</v>
      </c>
      <c r="B1607" t="s">
        <v>5705</v>
      </c>
      <c r="G1607" s="5" t="str">
        <f t="shared" si="98"/>
        <v/>
      </c>
      <c r="I1607" s="6" t="str">
        <f t="shared" si="99"/>
        <v>0</v>
      </c>
      <c r="K1607" s="19" t="s">
        <v>5706</v>
      </c>
    </row>
    <row r="1608" spans="1:11" x14ac:dyDescent="0.2">
      <c r="A1608" t="s">
        <v>2018</v>
      </c>
      <c r="B1608" t="s">
        <v>4880</v>
      </c>
      <c r="C1608" s="5" t="s">
        <v>7</v>
      </c>
      <c r="F1608" s="5" t="s">
        <v>4881</v>
      </c>
      <c r="G1608" s="5">
        <f t="shared" si="98"/>
        <v>34916</v>
      </c>
      <c r="I1608" s="6" t="str">
        <f t="shared" si="99"/>
        <v>0</v>
      </c>
      <c r="K1608" s="19" t="s">
        <v>4941</v>
      </c>
    </row>
    <row r="1609" spans="1:11" x14ac:dyDescent="0.2">
      <c r="A1609" t="s">
        <v>2019</v>
      </c>
      <c r="B1609" t="s">
        <v>2020</v>
      </c>
      <c r="E1609" t="str">
        <f>IF(D1609&lt;&gt;"",C1609&amp;"/"&amp;D1609,"")</f>
        <v/>
      </c>
      <c r="G1609" s="5" t="str">
        <f t="shared" si="98"/>
        <v/>
      </c>
      <c r="I1609" s="6" t="str">
        <f t="shared" si="99"/>
        <v>0</v>
      </c>
    </row>
    <row r="1610" spans="1:11" x14ac:dyDescent="0.2">
      <c r="A1610" t="s">
        <v>2021</v>
      </c>
      <c r="B1610" t="s">
        <v>2022</v>
      </c>
      <c r="E1610" t="str">
        <f>IF(D1610&lt;&gt;"",C1610&amp;"/"&amp;D1610,"")</f>
        <v/>
      </c>
      <c r="G1610" s="5" t="str">
        <f t="shared" si="98"/>
        <v/>
      </c>
      <c r="I1610" s="6" t="str">
        <f t="shared" si="99"/>
        <v>0</v>
      </c>
    </row>
    <row r="1611" spans="1:11" x14ac:dyDescent="0.2">
      <c r="A1611" t="s">
        <v>2023</v>
      </c>
      <c r="B1611" t="s">
        <v>5834</v>
      </c>
      <c r="G1611" s="5" t="str">
        <f t="shared" si="98"/>
        <v/>
      </c>
      <c r="I1611" s="6" t="str">
        <f t="shared" si="99"/>
        <v>0</v>
      </c>
      <c r="K1611" s="19" t="s">
        <v>5835</v>
      </c>
    </row>
    <row r="1612" spans="1:11" x14ac:dyDescent="0.2">
      <c r="A1612" t="s">
        <v>2024</v>
      </c>
      <c r="B1612" t="s">
        <v>5836</v>
      </c>
      <c r="G1612" s="5" t="str">
        <f t="shared" si="98"/>
        <v/>
      </c>
      <c r="I1612" s="6" t="str">
        <f t="shared" si="99"/>
        <v>0</v>
      </c>
      <c r="K1612" s="19" t="s">
        <v>5837</v>
      </c>
    </row>
    <row r="1613" spans="1:11" x14ac:dyDescent="0.2">
      <c r="A1613" t="s">
        <v>2025</v>
      </c>
      <c r="B1613" t="s">
        <v>2026</v>
      </c>
      <c r="E1613" t="str">
        <f>IF(D1613&lt;&gt;"",C1613&amp;"/"&amp;D1613,"")</f>
        <v/>
      </c>
      <c r="G1613" s="5" t="str">
        <f t="shared" si="98"/>
        <v/>
      </c>
      <c r="I1613" s="6" t="str">
        <f t="shared" si="99"/>
        <v>0</v>
      </c>
    </row>
    <row r="1614" spans="1:11" x14ac:dyDescent="0.2">
      <c r="A1614" t="s">
        <v>2027</v>
      </c>
      <c r="B1614" t="s">
        <v>4942</v>
      </c>
      <c r="C1614" s="5" t="s">
        <v>7</v>
      </c>
      <c r="F1614" s="5" t="s">
        <v>4943</v>
      </c>
      <c r="G1614" s="5">
        <f t="shared" si="98"/>
        <v>35004</v>
      </c>
      <c r="I1614" s="6" t="str">
        <f t="shared" si="99"/>
        <v>0</v>
      </c>
      <c r="K1614" s="19" t="s">
        <v>4944</v>
      </c>
    </row>
    <row r="1615" spans="1:11" x14ac:dyDescent="0.2">
      <c r="A1615" t="s">
        <v>2028</v>
      </c>
      <c r="B1615" t="s">
        <v>4945</v>
      </c>
      <c r="C1615" s="5" t="s">
        <v>7</v>
      </c>
      <c r="F1615" s="5" t="s">
        <v>4946</v>
      </c>
      <c r="G1615" s="5">
        <f t="shared" si="98"/>
        <v>35038</v>
      </c>
      <c r="I1615" s="6" t="str">
        <f t="shared" si="99"/>
        <v>0</v>
      </c>
      <c r="K1615" s="19" t="s">
        <v>4947</v>
      </c>
    </row>
    <row r="1616" spans="1:11" x14ac:dyDescent="0.2">
      <c r="A1616" t="s">
        <v>2029</v>
      </c>
      <c r="B1616" t="s">
        <v>6977</v>
      </c>
      <c r="G1616" s="5" t="str">
        <f t="shared" si="98"/>
        <v/>
      </c>
      <c r="I1616" s="6" t="str">
        <f t="shared" si="99"/>
        <v>0</v>
      </c>
    </row>
    <row r="1617" spans="1:11" x14ac:dyDescent="0.2">
      <c r="A1617" t="s">
        <v>2030</v>
      </c>
      <c r="B1617" t="s">
        <v>6978</v>
      </c>
      <c r="G1617" s="5" t="str">
        <f t="shared" si="98"/>
        <v/>
      </c>
      <c r="I1617" s="6" t="str">
        <f t="shared" si="99"/>
        <v>0</v>
      </c>
    </row>
    <row r="1618" spans="1:11" x14ac:dyDescent="0.2">
      <c r="A1618" t="s">
        <v>2031</v>
      </c>
      <c r="B1618" t="s">
        <v>6979</v>
      </c>
      <c r="G1618" s="5" t="str">
        <f t="shared" si="98"/>
        <v/>
      </c>
      <c r="I1618" s="6" t="str">
        <f t="shared" si="99"/>
        <v>0</v>
      </c>
    </row>
    <row r="1619" spans="1:11" x14ac:dyDescent="0.2">
      <c r="A1619" t="s">
        <v>2032</v>
      </c>
      <c r="B1619" t="s">
        <v>6980</v>
      </c>
      <c r="G1619" s="5" t="str">
        <f t="shared" si="98"/>
        <v/>
      </c>
      <c r="I1619" s="6" t="str">
        <f t="shared" si="99"/>
        <v>0</v>
      </c>
    </row>
    <row r="1620" spans="1:11" x14ac:dyDescent="0.2">
      <c r="A1620" t="s">
        <v>2033</v>
      </c>
      <c r="B1620" t="s">
        <v>6981</v>
      </c>
      <c r="G1620" s="5" t="str">
        <f t="shared" si="98"/>
        <v/>
      </c>
      <c r="I1620" s="6" t="str">
        <f t="shared" si="99"/>
        <v>0</v>
      </c>
    </row>
    <row r="1621" spans="1:11" x14ac:dyDescent="0.2">
      <c r="A1621" t="s">
        <v>2034</v>
      </c>
      <c r="B1621" t="s">
        <v>6982</v>
      </c>
      <c r="G1621" s="5" t="str">
        <f t="shared" si="98"/>
        <v/>
      </c>
      <c r="I1621" s="6" t="str">
        <f t="shared" si="99"/>
        <v>0</v>
      </c>
    </row>
    <row r="1622" spans="1:11" x14ac:dyDescent="0.2">
      <c r="A1622" t="s">
        <v>2035</v>
      </c>
      <c r="B1622" t="s">
        <v>7392</v>
      </c>
      <c r="I1622" s="6">
        <v>0</v>
      </c>
      <c r="K1622" s="19" t="s">
        <v>7393</v>
      </c>
    </row>
    <row r="1623" spans="1:11" x14ac:dyDescent="0.2">
      <c r="A1623" t="s">
        <v>2036</v>
      </c>
      <c r="B1623" t="s">
        <v>5393</v>
      </c>
      <c r="G1623" s="5" t="str">
        <f t="shared" si="98"/>
        <v/>
      </c>
      <c r="I1623" s="6" t="str">
        <f t="shared" si="99"/>
        <v>0</v>
      </c>
      <c r="K1623" s="19" t="s">
        <v>5394</v>
      </c>
    </row>
    <row r="1624" spans="1:11" x14ac:dyDescent="0.2">
      <c r="A1624" t="s">
        <v>2037</v>
      </c>
      <c r="B1624" t="s">
        <v>6983</v>
      </c>
      <c r="G1624" s="5" t="str">
        <f t="shared" si="98"/>
        <v/>
      </c>
      <c r="I1624" s="6" t="str">
        <f t="shared" si="99"/>
        <v>0</v>
      </c>
    </row>
    <row r="1625" spans="1:11" x14ac:dyDescent="0.2">
      <c r="A1625" t="s">
        <v>2038</v>
      </c>
      <c r="B1625" t="s">
        <v>5687</v>
      </c>
      <c r="G1625" s="5" t="str">
        <f t="shared" si="98"/>
        <v/>
      </c>
      <c r="I1625" s="6" t="str">
        <f t="shared" si="99"/>
        <v>0</v>
      </c>
      <c r="K1625" s="19" t="s">
        <v>5688</v>
      </c>
    </row>
    <row r="1626" spans="1:11" x14ac:dyDescent="0.2">
      <c r="A1626" t="s">
        <v>2039</v>
      </c>
      <c r="B1626" t="s">
        <v>6984</v>
      </c>
      <c r="G1626" s="5" t="str">
        <f t="shared" si="98"/>
        <v/>
      </c>
      <c r="I1626" s="6" t="str">
        <f t="shared" si="99"/>
        <v>0</v>
      </c>
    </row>
    <row r="1627" spans="1:11" x14ac:dyDescent="0.2">
      <c r="A1627" t="s">
        <v>2040</v>
      </c>
      <c r="B1627" t="s">
        <v>6985</v>
      </c>
      <c r="G1627" s="5" t="str">
        <f t="shared" si="98"/>
        <v/>
      </c>
      <c r="I1627" s="6" t="str">
        <f t="shared" si="99"/>
        <v>0</v>
      </c>
    </row>
    <row r="1628" spans="1:11" x14ac:dyDescent="0.2">
      <c r="A1628" t="s">
        <v>2041</v>
      </c>
      <c r="B1628" t="s">
        <v>2041</v>
      </c>
      <c r="E1628" t="str">
        <f t="shared" ref="E1628:E1629" si="100">IF(D1628&lt;&gt;"",C1628&amp;"/"&amp;D1628,"")</f>
        <v/>
      </c>
      <c r="G1628" s="5" t="str">
        <f t="shared" si="98"/>
        <v/>
      </c>
      <c r="I1628" s="6" t="str">
        <f t="shared" si="99"/>
        <v>0</v>
      </c>
    </row>
    <row r="1629" spans="1:11" x14ac:dyDescent="0.2">
      <c r="A1629" t="s">
        <v>2042</v>
      </c>
      <c r="B1629" t="s">
        <v>2042</v>
      </c>
      <c r="E1629" t="str">
        <f t="shared" si="100"/>
        <v/>
      </c>
      <c r="G1629" s="5" t="str">
        <f t="shared" si="98"/>
        <v/>
      </c>
      <c r="I1629" s="6" t="str">
        <f t="shared" si="99"/>
        <v>0</v>
      </c>
    </row>
    <row r="1630" spans="1:11" x14ac:dyDescent="0.2">
      <c r="A1630" t="s">
        <v>2043</v>
      </c>
      <c r="B1630" t="s">
        <v>5395</v>
      </c>
      <c r="G1630" s="5" t="str">
        <f t="shared" si="98"/>
        <v/>
      </c>
      <c r="I1630" s="6" t="str">
        <f t="shared" si="99"/>
        <v>0</v>
      </c>
      <c r="K1630" s="19" t="s">
        <v>5396</v>
      </c>
    </row>
    <row r="1631" spans="1:11" x14ac:dyDescent="0.2">
      <c r="A1631" t="s">
        <v>2044</v>
      </c>
      <c r="B1631" t="s">
        <v>6986</v>
      </c>
      <c r="G1631" s="5" t="str">
        <f t="shared" si="98"/>
        <v/>
      </c>
      <c r="I1631" s="6" t="str">
        <f t="shared" si="99"/>
        <v>0</v>
      </c>
    </row>
    <row r="1632" spans="1:11" x14ac:dyDescent="0.2">
      <c r="A1632" t="s">
        <v>2045</v>
      </c>
      <c r="B1632" t="s">
        <v>5397</v>
      </c>
      <c r="G1632" s="5" t="str">
        <f t="shared" si="98"/>
        <v/>
      </c>
      <c r="I1632" s="6" t="str">
        <f t="shared" si="99"/>
        <v>0</v>
      </c>
      <c r="K1632" s="19" t="s">
        <v>5398</v>
      </c>
    </row>
    <row r="1633" spans="1:11" x14ac:dyDescent="0.2">
      <c r="A1633" t="s">
        <v>2046</v>
      </c>
      <c r="B1633" t="s">
        <v>6987</v>
      </c>
      <c r="G1633" s="5" t="str">
        <f t="shared" si="98"/>
        <v/>
      </c>
      <c r="I1633" s="6" t="str">
        <f t="shared" si="99"/>
        <v>0</v>
      </c>
    </row>
    <row r="1634" spans="1:11" x14ac:dyDescent="0.2">
      <c r="A1634" t="s">
        <v>2047</v>
      </c>
      <c r="B1634" t="s">
        <v>5399</v>
      </c>
      <c r="G1634" s="5" t="str">
        <f t="shared" si="98"/>
        <v/>
      </c>
      <c r="I1634" s="6" t="str">
        <f t="shared" si="99"/>
        <v>0</v>
      </c>
      <c r="K1634" s="19" t="s">
        <v>5400</v>
      </c>
    </row>
    <row r="1635" spans="1:11" x14ac:dyDescent="0.2">
      <c r="A1635" t="s">
        <v>2048</v>
      </c>
      <c r="B1635" t="s">
        <v>5401</v>
      </c>
      <c r="G1635" s="5" t="str">
        <f t="shared" si="98"/>
        <v/>
      </c>
      <c r="I1635" s="6" t="str">
        <f t="shared" si="99"/>
        <v>0</v>
      </c>
      <c r="K1635" s="19" t="s">
        <v>5402</v>
      </c>
    </row>
    <row r="1636" spans="1:11" x14ac:dyDescent="0.2">
      <c r="A1636" t="s">
        <v>2049</v>
      </c>
      <c r="B1636" t="s">
        <v>6988</v>
      </c>
      <c r="G1636" s="5" t="str">
        <f t="shared" si="98"/>
        <v/>
      </c>
      <c r="I1636" s="6" t="str">
        <f t="shared" si="99"/>
        <v>0</v>
      </c>
    </row>
    <row r="1637" spans="1:11" x14ac:dyDescent="0.2">
      <c r="A1637" t="s">
        <v>2050</v>
      </c>
      <c r="B1637" t="s">
        <v>6989</v>
      </c>
      <c r="G1637" s="5" t="str">
        <f t="shared" si="98"/>
        <v/>
      </c>
      <c r="I1637" s="6" t="str">
        <f t="shared" si="99"/>
        <v>0</v>
      </c>
    </row>
    <row r="1638" spans="1:11" x14ac:dyDescent="0.2">
      <c r="A1638" t="s">
        <v>2051</v>
      </c>
      <c r="B1638" t="s">
        <v>5689</v>
      </c>
      <c r="G1638" s="5" t="str">
        <f t="shared" si="98"/>
        <v/>
      </c>
      <c r="I1638" s="6" t="str">
        <f t="shared" si="99"/>
        <v>0</v>
      </c>
      <c r="K1638" s="19" t="s">
        <v>5690</v>
      </c>
    </row>
    <row r="1639" spans="1:11" x14ac:dyDescent="0.2">
      <c r="A1639" t="s">
        <v>2052</v>
      </c>
      <c r="B1639" t="s">
        <v>6990</v>
      </c>
      <c r="G1639" s="5" t="str">
        <f t="shared" si="98"/>
        <v/>
      </c>
      <c r="I1639" s="6" t="str">
        <f t="shared" si="99"/>
        <v>0</v>
      </c>
    </row>
    <row r="1640" spans="1:11" x14ac:dyDescent="0.2">
      <c r="A1640" t="s">
        <v>2053</v>
      </c>
      <c r="B1640" t="s">
        <v>2053</v>
      </c>
      <c r="C1640" s="5" t="s">
        <v>3109</v>
      </c>
      <c r="D1640" t="s">
        <v>4475</v>
      </c>
      <c r="E1640" t="str">
        <f t="shared" ref="E1640" si="101">IF(D1640&lt;&gt;"",C1640&amp;"/"&amp;D1640,"")</f>
        <v>gfx-data/GamePalette.palette</v>
      </c>
      <c r="F1640" s="5" t="s">
        <v>4476</v>
      </c>
      <c r="G1640" s="5">
        <f t="shared" si="98"/>
        <v>35404</v>
      </c>
      <c r="H1640" s="5">
        <v>64</v>
      </c>
      <c r="I1640" s="6" t="str">
        <f t="shared" si="99"/>
        <v>40</v>
      </c>
      <c r="K1640" s="19" t="s">
        <v>4477</v>
      </c>
    </row>
    <row r="1641" spans="1:11" x14ac:dyDescent="0.2">
      <c r="A1641" t="s">
        <v>2054</v>
      </c>
      <c r="B1641" t="s">
        <v>2054</v>
      </c>
      <c r="E1641" t="str">
        <f t="shared" ref="E1641:E1657" si="102">IF(D1641&lt;&gt;"",C1641&amp;"/"&amp;D1641,"")</f>
        <v/>
      </c>
      <c r="G1641" s="5" t="str">
        <f t="shared" si="98"/>
        <v/>
      </c>
      <c r="I1641" s="6" t="str">
        <f t="shared" si="99"/>
        <v>0</v>
      </c>
    </row>
    <row r="1642" spans="1:11" x14ac:dyDescent="0.2">
      <c r="A1642" t="s">
        <v>2055</v>
      </c>
      <c r="B1642" t="s">
        <v>2055</v>
      </c>
      <c r="E1642" t="str">
        <f t="shared" si="102"/>
        <v/>
      </c>
      <c r="G1642" s="5" t="str">
        <f t="shared" si="98"/>
        <v/>
      </c>
      <c r="I1642" s="6" t="str">
        <f t="shared" si="99"/>
        <v>0</v>
      </c>
    </row>
    <row r="1643" spans="1:11" x14ac:dyDescent="0.2">
      <c r="A1643" t="s">
        <v>2056</v>
      </c>
      <c r="B1643" t="s">
        <v>2057</v>
      </c>
      <c r="E1643" t="str">
        <f t="shared" si="102"/>
        <v/>
      </c>
      <c r="G1643" s="5" t="str">
        <f t="shared" si="98"/>
        <v/>
      </c>
      <c r="I1643" s="6" t="str">
        <f t="shared" si="99"/>
        <v>0</v>
      </c>
    </row>
    <row r="1644" spans="1:11" x14ac:dyDescent="0.2">
      <c r="A1644" t="s">
        <v>2058</v>
      </c>
      <c r="B1644" t="s">
        <v>5838</v>
      </c>
      <c r="G1644" s="5" t="str">
        <f t="shared" si="98"/>
        <v/>
      </c>
      <c r="I1644" s="6" t="str">
        <f t="shared" si="99"/>
        <v>0</v>
      </c>
      <c r="K1644" s="19" t="s">
        <v>5839</v>
      </c>
    </row>
    <row r="1645" spans="1:11" x14ac:dyDescent="0.2">
      <c r="A1645" t="s">
        <v>2059</v>
      </c>
      <c r="B1645" t="s">
        <v>2060</v>
      </c>
      <c r="E1645" t="str">
        <f t="shared" si="102"/>
        <v/>
      </c>
      <c r="G1645" s="5" t="str">
        <f t="shared" si="98"/>
        <v/>
      </c>
      <c r="I1645" s="6" t="str">
        <f t="shared" si="99"/>
        <v>0</v>
      </c>
    </row>
    <row r="1646" spans="1:11" x14ac:dyDescent="0.2">
      <c r="A1646" t="s">
        <v>2061</v>
      </c>
      <c r="B1646" t="s">
        <v>2062</v>
      </c>
      <c r="E1646" t="str">
        <f t="shared" si="102"/>
        <v/>
      </c>
      <c r="G1646" s="5" t="str">
        <f t="shared" si="98"/>
        <v/>
      </c>
      <c r="I1646" s="6" t="str">
        <f t="shared" si="99"/>
        <v>0</v>
      </c>
    </row>
    <row r="1647" spans="1:11" x14ac:dyDescent="0.2">
      <c r="A1647" t="s">
        <v>2063</v>
      </c>
      <c r="B1647" t="s">
        <v>2064</v>
      </c>
      <c r="E1647" t="str">
        <f t="shared" si="102"/>
        <v/>
      </c>
      <c r="G1647" s="5" t="str">
        <f t="shared" si="98"/>
        <v/>
      </c>
      <c r="I1647" s="6" t="str">
        <f t="shared" si="99"/>
        <v>0</v>
      </c>
    </row>
    <row r="1648" spans="1:11" x14ac:dyDescent="0.2">
      <c r="A1648" t="s">
        <v>2065</v>
      </c>
      <c r="B1648" t="s">
        <v>5634</v>
      </c>
      <c r="G1648" s="5" t="str">
        <f t="shared" si="98"/>
        <v/>
      </c>
      <c r="I1648" s="6" t="str">
        <f t="shared" si="99"/>
        <v>0</v>
      </c>
      <c r="K1648" s="19" t="s">
        <v>5635</v>
      </c>
    </row>
    <row r="1649" spans="1:11" x14ac:dyDescent="0.2">
      <c r="A1649" t="s">
        <v>2066</v>
      </c>
      <c r="B1649" t="s">
        <v>5691</v>
      </c>
      <c r="G1649" s="5" t="str">
        <f t="shared" si="98"/>
        <v/>
      </c>
      <c r="I1649" s="6" t="str">
        <f t="shared" si="99"/>
        <v>0</v>
      </c>
      <c r="K1649" s="19" t="s">
        <v>5692</v>
      </c>
    </row>
    <row r="1650" spans="1:11" x14ac:dyDescent="0.2">
      <c r="A1650" t="s">
        <v>2067</v>
      </c>
      <c r="B1650" t="s">
        <v>5403</v>
      </c>
      <c r="G1650" s="5" t="str">
        <f t="shared" si="98"/>
        <v/>
      </c>
      <c r="I1650" s="6" t="str">
        <f t="shared" si="99"/>
        <v>0</v>
      </c>
      <c r="K1650" s="19" t="s">
        <v>5404</v>
      </c>
    </row>
    <row r="1651" spans="1:11" x14ac:dyDescent="0.2">
      <c r="A1651" t="s">
        <v>2068</v>
      </c>
      <c r="B1651" t="s">
        <v>6991</v>
      </c>
      <c r="G1651" s="5" t="str">
        <f t="shared" si="98"/>
        <v/>
      </c>
      <c r="I1651" s="6" t="str">
        <f t="shared" si="99"/>
        <v>0</v>
      </c>
    </row>
    <row r="1652" spans="1:11" x14ac:dyDescent="0.2">
      <c r="A1652" t="s">
        <v>2069</v>
      </c>
      <c r="B1652" t="s">
        <v>6992</v>
      </c>
      <c r="G1652" s="5" t="str">
        <f t="shared" si="98"/>
        <v/>
      </c>
      <c r="I1652" s="6" t="str">
        <f t="shared" si="99"/>
        <v>0</v>
      </c>
    </row>
    <row r="1653" spans="1:11" x14ac:dyDescent="0.2">
      <c r="A1653" t="s">
        <v>2070</v>
      </c>
      <c r="B1653" t="s">
        <v>6993</v>
      </c>
      <c r="G1653" s="5" t="str">
        <f t="shared" si="98"/>
        <v/>
      </c>
      <c r="I1653" s="6" t="str">
        <f t="shared" si="99"/>
        <v>0</v>
      </c>
    </row>
    <row r="1654" spans="1:11" x14ac:dyDescent="0.2">
      <c r="A1654" t="s">
        <v>2071</v>
      </c>
      <c r="B1654" t="s">
        <v>6994</v>
      </c>
      <c r="G1654" s="5" t="str">
        <f t="shared" si="98"/>
        <v/>
      </c>
      <c r="I1654" s="6" t="str">
        <f t="shared" si="99"/>
        <v>0</v>
      </c>
    </row>
    <row r="1655" spans="1:11" x14ac:dyDescent="0.2">
      <c r="A1655" t="s">
        <v>2072</v>
      </c>
      <c r="B1655" t="s">
        <v>6995</v>
      </c>
      <c r="G1655" s="5" t="str">
        <f t="shared" si="98"/>
        <v/>
      </c>
      <c r="I1655" s="6" t="str">
        <f t="shared" si="99"/>
        <v>0</v>
      </c>
    </row>
    <row r="1656" spans="1:11" x14ac:dyDescent="0.2">
      <c r="A1656" t="s">
        <v>2073</v>
      </c>
      <c r="B1656" t="s">
        <v>5840</v>
      </c>
      <c r="G1656" s="5" t="str">
        <f t="shared" si="98"/>
        <v/>
      </c>
      <c r="I1656" s="6" t="str">
        <f t="shared" si="99"/>
        <v>0</v>
      </c>
      <c r="K1656" s="19" t="s">
        <v>5841</v>
      </c>
    </row>
    <row r="1657" spans="1:11" x14ac:dyDescent="0.2">
      <c r="A1657" t="s">
        <v>2074</v>
      </c>
      <c r="B1657" t="s">
        <v>3651</v>
      </c>
      <c r="E1657" t="str">
        <f t="shared" si="102"/>
        <v/>
      </c>
      <c r="G1657" s="5" t="str">
        <f t="shared" si="98"/>
        <v/>
      </c>
      <c r="I1657" s="6" t="str">
        <f t="shared" si="99"/>
        <v>0</v>
      </c>
      <c r="K1657" s="19" t="s">
        <v>3652</v>
      </c>
    </row>
    <row r="1658" spans="1:11" x14ac:dyDescent="0.2">
      <c r="A1658" t="s">
        <v>2075</v>
      </c>
      <c r="B1658" t="s">
        <v>4501</v>
      </c>
      <c r="G1658" s="5" t="str">
        <f t="shared" si="98"/>
        <v/>
      </c>
      <c r="I1658" s="6" t="str">
        <f t="shared" si="99"/>
        <v>0</v>
      </c>
      <c r="K1658" s="19" t="s">
        <v>4502</v>
      </c>
    </row>
    <row r="1659" spans="1:11" x14ac:dyDescent="0.2">
      <c r="A1659" t="s">
        <v>2076</v>
      </c>
      <c r="B1659" t="s">
        <v>6996</v>
      </c>
      <c r="G1659" s="5" t="str">
        <f t="shared" si="98"/>
        <v/>
      </c>
      <c r="I1659" s="6" t="str">
        <f t="shared" si="99"/>
        <v>0</v>
      </c>
    </row>
    <row r="1660" spans="1:11" x14ac:dyDescent="0.2">
      <c r="A1660" t="s">
        <v>2077</v>
      </c>
      <c r="B1660" t="s">
        <v>6997</v>
      </c>
      <c r="G1660" s="5" t="str">
        <f t="shared" si="98"/>
        <v/>
      </c>
      <c r="I1660" s="6" t="str">
        <f t="shared" si="99"/>
        <v>0</v>
      </c>
    </row>
    <row r="1661" spans="1:11" x14ac:dyDescent="0.2">
      <c r="A1661" t="s">
        <v>2078</v>
      </c>
      <c r="B1661" t="s">
        <v>6998</v>
      </c>
      <c r="G1661" s="5" t="str">
        <f t="shared" si="98"/>
        <v/>
      </c>
      <c r="I1661" s="6" t="str">
        <f t="shared" si="99"/>
        <v>0</v>
      </c>
    </row>
    <row r="1662" spans="1:11" x14ac:dyDescent="0.2">
      <c r="A1662" t="s">
        <v>2079</v>
      </c>
      <c r="B1662" t="s">
        <v>6999</v>
      </c>
      <c r="G1662" s="5" t="str">
        <f t="shared" si="98"/>
        <v/>
      </c>
      <c r="I1662" s="6" t="str">
        <f t="shared" si="99"/>
        <v>0</v>
      </c>
    </row>
    <row r="1663" spans="1:11" x14ac:dyDescent="0.2">
      <c r="A1663" t="s">
        <v>2080</v>
      </c>
      <c r="B1663" t="s">
        <v>7000</v>
      </c>
      <c r="G1663" s="5" t="str">
        <f t="shared" si="98"/>
        <v/>
      </c>
      <c r="I1663" s="6" t="str">
        <f t="shared" si="99"/>
        <v>0</v>
      </c>
    </row>
    <row r="1664" spans="1:11" x14ac:dyDescent="0.2">
      <c r="A1664" t="s">
        <v>2081</v>
      </c>
      <c r="B1664" t="s">
        <v>7001</v>
      </c>
      <c r="G1664" s="5" t="str">
        <f t="shared" si="98"/>
        <v/>
      </c>
      <c r="I1664" s="6" t="str">
        <f t="shared" si="99"/>
        <v>0</v>
      </c>
    </row>
    <row r="1665" spans="1:11" x14ac:dyDescent="0.2">
      <c r="A1665" t="s">
        <v>2082</v>
      </c>
      <c r="B1665" t="s">
        <v>4503</v>
      </c>
      <c r="G1665" s="5" t="str">
        <f t="shared" ref="G1665:G1728" si="103">IF(F1665&lt;&gt;"",HEX2DEC(SUBSTITUTE(SUBSTITUTE(F1665,"adrEA",""),"$","")),"")</f>
        <v/>
      </c>
      <c r="I1665" s="6" t="str">
        <f t="shared" ref="I1665:I1728" si="104">IFERROR(DEC2HEX(H1665),"")</f>
        <v>0</v>
      </c>
      <c r="K1665" s="19" t="s">
        <v>4504</v>
      </c>
    </row>
    <row r="1666" spans="1:11" x14ac:dyDescent="0.2">
      <c r="A1666" t="s">
        <v>2083</v>
      </c>
      <c r="B1666" t="s">
        <v>7002</v>
      </c>
      <c r="G1666" s="5" t="str">
        <f t="shared" si="103"/>
        <v/>
      </c>
      <c r="I1666" s="6" t="str">
        <f t="shared" si="104"/>
        <v>0</v>
      </c>
    </row>
    <row r="1667" spans="1:11" x14ac:dyDescent="0.2">
      <c r="A1667" t="s">
        <v>2084</v>
      </c>
      <c r="B1667" t="s">
        <v>4505</v>
      </c>
      <c r="G1667" s="5" t="str">
        <f t="shared" si="103"/>
        <v/>
      </c>
      <c r="I1667" s="6" t="str">
        <f t="shared" si="104"/>
        <v>0</v>
      </c>
      <c r="K1667" s="19" t="s">
        <v>4506</v>
      </c>
    </row>
    <row r="1668" spans="1:11" x14ac:dyDescent="0.2">
      <c r="A1668" t="s">
        <v>2085</v>
      </c>
      <c r="B1668" t="s">
        <v>7003</v>
      </c>
      <c r="G1668" s="5" t="str">
        <f t="shared" si="103"/>
        <v/>
      </c>
      <c r="I1668" s="6" t="str">
        <f t="shared" si="104"/>
        <v>0</v>
      </c>
    </row>
    <row r="1669" spans="1:11" x14ac:dyDescent="0.2">
      <c r="A1669" t="s">
        <v>2086</v>
      </c>
      <c r="B1669" t="s">
        <v>3653</v>
      </c>
      <c r="E1669" t="str">
        <f>IF(D1669&lt;&gt;"",C1669&amp;"/"&amp;D1669,"")</f>
        <v/>
      </c>
      <c r="G1669" s="5" t="str">
        <f t="shared" si="103"/>
        <v/>
      </c>
      <c r="I1669" s="6" t="str">
        <f t="shared" si="104"/>
        <v>0</v>
      </c>
      <c r="K1669" s="19" t="s">
        <v>3654</v>
      </c>
    </row>
    <row r="1670" spans="1:11" x14ac:dyDescent="0.2">
      <c r="A1670" t="s">
        <v>2087</v>
      </c>
      <c r="B1670" t="s">
        <v>7004</v>
      </c>
      <c r="G1670" s="5" t="str">
        <f t="shared" si="103"/>
        <v/>
      </c>
      <c r="I1670" s="6" t="str">
        <f t="shared" si="104"/>
        <v>0</v>
      </c>
    </row>
    <row r="1671" spans="1:11" x14ac:dyDescent="0.2">
      <c r="A1671" t="s">
        <v>2088</v>
      </c>
      <c r="B1671" t="s">
        <v>7005</v>
      </c>
      <c r="G1671" s="5" t="str">
        <f t="shared" si="103"/>
        <v/>
      </c>
      <c r="I1671" s="6" t="str">
        <f t="shared" si="104"/>
        <v>0</v>
      </c>
    </row>
    <row r="1672" spans="1:11" x14ac:dyDescent="0.2">
      <c r="A1672" t="s">
        <v>2089</v>
      </c>
      <c r="B1672" t="s">
        <v>4507</v>
      </c>
      <c r="G1672" s="5" t="str">
        <f t="shared" si="103"/>
        <v/>
      </c>
      <c r="I1672" s="6" t="str">
        <f t="shared" si="104"/>
        <v>0</v>
      </c>
      <c r="K1672" s="19" t="s">
        <v>4508</v>
      </c>
    </row>
    <row r="1673" spans="1:11" x14ac:dyDescent="0.2">
      <c r="A1673" t="s">
        <v>2090</v>
      </c>
      <c r="B1673" t="s">
        <v>5405</v>
      </c>
      <c r="G1673" s="5" t="str">
        <f t="shared" si="103"/>
        <v/>
      </c>
      <c r="I1673" s="6" t="str">
        <f t="shared" si="104"/>
        <v>0</v>
      </c>
      <c r="K1673" s="19" t="s">
        <v>5406</v>
      </c>
    </row>
    <row r="1674" spans="1:11" x14ac:dyDescent="0.2">
      <c r="A1674" t="s">
        <v>2091</v>
      </c>
      <c r="B1674" t="s">
        <v>7006</v>
      </c>
      <c r="G1674" s="5" t="str">
        <f t="shared" si="103"/>
        <v/>
      </c>
      <c r="I1674" s="6" t="str">
        <f t="shared" si="104"/>
        <v>0</v>
      </c>
      <c r="K1674" s="19" t="s">
        <v>6301</v>
      </c>
    </row>
    <row r="1675" spans="1:11" x14ac:dyDescent="0.2">
      <c r="A1675" t="s">
        <v>2092</v>
      </c>
      <c r="B1675" t="s">
        <v>7007</v>
      </c>
      <c r="G1675" s="5" t="str">
        <f t="shared" si="103"/>
        <v/>
      </c>
      <c r="I1675" s="6" t="str">
        <f t="shared" si="104"/>
        <v>0</v>
      </c>
    </row>
    <row r="1676" spans="1:11" x14ac:dyDescent="0.2">
      <c r="A1676" t="s">
        <v>2093</v>
      </c>
      <c r="B1676" t="s">
        <v>3594</v>
      </c>
      <c r="C1676" s="5" t="s">
        <v>3109</v>
      </c>
      <c r="D1676" t="s">
        <v>3595</v>
      </c>
      <c r="E1676" t="str">
        <f t="shared" ref="E1676:E1678" si="105">IF(D1676&lt;&gt;"",C1676&amp;"/"&amp;D1676,"")</f>
        <v>gfx-data/AirbourneSpells_Stationary_DistanceGroups.lookup</v>
      </c>
      <c r="F1676" s="5" t="s">
        <v>3596</v>
      </c>
      <c r="G1676" s="5">
        <f t="shared" si="103"/>
        <v>36822</v>
      </c>
      <c r="H1676" s="5">
        <v>6</v>
      </c>
      <c r="I1676" s="6" t="str">
        <f t="shared" si="104"/>
        <v>6</v>
      </c>
      <c r="J1676" s="6" t="s">
        <v>3409</v>
      </c>
      <c r="K1676" s="19" t="s">
        <v>3607</v>
      </c>
    </row>
    <row r="1677" spans="1:11" x14ac:dyDescent="0.2">
      <c r="A1677" t="s">
        <v>2094</v>
      </c>
      <c r="B1677" t="s">
        <v>3597</v>
      </c>
      <c r="C1677" s="5" t="s">
        <v>3109</v>
      </c>
      <c r="D1677" t="s">
        <v>3598</v>
      </c>
      <c r="E1677" t="str">
        <f t="shared" si="105"/>
        <v>gfx-data/AirbourneSpells_Stationary.offsets</v>
      </c>
      <c r="F1677" s="5" t="s">
        <v>3599</v>
      </c>
      <c r="G1677" s="5">
        <f t="shared" si="103"/>
        <v>36828</v>
      </c>
      <c r="H1677" s="5">
        <v>8</v>
      </c>
      <c r="I1677" s="6" t="str">
        <f t="shared" si="104"/>
        <v>8</v>
      </c>
      <c r="J1677" s="6" t="s">
        <v>3414</v>
      </c>
      <c r="K1677" s="19" t="s">
        <v>3608</v>
      </c>
    </row>
    <row r="1678" spans="1:11" x14ac:dyDescent="0.2">
      <c r="A1678" t="s">
        <v>2095</v>
      </c>
      <c r="B1678" t="s">
        <v>3600</v>
      </c>
      <c r="C1678" s="5" t="s">
        <v>3109</v>
      </c>
      <c r="D1678" t="s">
        <v>3601</v>
      </c>
      <c r="E1678" t="str">
        <f t="shared" si="105"/>
        <v>gfx-data/AirbourneSpells_Stationary.positions</v>
      </c>
      <c r="F1678" s="5" t="s">
        <v>3602</v>
      </c>
      <c r="G1678" s="5">
        <f t="shared" si="103"/>
        <v>36836</v>
      </c>
      <c r="H1678" s="5">
        <v>16</v>
      </c>
      <c r="I1678" s="6" t="str">
        <f t="shared" si="104"/>
        <v>10</v>
      </c>
      <c r="J1678" s="6" t="s">
        <v>3414</v>
      </c>
      <c r="K1678" s="19" t="s">
        <v>3603</v>
      </c>
    </row>
    <row r="1679" spans="1:11" x14ac:dyDescent="0.2">
      <c r="A1679" t="s">
        <v>2096</v>
      </c>
      <c r="B1679" t="s">
        <v>3604</v>
      </c>
      <c r="E1679" t="str">
        <f t="shared" ref="E1679:E1681" si="106">IF(D1679&lt;&gt;"",C1679&amp;"/"&amp;D1679,"")</f>
        <v/>
      </c>
      <c r="G1679" s="5" t="str">
        <f t="shared" si="103"/>
        <v/>
      </c>
      <c r="I1679" s="6" t="str">
        <f t="shared" si="104"/>
        <v>0</v>
      </c>
    </row>
    <row r="1680" spans="1:11" x14ac:dyDescent="0.2">
      <c r="A1680" t="s">
        <v>2097</v>
      </c>
      <c r="B1680" t="s">
        <v>3605</v>
      </c>
      <c r="E1680" t="str">
        <f t="shared" si="106"/>
        <v/>
      </c>
      <c r="G1680" s="5" t="str">
        <f t="shared" si="103"/>
        <v/>
      </c>
      <c r="I1680" s="6" t="str">
        <f t="shared" si="104"/>
        <v>0</v>
      </c>
    </row>
    <row r="1681" spans="1:11" x14ac:dyDescent="0.2">
      <c r="A1681" t="s">
        <v>2098</v>
      </c>
      <c r="B1681" t="s">
        <v>3606</v>
      </c>
      <c r="E1681" t="str">
        <f t="shared" si="106"/>
        <v/>
      </c>
      <c r="G1681" s="5" t="str">
        <f t="shared" si="103"/>
        <v/>
      </c>
      <c r="I1681" s="6" t="str">
        <f t="shared" si="104"/>
        <v>0</v>
      </c>
    </row>
    <row r="1682" spans="1:11" x14ac:dyDescent="0.2">
      <c r="A1682" t="s">
        <v>2099</v>
      </c>
      <c r="B1682" t="s">
        <v>4509</v>
      </c>
      <c r="G1682" s="5" t="str">
        <f t="shared" si="103"/>
        <v/>
      </c>
      <c r="I1682" s="6" t="str">
        <f t="shared" si="104"/>
        <v>0</v>
      </c>
      <c r="K1682" s="19" t="s">
        <v>4510</v>
      </c>
    </row>
    <row r="1683" spans="1:11" x14ac:dyDescent="0.2">
      <c r="A1683" t="s">
        <v>2100</v>
      </c>
      <c r="B1683" t="s">
        <v>3655</v>
      </c>
      <c r="E1683" t="str">
        <f>IF(D1683&lt;&gt;"",C1683&amp;"/"&amp;D1683,"")</f>
        <v/>
      </c>
      <c r="G1683" s="5" t="str">
        <f t="shared" si="103"/>
        <v/>
      </c>
      <c r="I1683" s="6" t="str">
        <f t="shared" si="104"/>
        <v>0</v>
      </c>
      <c r="K1683" s="19" t="s">
        <v>3656</v>
      </c>
    </row>
    <row r="1684" spans="1:11" x14ac:dyDescent="0.2">
      <c r="A1684" t="s">
        <v>2101</v>
      </c>
      <c r="B1684" t="s">
        <v>5217</v>
      </c>
      <c r="G1684" s="5" t="str">
        <f t="shared" si="103"/>
        <v/>
      </c>
      <c r="I1684" s="6" t="str">
        <f t="shared" si="104"/>
        <v>0</v>
      </c>
      <c r="K1684" s="19" t="s">
        <v>5218</v>
      </c>
    </row>
    <row r="1685" spans="1:11" x14ac:dyDescent="0.2">
      <c r="A1685" t="s">
        <v>2102</v>
      </c>
      <c r="B1685" t="s">
        <v>4511</v>
      </c>
      <c r="G1685" s="5" t="str">
        <f t="shared" si="103"/>
        <v/>
      </c>
      <c r="I1685" s="6" t="str">
        <f t="shared" si="104"/>
        <v>0</v>
      </c>
      <c r="K1685" s="19" t="s">
        <v>4512</v>
      </c>
    </row>
    <row r="1686" spans="1:11" x14ac:dyDescent="0.2">
      <c r="A1686" t="s">
        <v>2103</v>
      </c>
      <c r="B1686" t="s">
        <v>4513</v>
      </c>
      <c r="G1686" s="5" t="str">
        <f t="shared" si="103"/>
        <v/>
      </c>
      <c r="I1686" s="6" t="str">
        <f t="shared" si="104"/>
        <v>0</v>
      </c>
      <c r="K1686" s="19" t="s">
        <v>4514</v>
      </c>
    </row>
    <row r="1687" spans="1:11" x14ac:dyDescent="0.2">
      <c r="A1687" t="s">
        <v>2104</v>
      </c>
      <c r="B1687" t="s">
        <v>5219</v>
      </c>
      <c r="G1687" s="5" t="str">
        <f t="shared" si="103"/>
        <v/>
      </c>
      <c r="I1687" s="6" t="str">
        <f t="shared" si="104"/>
        <v>0</v>
      </c>
      <c r="K1687" s="19" t="s">
        <v>5220</v>
      </c>
    </row>
    <row r="1688" spans="1:11" x14ac:dyDescent="0.2">
      <c r="A1688" t="s">
        <v>2105</v>
      </c>
      <c r="B1688" t="s">
        <v>5221</v>
      </c>
      <c r="G1688" s="5" t="str">
        <f t="shared" si="103"/>
        <v/>
      </c>
      <c r="I1688" s="6" t="str">
        <f t="shared" si="104"/>
        <v>0</v>
      </c>
      <c r="K1688" s="19" t="s">
        <v>5222</v>
      </c>
    </row>
    <row r="1689" spans="1:11" x14ac:dyDescent="0.2">
      <c r="A1689" t="s">
        <v>2106</v>
      </c>
      <c r="B1689" t="s">
        <v>5223</v>
      </c>
      <c r="G1689" s="5" t="str">
        <f t="shared" si="103"/>
        <v/>
      </c>
      <c r="I1689" s="6" t="str">
        <f t="shared" si="104"/>
        <v>0</v>
      </c>
      <c r="K1689" s="19" t="s">
        <v>5224</v>
      </c>
    </row>
    <row r="1690" spans="1:11" x14ac:dyDescent="0.2">
      <c r="A1690" t="s">
        <v>2107</v>
      </c>
      <c r="B1690" t="s">
        <v>5225</v>
      </c>
      <c r="G1690" s="5" t="str">
        <f t="shared" si="103"/>
        <v/>
      </c>
      <c r="I1690" s="6" t="str">
        <f t="shared" si="104"/>
        <v>0</v>
      </c>
      <c r="K1690" s="19" t="s">
        <v>5226</v>
      </c>
    </row>
    <row r="1691" spans="1:11" x14ac:dyDescent="0.2">
      <c r="A1691" t="s">
        <v>2108</v>
      </c>
      <c r="B1691" t="s">
        <v>5227</v>
      </c>
      <c r="G1691" s="5" t="str">
        <f t="shared" si="103"/>
        <v/>
      </c>
      <c r="I1691" s="6" t="str">
        <f t="shared" si="104"/>
        <v>0</v>
      </c>
      <c r="K1691" s="19" t="s">
        <v>5228</v>
      </c>
    </row>
    <row r="1692" spans="1:11" x14ac:dyDescent="0.2">
      <c r="A1692" t="s">
        <v>2110</v>
      </c>
      <c r="B1692" t="s">
        <v>7008</v>
      </c>
      <c r="G1692" s="5" t="str">
        <f t="shared" si="103"/>
        <v/>
      </c>
      <c r="I1692" s="6" t="str">
        <f t="shared" si="104"/>
        <v>0</v>
      </c>
    </row>
    <row r="1693" spans="1:11" x14ac:dyDescent="0.2">
      <c r="A1693" t="s">
        <v>2113</v>
      </c>
      <c r="B1693" t="s">
        <v>7009</v>
      </c>
      <c r="G1693" s="5" t="str">
        <f t="shared" si="103"/>
        <v/>
      </c>
      <c r="I1693" s="6" t="str">
        <f t="shared" si="104"/>
        <v>0</v>
      </c>
    </row>
    <row r="1694" spans="1:11" x14ac:dyDescent="0.2">
      <c r="A1694" t="s">
        <v>2114</v>
      </c>
      <c r="B1694" t="s">
        <v>7010</v>
      </c>
      <c r="G1694" s="5" t="str">
        <f t="shared" si="103"/>
        <v/>
      </c>
      <c r="I1694" s="6" t="str">
        <f t="shared" si="104"/>
        <v>0</v>
      </c>
    </row>
    <row r="1695" spans="1:11" x14ac:dyDescent="0.2">
      <c r="A1695" t="s">
        <v>2116</v>
      </c>
      <c r="B1695" t="s">
        <v>3686</v>
      </c>
      <c r="C1695" s="5" t="s">
        <v>3109</v>
      </c>
      <c r="D1695" t="s">
        <v>4478</v>
      </c>
      <c r="E1695" t="str">
        <f t="shared" ref="E1695" si="107">IF(D1695&lt;&gt;"",C1695&amp;"/"&amp;D1695,"")</f>
        <v>gfx-data/Dungeon_Firepath.colours</v>
      </c>
      <c r="F1695" s="5" t="s">
        <v>3687</v>
      </c>
      <c r="G1695" s="5">
        <f t="shared" si="103"/>
        <v>37200</v>
      </c>
      <c r="H1695" s="5">
        <v>8</v>
      </c>
      <c r="I1695" s="6" t="str">
        <f t="shared" si="104"/>
        <v>8</v>
      </c>
      <c r="K1695" s="19" t="s">
        <v>4479</v>
      </c>
    </row>
    <row r="1696" spans="1:11" x14ac:dyDescent="0.2">
      <c r="A1696" t="s">
        <v>2117</v>
      </c>
      <c r="B1696" t="s">
        <v>3688</v>
      </c>
      <c r="E1696" t="str">
        <f>IF(D1696&lt;&gt;"",C1696&amp;"/"&amp;D1696,"")</f>
        <v/>
      </c>
      <c r="G1696" s="5" t="str">
        <f t="shared" si="103"/>
        <v/>
      </c>
      <c r="I1696" s="6" t="str">
        <f t="shared" si="104"/>
        <v>0</v>
      </c>
    </row>
    <row r="1697" spans="1:11" x14ac:dyDescent="0.2">
      <c r="A1697" t="s">
        <v>2121</v>
      </c>
      <c r="B1697" t="s">
        <v>7011</v>
      </c>
      <c r="G1697" s="5" t="str">
        <f t="shared" si="103"/>
        <v/>
      </c>
      <c r="I1697" s="6" t="str">
        <f t="shared" si="104"/>
        <v>0</v>
      </c>
    </row>
    <row r="1698" spans="1:11" x14ac:dyDescent="0.2">
      <c r="A1698" t="s">
        <v>2122</v>
      </c>
      <c r="B1698" t="s">
        <v>7012</v>
      </c>
      <c r="G1698" s="5" t="str">
        <f t="shared" si="103"/>
        <v/>
      </c>
      <c r="I1698" s="6" t="str">
        <f t="shared" si="104"/>
        <v>0</v>
      </c>
    </row>
    <row r="1699" spans="1:11" x14ac:dyDescent="0.2">
      <c r="A1699" t="s">
        <v>2123</v>
      </c>
      <c r="B1699" t="s">
        <v>7013</v>
      </c>
      <c r="G1699" s="5" t="str">
        <f t="shared" si="103"/>
        <v/>
      </c>
      <c r="I1699" s="6" t="str">
        <f t="shared" si="104"/>
        <v>0</v>
      </c>
    </row>
    <row r="1700" spans="1:11" x14ac:dyDescent="0.2">
      <c r="A1700" t="s">
        <v>2125</v>
      </c>
      <c r="B1700" t="s">
        <v>3276</v>
      </c>
      <c r="G1700" s="5" t="str">
        <f t="shared" si="103"/>
        <v/>
      </c>
      <c r="I1700" s="6" t="str">
        <f t="shared" si="104"/>
        <v>0</v>
      </c>
      <c r="K1700" s="19" t="s">
        <v>4465</v>
      </c>
    </row>
    <row r="1701" spans="1:11" x14ac:dyDescent="0.2">
      <c r="A1701" t="s">
        <v>2127</v>
      </c>
      <c r="B1701" t="s">
        <v>3270</v>
      </c>
      <c r="G1701" s="5" t="str">
        <f t="shared" si="103"/>
        <v/>
      </c>
      <c r="I1701" s="6" t="str">
        <f t="shared" si="104"/>
        <v>0</v>
      </c>
      <c r="K1701" s="19" t="s">
        <v>4466</v>
      </c>
    </row>
    <row r="1702" spans="1:11" x14ac:dyDescent="0.2">
      <c r="A1702" t="s">
        <v>2126</v>
      </c>
      <c r="B1702" t="s">
        <v>7014</v>
      </c>
      <c r="G1702" s="5" t="str">
        <f t="shared" si="103"/>
        <v/>
      </c>
      <c r="I1702" s="6" t="str">
        <f t="shared" si="104"/>
        <v>0</v>
      </c>
    </row>
    <row r="1703" spans="1:11" x14ac:dyDescent="0.2">
      <c r="A1703" t="s">
        <v>2129</v>
      </c>
      <c r="B1703" t="s">
        <v>3609</v>
      </c>
      <c r="C1703" s="5" t="s">
        <v>3109</v>
      </c>
      <c r="D1703" t="s">
        <v>3610</v>
      </c>
      <c r="E1703" t="str">
        <f t="shared" ref="E1703" si="108">IF(D1703&lt;&gt;"",C1703&amp;"/"&amp;D1703,"")</f>
        <v>gfx-data/Dungeon_CentredComponents.lookup</v>
      </c>
      <c r="F1703" s="5" t="s">
        <v>3611</v>
      </c>
      <c r="G1703" s="5">
        <f t="shared" si="103"/>
        <v>37436</v>
      </c>
      <c r="H1703" s="5">
        <v>20</v>
      </c>
      <c r="I1703" s="6" t="str">
        <f t="shared" si="104"/>
        <v>14</v>
      </c>
      <c r="K1703" s="19" t="s">
        <v>3612</v>
      </c>
    </row>
    <row r="1704" spans="1:11" x14ac:dyDescent="0.2">
      <c r="A1704" t="s">
        <v>2130</v>
      </c>
      <c r="B1704" t="s">
        <v>3657</v>
      </c>
      <c r="E1704" t="str">
        <f t="shared" ref="E1704" si="109">IF(D1704&lt;&gt;"",C1704&amp;"/"&amp;D1704,"")</f>
        <v/>
      </c>
      <c r="G1704" s="5" t="str">
        <f t="shared" si="103"/>
        <v/>
      </c>
      <c r="I1704" s="6" t="str">
        <f t="shared" si="104"/>
        <v>0</v>
      </c>
      <c r="K1704" s="19" t="s">
        <v>3658</v>
      </c>
    </row>
    <row r="1705" spans="1:11" x14ac:dyDescent="0.2">
      <c r="A1705" t="s">
        <v>2131</v>
      </c>
      <c r="B1705" t="s">
        <v>7015</v>
      </c>
      <c r="G1705" s="5" t="str">
        <f t="shared" si="103"/>
        <v/>
      </c>
      <c r="I1705" s="6" t="str">
        <f t="shared" si="104"/>
        <v>0</v>
      </c>
    </row>
    <row r="1706" spans="1:11" x14ac:dyDescent="0.2">
      <c r="A1706" t="s">
        <v>2132</v>
      </c>
      <c r="B1706" t="s">
        <v>7016</v>
      </c>
      <c r="G1706" s="5" t="str">
        <f t="shared" si="103"/>
        <v/>
      </c>
      <c r="I1706" s="6" t="str">
        <f t="shared" si="104"/>
        <v>0</v>
      </c>
    </row>
    <row r="1707" spans="1:11" x14ac:dyDescent="0.2">
      <c r="A1707" t="s">
        <v>2133</v>
      </c>
      <c r="B1707" t="s">
        <v>7017</v>
      </c>
      <c r="G1707" s="5" t="str">
        <f t="shared" si="103"/>
        <v/>
      </c>
      <c r="I1707" s="6" t="str">
        <f t="shared" si="104"/>
        <v>0</v>
      </c>
    </row>
    <row r="1708" spans="1:11" x14ac:dyDescent="0.2">
      <c r="A1708" t="s">
        <v>2135</v>
      </c>
      <c r="B1708" t="s">
        <v>7018</v>
      </c>
      <c r="G1708" s="5" t="str">
        <f t="shared" si="103"/>
        <v/>
      </c>
      <c r="I1708" s="6" t="str">
        <f t="shared" si="104"/>
        <v>0</v>
      </c>
    </row>
    <row r="1709" spans="1:11" x14ac:dyDescent="0.2">
      <c r="A1709" t="s">
        <v>2136</v>
      </c>
      <c r="B1709" t="s">
        <v>5407</v>
      </c>
      <c r="G1709" s="5" t="str">
        <f t="shared" si="103"/>
        <v/>
      </c>
      <c r="I1709" s="6" t="str">
        <f t="shared" si="104"/>
        <v>0</v>
      </c>
      <c r="K1709" s="19" t="s">
        <v>5408</v>
      </c>
    </row>
    <row r="1710" spans="1:11" x14ac:dyDescent="0.2">
      <c r="A1710" t="s">
        <v>2137</v>
      </c>
      <c r="B1710" t="s">
        <v>7019</v>
      </c>
      <c r="G1710" s="5" t="str">
        <f t="shared" si="103"/>
        <v/>
      </c>
      <c r="I1710" s="6" t="str">
        <f t="shared" si="104"/>
        <v>0</v>
      </c>
    </row>
    <row r="1711" spans="1:11" x14ac:dyDescent="0.2">
      <c r="A1711" t="s">
        <v>2140</v>
      </c>
      <c r="B1711" t="s">
        <v>7020</v>
      </c>
      <c r="G1711" s="5" t="str">
        <f t="shared" si="103"/>
        <v/>
      </c>
      <c r="I1711" s="6" t="str">
        <f t="shared" si="104"/>
        <v>0</v>
      </c>
    </row>
    <row r="1712" spans="1:11" x14ac:dyDescent="0.2">
      <c r="A1712" t="s">
        <v>2141</v>
      </c>
      <c r="B1712" t="s">
        <v>7021</v>
      </c>
      <c r="G1712" s="5" t="str">
        <f t="shared" si="103"/>
        <v/>
      </c>
      <c r="I1712" s="6" t="str">
        <f t="shared" si="104"/>
        <v>0</v>
      </c>
    </row>
    <row r="1713" spans="1:11" x14ac:dyDescent="0.2">
      <c r="A1713" t="s">
        <v>2142</v>
      </c>
      <c r="B1713" t="s">
        <v>3806</v>
      </c>
      <c r="C1713" s="5" t="s">
        <v>3109</v>
      </c>
      <c r="D1713" t="s">
        <v>3849</v>
      </c>
      <c r="E1713" t="str">
        <f t="shared" ref="E1713" si="110">IF(D1713&lt;&gt;"",C1713&amp;"/"&amp;D1713,"")</f>
        <v>gfx-data/ObjectsOnFloor_Projection.layout</v>
      </c>
      <c r="F1713" s="5" t="s">
        <v>3807</v>
      </c>
      <c r="G1713" s="5">
        <f t="shared" si="103"/>
        <v>37630</v>
      </c>
      <c r="H1713" s="5">
        <v>60</v>
      </c>
      <c r="I1713" s="6" t="str">
        <f t="shared" si="104"/>
        <v>3C</v>
      </c>
      <c r="K1713" s="19" t="s">
        <v>3850</v>
      </c>
    </row>
    <row r="1714" spans="1:11" x14ac:dyDescent="0.2">
      <c r="A1714" t="s">
        <v>2143</v>
      </c>
      <c r="B1714" t="s">
        <v>3851</v>
      </c>
      <c r="F1714" s="5" t="s">
        <v>3808</v>
      </c>
      <c r="G1714" s="5">
        <f t="shared" si="103"/>
        <v>37646</v>
      </c>
      <c r="I1714" s="6" t="str">
        <f t="shared" si="104"/>
        <v>0</v>
      </c>
    </row>
    <row r="1715" spans="1:11" x14ac:dyDescent="0.2">
      <c r="A1715" t="s">
        <v>2144</v>
      </c>
      <c r="B1715" t="s">
        <v>3852</v>
      </c>
      <c r="F1715" s="5" t="s">
        <v>3809</v>
      </c>
      <c r="G1715" s="5">
        <f t="shared" si="103"/>
        <v>37650</v>
      </c>
      <c r="I1715" s="6" t="str">
        <f t="shared" si="104"/>
        <v>0</v>
      </c>
    </row>
    <row r="1716" spans="1:11" x14ac:dyDescent="0.2">
      <c r="A1716" t="s">
        <v>2145</v>
      </c>
      <c r="B1716" t="s">
        <v>3853</v>
      </c>
      <c r="F1716" s="5" t="s">
        <v>3810</v>
      </c>
      <c r="G1716" s="5">
        <f t="shared" si="103"/>
        <v>37669</v>
      </c>
      <c r="I1716" s="6" t="str">
        <f t="shared" si="104"/>
        <v>0</v>
      </c>
    </row>
    <row r="1717" spans="1:11" x14ac:dyDescent="0.2">
      <c r="A1717" t="s">
        <v>2146</v>
      </c>
      <c r="B1717" t="s">
        <v>3854</v>
      </c>
      <c r="F1717" s="5" t="s">
        <v>3811</v>
      </c>
      <c r="G1717" s="5">
        <f t="shared" si="103"/>
        <v>37677</v>
      </c>
      <c r="I1717" s="6" t="str">
        <f t="shared" si="104"/>
        <v>0</v>
      </c>
    </row>
    <row r="1718" spans="1:11" x14ac:dyDescent="0.2">
      <c r="A1718" t="s">
        <v>2147</v>
      </c>
      <c r="B1718" t="s">
        <v>3855</v>
      </c>
      <c r="F1718" s="5" t="s">
        <v>3812</v>
      </c>
      <c r="G1718" s="5">
        <f t="shared" si="103"/>
        <v>37682</v>
      </c>
      <c r="I1718" s="6" t="str">
        <f t="shared" si="104"/>
        <v>0</v>
      </c>
    </row>
    <row r="1719" spans="1:11" x14ac:dyDescent="0.2">
      <c r="A1719" t="s">
        <v>2148</v>
      </c>
      <c r="B1719" t="s">
        <v>3777</v>
      </c>
      <c r="G1719" s="5" t="str">
        <f t="shared" si="103"/>
        <v/>
      </c>
      <c r="I1719" s="6" t="str">
        <f t="shared" si="104"/>
        <v>0</v>
      </c>
      <c r="K1719" s="19" t="s">
        <v>3778</v>
      </c>
    </row>
    <row r="1720" spans="1:11" x14ac:dyDescent="0.2">
      <c r="A1720" t="s">
        <v>2149</v>
      </c>
      <c r="B1720" t="s">
        <v>3779</v>
      </c>
      <c r="G1720" s="5" t="str">
        <f t="shared" si="103"/>
        <v/>
      </c>
      <c r="I1720" s="6" t="str">
        <f t="shared" si="104"/>
        <v>0</v>
      </c>
      <c r="K1720" s="19" t="s">
        <v>3780</v>
      </c>
    </row>
    <row r="1721" spans="1:11" x14ac:dyDescent="0.2">
      <c r="A1721" t="s">
        <v>2150</v>
      </c>
      <c r="B1721" t="s">
        <v>3781</v>
      </c>
      <c r="G1721" s="5" t="str">
        <f t="shared" si="103"/>
        <v/>
      </c>
      <c r="I1721" s="6" t="str">
        <f t="shared" si="104"/>
        <v>0</v>
      </c>
      <c r="K1721" s="19" t="s">
        <v>3782</v>
      </c>
    </row>
    <row r="1722" spans="1:11" x14ac:dyDescent="0.2">
      <c r="A1722" t="s">
        <v>2151</v>
      </c>
      <c r="B1722" t="s">
        <v>3783</v>
      </c>
      <c r="G1722" s="5" t="str">
        <f t="shared" si="103"/>
        <v/>
      </c>
      <c r="I1722" s="6" t="str">
        <f t="shared" si="104"/>
        <v>0</v>
      </c>
      <c r="K1722" s="19" t="s">
        <v>3784</v>
      </c>
    </row>
    <row r="1723" spans="1:11" x14ac:dyDescent="0.2">
      <c r="A1723" t="s">
        <v>2152</v>
      </c>
      <c r="B1723" t="s">
        <v>3244</v>
      </c>
      <c r="C1723" s="5" t="s">
        <v>3109</v>
      </c>
      <c r="D1723" t="s">
        <v>3813</v>
      </c>
      <c r="E1723" t="str">
        <f t="shared" ref="E1723:E1726" si="111">IF(D1723&lt;&gt;"",C1723&amp;"/"&amp;D1723,"")</f>
        <v>gfx-data/ObjectsOnFloor_Widths.widths</v>
      </c>
      <c r="F1723" s="5" t="s">
        <v>3814</v>
      </c>
      <c r="G1723" s="5">
        <f t="shared" si="103"/>
        <v>37938</v>
      </c>
      <c r="H1723" s="5">
        <v>6</v>
      </c>
      <c r="I1723" s="6" t="str">
        <f t="shared" si="104"/>
        <v>6</v>
      </c>
      <c r="J1723" s="6" t="s">
        <v>3409</v>
      </c>
      <c r="K1723" s="19" t="s">
        <v>3815</v>
      </c>
    </row>
    <row r="1724" spans="1:11" x14ac:dyDescent="0.2">
      <c r="A1724" t="s">
        <v>2153</v>
      </c>
      <c r="B1724" t="s">
        <v>3816</v>
      </c>
      <c r="C1724" s="5" t="s">
        <v>3109</v>
      </c>
      <c r="D1724" t="s">
        <v>3817</v>
      </c>
      <c r="E1724" t="str">
        <f t="shared" si="111"/>
        <v>gfx-data/ObjectsOnFloor_XPositions.positions</v>
      </c>
      <c r="F1724" s="5" t="s">
        <v>3818</v>
      </c>
      <c r="G1724" s="5">
        <f t="shared" si="103"/>
        <v>37944</v>
      </c>
      <c r="H1724" s="5">
        <v>76</v>
      </c>
      <c r="I1724" s="6" t="str">
        <f t="shared" si="104"/>
        <v>4C</v>
      </c>
      <c r="J1724" s="6" t="s">
        <v>3414</v>
      </c>
      <c r="K1724" s="19" t="s">
        <v>3819</v>
      </c>
    </row>
    <row r="1725" spans="1:11" x14ac:dyDescent="0.2">
      <c r="A1725" t="s">
        <v>2154</v>
      </c>
      <c r="B1725" t="s">
        <v>3820</v>
      </c>
      <c r="C1725" s="5" t="s">
        <v>3109</v>
      </c>
      <c r="D1725" t="s">
        <v>3821</v>
      </c>
      <c r="E1725" t="str">
        <f t="shared" si="111"/>
        <v>gfx-data/ObjectsOnFloor_SpecialXPositions.positions</v>
      </c>
      <c r="F1725" s="5" t="s">
        <v>3822</v>
      </c>
      <c r="G1725" s="5">
        <f t="shared" si="103"/>
        <v>38020</v>
      </c>
      <c r="H1725" s="5">
        <v>20</v>
      </c>
      <c r="I1725" s="6" t="str">
        <f t="shared" si="104"/>
        <v>14</v>
      </c>
      <c r="J1725" s="6" t="s">
        <v>3414</v>
      </c>
      <c r="K1725" s="19" t="s">
        <v>3823</v>
      </c>
    </row>
    <row r="1726" spans="1:11" x14ac:dyDescent="0.2">
      <c r="A1726" t="s">
        <v>2155</v>
      </c>
      <c r="B1726" t="s">
        <v>3824</v>
      </c>
      <c r="C1726" s="5" t="s">
        <v>3109</v>
      </c>
      <c r="D1726" t="s">
        <v>3825</v>
      </c>
      <c r="E1726" t="str">
        <f t="shared" si="111"/>
        <v>gfx-data/ObjectsOnFloor_YAdjustments.positions</v>
      </c>
      <c r="F1726" s="5" t="s">
        <v>3826</v>
      </c>
      <c r="G1726" s="5">
        <f t="shared" si="103"/>
        <v>38040</v>
      </c>
      <c r="H1726" s="5">
        <v>136</v>
      </c>
      <c r="I1726" s="6" t="str">
        <f t="shared" si="104"/>
        <v>88</v>
      </c>
      <c r="J1726" s="6" t="s">
        <v>3414</v>
      </c>
      <c r="K1726" s="19" t="s">
        <v>3827</v>
      </c>
    </row>
    <row r="1727" spans="1:11" x14ac:dyDescent="0.2">
      <c r="A1727" t="s">
        <v>2156</v>
      </c>
      <c r="B1727" t="s">
        <v>5409</v>
      </c>
      <c r="G1727" s="5" t="str">
        <f t="shared" si="103"/>
        <v/>
      </c>
      <c r="I1727" s="6" t="str">
        <f t="shared" si="104"/>
        <v>0</v>
      </c>
      <c r="K1727" s="19" t="s">
        <v>5410</v>
      </c>
    </row>
    <row r="1728" spans="1:11" x14ac:dyDescent="0.2">
      <c r="A1728" t="s">
        <v>2158</v>
      </c>
      <c r="B1728" t="s">
        <v>7022</v>
      </c>
      <c r="G1728" s="5" t="str">
        <f t="shared" si="103"/>
        <v/>
      </c>
      <c r="I1728" s="6" t="str">
        <f t="shared" si="104"/>
        <v>0</v>
      </c>
    </row>
    <row r="1729" spans="1:11" x14ac:dyDescent="0.2">
      <c r="A1729" t="s">
        <v>2159</v>
      </c>
      <c r="B1729" t="s">
        <v>7023</v>
      </c>
      <c r="G1729" s="5" t="str">
        <f t="shared" ref="G1729:G1792" si="112">IF(F1729&lt;&gt;"",HEX2DEC(SUBSTITUTE(SUBSTITUTE(F1729,"adrEA",""),"$","")),"")</f>
        <v/>
      </c>
      <c r="I1729" s="6" t="str">
        <f t="shared" ref="I1729:I1792" si="113">IFERROR(DEC2HEX(H1729),"")</f>
        <v>0</v>
      </c>
    </row>
    <row r="1730" spans="1:11" x14ac:dyDescent="0.2">
      <c r="A1730" t="s">
        <v>2160</v>
      </c>
      <c r="B1730" t="s">
        <v>7024</v>
      </c>
      <c r="G1730" s="5" t="str">
        <f t="shared" si="112"/>
        <v/>
      </c>
      <c r="I1730" s="6" t="str">
        <f t="shared" si="113"/>
        <v>0</v>
      </c>
    </row>
    <row r="1731" spans="1:11" x14ac:dyDescent="0.2">
      <c r="A1731" t="s">
        <v>2161</v>
      </c>
      <c r="B1731" t="s">
        <v>7025</v>
      </c>
      <c r="G1731" s="5" t="str">
        <f t="shared" si="112"/>
        <v/>
      </c>
      <c r="I1731" s="6" t="str">
        <f t="shared" si="113"/>
        <v>0</v>
      </c>
    </row>
    <row r="1732" spans="1:11" x14ac:dyDescent="0.2">
      <c r="A1732" t="s">
        <v>2162</v>
      </c>
      <c r="B1732" t="s">
        <v>7026</v>
      </c>
      <c r="G1732" s="5" t="str">
        <f t="shared" si="112"/>
        <v/>
      </c>
      <c r="I1732" s="6" t="str">
        <f t="shared" si="113"/>
        <v>0</v>
      </c>
    </row>
    <row r="1733" spans="1:11" x14ac:dyDescent="0.2">
      <c r="A1733" t="s">
        <v>2163</v>
      </c>
      <c r="B1733" t="s">
        <v>7027</v>
      </c>
      <c r="G1733" s="5" t="str">
        <f t="shared" si="112"/>
        <v/>
      </c>
      <c r="I1733" s="6" t="str">
        <f t="shared" si="113"/>
        <v>0</v>
      </c>
    </row>
    <row r="1734" spans="1:11" x14ac:dyDescent="0.2">
      <c r="A1734" t="s">
        <v>2164</v>
      </c>
      <c r="B1734" t="s">
        <v>7028</v>
      </c>
      <c r="G1734" s="5" t="str">
        <f t="shared" si="112"/>
        <v/>
      </c>
      <c r="I1734" s="6" t="str">
        <f t="shared" si="113"/>
        <v>0</v>
      </c>
    </row>
    <row r="1735" spans="1:11" x14ac:dyDescent="0.2">
      <c r="A1735" t="s">
        <v>2165</v>
      </c>
      <c r="B1735" t="s">
        <v>7029</v>
      </c>
      <c r="G1735" s="5" t="str">
        <f t="shared" si="112"/>
        <v/>
      </c>
      <c r="I1735" s="6" t="str">
        <f t="shared" si="113"/>
        <v>0</v>
      </c>
    </row>
    <row r="1736" spans="1:11" x14ac:dyDescent="0.2">
      <c r="A1736" t="s">
        <v>2166</v>
      </c>
      <c r="B1736" t="s">
        <v>7030</v>
      </c>
      <c r="G1736" s="5" t="str">
        <f t="shared" si="112"/>
        <v/>
      </c>
      <c r="I1736" s="6" t="str">
        <f t="shared" si="113"/>
        <v>0</v>
      </c>
    </row>
    <row r="1737" spans="1:11" x14ac:dyDescent="0.2">
      <c r="A1737" t="s">
        <v>2172</v>
      </c>
      <c r="B1737" t="s">
        <v>3380</v>
      </c>
      <c r="G1737" s="5" t="str">
        <f t="shared" si="112"/>
        <v/>
      </c>
      <c r="I1737" s="6" t="str">
        <f t="shared" si="113"/>
        <v>0</v>
      </c>
      <c r="K1737" s="19" t="s">
        <v>4480</v>
      </c>
    </row>
    <row r="1738" spans="1:11" x14ac:dyDescent="0.2">
      <c r="A1738" t="s">
        <v>2173</v>
      </c>
      <c r="B1738" t="s">
        <v>7031</v>
      </c>
      <c r="G1738" s="5" t="str">
        <f t="shared" si="112"/>
        <v/>
      </c>
      <c r="I1738" s="6" t="str">
        <f t="shared" si="113"/>
        <v>0</v>
      </c>
    </row>
    <row r="1739" spans="1:11" x14ac:dyDescent="0.2">
      <c r="A1739" t="s">
        <v>2174</v>
      </c>
      <c r="B1739" t="s">
        <v>7032</v>
      </c>
      <c r="G1739" s="5" t="str">
        <f t="shared" si="112"/>
        <v/>
      </c>
      <c r="I1739" s="6" t="str">
        <f t="shared" si="113"/>
        <v>0</v>
      </c>
    </row>
    <row r="1740" spans="1:11" x14ac:dyDescent="0.2">
      <c r="A1740" t="s">
        <v>2175</v>
      </c>
      <c r="B1740" t="s">
        <v>7033</v>
      </c>
      <c r="G1740" s="5" t="str">
        <f t="shared" si="112"/>
        <v/>
      </c>
      <c r="I1740" s="6" t="str">
        <f t="shared" si="113"/>
        <v>0</v>
      </c>
    </row>
    <row r="1741" spans="1:11" x14ac:dyDescent="0.2">
      <c r="A1741" t="s">
        <v>2176</v>
      </c>
      <c r="B1741" t="s">
        <v>5269</v>
      </c>
      <c r="C1741" s="5" t="s">
        <v>5270</v>
      </c>
      <c r="D1741" t="s">
        <v>5271</v>
      </c>
      <c r="E1741" t="str">
        <f t="shared" ref="E1741:E1742" si="114">IF(D1741&lt;&gt;"",C1741&amp;"/"&amp;D1741,"")</f>
        <v>DATA/Monster_StairDepthSlot_XAdjustments.positions</v>
      </c>
      <c r="F1741" s="5" t="s">
        <v>5272</v>
      </c>
      <c r="G1741" s="5">
        <f t="shared" si="112"/>
        <v>38472</v>
      </c>
      <c r="H1741" s="5">
        <v>8</v>
      </c>
      <c r="I1741" s="6" t="str">
        <f t="shared" si="113"/>
        <v>8</v>
      </c>
      <c r="J1741" s="6" t="s">
        <v>3409</v>
      </c>
      <c r="K1741" s="19" t="s">
        <v>5273</v>
      </c>
    </row>
    <row r="1742" spans="1:11" x14ac:dyDescent="0.2">
      <c r="A1742" t="s">
        <v>2177</v>
      </c>
      <c r="B1742" t="s">
        <v>5274</v>
      </c>
      <c r="C1742" s="5" t="s">
        <v>5270</v>
      </c>
      <c r="D1742" t="s">
        <v>5275</v>
      </c>
      <c r="E1742" t="str">
        <f t="shared" si="114"/>
        <v>DATA/Monster_StairDepthSlot_YPositions.positions</v>
      </c>
      <c r="F1742" s="5" t="s">
        <v>5276</v>
      </c>
      <c r="G1742" s="5">
        <f t="shared" si="112"/>
        <v>38480</v>
      </c>
      <c r="H1742" s="5">
        <v>8</v>
      </c>
      <c r="I1742" s="6" t="str">
        <f t="shared" si="113"/>
        <v>8</v>
      </c>
      <c r="J1742" s="6" t="s">
        <v>3414</v>
      </c>
      <c r="K1742" s="19" t="s">
        <v>5277</v>
      </c>
    </row>
    <row r="1743" spans="1:11" x14ac:dyDescent="0.2">
      <c r="A1743" t="s">
        <v>2179</v>
      </c>
      <c r="B1743" t="s">
        <v>5229</v>
      </c>
      <c r="G1743" s="5" t="str">
        <f t="shared" si="112"/>
        <v/>
      </c>
      <c r="I1743" s="6" t="str">
        <f t="shared" si="113"/>
        <v>0</v>
      </c>
      <c r="K1743" s="19" t="s">
        <v>5230</v>
      </c>
    </row>
    <row r="1744" spans="1:11" x14ac:dyDescent="0.2">
      <c r="A1744" t="s">
        <v>2181</v>
      </c>
      <c r="B1744" t="s">
        <v>5231</v>
      </c>
      <c r="G1744" s="5" t="str">
        <f t="shared" si="112"/>
        <v/>
      </c>
      <c r="I1744" s="6" t="str">
        <f t="shared" si="113"/>
        <v>0</v>
      </c>
      <c r="K1744" s="19" t="s">
        <v>5232</v>
      </c>
    </row>
    <row r="1745" spans="1:11" x14ac:dyDescent="0.2">
      <c r="A1745" t="s">
        <v>2182</v>
      </c>
      <c r="B1745" t="s">
        <v>5233</v>
      </c>
      <c r="G1745" s="5" t="str">
        <f t="shared" si="112"/>
        <v/>
      </c>
      <c r="I1745" s="6" t="str">
        <f t="shared" si="113"/>
        <v>0</v>
      </c>
      <c r="K1745" s="19" t="s">
        <v>5234</v>
      </c>
    </row>
    <row r="1746" spans="1:11" x14ac:dyDescent="0.2">
      <c r="A1746" t="s">
        <v>2183</v>
      </c>
      <c r="B1746" t="s">
        <v>5235</v>
      </c>
      <c r="G1746" s="5" t="str">
        <f t="shared" si="112"/>
        <v/>
      </c>
      <c r="I1746" s="6" t="str">
        <f t="shared" si="113"/>
        <v>0</v>
      </c>
      <c r="K1746" s="19" t="s">
        <v>5236</v>
      </c>
    </row>
    <row r="1747" spans="1:11" x14ac:dyDescent="0.2">
      <c r="A1747" t="s">
        <v>2184</v>
      </c>
      <c r="B1747" t="s">
        <v>5237</v>
      </c>
      <c r="G1747" s="5" t="str">
        <f t="shared" si="112"/>
        <v/>
      </c>
      <c r="I1747" s="6" t="str">
        <f t="shared" si="113"/>
        <v>0</v>
      </c>
      <c r="K1747" s="19" t="s">
        <v>7281</v>
      </c>
    </row>
    <row r="1748" spans="1:11" x14ac:dyDescent="0.2">
      <c r="A1748" t="s">
        <v>2185</v>
      </c>
      <c r="B1748" t="s">
        <v>5238</v>
      </c>
      <c r="G1748" s="5" t="str">
        <f t="shared" si="112"/>
        <v/>
      </c>
      <c r="I1748" s="6" t="str">
        <f t="shared" si="113"/>
        <v>0</v>
      </c>
      <c r="K1748" s="19" t="s">
        <v>7283</v>
      </c>
    </row>
    <row r="1749" spans="1:11" x14ac:dyDescent="0.2">
      <c r="A1749" t="s">
        <v>2186</v>
      </c>
      <c r="B1749" t="s">
        <v>5239</v>
      </c>
      <c r="G1749" s="5" t="str">
        <f t="shared" si="112"/>
        <v/>
      </c>
      <c r="I1749" s="6" t="str">
        <f t="shared" si="113"/>
        <v>0</v>
      </c>
      <c r="K1749" s="19" t="s">
        <v>5240</v>
      </c>
    </row>
    <row r="1750" spans="1:11" x14ac:dyDescent="0.2">
      <c r="A1750" t="s">
        <v>2187</v>
      </c>
      <c r="B1750" t="s">
        <v>5241</v>
      </c>
      <c r="G1750" s="5" t="str">
        <f t="shared" si="112"/>
        <v/>
      </c>
      <c r="I1750" s="6" t="str">
        <f t="shared" si="113"/>
        <v>0</v>
      </c>
      <c r="K1750" s="19" t="s">
        <v>7282</v>
      </c>
    </row>
    <row r="1751" spans="1:11" x14ac:dyDescent="0.2">
      <c r="A1751" t="s">
        <v>2188</v>
      </c>
      <c r="B1751" t="s">
        <v>2189</v>
      </c>
      <c r="E1751" t="str">
        <f>IF(D1751&lt;&gt;"",C1751&amp;"/"&amp;D1751,"")</f>
        <v/>
      </c>
      <c r="G1751" s="5" t="str">
        <f t="shared" si="112"/>
        <v/>
      </c>
      <c r="I1751" s="6" t="str">
        <f t="shared" si="113"/>
        <v>0</v>
      </c>
    </row>
    <row r="1752" spans="1:11" x14ac:dyDescent="0.2">
      <c r="A1752" t="s">
        <v>2190</v>
      </c>
      <c r="B1752" t="s">
        <v>5242</v>
      </c>
      <c r="G1752" s="5" t="str">
        <f t="shared" si="112"/>
        <v/>
      </c>
      <c r="I1752" s="6" t="str">
        <f t="shared" si="113"/>
        <v>0</v>
      </c>
      <c r="K1752" s="19" t="s">
        <v>5243</v>
      </c>
    </row>
    <row r="1753" spans="1:11" x14ac:dyDescent="0.2">
      <c r="A1753" t="s">
        <v>2191</v>
      </c>
      <c r="B1753" t="s">
        <v>5244</v>
      </c>
      <c r="G1753" s="5" t="str">
        <f t="shared" si="112"/>
        <v/>
      </c>
      <c r="I1753" s="6" t="str">
        <f t="shared" si="113"/>
        <v>0</v>
      </c>
      <c r="K1753" s="19" t="s">
        <v>5245</v>
      </c>
    </row>
    <row r="1754" spans="1:11" x14ac:dyDescent="0.2">
      <c r="A1754" t="s">
        <v>2192</v>
      </c>
      <c r="B1754" t="s">
        <v>5246</v>
      </c>
      <c r="G1754" s="5" t="str">
        <f t="shared" si="112"/>
        <v/>
      </c>
      <c r="I1754" s="6" t="str">
        <f t="shared" si="113"/>
        <v>0</v>
      </c>
      <c r="K1754" s="19" t="s">
        <v>5247</v>
      </c>
    </row>
    <row r="1755" spans="1:11" x14ac:dyDescent="0.2">
      <c r="A1755" t="s">
        <v>2193</v>
      </c>
      <c r="B1755" t="s">
        <v>5248</v>
      </c>
      <c r="G1755" s="5" t="str">
        <f t="shared" si="112"/>
        <v/>
      </c>
      <c r="I1755" s="6" t="str">
        <f t="shared" si="113"/>
        <v>0</v>
      </c>
      <c r="K1755" s="19" t="s">
        <v>5249</v>
      </c>
    </row>
    <row r="1756" spans="1:11" x14ac:dyDescent="0.2">
      <c r="A1756" t="s">
        <v>2194</v>
      </c>
      <c r="B1756" t="s">
        <v>5250</v>
      </c>
      <c r="G1756" s="5" t="str">
        <f t="shared" si="112"/>
        <v/>
      </c>
      <c r="I1756" s="6" t="str">
        <f t="shared" si="113"/>
        <v>0</v>
      </c>
      <c r="K1756" s="19" t="s">
        <v>6302</v>
      </c>
    </row>
    <row r="1757" spans="1:11" x14ac:dyDescent="0.2">
      <c r="A1757" t="s">
        <v>2195</v>
      </c>
      <c r="B1757" t="s">
        <v>5251</v>
      </c>
      <c r="G1757" s="5" t="str">
        <f t="shared" si="112"/>
        <v/>
      </c>
      <c r="I1757" s="6" t="str">
        <f t="shared" si="113"/>
        <v>0</v>
      </c>
      <c r="K1757" s="19" t="s">
        <v>5252</v>
      </c>
    </row>
    <row r="1758" spans="1:11" x14ac:dyDescent="0.2">
      <c r="A1758" t="s">
        <v>2196</v>
      </c>
      <c r="B1758" t="s">
        <v>5253</v>
      </c>
      <c r="G1758" s="5" t="str">
        <f t="shared" si="112"/>
        <v/>
      </c>
      <c r="I1758" s="6" t="str">
        <f t="shared" si="113"/>
        <v>0</v>
      </c>
      <c r="K1758" s="19" t="s">
        <v>5254</v>
      </c>
    </row>
    <row r="1759" spans="1:11" ht="17" x14ac:dyDescent="0.25">
      <c r="A1759" t="s">
        <v>2197</v>
      </c>
      <c r="B1759" t="s">
        <v>3574</v>
      </c>
      <c r="C1759" s="5" t="s">
        <v>3109</v>
      </c>
      <c r="D1759" t="s">
        <v>3575</v>
      </c>
      <c r="E1759" t="str">
        <f t="shared" ref="E1759" si="115">IF(D1759&lt;&gt;"",C1759&amp;"/"&amp;D1759,"")</f>
        <v>gfx-data/AirbourneSpells.colours</v>
      </c>
      <c r="F1759" s="5" t="s">
        <v>3576</v>
      </c>
      <c r="G1759" s="5">
        <f t="shared" si="112"/>
        <v>38892</v>
      </c>
      <c r="H1759" s="5">
        <v>80</v>
      </c>
      <c r="I1759" s="6" t="str">
        <f t="shared" si="113"/>
        <v>50</v>
      </c>
      <c r="K1759" s="19" t="s">
        <v>3577</v>
      </c>
    </row>
    <row r="1760" spans="1:11" x14ac:dyDescent="0.2">
      <c r="A1760" t="s">
        <v>2198</v>
      </c>
      <c r="B1760" t="s">
        <v>3381</v>
      </c>
      <c r="G1760" s="5" t="str">
        <f t="shared" si="112"/>
        <v/>
      </c>
      <c r="I1760" s="6" t="str">
        <f t="shared" si="113"/>
        <v>0</v>
      </c>
      <c r="K1760" s="19" t="s">
        <v>4481</v>
      </c>
    </row>
    <row r="1761" spans="1:11" ht="17" x14ac:dyDescent="0.25">
      <c r="A1761" t="s">
        <v>2200</v>
      </c>
      <c r="B1761" t="s">
        <v>3590</v>
      </c>
      <c r="C1761" s="5" t="s">
        <v>3110</v>
      </c>
      <c r="E1761" t="str">
        <f t="shared" ref="E1761:E1769" si="116">IF(D1761&lt;&gt;"",C1761&amp;"/"&amp;D1761,"")</f>
        <v/>
      </c>
      <c r="G1761" s="5" t="str">
        <f t="shared" si="112"/>
        <v/>
      </c>
      <c r="I1761" s="6" t="str">
        <f t="shared" si="113"/>
        <v>0</v>
      </c>
      <c r="K1761" s="19" t="s">
        <v>3591</v>
      </c>
    </row>
    <row r="1762" spans="1:11" x14ac:dyDescent="0.2">
      <c r="A1762" t="s">
        <v>2201</v>
      </c>
      <c r="B1762" t="s">
        <v>3592</v>
      </c>
      <c r="C1762" s="5" t="s">
        <v>3110</v>
      </c>
      <c r="E1762" t="str">
        <f t="shared" si="116"/>
        <v/>
      </c>
      <c r="G1762" s="5" t="str">
        <f t="shared" si="112"/>
        <v/>
      </c>
      <c r="I1762" s="6" t="str">
        <f t="shared" si="113"/>
        <v>0</v>
      </c>
      <c r="K1762" s="19" t="s">
        <v>3593</v>
      </c>
    </row>
    <row r="1763" spans="1:11" ht="17" x14ac:dyDescent="0.25">
      <c r="A1763" t="s">
        <v>2202</v>
      </c>
      <c r="B1763" t="s">
        <v>3578</v>
      </c>
      <c r="C1763" s="5" t="s">
        <v>3109</v>
      </c>
      <c r="D1763" t="s">
        <v>3579</v>
      </c>
      <c r="E1763" t="str">
        <f t="shared" si="116"/>
        <v>gfx-data/AirbourneSpell_DistanceGroups.lookup</v>
      </c>
      <c r="F1763" s="5" t="s">
        <v>3580</v>
      </c>
      <c r="G1763" s="5">
        <f t="shared" si="112"/>
        <v>39140</v>
      </c>
      <c r="H1763" s="5">
        <v>6</v>
      </c>
      <c r="I1763" s="6" t="str">
        <f t="shared" si="113"/>
        <v>6</v>
      </c>
      <c r="K1763" s="19" t="s">
        <v>3581</v>
      </c>
    </row>
    <row r="1764" spans="1:11" ht="17" x14ac:dyDescent="0.25">
      <c r="A1764" t="s">
        <v>2203</v>
      </c>
      <c r="B1764" t="s">
        <v>3582</v>
      </c>
      <c r="C1764" s="5" t="s">
        <v>3109</v>
      </c>
      <c r="D1764" t="s">
        <v>3583</v>
      </c>
      <c r="E1764" t="str">
        <f t="shared" si="116"/>
        <v>gfx-data/AirbourneFireball.layout</v>
      </c>
      <c r="F1764" s="5" t="s">
        <v>3584</v>
      </c>
      <c r="G1764" s="5">
        <f t="shared" si="112"/>
        <v>39146</v>
      </c>
      <c r="H1764" s="5">
        <v>24</v>
      </c>
      <c r="I1764" s="6" t="str">
        <f t="shared" si="113"/>
        <v>18</v>
      </c>
      <c r="K1764" s="19" t="s">
        <v>3585</v>
      </c>
    </row>
    <row r="1765" spans="1:11" ht="17" x14ac:dyDescent="0.25">
      <c r="A1765" t="s">
        <v>2204</v>
      </c>
      <c r="B1765" t="s">
        <v>3586</v>
      </c>
      <c r="C1765" s="5" t="s">
        <v>3109</v>
      </c>
      <c r="D1765" t="s">
        <v>3587</v>
      </c>
      <c r="E1765" t="str">
        <f t="shared" si="116"/>
        <v>gfx-data/AirbourneSpells_Flying.layout</v>
      </c>
      <c r="F1765" s="5" t="s">
        <v>3588</v>
      </c>
      <c r="G1765" s="5">
        <f t="shared" si="112"/>
        <v>39170</v>
      </c>
      <c r="H1765" s="5">
        <v>24</v>
      </c>
      <c r="I1765" s="6" t="str">
        <f t="shared" si="113"/>
        <v>18</v>
      </c>
      <c r="K1765" s="19" t="s">
        <v>3589</v>
      </c>
    </row>
    <row r="1766" spans="1:11" x14ac:dyDescent="0.2">
      <c r="A1766" t="s">
        <v>2206</v>
      </c>
      <c r="B1766" t="s">
        <v>5636</v>
      </c>
      <c r="G1766" s="5" t="str">
        <f t="shared" si="112"/>
        <v/>
      </c>
      <c r="I1766" s="6" t="str">
        <f t="shared" si="113"/>
        <v>0</v>
      </c>
      <c r="K1766" s="19" t="s">
        <v>5637</v>
      </c>
    </row>
    <row r="1767" spans="1:11" x14ac:dyDescent="0.2">
      <c r="A1767" t="s">
        <v>2207</v>
      </c>
      <c r="B1767" t="s">
        <v>7034</v>
      </c>
      <c r="G1767" s="5" t="str">
        <f t="shared" si="112"/>
        <v/>
      </c>
      <c r="I1767" s="6" t="str">
        <f t="shared" si="113"/>
        <v>0</v>
      </c>
    </row>
    <row r="1768" spans="1:11" x14ac:dyDescent="0.2">
      <c r="A1768" t="s">
        <v>2208</v>
      </c>
      <c r="B1768" t="s">
        <v>2209</v>
      </c>
      <c r="G1768" s="5" t="str">
        <f t="shared" si="112"/>
        <v/>
      </c>
      <c r="I1768" s="6" t="str">
        <f t="shared" si="113"/>
        <v>0</v>
      </c>
      <c r="K1768" s="19" t="s">
        <v>6303</v>
      </c>
    </row>
    <row r="1769" spans="1:11" x14ac:dyDescent="0.2">
      <c r="A1769" t="s">
        <v>2210</v>
      </c>
      <c r="B1769" t="s">
        <v>2211</v>
      </c>
      <c r="E1769" t="str">
        <f t="shared" si="116"/>
        <v/>
      </c>
      <c r="G1769" s="5" t="str">
        <f t="shared" si="112"/>
        <v/>
      </c>
      <c r="I1769" s="6" t="str">
        <f t="shared" si="113"/>
        <v>0</v>
      </c>
    </row>
    <row r="1770" spans="1:11" x14ac:dyDescent="0.2">
      <c r="A1770" t="s">
        <v>2212</v>
      </c>
      <c r="B1770" t="s">
        <v>7035</v>
      </c>
      <c r="C1770" s="5" t="s">
        <v>3110</v>
      </c>
      <c r="G1770" s="5" t="str">
        <f t="shared" si="112"/>
        <v/>
      </c>
      <c r="I1770" s="6" t="str">
        <f t="shared" si="113"/>
        <v>0</v>
      </c>
    </row>
    <row r="1771" spans="1:11" x14ac:dyDescent="0.2">
      <c r="A1771" t="s">
        <v>2213</v>
      </c>
      <c r="B1771" t="s">
        <v>7036</v>
      </c>
      <c r="G1771" s="5" t="str">
        <f t="shared" si="112"/>
        <v/>
      </c>
      <c r="I1771" s="6" t="str">
        <f t="shared" si="113"/>
        <v>0</v>
      </c>
      <c r="K1771" s="19" t="s">
        <v>6304</v>
      </c>
    </row>
    <row r="1772" spans="1:11" x14ac:dyDescent="0.2">
      <c r="A1772" t="s">
        <v>2214</v>
      </c>
      <c r="B1772" t="s">
        <v>7037</v>
      </c>
      <c r="G1772" s="5" t="str">
        <f t="shared" si="112"/>
        <v/>
      </c>
      <c r="I1772" s="6" t="str">
        <f t="shared" si="113"/>
        <v>0</v>
      </c>
    </row>
    <row r="1773" spans="1:11" x14ac:dyDescent="0.2">
      <c r="A1773" t="s">
        <v>2215</v>
      </c>
      <c r="B1773" t="s">
        <v>7038</v>
      </c>
      <c r="G1773" s="5" t="str">
        <f t="shared" si="112"/>
        <v/>
      </c>
      <c r="I1773" s="6" t="str">
        <f t="shared" si="113"/>
        <v>0</v>
      </c>
    </row>
    <row r="1774" spans="1:11" x14ac:dyDescent="0.2">
      <c r="A1774" t="s">
        <v>2216</v>
      </c>
      <c r="B1774" t="s">
        <v>7039</v>
      </c>
      <c r="G1774" s="5" t="str">
        <f t="shared" si="112"/>
        <v/>
      </c>
      <c r="I1774" s="6" t="str">
        <f t="shared" si="113"/>
        <v>0</v>
      </c>
    </row>
    <row r="1775" spans="1:11" x14ac:dyDescent="0.2">
      <c r="A1775" t="s">
        <v>2217</v>
      </c>
      <c r="B1775" t="s">
        <v>7040</v>
      </c>
      <c r="C1775" s="5" t="s">
        <v>3110</v>
      </c>
      <c r="G1775" s="5" t="str">
        <f t="shared" si="112"/>
        <v/>
      </c>
      <c r="I1775" s="6" t="str">
        <f t="shared" si="113"/>
        <v>0</v>
      </c>
      <c r="K1775" s="19" t="s">
        <v>6305</v>
      </c>
    </row>
    <row r="1776" spans="1:11" x14ac:dyDescent="0.2">
      <c r="A1776" t="s">
        <v>2225</v>
      </c>
      <c r="B1776" t="s">
        <v>2226</v>
      </c>
      <c r="G1776" s="5" t="str">
        <f t="shared" si="112"/>
        <v/>
      </c>
      <c r="I1776" s="6" t="str">
        <f t="shared" si="113"/>
        <v>0</v>
      </c>
      <c r="K1776" s="19" t="s">
        <v>4482</v>
      </c>
    </row>
    <row r="1777" spans="1:11" x14ac:dyDescent="0.2">
      <c r="A1777" t="s">
        <v>2227</v>
      </c>
      <c r="B1777" t="s">
        <v>2228</v>
      </c>
      <c r="E1777" t="str">
        <f t="shared" ref="E1777:E1778" si="117">IF(D1777&lt;&gt;"",C1777&amp;"/"&amp;D1777,"")</f>
        <v/>
      </c>
      <c r="G1777" s="5" t="str">
        <f t="shared" si="112"/>
        <v/>
      </c>
      <c r="I1777" s="6" t="str">
        <f t="shared" si="113"/>
        <v>0</v>
      </c>
    </row>
    <row r="1778" spans="1:11" x14ac:dyDescent="0.2">
      <c r="A1778" t="s">
        <v>2229</v>
      </c>
      <c r="B1778" t="s">
        <v>2230</v>
      </c>
      <c r="E1778" t="str">
        <f t="shared" si="117"/>
        <v/>
      </c>
      <c r="G1778" s="5" t="str">
        <f t="shared" si="112"/>
        <v/>
      </c>
      <c r="I1778" s="6" t="str">
        <f t="shared" si="113"/>
        <v>0</v>
      </c>
    </row>
    <row r="1779" spans="1:11" x14ac:dyDescent="0.2">
      <c r="A1779" t="s">
        <v>2233</v>
      </c>
      <c r="B1779" t="s">
        <v>2234</v>
      </c>
      <c r="G1779" s="5" t="str">
        <f t="shared" si="112"/>
        <v/>
      </c>
      <c r="I1779" s="6" t="str">
        <f t="shared" si="113"/>
        <v>0</v>
      </c>
      <c r="K1779" s="19" t="s">
        <v>6306</v>
      </c>
    </row>
    <row r="1780" spans="1:11" x14ac:dyDescent="0.2">
      <c r="A1780" t="s">
        <v>2236</v>
      </c>
      <c r="B1780" t="s">
        <v>7041</v>
      </c>
      <c r="G1780" s="5" t="str">
        <f t="shared" si="112"/>
        <v/>
      </c>
      <c r="I1780" s="6" t="str">
        <f t="shared" si="113"/>
        <v>0</v>
      </c>
      <c r="K1780" s="19" t="s">
        <v>6307</v>
      </c>
    </row>
    <row r="1781" spans="1:11" x14ac:dyDescent="0.2">
      <c r="A1781" t="s">
        <v>2237</v>
      </c>
      <c r="B1781" t="s">
        <v>7042</v>
      </c>
      <c r="G1781" s="5" t="str">
        <f t="shared" si="112"/>
        <v/>
      </c>
      <c r="I1781" s="6" t="str">
        <f t="shared" si="113"/>
        <v>0</v>
      </c>
    </row>
    <row r="1782" spans="1:11" x14ac:dyDescent="0.2">
      <c r="A1782" t="s">
        <v>2238</v>
      </c>
      <c r="B1782" t="s">
        <v>7043</v>
      </c>
      <c r="G1782" s="5" t="str">
        <f t="shared" si="112"/>
        <v/>
      </c>
      <c r="I1782" s="6" t="str">
        <f t="shared" si="113"/>
        <v>0</v>
      </c>
    </row>
    <row r="1783" spans="1:11" x14ac:dyDescent="0.2">
      <c r="A1783" t="s">
        <v>2240</v>
      </c>
      <c r="B1783" t="s">
        <v>5842</v>
      </c>
      <c r="G1783" s="5" t="str">
        <f t="shared" si="112"/>
        <v/>
      </c>
      <c r="I1783" s="6" t="str">
        <f t="shared" si="113"/>
        <v>0</v>
      </c>
      <c r="K1783" s="19" t="s">
        <v>5843</v>
      </c>
    </row>
    <row r="1784" spans="1:11" x14ac:dyDescent="0.2">
      <c r="A1784" t="s">
        <v>2241</v>
      </c>
      <c r="B1784" t="s">
        <v>5844</v>
      </c>
      <c r="G1784" s="5" t="str">
        <f t="shared" si="112"/>
        <v/>
      </c>
      <c r="I1784" s="6" t="str">
        <f t="shared" si="113"/>
        <v>0</v>
      </c>
      <c r="K1784" s="19" t="s">
        <v>5845</v>
      </c>
    </row>
    <row r="1785" spans="1:11" x14ac:dyDescent="0.2">
      <c r="A1785" t="s">
        <v>2242</v>
      </c>
      <c r="B1785" t="s">
        <v>5846</v>
      </c>
      <c r="G1785" s="5" t="str">
        <f t="shared" si="112"/>
        <v/>
      </c>
      <c r="I1785" s="6" t="str">
        <f t="shared" si="113"/>
        <v>0</v>
      </c>
      <c r="K1785" s="19" t="s">
        <v>5847</v>
      </c>
    </row>
    <row r="1786" spans="1:11" x14ac:dyDescent="0.2">
      <c r="A1786" t="s">
        <v>2243</v>
      </c>
      <c r="B1786" t="s">
        <v>5848</v>
      </c>
      <c r="G1786" s="5" t="str">
        <f t="shared" si="112"/>
        <v/>
      </c>
      <c r="I1786" s="6" t="str">
        <f t="shared" si="113"/>
        <v>0</v>
      </c>
      <c r="K1786" s="19" t="s">
        <v>5849</v>
      </c>
    </row>
    <row r="1787" spans="1:11" x14ac:dyDescent="0.2">
      <c r="A1787" t="s">
        <v>2244</v>
      </c>
      <c r="B1787" t="s">
        <v>5850</v>
      </c>
      <c r="G1787" s="5" t="str">
        <f t="shared" si="112"/>
        <v/>
      </c>
      <c r="I1787" s="6" t="str">
        <f t="shared" si="113"/>
        <v>0</v>
      </c>
      <c r="K1787" s="19" t="s">
        <v>5851</v>
      </c>
    </row>
    <row r="1788" spans="1:11" x14ac:dyDescent="0.2">
      <c r="A1788" t="s">
        <v>2245</v>
      </c>
      <c r="B1788" t="s">
        <v>5852</v>
      </c>
      <c r="G1788" s="5" t="str">
        <f t="shared" si="112"/>
        <v/>
      </c>
      <c r="I1788" s="6" t="str">
        <f t="shared" si="113"/>
        <v>0</v>
      </c>
      <c r="K1788" s="19" t="s">
        <v>5853</v>
      </c>
    </row>
    <row r="1789" spans="1:11" x14ac:dyDescent="0.2">
      <c r="A1789" t="s">
        <v>2246</v>
      </c>
      <c r="B1789" t="s">
        <v>7044</v>
      </c>
      <c r="G1789" s="5" t="str">
        <f t="shared" si="112"/>
        <v/>
      </c>
      <c r="I1789" s="6" t="str">
        <f t="shared" si="113"/>
        <v>0</v>
      </c>
    </row>
    <row r="1790" spans="1:11" x14ac:dyDescent="0.2">
      <c r="A1790" t="s">
        <v>2247</v>
      </c>
      <c r="B1790" t="s">
        <v>5638</v>
      </c>
      <c r="G1790" s="5" t="str">
        <f t="shared" si="112"/>
        <v/>
      </c>
      <c r="I1790" s="6" t="str">
        <f t="shared" si="113"/>
        <v>0</v>
      </c>
      <c r="K1790" s="19" t="s">
        <v>5639</v>
      </c>
    </row>
    <row r="1791" spans="1:11" x14ac:dyDescent="0.2">
      <c r="A1791" t="s">
        <v>2248</v>
      </c>
      <c r="B1791" t="s">
        <v>7045</v>
      </c>
      <c r="G1791" s="5" t="str">
        <f t="shared" si="112"/>
        <v/>
      </c>
      <c r="I1791" s="6" t="str">
        <f t="shared" si="113"/>
        <v>0</v>
      </c>
    </row>
    <row r="1792" spans="1:11" x14ac:dyDescent="0.2">
      <c r="A1792" t="s">
        <v>2250</v>
      </c>
      <c r="B1792" t="s">
        <v>7046</v>
      </c>
      <c r="G1792" s="5" t="str">
        <f t="shared" si="112"/>
        <v/>
      </c>
      <c r="I1792" s="6" t="str">
        <f t="shared" si="113"/>
        <v>0</v>
      </c>
    </row>
    <row r="1793" spans="1:11" x14ac:dyDescent="0.2">
      <c r="A1793" t="s">
        <v>2251</v>
      </c>
      <c r="B1793" t="s">
        <v>7047</v>
      </c>
      <c r="G1793" s="5" t="str">
        <f t="shared" ref="G1793:G1856" si="118">IF(F1793&lt;&gt;"",HEX2DEC(SUBSTITUTE(SUBSTITUTE(F1793,"adrEA",""),"$","")),"")</f>
        <v/>
      </c>
      <c r="I1793" s="6" t="str">
        <f t="shared" ref="I1793:I1856" si="119">IFERROR(DEC2HEX(H1793),"")</f>
        <v>0</v>
      </c>
    </row>
    <row r="1794" spans="1:11" x14ac:dyDescent="0.2">
      <c r="A1794" t="s">
        <v>2252</v>
      </c>
      <c r="B1794" t="s">
        <v>7048</v>
      </c>
      <c r="G1794" s="5" t="str">
        <f t="shared" si="118"/>
        <v/>
      </c>
      <c r="I1794" s="6" t="str">
        <f t="shared" si="119"/>
        <v>0</v>
      </c>
      <c r="K1794" s="19" t="s">
        <v>6308</v>
      </c>
    </row>
    <row r="1795" spans="1:11" x14ac:dyDescent="0.2">
      <c r="A1795" t="s">
        <v>2253</v>
      </c>
      <c r="B1795" t="s">
        <v>7049</v>
      </c>
      <c r="G1795" s="5" t="str">
        <f t="shared" si="118"/>
        <v/>
      </c>
      <c r="I1795" s="6" t="str">
        <f t="shared" si="119"/>
        <v>0</v>
      </c>
    </row>
    <row r="1796" spans="1:11" x14ac:dyDescent="0.2">
      <c r="A1796" t="s">
        <v>2254</v>
      </c>
      <c r="B1796" t="s">
        <v>7050</v>
      </c>
      <c r="G1796" s="5" t="str">
        <f t="shared" si="118"/>
        <v/>
      </c>
      <c r="I1796" s="6" t="str">
        <f t="shared" si="119"/>
        <v>0</v>
      </c>
    </row>
    <row r="1797" spans="1:11" x14ac:dyDescent="0.2">
      <c r="A1797" t="s">
        <v>2256</v>
      </c>
      <c r="B1797" t="s">
        <v>7051</v>
      </c>
      <c r="G1797" s="5" t="str">
        <f t="shared" si="118"/>
        <v/>
      </c>
      <c r="I1797" s="6" t="str">
        <f t="shared" si="119"/>
        <v>0</v>
      </c>
    </row>
    <row r="1798" spans="1:11" x14ac:dyDescent="0.2">
      <c r="A1798" t="s">
        <v>2257</v>
      </c>
      <c r="B1798" t="s">
        <v>7052</v>
      </c>
      <c r="G1798" s="5" t="str">
        <f t="shared" si="118"/>
        <v/>
      </c>
      <c r="I1798" s="6" t="str">
        <f t="shared" si="119"/>
        <v>0</v>
      </c>
    </row>
    <row r="1799" spans="1:11" x14ac:dyDescent="0.2">
      <c r="A1799" t="s">
        <v>2258</v>
      </c>
      <c r="B1799" t="s">
        <v>7053</v>
      </c>
      <c r="G1799" s="5" t="str">
        <f t="shared" si="118"/>
        <v/>
      </c>
      <c r="I1799" s="6" t="str">
        <f t="shared" si="119"/>
        <v>0</v>
      </c>
      <c r="K1799" s="19" t="s">
        <v>6309</v>
      </c>
    </row>
    <row r="1800" spans="1:11" x14ac:dyDescent="0.2">
      <c r="A1800" t="s">
        <v>2259</v>
      </c>
      <c r="B1800" t="s">
        <v>7054</v>
      </c>
      <c r="G1800" s="5" t="str">
        <f t="shared" si="118"/>
        <v/>
      </c>
      <c r="I1800" s="6" t="str">
        <f t="shared" si="119"/>
        <v>0</v>
      </c>
    </row>
    <row r="1801" spans="1:11" x14ac:dyDescent="0.2">
      <c r="A1801" t="s">
        <v>2261</v>
      </c>
      <c r="B1801" t="s">
        <v>3269</v>
      </c>
      <c r="G1801" s="5" t="str">
        <f t="shared" si="118"/>
        <v/>
      </c>
      <c r="I1801" s="6" t="str">
        <f t="shared" si="119"/>
        <v>0</v>
      </c>
    </row>
    <row r="1802" spans="1:11" x14ac:dyDescent="0.2">
      <c r="A1802" t="s">
        <v>2262</v>
      </c>
      <c r="B1802" t="s">
        <v>7055</v>
      </c>
      <c r="G1802" s="5" t="str">
        <f t="shared" si="118"/>
        <v/>
      </c>
      <c r="I1802" s="6" t="str">
        <f t="shared" si="119"/>
        <v>0</v>
      </c>
    </row>
    <row r="1803" spans="1:11" x14ac:dyDescent="0.2">
      <c r="A1803" t="s">
        <v>2263</v>
      </c>
      <c r="B1803" t="s">
        <v>5640</v>
      </c>
      <c r="G1803" s="5" t="str">
        <f t="shared" si="118"/>
        <v/>
      </c>
      <c r="I1803" s="6" t="str">
        <f t="shared" si="119"/>
        <v>0</v>
      </c>
      <c r="K1803" s="19" t="s">
        <v>5641</v>
      </c>
    </row>
    <row r="1804" spans="1:11" x14ac:dyDescent="0.2">
      <c r="A1804" t="s">
        <v>2264</v>
      </c>
      <c r="B1804" t="s">
        <v>7056</v>
      </c>
      <c r="G1804" s="5" t="str">
        <f t="shared" si="118"/>
        <v/>
      </c>
      <c r="I1804" s="6" t="str">
        <f t="shared" si="119"/>
        <v>0</v>
      </c>
    </row>
    <row r="1805" spans="1:11" x14ac:dyDescent="0.2">
      <c r="A1805" t="s">
        <v>2265</v>
      </c>
      <c r="B1805" t="s">
        <v>7057</v>
      </c>
      <c r="G1805" s="5" t="str">
        <f t="shared" si="118"/>
        <v/>
      </c>
      <c r="I1805" s="6" t="str">
        <f t="shared" si="119"/>
        <v>0</v>
      </c>
    </row>
    <row r="1806" spans="1:11" x14ac:dyDescent="0.2">
      <c r="A1806" t="s">
        <v>2266</v>
      </c>
      <c r="B1806" t="s">
        <v>7058</v>
      </c>
      <c r="G1806" s="5" t="str">
        <f t="shared" si="118"/>
        <v/>
      </c>
      <c r="I1806" s="6" t="str">
        <f t="shared" si="119"/>
        <v>0</v>
      </c>
      <c r="K1806" s="19" t="s">
        <v>6310</v>
      </c>
    </row>
    <row r="1807" spans="1:11" x14ac:dyDescent="0.2">
      <c r="A1807" t="s">
        <v>2267</v>
      </c>
      <c r="B1807" t="s">
        <v>7059</v>
      </c>
      <c r="G1807" s="5" t="str">
        <f t="shared" si="118"/>
        <v/>
      </c>
      <c r="I1807" s="6" t="str">
        <f t="shared" si="119"/>
        <v>0</v>
      </c>
    </row>
    <row r="1808" spans="1:11" x14ac:dyDescent="0.2">
      <c r="A1808" t="s">
        <v>2269</v>
      </c>
      <c r="B1808" t="s">
        <v>5854</v>
      </c>
      <c r="G1808" s="5" t="str">
        <f t="shared" si="118"/>
        <v/>
      </c>
      <c r="I1808" s="6" t="str">
        <f t="shared" si="119"/>
        <v>0</v>
      </c>
      <c r="K1808" s="19" t="s">
        <v>5855</v>
      </c>
    </row>
    <row r="1809" spans="1:11" x14ac:dyDescent="0.2">
      <c r="A1809" t="s">
        <v>2270</v>
      </c>
      <c r="B1809" t="s">
        <v>5856</v>
      </c>
      <c r="G1809" s="5" t="str">
        <f t="shared" si="118"/>
        <v/>
      </c>
      <c r="I1809" s="6" t="str">
        <f t="shared" si="119"/>
        <v>0</v>
      </c>
      <c r="K1809" s="19" t="s">
        <v>5857</v>
      </c>
    </row>
    <row r="1810" spans="1:11" x14ac:dyDescent="0.2">
      <c r="A1810" t="s">
        <v>2271</v>
      </c>
      <c r="B1810" t="s">
        <v>7060</v>
      </c>
      <c r="G1810" s="5" t="str">
        <f t="shared" si="118"/>
        <v/>
      </c>
      <c r="I1810" s="6" t="str">
        <f t="shared" si="119"/>
        <v>0</v>
      </c>
      <c r="K1810" s="19" t="s">
        <v>6311</v>
      </c>
    </row>
    <row r="1811" spans="1:11" x14ac:dyDescent="0.2">
      <c r="A1811" t="s">
        <v>2272</v>
      </c>
      <c r="B1811" t="s">
        <v>3384</v>
      </c>
      <c r="G1811" s="5" t="str">
        <f t="shared" si="118"/>
        <v/>
      </c>
      <c r="I1811" s="6" t="str">
        <f t="shared" si="119"/>
        <v>0</v>
      </c>
      <c r="K1811" s="19" t="s">
        <v>4483</v>
      </c>
    </row>
    <row r="1812" spans="1:11" x14ac:dyDescent="0.2">
      <c r="A1812" t="s">
        <v>2273</v>
      </c>
      <c r="B1812" t="s">
        <v>7061</v>
      </c>
      <c r="G1812" s="5" t="str">
        <f t="shared" si="118"/>
        <v/>
      </c>
      <c r="I1812" s="6" t="str">
        <f t="shared" si="119"/>
        <v>0</v>
      </c>
    </row>
    <row r="1813" spans="1:11" x14ac:dyDescent="0.2">
      <c r="A1813" t="s">
        <v>2274</v>
      </c>
      <c r="B1813" t="s">
        <v>7062</v>
      </c>
      <c r="G1813" s="5" t="str">
        <f t="shared" si="118"/>
        <v/>
      </c>
      <c r="I1813" s="6" t="str">
        <f t="shared" si="119"/>
        <v>0</v>
      </c>
      <c r="K1813" s="19" t="s">
        <v>6312</v>
      </c>
    </row>
    <row r="1814" spans="1:11" x14ac:dyDescent="0.2">
      <c r="A1814" t="s">
        <v>2275</v>
      </c>
      <c r="B1814" t="s">
        <v>7063</v>
      </c>
      <c r="G1814" s="5" t="str">
        <f t="shared" si="118"/>
        <v/>
      </c>
      <c r="I1814" s="6" t="str">
        <f t="shared" si="119"/>
        <v>0</v>
      </c>
      <c r="K1814" s="19" t="s">
        <v>6313</v>
      </c>
    </row>
    <row r="1815" spans="1:11" x14ac:dyDescent="0.2">
      <c r="A1815" t="s">
        <v>2277</v>
      </c>
      <c r="B1815" t="s">
        <v>5858</v>
      </c>
      <c r="G1815" s="5" t="str">
        <f t="shared" si="118"/>
        <v/>
      </c>
      <c r="I1815" s="6" t="str">
        <f t="shared" si="119"/>
        <v>0</v>
      </c>
      <c r="K1815" s="19" t="s">
        <v>5859</v>
      </c>
    </row>
    <row r="1816" spans="1:11" x14ac:dyDescent="0.2">
      <c r="A1816" t="s">
        <v>2278</v>
      </c>
      <c r="B1816" t="s">
        <v>5860</v>
      </c>
      <c r="G1816" s="5" t="str">
        <f t="shared" si="118"/>
        <v/>
      </c>
      <c r="I1816" s="6" t="str">
        <f t="shared" si="119"/>
        <v>0</v>
      </c>
      <c r="K1816" s="19" t="s">
        <v>5861</v>
      </c>
    </row>
    <row r="1817" spans="1:11" x14ac:dyDescent="0.2">
      <c r="A1817" t="s">
        <v>2280</v>
      </c>
      <c r="B1817" t="s">
        <v>5862</v>
      </c>
      <c r="G1817" s="5" t="str">
        <f t="shared" si="118"/>
        <v/>
      </c>
      <c r="I1817" s="6" t="str">
        <f t="shared" si="119"/>
        <v>0</v>
      </c>
      <c r="K1817" s="19" t="s">
        <v>5863</v>
      </c>
    </row>
    <row r="1818" spans="1:11" x14ac:dyDescent="0.2">
      <c r="A1818" t="s">
        <v>2281</v>
      </c>
      <c r="B1818" t="s">
        <v>5864</v>
      </c>
      <c r="G1818" s="5" t="str">
        <f t="shared" si="118"/>
        <v/>
      </c>
      <c r="I1818" s="6" t="str">
        <f t="shared" si="119"/>
        <v>0</v>
      </c>
      <c r="K1818" s="19" t="s">
        <v>5865</v>
      </c>
    </row>
    <row r="1819" spans="1:11" x14ac:dyDescent="0.2">
      <c r="A1819" t="s">
        <v>2282</v>
      </c>
      <c r="B1819" t="s">
        <v>5866</v>
      </c>
      <c r="G1819" s="5" t="str">
        <f t="shared" si="118"/>
        <v/>
      </c>
      <c r="I1819" s="6" t="str">
        <f t="shared" si="119"/>
        <v>0</v>
      </c>
      <c r="K1819" s="19" t="s">
        <v>5867</v>
      </c>
    </row>
    <row r="1820" spans="1:11" x14ac:dyDescent="0.2">
      <c r="A1820" t="s">
        <v>2283</v>
      </c>
      <c r="B1820" t="s">
        <v>7064</v>
      </c>
      <c r="G1820" s="5" t="str">
        <f t="shared" si="118"/>
        <v/>
      </c>
      <c r="I1820" s="6" t="str">
        <f t="shared" si="119"/>
        <v>0</v>
      </c>
    </row>
    <row r="1821" spans="1:11" x14ac:dyDescent="0.2">
      <c r="A1821" t="s">
        <v>2284</v>
      </c>
      <c r="B1821" t="s">
        <v>5868</v>
      </c>
      <c r="G1821" s="5" t="str">
        <f t="shared" si="118"/>
        <v/>
      </c>
      <c r="I1821" s="6" t="str">
        <f t="shared" si="119"/>
        <v>0</v>
      </c>
      <c r="K1821" s="19" t="s">
        <v>5869</v>
      </c>
    </row>
    <row r="1822" spans="1:11" x14ac:dyDescent="0.2">
      <c r="A1822" t="s">
        <v>2285</v>
      </c>
      <c r="B1822" t="s">
        <v>2286</v>
      </c>
      <c r="G1822" s="5" t="str">
        <f t="shared" si="118"/>
        <v/>
      </c>
      <c r="I1822" s="6" t="str">
        <f t="shared" si="119"/>
        <v>0</v>
      </c>
      <c r="K1822" s="19" t="s">
        <v>6314</v>
      </c>
    </row>
    <row r="1823" spans="1:11" x14ac:dyDescent="0.2">
      <c r="A1823" t="s">
        <v>2287</v>
      </c>
      <c r="B1823" t="s">
        <v>7065</v>
      </c>
      <c r="G1823" s="5" t="str">
        <f t="shared" si="118"/>
        <v/>
      </c>
      <c r="I1823" s="6" t="str">
        <f t="shared" si="119"/>
        <v>0</v>
      </c>
    </row>
    <row r="1824" spans="1:11" x14ac:dyDescent="0.2">
      <c r="A1824" t="s">
        <v>2291</v>
      </c>
      <c r="B1824" t="s">
        <v>3374</v>
      </c>
      <c r="G1824" s="5" t="str">
        <f t="shared" si="118"/>
        <v/>
      </c>
      <c r="I1824" s="6" t="str">
        <f t="shared" si="119"/>
        <v>0</v>
      </c>
      <c r="K1824" s="19" t="s">
        <v>6315</v>
      </c>
    </row>
    <row r="1825" spans="1:11" x14ac:dyDescent="0.2">
      <c r="A1825" t="s">
        <v>2292</v>
      </c>
      <c r="B1825" t="s">
        <v>7066</v>
      </c>
      <c r="G1825" s="5" t="str">
        <f t="shared" si="118"/>
        <v/>
      </c>
      <c r="I1825" s="6" t="str">
        <f t="shared" si="119"/>
        <v>0</v>
      </c>
    </row>
    <row r="1826" spans="1:11" x14ac:dyDescent="0.2">
      <c r="A1826" t="s">
        <v>2296</v>
      </c>
      <c r="B1826" t="s">
        <v>3375</v>
      </c>
      <c r="E1826" t="str">
        <f t="shared" ref="E1826" si="120">IF(D1826&lt;&gt;"",C1826&amp;"/"&amp;D1826,"")</f>
        <v/>
      </c>
      <c r="G1826" s="5" t="str">
        <f t="shared" si="118"/>
        <v/>
      </c>
      <c r="I1826" s="6" t="str">
        <f t="shared" si="119"/>
        <v>0</v>
      </c>
    </row>
    <row r="1827" spans="1:11" x14ac:dyDescent="0.2">
      <c r="A1827" t="s">
        <v>2299</v>
      </c>
      <c r="B1827" t="s">
        <v>3376</v>
      </c>
      <c r="G1827" s="5" t="str">
        <f t="shared" si="118"/>
        <v/>
      </c>
      <c r="I1827" s="6" t="str">
        <f t="shared" si="119"/>
        <v>0</v>
      </c>
      <c r="K1827" s="19" t="s">
        <v>6316</v>
      </c>
    </row>
    <row r="1828" spans="1:11" x14ac:dyDescent="0.2">
      <c r="A1828" t="s">
        <v>2300</v>
      </c>
      <c r="B1828" t="s">
        <v>7067</v>
      </c>
      <c r="G1828" s="5" t="str">
        <f t="shared" si="118"/>
        <v/>
      </c>
      <c r="I1828" s="6" t="str">
        <f t="shared" si="119"/>
        <v>0</v>
      </c>
    </row>
    <row r="1829" spans="1:11" x14ac:dyDescent="0.2">
      <c r="A1829" t="s">
        <v>2305</v>
      </c>
      <c r="B1829" t="s">
        <v>3377</v>
      </c>
      <c r="G1829" s="5" t="str">
        <f t="shared" si="118"/>
        <v/>
      </c>
      <c r="I1829" s="6" t="str">
        <f t="shared" si="119"/>
        <v>0</v>
      </c>
      <c r="K1829" s="19" t="s">
        <v>6317</v>
      </c>
    </row>
    <row r="1830" spans="1:11" x14ac:dyDescent="0.2">
      <c r="A1830" t="s">
        <v>2306</v>
      </c>
      <c r="B1830" t="s">
        <v>7068</v>
      </c>
      <c r="G1830" s="5" t="str">
        <f t="shared" si="118"/>
        <v/>
      </c>
      <c r="I1830" s="6" t="str">
        <f t="shared" si="119"/>
        <v>0</v>
      </c>
    </row>
    <row r="1831" spans="1:11" x14ac:dyDescent="0.2">
      <c r="A1831" t="s">
        <v>2307</v>
      </c>
      <c r="B1831" t="s">
        <v>3378</v>
      </c>
      <c r="G1831" s="5" t="str">
        <f t="shared" si="118"/>
        <v/>
      </c>
      <c r="I1831" s="6" t="str">
        <f t="shared" si="119"/>
        <v>0</v>
      </c>
      <c r="K1831" s="19" t="s">
        <v>6318</v>
      </c>
    </row>
    <row r="1832" spans="1:11" x14ac:dyDescent="0.2">
      <c r="A1832" t="s">
        <v>2309</v>
      </c>
      <c r="B1832" t="s">
        <v>3379</v>
      </c>
      <c r="G1832" s="5" t="str">
        <f t="shared" si="118"/>
        <v/>
      </c>
      <c r="I1832" s="6" t="str">
        <f t="shared" si="119"/>
        <v>0</v>
      </c>
      <c r="K1832" s="19" t="s">
        <v>4484</v>
      </c>
    </row>
    <row r="1833" spans="1:11" x14ac:dyDescent="0.2">
      <c r="A1833" t="s">
        <v>2314</v>
      </c>
      <c r="B1833" t="s">
        <v>2315</v>
      </c>
      <c r="E1833" t="str">
        <f t="shared" ref="E1833:E1864" si="121">IF(D1833&lt;&gt;"",C1833&amp;"/"&amp;D1833,"")</f>
        <v/>
      </c>
      <c r="G1833" s="5" t="str">
        <f t="shared" si="118"/>
        <v/>
      </c>
      <c r="I1833" s="6" t="str">
        <f t="shared" si="119"/>
        <v>0</v>
      </c>
    </row>
    <row r="1834" spans="1:11" x14ac:dyDescent="0.2">
      <c r="A1834" t="s">
        <v>2317</v>
      </c>
      <c r="B1834" t="s">
        <v>3243</v>
      </c>
      <c r="E1834" t="str">
        <f t="shared" si="121"/>
        <v/>
      </c>
      <c r="G1834" s="5" t="str">
        <f t="shared" si="118"/>
        <v/>
      </c>
      <c r="I1834" s="6" t="str">
        <f t="shared" si="119"/>
        <v>0</v>
      </c>
    </row>
    <row r="1835" spans="1:11" x14ac:dyDescent="0.2">
      <c r="A1835" t="s">
        <v>2318</v>
      </c>
      <c r="B1835" t="s">
        <v>2319</v>
      </c>
      <c r="E1835" t="str">
        <f t="shared" si="121"/>
        <v/>
      </c>
      <c r="G1835" s="5" t="str">
        <f t="shared" si="118"/>
        <v/>
      </c>
      <c r="I1835" s="6" t="str">
        <f t="shared" si="119"/>
        <v>0</v>
      </c>
    </row>
    <row r="1836" spans="1:11" x14ac:dyDescent="0.2">
      <c r="A1836" t="s">
        <v>2320</v>
      </c>
      <c r="B1836" t="s">
        <v>7069</v>
      </c>
      <c r="G1836" s="5" t="str">
        <f t="shared" si="118"/>
        <v/>
      </c>
      <c r="I1836" s="6" t="str">
        <f t="shared" si="119"/>
        <v>0</v>
      </c>
    </row>
    <row r="1837" spans="1:11" x14ac:dyDescent="0.2">
      <c r="A1837" t="s">
        <v>2321</v>
      </c>
      <c r="B1837" t="s">
        <v>7070</v>
      </c>
      <c r="G1837" s="5" t="str">
        <f t="shared" si="118"/>
        <v/>
      </c>
      <c r="I1837" s="6" t="str">
        <f t="shared" si="119"/>
        <v>0</v>
      </c>
    </row>
    <row r="1838" spans="1:11" x14ac:dyDescent="0.2">
      <c r="A1838" t="s">
        <v>2322</v>
      </c>
      <c r="B1838" t="s">
        <v>7071</v>
      </c>
      <c r="G1838" s="5" t="str">
        <f t="shared" si="118"/>
        <v/>
      </c>
      <c r="I1838" s="6" t="str">
        <f t="shared" si="119"/>
        <v>0</v>
      </c>
    </row>
    <row r="1839" spans="1:11" x14ac:dyDescent="0.2">
      <c r="A1839" t="s">
        <v>2325</v>
      </c>
      <c r="B1839" t="s">
        <v>5642</v>
      </c>
      <c r="G1839" s="5" t="str">
        <f t="shared" si="118"/>
        <v/>
      </c>
      <c r="I1839" s="6" t="str">
        <f t="shared" si="119"/>
        <v>0</v>
      </c>
      <c r="K1839" s="19" t="s">
        <v>5643</v>
      </c>
    </row>
    <row r="1840" spans="1:11" x14ac:dyDescent="0.2">
      <c r="A1840" t="s">
        <v>2326</v>
      </c>
      <c r="B1840" t="s">
        <v>5644</v>
      </c>
      <c r="G1840" s="5" t="str">
        <f t="shared" si="118"/>
        <v/>
      </c>
      <c r="I1840" s="6" t="str">
        <f t="shared" si="119"/>
        <v>0</v>
      </c>
      <c r="K1840" s="19" t="s">
        <v>5645</v>
      </c>
    </row>
    <row r="1841" spans="1:11" x14ac:dyDescent="0.2">
      <c r="A1841" t="s">
        <v>2327</v>
      </c>
      <c r="B1841" t="s">
        <v>7072</v>
      </c>
      <c r="G1841" s="5" t="str">
        <f t="shared" si="118"/>
        <v/>
      </c>
      <c r="I1841" s="6" t="str">
        <f t="shared" si="119"/>
        <v>0</v>
      </c>
    </row>
    <row r="1842" spans="1:11" x14ac:dyDescent="0.2">
      <c r="A1842" t="s">
        <v>2328</v>
      </c>
      <c r="B1842" t="s">
        <v>7073</v>
      </c>
      <c r="G1842" s="5" t="str">
        <f t="shared" si="118"/>
        <v/>
      </c>
      <c r="I1842" s="6" t="str">
        <f t="shared" si="119"/>
        <v>0</v>
      </c>
    </row>
    <row r="1843" spans="1:11" x14ac:dyDescent="0.2">
      <c r="A1843" t="s">
        <v>2329</v>
      </c>
      <c r="B1843" t="s">
        <v>7074</v>
      </c>
      <c r="G1843" s="5" t="str">
        <f t="shared" si="118"/>
        <v/>
      </c>
      <c r="I1843" s="6" t="str">
        <f t="shared" si="119"/>
        <v>0</v>
      </c>
    </row>
    <row r="1844" spans="1:11" x14ac:dyDescent="0.2">
      <c r="A1844" t="s">
        <v>2331</v>
      </c>
      <c r="B1844" t="s">
        <v>5870</v>
      </c>
      <c r="G1844" s="5" t="str">
        <f t="shared" si="118"/>
        <v/>
      </c>
      <c r="I1844" s="6" t="str">
        <f t="shared" si="119"/>
        <v>0</v>
      </c>
      <c r="K1844" s="19" t="s">
        <v>5871</v>
      </c>
    </row>
    <row r="1845" spans="1:11" x14ac:dyDescent="0.2">
      <c r="A1845" t="s">
        <v>2332</v>
      </c>
      <c r="B1845" t="s">
        <v>5872</v>
      </c>
      <c r="G1845" s="5" t="str">
        <f t="shared" si="118"/>
        <v/>
      </c>
      <c r="I1845" s="6" t="str">
        <f t="shared" si="119"/>
        <v>0</v>
      </c>
      <c r="K1845" s="19" t="s">
        <v>5873</v>
      </c>
    </row>
    <row r="1846" spans="1:11" x14ac:dyDescent="0.2">
      <c r="A1846" t="s">
        <v>2333</v>
      </c>
      <c r="B1846" t="s">
        <v>5874</v>
      </c>
      <c r="G1846" s="5" t="str">
        <f t="shared" si="118"/>
        <v/>
      </c>
      <c r="I1846" s="6" t="str">
        <f t="shared" si="119"/>
        <v>0</v>
      </c>
      <c r="K1846" s="19" t="s">
        <v>5875</v>
      </c>
    </row>
    <row r="1847" spans="1:11" x14ac:dyDescent="0.2">
      <c r="A1847" t="s">
        <v>2335</v>
      </c>
      <c r="B1847" t="s">
        <v>5876</v>
      </c>
      <c r="G1847" s="5" t="str">
        <f t="shared" si="118"/>
        <v/>
      </c>
      <c r="I1847" s="6" t="str">
        <f t="shared" si="119"/>
        <v>0</v>
      </c>
      <c r="K1847" s="19" t="s">
        <v>5877</v>
      </c>
    </row>
    <row r="1848" spans="1:11" x14ac:dyDescent="0.2">
      <c r="A1848" t="s">
        <v>2336</v>
      </c>
      <c r="B1848" t="s">
        <v>5878</v>
      </c>
      <c r="G1848" s="5" t="str">
        <f t="shared" si="118"/>
        <v/>
      </c>
      <c r="I1848" s="6" t="str">
        <f t="shared" si="119"/>
        <v>0</v>
      </c>
      <c r="K1848" s="19" t="s">
        <v>5879</v>
      </c>
    </row>
    <row r="1849" spans="1:11" x14ac:dyDescent="0.2">
      <c r="A1849" t="s">
        <v>2337</v>
      </c>
      <c r="B1849" t="s">
        <v>5646</v>
      </c>
      <c r="G1849" s="5" t="str">
        <f t="shared" si="118"/>
        <v/>
      </c>
      <c r="I1849" s="6" t="str">
        <f t="shared" si="119"/>
        <v>0</v>
      </c>
      <c r="K1849" s="19" t="s">
        <v>5647</v>
      </c>
    </row>
    <row r="1850" spans="1:11" x14ac:dyDescent="0.2">
      <c r="A1850" t="s">
        <v>2338</v>
      </c>
      <c r="B1850" t="s">
        <v>7075</v>
      </c>
      <c r="G1850" s="5" t="str">
        <f t="shared" si="118"/>
        <v/>
      </c>
      <c r="I1850" s="6" t="str">
        <f t="shared" si="119"/>
        <v>0</v>
      </c>
    </row>
    <row r="1851" spans="1:11" x14ac:dyDescent="0.2">
      <c r="A1851" t="s">
        <v>2339</v>
      </c>
      <c r="B1851" t="s">
        <v>7076</v>
      </c>
      <c r="G1851" s="5" t="str">
        <f t="shared" si="118"/>
        <v/>
      </c>
      <c r="I1851" s="6" t="str">
        <f t="shared" si="119"/>
        <v>0</v>
      </c>
    </row>
    <row r="1852" spans="1:11" x14ac:dyDescent="0.2">
      <c r="A1852" t="s">
        <v>2342</v>
      </c>
      <c r="B1852" t="s">
        <v>5880</v>
      </c>
      <c r="G1852" s="5" t="str">
        <f t="shared" si="118"/>
        <v/>
      </c>
      <c r="I1852" s="6" t="str">
        <f t="shared" si="119"/>
        <v>0</v>
      </c>
      <c r="K1852" s="19" t="s">
        <v>5881</v>
      </c>
    </row>
    <row r="1853" spans="1:11" x14ac:dyDescent="0.2">
      <c r="A1853" t="s">
        <v>2343</v>
      </c>
      <c r="B1853" t="s">
        <v>2344</v>
      </c>
      <c r="G1853" s="5" t="str">
        <f t="shared" si="118"/>
        <v/>
      </c>
      <c r="I1853" s="6" t="str">
        <f t="shared" si="119"/>
        <v>0</v>
      </c>
      <c r="K1853" s="19" t="s">
        <v>6319</v>
      </c>
    </row>
    <row r="1854" spans="1:11" x14ac:dyDescent="0.2">
      <c r="A1854" t="s">
        <v>2347</v>
      </c>
      <c r="B1854" t="s">
        <v>2348</v>
      </c>
      <c r="G1854" s="5" t="str">
        <f t="shared" si="118"/>
        <v/>
      </c>
      <c r="I1854" s="6" t="str">
        <f t="shared" si="119"/>
        <v>0</v>
      </c>
      <c r="K1854" s="19" t="s">
        <v>6320</v>
      </c>
    </row>
    <row r="1855" spans="1:11" x14ac:dyDescent="0.2">
      <c r="A1855" t="s">
        <v>2349</v>
      </c>
      <c r="B1855" t="s">
        <v>7077</v>
      </c>
      <c r="G1855" s="5" t="str">
        <f t="shared" si="118"/>
        <v/>
      </c>
      <c r="I1855" s="6" t="str">
        <f t="shared" si="119"/>
        <v>0</v>
      </c>
      <c r="K1855" s="19" t="s">
        <v>6321</v>
      </c>
    </row>
    <row r="1856" spans="1:11" x14ac:dyDescent="0.2">
      <c r="A1856" t="s">
        <v>2350</v>
      </c>
      <c r="B1856" t="s">
        <v>7078</v>
      </c>
      <c r="G1856" s="5" t="str">
        <f t="shared" si="118"/>
        <v/>
      </c>
      <c r="I1856" s="6" t="str">
        <f t="shared" si="119"/>
        <v>0</v>
      </c>
    </row>
    <row r="1857" spans="1:11" x14ac:dyDescent="0.2">
      <c r="A1857" t="s">
        <v>2351</v>
      </c>
      <c r="B1857" t="s">
        <v>7079</v>
      </c>
      <c r="G1857" s="5" t="str">
        <f t="shared" ref="G1857:G1920" si="122">IF(F1857&lt;&gt;"",HEX2DEC(SUBSTITUTE(SUBSTITUTE(F1857,"adrEA",""),"$","")),"")</f>
        <v/>
      </c>
      <c r="I1857" s="6" t="str">
        <f t="shared" ref="I1857:I1920" si="123">IFERROR(DEC2HEX(H1857),"")</f>
        <v>0</v>
      </c>
    </row>
    <row r="1858" spans="1:11" x14ac:dyDescent="0.2">
      <c r="A1858" t="s">
        <v>2352</v>
      </c>
      <c r="B1858" t="s">
        <v>5648</v>
      </c>
      <c r="G1858" s="5" t="str">
        <f t="shared" si="122"/>
        <v/>
      </c>
      <c r="I1858" s="6" t="str">
        <f t="shared" si="123"/>
        <v>0</v>
      </c>
      <c r="K1858" s="19" t="s">
        <v>5649</v>
      </c>
    </row>
    <row r="1859" spans="1:11" x14ac:dyDescent="0.2">
      <c r="A1859" t="s">
        <v>2353</v>
      </c>
      <c r="B1859" t="s">
        <v>7080</v>
      </c>
      <c r="G1859" s="5" t="str">
        <f t="shared" si="122"/>
        <v/>
      </c>
      <c r="I1859" s="6" t="str">
        <f t="shared" si="123"/>
        <v>0</v>
      </c>
    </row>
    <row r="1860" spans="1:11" x14ac:dyDescent="0.2">
      <c r="A1860" t="s">
        <v>2354</v>
      </c>
      <c r="B1860" t="s">
        <v>7081</v>
      </c>
      <c r="G1860" s="5" t="str">
        <f t="shared" si="122"/>
        <v/>
      </c>
      <c r="I1860" s="6" t="str">
        <f t="shared" si="123"/>
        <v>0</v>
      </c>
    </row>
    <row r="1861" spans="1:11" x14ac:dyDescent="0.2">
      <c r="A1861" t="s">
        <v>2355</v>
      </c>
      <c r="B1861" t="s">
        <v>7082</v>
      </c>
      <c r="G1861" s="5" t="str">
        <f t="shared" si="122"/>
        <v/>
      </c>
      <c r="I1861" s="6" t="str">
        <f t="shared" si="123"/>
        <v>0</v>
      </c>
    </row>
    <row r="1862" spans="1:11" x14ac:dyDescent="0.2">
      <c r="A1862" t="s">
        <v>2356</v>
      </c>
      <c r="B1862" t="s">
        <v>7083</v>
      </c>
      <c r="G1862" s="5" t="str">
        <f t="shared" si="122"/>
        <v/>
      </c>
      <c r="I1862" s="6" t="str">
        <f t="shared" si="123"/>
        <v>0</v>
      </c>
    </row>
    <row r="1863" spans="1:11" x14ac:dyDescent="0.2">
      <c r="A1863" t="s">
        <v>2357</v>
      </c>
      <c r="B1863" t="s">
        <v>7084</v>
      </c>
      <c r="G1863" s="5" t="str">
        <f t="shared" si="122"/>
        <v/>
      </c>
      <c r="I1863" s="6" t="str">
        <f t="shared" si="123"/>
        <v>0</v>
      </c>
    </row>
    <row r="1864" spans="1:11" x14ac:dyDescent="0.2">
      <c r="A1864" t="s">
        <v>3267</v>
      </c>
      <c r="B1864" t="s">
        <v>3268</v>
      </c>
      <c r="E1864" t="str">
        <f t="shared" si="121"/>
        <v/>
      </c>
      <c r="G1864" s="5" t="str">
        <f t="shared" si="122"/>
        <v/>
      </c>
      <c r="H1864" s="5">
        <v>24</v>
      </c>
      <c r="I1864" s="6" t="str">
        <f t="shared" si="123"/>
        <v>18</v>
      </c>
    </row>
    <row r="1865" spans="1:11" x14ac:dyDescent="0.2">
      <c r="A1865" t="s">
        <v>2361</v>
      </c>
      <c r="B1865" t="s">
        <v>3382</v>
      </c>
      <c r="G1865" s="5" t="str">
        <f t="shared" si="122"/>
        <v/>
      </c>
      <c r="I1865" s="6" t="str">
        <f t="shared" si="123"/>
        <v>0</v>
      </c>
      <c r="K1865" s="19" t="s">
        <v>4485</v>
      </c>
    </row>
    <row r="1866" spans="1:11" x14ac:dyDescent="0.2">
      <c r="A1866" t="s">
        <v>2362</v>
      </c>
      <c r="B1866" t="s">
        <v>7085</v>
      </c>
      <c r="G1866" s="5" t="str">
        <f t="shared" si="122"/>
        <v/>
      </c>
      <c r="I1866" s="6" t="str">
        <f t="shared" si="123"/>
        <v>0</v>
      </c>
    </row>
    <row r="1867" spans="1:11" x14ac:dyDescent="0.2">
      <c r="A1867" t="s">
        <v>2363</v>
      </c>
      <c r="B1867" t="s">
        <v>7086</v>
      </c>
      <c r="G1867" s="5" t="str">
        <f t="shared" si="122"/>
        <v/>
      </c>
      <c r="I1867" s="6" t="str">
        <f t="shared" si="123"/>
        <v>0</v>
      </c>
    </row>
    <row r="1868" spans="1:11" x14ac:dyDescent="0.2">
      <c r="A1868" t="s">
        <v>2364</v>
      </c>
      <c r="B1868" t="s">
        <v>7087</v>
      </c>
      <c r="G1868" s="5" t="str">
        <f t="shared" si="122"/>
        <v/>
      </c>
      <c r="I1868" s="6" t="str">
        <f t="shared" si="123"/>
        <v>0</v>
      </c>
    </row>
    <row r="1869" spans="1:11" x14ac:dyDescent="0.2">
      <c r="A1869" t="s">
        <v>2365</v>
      </c>
      <c r="B1869" t="s">
        <v>7088</v>
      </c>
      <c r="G1869" s="5" t="str">
        <f t="shared" si="122"/>
        <v/>
      </c>
      <c r="I1869" s="6" t="str">
        <f t="shared" si="123"/>
        <v>0</v>
      </c>
    </row>
    <row r="1870" spans="1:11" x14ac:dyDescent="0.2">
      <c r="A1870" t="s">
        <v>2366</v>
      </c>
      <c r="B1870" t="s">
        <v>7089</v>
      </c>
      <c r="G1870" s="5" t="str">
        <f t="shared" si="122"/>
        <v/>
      </c>
      <c r="I1870" s="6" t="str">
        <f t="shared" si="123"/>
        <v>0</v>
      </c>
    </row>
    <row r="1871" spans="1:11" x14ac:dyDescent="0.2">
      <c r="A1871" t="s">
        <v>2367</v>
      </c>
      <c r="B1871" t="s">
        <v>2368</v>
      </c>
      <c r="E1871" t="str">
        <f t="shared" ref="E1871" si="124">IF(D1871&lt;&gt;"",C1871&amp;"/"&amp;D1871,"")</f>
        <v/>
      </c>
      <c r="G1871" s="5" t="str">
        <f t="shared" si="122"/>
        <v/>
      </c>
      <c r="I1871" s="6" t="str">
        <f t="shared" si="123"/>
        <v>0</v>
      </c>
    </row>
    <row r="1872" spans="1:11" x14ac:dyDescent="0.2">
      <c r="A1872" t="s">
        <v>2369</v>
      </c>
      <c r="B1872" t="s">
        <v>2370</v>
      </c>
      <c r="G1872" s="5" t="str">
        <f t="shared" si="122"/>
        <v/>
      </c>
      <c r="I1872" s="6" t="str">
        <f t="shared" si="123"/>
        <v>0</v>
      </c>
      <c r="K1872" s="19" t="s">
        <v>6322</v>
      </c>
    </row>
    <row r="1873" spans="1:11" x14ac:dyDescent="0.2">
      <c r="A1873" t="s">
        <v>2371</v>
      </c>
      <c r="B1873" t="s">
        <v>3802</v>
      </c>
      <c r="C1873" s="5" t="s">
        <v>48</v>
      </c>
      <c r="D1873" t="s">
        <v>3803</v>
      </c>
      <c r="E1873" t="str">
        <f t="shared" ref="E1873" si="125">IF(D1873&lt;&gt;"",C1873&amp;"/"&amp;D1873,"")</f>
        <v>data/Character_WornArmour_RenderOverrides.lookup</v>
      </c>
      <c r="F1873" s="5" t="s">
        <v>3804</v>
      </c>
      <c r="G1873" s="5">
        <f t="shared" si="122"/>
        <v>41998</v>
      </c>
      <c r="H1873" s="5">
        <v>9</v>
      </c>
      <c r="I1873" s="6" t="str">
        <f t="shared" si="123"/>
        <v>9</v>
      </c>
      <c r="K1873" s="19" t="s">
        <v>3805</v>
      </c>
    </row>
    <row r="1874" spans="1:11" x14ac:dyDescent="0.2">
      <c r="A1874" t="s">
        <v>2373</v>
      </c>
      <c r="B1874" t="s">
        <v>7090</v>
      </c>
      <c r="G1874" s="5" t="str">
        <f t="shared" si="122"/>
        <v/>
      </c>
      <c r="I1874" s="6" t="str">
        <f t="shared" si="123"/>
        <v>0</v>
      </c>
      <c r="K1874" s="19" t="s">
        <v>6323</v>
      </c>
    </row>
    <row r="1875" spans="1:11" x14ac:dyDescent="0.2">
      <c r="A1875" t="s">
        <v>2374</v>
      </c>
      <c r="B1875" t="s">
        <v>7091</v>
      </c>
      <c r="G1875" s="5" t="str">
        <f t="shared" si="122"/>
        <v/>
      </c>
      <c r="I1875" s="6" t="str">
        <f t="shared" si="123"/>
        <v>0</v>
      </c>
      <c r="K1875" s="19" t="s">
        <v>6324</v>
      </c>
    </row>
    <row r="1876" spans="1:11" x14ac:dyDescent="0.2">
      <c r="A1876" t="s">
        <v>2375</v>
      </c>
      <c r="B1876" t="s">
        <v>7092</v>
      </c>
      <c r="G1876" s="5" t="str">
        <f t="shared" si="122"/>
        <v/>
      </c>
      <c r="I1876" s="6" t="str">
        <f t="shared" si="123"/>
        <v>0</v>
      </c>
    </row>
    <row r="1877" spans="1:11" x14ac:dyDescent="0.2">
      <c r="A1877" t="s">
        <v>2376</v>
      </c>
      <c r="B1877" t="s">
        <v>7093</v>
      </c>
      <c r="G1877" s="5" t="str">
        <f t="shared" si="122"/>
        <v/>
      </c>
      <c r="I1877" s="6" t="str">
        <f t="shared" si="123"/>
        <v>0</v>
      </c>
    </row>
    <row r="1878" spans="1:11" x14ac:dyDescent="0.2">
      <c r="A1878" t="s">
        <v>2377</v>
      </c>
      <c r="B1878" t="s">
        <v>7094</v>
      </c>
      <c r="G1878" s="5" t="str">
        <f t="shared" si="122"/>
        <v/>
      </c>
      <c r="I1878" s="6" t="str">
        <f t="shared" si="123"/>
        <v>0</v>
      </c>
    </row>
    <row r="1879" spans="1:11" x14ac:dyDescent="0.2">
      <c r="A1879" t="s">
        <v>2378</v>
      </c>
      <c r="B1879" t="s">
        <v>7095</v>
      </c>
      <c r="G1879" s="5" t="str">
        <f t="shared" si="122"/>
        <v/>
      </c>
      <c r="I1879" s="6" t="str">
        <f t="shared" si="123"/>
        <v>0</v>
      </c>
      <c r="K1879" s="19" t="s">
        <v>6325</v>
      </c>
    </row>
    <row r="1880" spans="1:11" x14ac:dyDescent="0.2">
      <c r="A1880" t="s">
        <v>2379</v>
      </c>
      <c r="B1880" t="s">
        <v>3536</v>
      </c>
      <c r="C1880" s="5" t="s">
        <v>48</v>
      </c>
      <c r="D1880" t="s">
        <v>3537</v>
      </c>
      <c r="E1880" t="str">
        <f t="shared" ref="E1880:E1881" si="126">IF(D1880&lt;&gt;"",C1880&amp;"/"&amp;D1880,"")</f>
        <v>data/characters-body-definitions.layout</v>
      </c>
      <c r="F1880" s="5" t="s">
        <v>3538</v>
      </c>
      <c r="G1880" s="5">
        <f t="shared" si="122"/>
        <v>42250</v>
      </c>
      <c r="H1880" s="5">
        <v>140</v>
      </c>
      <c r="I1880" s="6" t="str">
        <f t="shared" si="123"/>
        <v>8C</v>
      </c>
      <c r="K1880" s="19" t="s">
        <v>3567</v>
      </c>
    </row>
    <row r="1881" spans="1:11" x14ac:dyDescent="0.2">
      <c r="A1881" t="s">
        <v>2381</v>
      </c>
      <c r="B1881" t="s">
        <v>3542</v>
      </c>
      <c r="C1881" s="5" t="s">
        <v>48</v>
      </c>
      <c r="D1881" t="s">
        <v>3543</v>
      </c>
      <c r="E1881" t="str">
        <f t="shared" si="126"/>
        <v>data/characters-render-table-offsets.lookup</v>
      </c>
      <c r="F1881" s="5" t="s">
        <v>3544</v>
      </c>
      <c r="G1881" s="5">
        <f t="shared" si="122"/>
        <v>42476</v>
      </c>
      <c r="H1881" s="5">
        <v>20</v>
      </c>
      <c r="I1881" s="6" t="str">
        <f t="shared" si="123"/>
        <v>14</v>
      </c>
      <c r="K1881" s="19" t="s">
        <v>3571</v>
      </c>
    </row>
    <row r="1882" spans="1:11" x14ac:dyDescent="0.2">
      <c r="A1882" t="s">
        <v>2382</v>
      </c>
      <c r="B1882" t="s">
        <v>3572</v>
      </c>
      <c r="E1882" t="str">
        <f t="shared" ref="E1882:E1884" si="127">IF(D1882&lt;&gt;"",C1882&amp;"/"&amp;D1882,"")</f>
        <v/>
      </c>
      <c r="G1882" s="5" t="str">
        <f t="shared" si="122"/>
        <v/>
      </c>
      <c r="I1882" s="6" t="str">
        <f t="shared" si="123"/>
        <v>0</v>
      </c>
    </row>
    <row r="1883" spans="1:11" x14ac:dyDescent="0.2">
      <c r="A1883" t="s">
        <v>2383</v>
      </c>
      <c r="B1883" t="s">
        <v>3539</v>
      </c>
      <c r="C1883" s="5" t="s">
        <v>48</v>
      </c>
      <c r="D1883" t="s">
        <v>3540</v>
      </c>
      <c r="E1883" t="str">
        <f t="shared" si="127"/>
        <v>data/characters-part-variants.lookup</v>
      </c>
      <c r="F1883" s="5" t="s">
        <v>3541</v>
      </c>
      <c r="G1883" s="5">
        <f t="shared" si="122"/>
        <v>42496</v>
      </c>
      <c r="H1883" s="5">
        <v>20</v>
      </c>
      <c r="I1883" s="6" t="str">
        <f t="shared" si="123"/>
        <v>14</v>
      </c>
      <c r="K1883" s="19" t="s">
        <v>3570</v>
      </c>
    </row>
    <row r="1884" spans="1:11" x14ac:dyDescent="0.2">
      <c r="A1884" t="s">
        <v>2384</v>
      </c>
      <c r="B1884" t="s">
        <v>3566</v>
      </c>
      <c r="E1884" t="str">
        <f t="shared" si="127"/>
        <v/>
      </c>
      <c r="G1884" s="5" t="str">
        <f t="shared" si="122"/>
        <v/>
      </c>
      <c r="I1884" s="6" t="str">
        <f t="shared" si="123"/>
        <v>0</v>
      </c>
      <c r="K1884" s="19" t="s">
        <v>3573</v>
      </c>
    </row>
    <row r="1885" spans="1:11" x14ac:dyDescent="0.2">
      <c r="A1885" t="s">
        <v>2385</v>
      </c>
      <c r="B1885" t="s">
        <v>7096</v>
      </c>
      <c r="G1885" s="5" t="str">
        <f t="shared" si="122"/>
        <v/>
      </c>
      <c r="I1885" s="6" t="str">
        <f t="shared" si="123"/>
        <v>0</v>
      </c>
    </row>
    <row r="1886" spans="1:11" x14ac:dyDescent="0.2">
      <c r="A1886" t="s">
        <v>2386</v>
      </c>
      <c r="B1886" t="s">
        <v>7097</v>
      </c>
      <c r="G1886" s="5" t="str">
        <f t="shared" si="122"/>
        <v/>
      </c>
      <c r="I1886" s="6" t="str">
        <f t="shared" si="123"/>
        <v>0</v>
      </c>
    </row>
    <row r="1887" spans="1:11" x14ac:dyDescent="0.2">
      <c r="A1887" t="s">
        <v>2387</v>
      </c>
      <c r="B1887" t="s">
        <v>7098</v>
      </c>
      <c r="G1887" s="5" t="str">
        <f t="shared" si="122"/>
        <v/>
      </c>
      <c r="I1887" s="6" t="str">
        <f t="shared" si="123"/>
        <v>0</v>
      </c>
    </row>
    <row r="1888" spans="1:11" x14ac:dyDescent="0.2">
      <c r="A1888" t="s">
        <v>2388</v>
      </c>
      <c r="B1888" t="s">
        <v>7099</v>
      </c>
      <c r="G1888" s="5" t="str">
        <f t="shared" si="122"/>
        <v/>
      </c>
      <c r="I1888" s="6" t="str">
        <f t="shared" si="123"/>
        <v>0</v>
      </c>
    </row>
    <row r="1889" spans="1:11" x14ac:dyDescent="0.2">
      <c r="A1889" t="s">
        <v>2389</v>
      </c>
      <c r="B1889" t="s">
        <v>7100</v>
      </c>
      <c r="G1889" s="5" t="str">
        <f t="shared" si="122"/>
        <v/>
      </c>
      <c r="I1889" s="6" t="str">
        <f t="shared" si="123"/>
        <v>0</v>
      </c>
    </row>
    <row r="1890" spans="1:11" x14ac:dyDescent="0.2">
      <c r="A1890" t="s">
        <v>2390</v>
      </c>
      <c r="B1890" t="s">
        <v>7101</v>
      </c>
      <c r="G1890" s="5" t="str">
        <f t="shared" si="122"/>
        <v/>
      </c>
      <c r="I1890" s="6" t="str">
        <f t="shared" si="123"/>
        <v>0</v>
      </c>
      <c r="K1890" s="19" t="s">
        <v>6326</v>
      </c>
    </row>
    <row r="1891" spans="1:11" x14ac:dyDescent="0.2">
      <c r="A1891" t="s">
        <v>2391</v>
      </c>
      <c r="B1891" t="s">
        <v>7102</v>
      </c>
      <c r="G1891" s="5" t="str">
        <f t="shared" si="122"/>
        <v/>
      </c>
      <c r="I1891" s="6" t="str">
        <f t="shared" si="123"/>
        <v>0</v>
      </c>
    </row>
    <row r="1892" spans="1:11" x14ac:dyDescent="0.2">
      <c r="A1892" t="s">
        <v>2392</v>
      </c>
      <c r="B1892" t="s">
        <v>7103</v>
      </c>
      <c r="G1892" s="5" t="str">
        <f t="shared" si="122"/>
        <v/>
      </c>
      <c r="I1892" s="6" t="str">
        <f t="shared" si="123"/>
        <v>0</v>
      </c>
    </row>
    <row r="1893" spans="1:11" x14ac:dyDescent="0.2">
      <c r="A1893" t="s">
        <v>2393</v>
      </c>
      <c r="B1893" t="s">
        <v>7104</v>
      </c>
      <c r="G1893" s="5" t="str">
        <f t="shared" si="122"/>
        <v/>
      </c>
      <c r="I1893" s="6" t="str">
        <f t="shared" si="123"/>
        <v>0</v>
      </c>
      <c r="K1893" s="19" t="s">
        <v>6327</v>
      </c>
    </row>
    <row r="1894" spans="1:11" x14ac:dyDescent="0.2">
      <c r="A1894" t="s">
        <v>2394</v>
      </c>
      <c r="B1894" t="s">
        <v>7105</v>
      </c>
      <c r="G1894" s="5" t="str">
        <f t="shared" si="122"/>
        <v/>
      </c>
      <c r="I1894" s="6" t="str">
        <f t="shared" si="123"/>
        <v>0</v>
      </c>
      <c r="K1894" s="19" t="s">
        <v>6328</v>
      </c>
    </row>
    <row r="1895" spans="1:11" x14ac:dyDescent="0.2">
      <c r="A1895" t="s">
        <v>2395</v>
      </c>
      <c r="B1895" t="s">
        <v>7106</v>
      </c>
      <c r="G1895" s="5" t="str">
        <f t="shared" si="122"/>
        <v/>
      </c>
      <c r="I1895" s="6" t="str">
        <f t="shared" si="123"/>
        <v>0</v>
      </c>
    </row>
    <row r="1896" spans="1:11" x14ac:dyDescent="0.2">
      <c r="A1896" t="s">
        <v>2396</v>
      </c>
      <c r="B1896" t="s">
        <v>7107</v>
      </c>
      <c r="G1896" s="5" t="str">
        <f t="shared" si="122"/>
        <v/>
      </c>
      <c r="I1896" s="6" t="str">
        <f t="shared" si="123"/>
        <v>0</v>
      </c>
    </row>
    <row r="1897" spans="1:11" x14ac:dyDescent="0.2">
      <c r="A1897" t="s">
        <v>2397</v>
      </c>
      <c r="B1897" t="s">
        <v>7108</v>
      </c>
      <c r="G1897" s="5" t="str">
        <f t="shared" si="122"/>
        <v/>
      </c>
      <c r="I1897" s="6" t="str">
        <f t="shared" si="123"/>
        <v>0</v>
      </c>
    </row>
    <row r="1898" spans="1:11" x14ac:dyDescent="0.2">
      <c r="A1898" t="s">
        <v>2398</v>
      </c>
      <c r="B1898" t="s">
        <v>7109</v>
      </c>
      <c r="G1898" s="5" t="str">
        <f t="shared" si="122"/>
        <v/>
      </c>
      <c r="I1898" s="6" t="str">
        <f t="shared" si="123"/>
        <v>0</v>
      </c>
    </row>
    <row r="1899" spans="1:11" x14ac:dyDescent="0.2">
      <c r="A1899" t="s">
        <v>2399</v>
      </c>
      <c r="B1899" t="s">
        <v>3545</v>
      </c>
      <c r="C1899" s="5" t="s">
        <v>48</v>
      </c>
      <c r="D1899" t="s">
        <v>3546</v>
      </c>
      <c r="E1899" t="str">
        <f t="shared" ref="E1899" si="128">IF(D1899&lt;&gt;"",C1899&amp;"/"&amp;D1899,"")</f>
        <v>data/characters-arm-animation.positions</v>
      </c>
      <c r="F1899" s="5" t="s">
        <v>3547</v>
      </c>
      <c r="G1899" s="5">
        <f t="shared" si="122"/>
        <v>42872</v>
      </c>
      <c r="H1899" s="5">
        <v>72</v>
      </c>
      <c r="I1899" s="6" t="str">
        <f t="shared" si="123"/>
        <v>48</v>
      </c>
      <c r="K1899" s="19" t="s">
        <v>3569</v>
      </c>
    </row>
    <row r="1900" spans="1:11" x14ac:dyDescent="0.2">
      <c r="A1900" t="s">
        <v>2400</v>
      </c>
      <c r="B1900" t="s">
        <v>3839</v>
      </c>
      <c r="G1900" s="5" t="str">
        <f t="shared" si="122"/>
        <v/>
      </c>
      <c r="I1900" s="6" t="str">
        <f t="shared" si="123"/>
        <v>0</v>
      </c>
      <c r="K1900" s="19" t="s">
        <v>3840</v>
      </c>
    </row>
    <row r="1901" spans="1:11" x14ac:dyDescent="0.2">
      <c r="A1901" t="s">
        <v>2401</v>
      </c>
      <c r="B1901" t="s">
        <v>7110</v>
      </c>
      <c r="G1901" s="5" t="str">
        <f t="shared" si="122"/>
        <v/>
      </c>
      <c r="I1901" s="6" t="str">
        <f t="shared" si="123"/>
        <v>0</v>
      </c>
    </row>
    <row r="1902" spans="1:11" x14ac:dyDescent="0.2">
      <c r="A1902" t="s">
        <v>2402</v>
      </c>
      <c r="B1902" t="s">
        <v>7111</v>
      </c>
      <c r="G1902" s="5" t="str">
        <f t="shared" si="122"/>
        <v/>
      </c>
      <c r="I1902" s="6" t="str">
        <f t="shared" si="123"/>
        <v>0</v>
      </c>
    </row>
    <row r="1903" spans="1:11" x14ac:dyDescent="0.2">
      <c r="A1903" t="s">
        <v>2403</v>
      </c>
      <c r="B1903" t="s">
        <v>7112</v>
      </c>
      <c r="G1903" s="5" t="str">
        <f t="shared" si="122"/>
        <v/>
      </c>
      <c r="I1903" s="6" t="str">
        <f t="shared" si="123"/>
        <v>0</v>
      </c>
    </row>
    <row r="1904" spans="1:11" x14ac:dyDescent="0.2">
      <c r="A1904" t="s">
        <v>2404</v>
      </c>
      <c r="B1904" t="s">
        <v>7113</v>
      </c>
      <c r="G1904" s="5" t="str">
        <f t="shared" si="122"/>
        <v/>
      </c>
      <c r="I1904" s="6" t="str">
        <f t="shared" si="123"/>
        <v>0</v>
      </c>
    </row>
    <row r="1905" spans="1:11" x14ac:dyDescent="0.2">
      <c r="A1905" t="s">
        <v>2405</v>
      </c>
      <c r="B1905" t="s">
        <v>7114</v>
      </c>
      <c r="G1905" s="5" t="str">
        <f t="shared" si="122"/>
        <v/>
      </c>
      <c r="I1905" s="6" t="str">
        <f t="shared" si="123"/>
        <v>0</v>
      </c>
    </row>
    <row r="1906" spans="1:11" x14ac:dyDescent="0.2">
      <c r="A1906" t="s">
        <v>2406</v>
      </c>
      <c r="B1906" t="s">
        <v>7115</v>
      </c>
      <c r="G1906" s="5" t="str">
        <f t="shared" si="122"/>
        <v/>
      </c>
      <c r="I1906" s="6" t="str">
        <f t="shared" si="123"/>
        <v>0</v>
      </c>
    </row>
    <row r="1907" spans="1:11" x14ac:dyDescent="0.2">
      <c r="A1907" t="s">
        <v>2407</v>
      </c>
      <c r="B1907" t="s">
        <v>3830</v>
      </c>
      <c r="C1907" s="5" t="s">
        <v>48</v>
      </c>
      <c r="D1907" t="s">
        <v>3831</v>
      </c>
      <c r="E1907" t="str">
        <f t="shared" ref="E1907" si="129">IF(D1907&lt;&gt;"",C1907&amp;"/"&amp;D1907,"")</f>
        <v>data/characters-armour-material.palette</v>
      </c>
      <c r="F1907" s="5" t="s">
        <v>3832</v>
      </c>
      <c r="G1907" s="5">
        <f t="shared" si="122"/>
        <v>43038</v>
      </c>
      <c r="H1907" s="5">
        <v>4</v>
      </c>
      <c r="I1907" s="6" t="str">
        <f t="shared" si="123"/>
        <v>4</v>
      </c>
      <c r="K1907" s="19" t="s">
        <v>3833</v>
      </c>
    </row>
    <row r="1908" spans="1:11" x14ac:dyDescent="0.2">
      <c r="A1908" t="s">
        <v>2408</v>
      </c>
      <c r="B1908" t="s">
        <v>7116</v>
      </c>
      <c r="G1908" s="5" t="str">
        <f t="shared" si="122"/>
        <v/>
      </c>
      <c r="I1908" s="6" t="str">
        <f t="shared" si="123"/>
        <v>0</v>
      </c>
    </row>
    <row r="1909" spans="1:11" x14ac:dyDescent="0.2">
      <c r="A1909" t="s">
        <v>2409</v>
      </c>
      <c r="B1909" t="s">
        <v>5882</v>
      </c>
      <c r="G1909" s="5" t="str">
        <f t="shared" si="122"/>
        <v/>
      </c>
      <c r="I1909" s="6" t="str">
        <f t="shared" si="123"/>
        <v>0</v>
      </c>
      <c r="K1909" s="19" t="s">
        <v>5883</v>
      </c>
    </row>
    <row r="1910" spans="1:11" x14ac:dyDescent="0.2">
      <c r="A1910" t="s">
        <v>2410</v>
      </c>
      <c r="B1910" t="s">
        <v>7117</v>
      </c>
      <c r="G1910" s="5" t="str">
        <f t="shared" si="122"/>
        <v/>
      </c>
      <c r="I1910" s="6" t="str">
        <f t="shared" si="123"/>
        <v>0</v>
      </c>
    </row>
    <row r="1911" spans="1:11" x14ac:dyDescent="0.2">
      <c r="A1911" t="s">
        <v>2411</v>
      </c>
      <c r="B1911" t="s">
        <v>5884</v>
      </c>
      <c r="G1911" s="5" t="str">
        <f t="shared" si="122"/>
        <v/>
      </c>
      <c r="I1911" s="6" t="str">
        <f t="shared" si="123"/>
        <v>0</v>
      </c>
      <c r="K1911" s="19" t="s">
        <v>5885</v>
      </c>
    </row>
    <row r="1912" spans="1:11" x14ac:dyDescent="0.2">
      <c r="A1912" t="s">
        <v>2412</v>
      </c>
      <c r="B1912" t="s">
        <v>5886</v>
      </c>
      <c r="G1912" s="5" t="str">
        <f t="shared" si="122"/>
        <v/>
      </c>
      <c r="I1912" s="6" t="str">
        <f t="shared" si="123"/>
        <v>0</v>
      </c>
      <c r="K1912" s="19" t="s">
        <v>5887</v>
      </c>
    </row>
    <row r="1913" spans="1:11" x14ac:dyDescent="0.2">
      <c r="A1913" t="s">
        <v>2413</v>
      </c>
      <c r="B1913" t="s">
        <v>7118</v>
      </c>
      <c r="G1913" s="5" t="str">
        <f t="shared" si="122"/>
        <v/>
      </c>
      <c r="I1913" s="6" t="str">
        <f t="shared" si="123"/>
        <v>0</v>
      </c>
      <c r="K1913" s="19" t="s">
        <v>6329</v>
      </c>
    </row>
    <row r="1914" spans="1:11" x14ac:dyDescent="0.2">
      <c r="A1914" t="s">
        <v>2414</v>
      </c>
      <c r="B1914" t="s">
        <v>7119</v>
      </c>
      <c r="G1914" s="5" t="str">
        <f t="shared" si="122"/>
        <v/>
      </c>
      <c r="I1914" s="6" t="str">
        <f t="shared" si="123"/>
        <v>0</v>
      </c>
    </row>
    <row r="1915" spans="1:11" x14ac:dyDescent="0.2">
      <c r="A1915" t="s">
        <v>2415</v>
      </c>
      <c r="B1915" t="s">
        <v>7120</v>
      </c>
      <c r="G1915" s="5" t="str">
        <f t="shared" si="122"/>
        <v/>
      </c>
      <c r="I1915" s="6" t="str">
        <f t="shared" si="123"/>
        <v>0</v>
      </c>
      <c r="K1915" s="19" t="s">
        <v>6330</v>
      </c>
    </row>
    <row r="1916" spans="1:11" x14ac:dyDescent="0.2">
      <c r="A1916" t="s">
        <v>2416</v>
      </c>
      <c r="B1916" t="s">
        <v>7121</v>
      </c>
      <c r="G1916" s="5" t="str">
        <f t="shared" si="122"/>
        <v/>
      </c>
      <c r="I1916" s="6" t="str">
        <f t="shared" si="123"/>
        <v>0</v>
      </c>
    </row>
    <row r="1917" spans="1:11" x14ac:dyDescent="0.2">
      <c r="A1917" t="s">
        <v>2417</v>
      </c>
      <c r="B1917" t="s">
        <v>7122</v>
      </c>
      <c r="G1917" s="5" t="str">
        <f t="shared" si="122"/>
        <v/>
      </c>
      <c r="I1917" s="6" t="str">
        <f t="shared" si="123"/>
        <v>0</v>
      </c>
    </row>
    <row r="1918" spans="1:11" x14ac:dyDescent="0.2">
      <c r="A1918" t="s">
        <v>2418</v>
      </c>
      <c r="B1918" t="s">
        <v>7123</v>
      </c>
      <c r="G1918" s="5" t="str">
        <f t="shared" si="122"/>
        <v/>
      </c>
      <c r="I1918" s="6" t="str">
        <f t="shared" si="123"/>
        <v>0</v>
      </c>
    </row>
    <row r="1919" spans="1:11" x14ac:dyDescent="0.2">
      <c r="A1919" t="s">
        <v>2419</v>
      </c>
      <c r="B1919" t="s">
        <v>7124</v>
      </c>
      <c r="G1919" s="5" t="str">
        <f t="shared" si="122"/>
        <v/>
      </c>
      <c r="I1919" s="6" t="str">
        <f t="shared" si="123"/>
        <v>0</v>
      </c>
    </row>
    <row r="1920" spans="1:11" x14ac:dyDescent="0.2">
      <c r="A1920" t="s">
        <v>2420</v>
      </c>
      <c r="B1920" t="s">
        <v>7125</v>
      </c>
      <c r="G1920" s="5" t="str">
        <f t="shared" si="122"/>
        <v/>
      </c>
      <c r="I1920" s="6" t="str">
        <f t="shared" si="123"/>
        <v>0</v>
      </c>
    </row>
    <row r="1921" spans="1:11" x14ac:dyDescent="0.2">
      <c r="A1921" t="s">
        <v>2421</v>
      </c>
      <c r="B1921" t="s">
        <v>7126</v>
      </c>
      <c r="G1921" s="5" t="str">
        <f t="shared" ref="G1921:G1984" si="130">IF(F1921&lt;&gt;"",HEX2DEC(SUBSTITUTE(SUBSTITUTE(F1921,"adrEA",""),"$","")),"")</f>
        <v/>
      </c>
      <c r="I1921" s="6" t="str">
        <f t="shared" ref="I1921:I1984" si="131">IFERROR(DEC2HEX(H1921),"")</f>
        <v>0</v>
      </c>
    </row>
    <row r="1922" spans="1:11" x14ac:dyDescent="0.2">
      <c r="A1922" t="s">
        <v>2422</v>
      </c>
      <c r="B1922" t="s">
        <v>5650</v>
      </c>
      <c r="G1922" s="5" t="str">
        <f t="shared" si="130"/>
        <v/>
      </c>
      <c r="I1922" s="6" t="str">
        <f t="shared" si="131"/>
        <v>0</v>
      </c>
      <c r="K1922" s="19" t="s">
        <v>5651</v>
      </c>
    </row>
    <row r="1923" spans="1:11" x14ac:dyDescent="0.2">
      <c r="A1923" t="s">
        <v>2423</v>
      </c>
      <c r="B1923" t="s">
        <v>3383</v>
      </c>
      <c r="G1923" s="5" t="str">
        <f t="shared" si="130"/>
        <v/>
      </c>
      <c r="I1923" s="6" t="str">
        <f t="shared" si="131"/>
        <v>0</v>
      </c>
      <c r="K1923" s="19" t="s">
        <v>4486</v>
      </c>
    </row>
    <row r="1924" spans="1:11" x14ac:dyDescent="0.2">
      <c r="A1924" t="s">
        <v>2424</v>
      </c>
      <c r="B1924" t="s">
        <v>7127</v>
      </c>
      <c r="G1924" s="5" t="str">
        <f t="shared" si="130"/>
        <v/>
      </c>
      <c r="I1924" s="6" t="str">
        <f t="shared" si="131"/>
        <v>0</v>
      </c>
    </row>
    <row r="1925" spans="1:11" x14ac:dyDescent="0.2">
      <c r="A1925" t="s">
        <v>2429</v>
      </c>
      <c r="B1925" t="s">
        <v>7128</v>
      </c>
      <c r="G1925" s="5" t="str">
        <f t="shared" si="130"/>
        <v/>
      </c>
      <c r="I1925" s="6" t="str">
        <f t="shared" si="131"/>
        <v>0</v>
      </c>
    </row>
    <row r="1926" spans="1:11" x14ac:dyDescent="0.2">
      <c r="A1926" t="s">
        <v>2430</v>
      </c>
      <c r="B1926" t="s">
        <v>7129</v>
      </c>
      <c r="G1926" s="5" t="str">
        <f t="shared" si="130"/>
        <v/>
      </c>
      <c r="I1926" s="6" t="str">
        <f t="shared" si="131"/>
        <v>0</v>
      </c>
    </row>
    <row r="1927" spans="1:11" x14ac:dyDescent="0.2">
      <c r="A1927" t="s">
        <v>2431</v>
      </c>
      <c r="B1927" t="s">
        <v>7130</v>
      </c>
      <c r="G1927" s="5" t="str">
        <f t="shared" si="130"/>
        <v/>
      </c>
      <c r="I1927" s="6" t="str">
        <f t="shared" si="131"/>
        <v>0</v>
      </c>
    </row>
    <row r="1928" spans="1:11" x14ac:dyDescent="0.2">
      <c r="A1928" t="s">
        <v>2432</v>
      </c>
      <c r="B1928" t="s">
        <v>7131</v>
      </c>
      <c r="G1928" s="5" t="str">
        <f t="shared" si="130"/>
        <v/>
      </c>
      <c r="I1928" s="6" t="str">
        <f t="shared" si="131"/>
        <v>0</v>
      </c>
    </row>
    <row r="1929" spans="1:11" x14ac:dyDescent="0.2">
      <c r="A1929" t="s">
        <v>2433</v>
      </c>
      <c r="B1929" t="s">
        <v>7132</v>
      </c>
      <c r="G1929" s="5" t="str">
        <f t="shared" si="130"/>
        <v/>
      </c>
      <c r="I1929" s="6" t="str">
        <f t="shared" si="131"/>
        <v>0</v>
      </c>
      <c r="K1929" s="19" t="s">
        <v>6331</v>
      </c>
    </row>
    <row r="1930" spans="1:11" x14ac:dyDescent="0.2">
      <c r="A1930" t="s">
        <v>2436</v>
      </c>
      <c r="B1930" t="s">
        <v>7133</v>
      </c>
      <c r="G1930" s="5" t="str">
        <f t="shared" si="130"/>
        <v/>
      </c>
      <c r="I1930" s="6" t="str">
        <f t="shared" si="131"/>
        <v>0</v>
      </c>
    </row>
    <row r="1931" spans="1:11" x14ac:dyDescent="0.2">
      <c r="A1931" t="s">
        <v>2437</v>
      </c>
      <c r="B1931" t="s">
        <v>7134</v>
      </c>
      <c r="G1931" s="5" t="str">
        <f t="shared" si="130"/>
        <v/>
      </c>
      <c r="I1931" s="6" t="str">
        <f t="shared" si="131"/>
        <v>0</v>
      </c>
    </row>
    <row r="1932" spans="1:11" x14ac:dyDescent="0.2">
      <c r="A1932" t="s">
        <v>2439</v>
      </c>
      <c r="B1932" t="s">
        <v>7135</v>
      </c>
      <c r="G1932" s="5" t="str">
        <f t="shared" si="130"/>
        <v/>
      </c>
      <c r="I1932" s="6" t="str">
        <f t="shared" si="131"/>
        <v>0</v>
      </c>
      <c r="K1932" s="19" t="s">
        <v>6332</v>
      </c>
    </row>
    <row r="1933" spans="1:11" x14ac:dyDescent="0.2">
      <c r="A1933" t="s">
        <v>2441</v>
      </c>
      <c r="B1933" t="s">
        <v>7136</v>
      </c>
      <c r="G1933" s="5" t="str">
        <f t="shared" si="130"/>
        <v/>
      </c>
      <c r="I1933" s="6" t="str">
        <f t="shared" si="131"/>
        <v>0</v>
      </c>
    </row>
    <row r="1934" spans="1:11" x14ac:dyDescent="0.2">
      <c r="A1934" t="s">
        <v>2442</v>
      </c>
      <c r="B1934" t="s">
        <v>7137</v>
      </c>
      <c r="G1934" s="5" t="str">
        <f t="shared" si="130"/>
        <v/>
      </c>
      <c r="I1934" s="6" t="str">
        <f t="shared" si="131"/>
        <v>0</v>
      </c>
    </row>
    <row r="1935" spans="1:11" x14ac:dyDescent="0.2">
      <c r="A1935" t="s">
        <v>2443</v>
      </c>
      <c r="B1935" t="s">
        <v>7138</v>
      </c>
      <c r="G1935" s="5" t="str">
        <f t="shared" si="130"/>
        <v/>
      </c>
      <c r="I1935" s="6" t="str">
        <f t="shared" si="131"/>
        <v>0</v>
      </c>
    </row>
    <row r="1936" spans="1:11" x14ac:dyDescent="0.2">
      <c r="A1936" t="s">
        <v>2444</v>
      </c>
      <c r="B1936" t="s">
        <v>7139</v>
      </c>
      <c r="G1936" s="5" t="str">
        <f t="shared" si="130"/>
        <v/>
      </c>
      <c r="I1936" s="6" t="str">
        <f t="shared" si="131"/>
        <v>0</v>
      </c>
    </row>
    <row r="1937" spans="1:11" x14ac:dyDescent="0.2">
      <c r="A1937" t="s">
        <v>2445</v>
      </c>
      <c r="B1937" t="s">
        <v>7140</v>
      </c>
      <c r="G1937" s="5" t="str">
        <f t="shared" si="130"/>
        <v/>
      </c>
      <c r="I1937" s="6" t="str">
        <f t="shared" si="131"/>
        <v>0</v>
      </c>
    </row>
    <row r="1938" spans="1:11" x14ac:dyDescent="0.2">
      <c r="A1938" t="s">
        <v>2446</v>
      </c>
      <c r="B1938" t="s">
        <v>7141</v>
      </c>
      <c r="G1938" s="5" t="str">
        <f t="shared" si="130"/>
        <v/>
      </c>
      <c r="I1938" s="6" t="str">
        <f t="shared" si="131"/>
        <v>0</v>
      </c>
    </row>
    <row r="1939" spans="1:11" x14ac:dyDescent="0.2">
      <c r="A1939" t="s">
        <v>2448</v>
      </c>
      <c r="B1939" t="s">
        <v>7142</v>
      </c>
      <c r="G1939" s="5" t="str">
        <f t="shared" si="130"/>
        <v/>
      </c>
      <c r="I1939" s="6" t="str">
        <f t="shared" si="131"/>
        <v>0</v>
      </c>
    </row>
    <row r="1940" spans="1:11" x14ac:dyDescent="0.2">
      <c r="A1940" t="s">
        <v>2449</v>
      </c>
      <c r="B1940" t="s">
        <v>7143</v>
      </c>
      <c r="G1940" s="5" t="str">
        <f t="shared" si="130"/>
        <v/>
      </c>
      <c r="I1940" s="6" t="str">
        <f t="shared" si="131"/>
        <v>0</v>
      </c>
    </row>
    <row r="1941" spans="1:11" x14ac:dyDescent="0.2">
      <c r="A1941" t="s">
        <v>2450</v>
      </c>
      <c r="B1941" t="s">
        <v>7144</v>
      </c>
      <c r="G1941" s="5" t="str">
        <f t="shared" si="130"/>
        <v/>
      </c>
      <c r="I1941" s="6" t="str">
        <f t="shared" si="131"/>
        <v>0</v>
      </c>
    </row>
    <row r="1942" spans="1:11" x14ac:dyDescent="0.2">
      <c r="A1942" t="s">
        <v>2451</v>
      </c>
      <c r="B1942" t="s">
        <v>7145</v>
      </c>
      <c r="G1942" s="5" t="str">
        <f t="shared" si="130"/>
        <v/>
      </c>
      <c r="I1942" s="6" t="str">
        <f t="shared" si="131"/>
        <v>0</v>
      </c>
    </row>
    <row r="1943" spans="1:11" x14ac:dyDescent="0.2">
      <c r="A1943" t="s">
        <v>2453</v>
      </c>
      <c r="B1943" t="s">
        <v>7146</v>
      </c>
      <c r="G1943" s="5" t="str">
        <f t="shared" si="130"/>
        <v/>
      </c>
      <c r="I1943" s="6" t="str">
        <f t="shared" si="131"/>
        <v>0</v>
      </c>
    </row>
    <row r="1944" spans="1:11" x14ac:dyDescent="0.2">
      <c r="A1944" t="s">
        <v>2454</v>
      </c>
      <c r="B1944" t="s">
        <v>7147</v>
      </c>
      <c r="G1944" s="5" t="str">
        <f t="shared" si="130"/>
        <v/>
      </c>
      <c r="I1944" s="6" t="str">
        <f t="shared" si="131"/>
        <v>0</v>
      </c>
    </row>
    <row r="1945" spans="1:11" x14ac:dyDescent="0.2">
      <c r="A1945" t="s">
        <v>2455</v>
      </c>
      <c r="B1945" t="s">
        <v>7148</v>
      </c>
      <c r="G1945" s="5" t="str">
        <f t="shared" si="130"/>
        <v/>
      </c>
      <c r="I1945" s="6" t="str">
        <f t="shared" si="131"/>
        <v>0</v>
      </c>
    </row>
    <row r="1946" spans="1:11" x14ac:dyDescent="0.2">
      <c r="A1946" t="s">
        <v>2456</v>
      </c>
      <c r="B1946" t="s">
        <v>7149</v>
      </c>
      <c r="G1946" s="5" t="str">
        <f t="shared" si="130"/>
        <v/>
      </c>
      <c r="I1946" s="6" t="str">
        <f t="shared" si="131"/>
        <v>0</v>
      </c>
    </row>
    <row r="1947" spans="1:11" x14ac:dyDescent="0.2">
      <c r="A1947" t="s">
        <v>2457</v>
      </c>
      <c r="B1947" t="s">
        <v>7150</v>
      </c>
      <c r="G1947" s="5" t="str">
        <f t="shared" si="130"/>
        <v/>
      </c>
      <c r="I1947" s="6" t="str">
        <f t="shared" si="131"/>
        <v>0</v>
      </c>
    </row>
    <row r="1948" spans="1:11" x14ac:dyDescent="0.2">
      <c r="A1948" t="s">
        <v>2459</v>
      </c>
      <c r="B1948" t="s">
        <v>7151</v>
      </c>
      <c r="G1948" s="5" t="str">
        <f t="shared" si="130"/>
        <v/>
      </c>
      <c r="I1948" s="6" t="str">
        <f t="shared" si="131"/>
        <v>0</v>
      </c>
    </row>
    <row r="1949" spans="1:11" x14ac:dyDescent="0.2">
      <c r="A1949" t="s">
        <v>2460</v>
      </c>
      <c r="B1949" t="s">
        <v>3278</v>
      </c>
      <c r="C1949" s="5" t="s">
        <v>3109</v>
      </c>
      <c r="D1949" t="s">
        <v>4605</v>
      </c>
      <c r="E1949" t="str">
        <f t="shared" ref="E1949" si="132">IF(D1949&lt;&gt;"",C1949&amp;"/"&amp;D1949,"")</f>
        <v>gfx-data/Dungeon_BitplaneMasks.lookup</v>
      </c>
      <c r="F1949" s="5" t="s">
        <v>4606</v>
      </c>
      <c r="G1949" s="5">
        <f t="shared" si="130"/>
        <v>44256</v>
      </c>
      <c r="H1949" s="5">
        <v>16</v>
      </c>
      <c r="I1949" s="6" t="str">
        <f t="shared" si="131"/>
        <v>10</v>
      </c>
      <c r="K1949" s="19" t="s">
        <v>4607</v>
      </c>
    </row>
    <row r="1950" spans="1:11" x14ac:dyDescent="0.2">
      <c r="A1950" t="s">
        <v>2461</v>
      </c>
      <c r="B1950" t="s">
        <v>3695</v>
      </c>
      <c r="E1950" t="str">
        <f>IF(D1950&lt;&gt;"",C1950&amp;"/"&amp;D1950,"")</f>
        <v/>
      </c>
      <c r="G1950" s="5" t="str">
        <f t="shared" si="130"/>
        <v/>
      </c>
      <c r="I1950" s="6" t="str">
        <f t="shared" si="131"/>
        <v>0</v>
      </c>
      <c r="K1950" s="19" t="s">
        <v>3696</v>
      </c>
    </row>
    <row r="1951" spans="1:11" x14ac:dyDescent="0.2">
      <c r="A1951" t="s">
        <v>2462</v>
      </c>
      <c r="B1951" t="s">
        <v>3280</v>
      </c>
      <c r="G1951" s="5" t="str">
        <f t="shared" si="130"/>
        <v/>
      </c>
      <c r="I1951" s="6" t="str">
        <f t="shared" si="131"/>
        <v>0</v>
      </c>
      <c r="K1951" s="19" t="s">
        <v>4487</v>
      </c>
    </row>
    <row r="1952" spans="1:11" x14ac:dyDescent="0.2">
      <c r="A1952" t="s">
        <v>2464</v>
      </c>
      <c r="B1952" t="s">
        <v>3282</v>
      </c>
      <c r="G1952" s="5" t="str">
        <f t="shared" si="130"/>
        <v/>
      </c>
      <c r="I1952" s="6" t="str">
        <f t="shared" si="131"/>
        <v>0</v>
      </c>
      <c r="K1952" s="19" t="s">
        <v>4467</v>
      </c>
    </row>
    <row r="1953" spans="1:11" x14ac:dyDescent="0.2">
      <c r="A1953" t="s">
        <v>2466</v>
      </c>
      <c r="B1953" t="s">
        <v>3281</v>
      </c>
      <c r="G1953" s="5" t="str">
        <f t="shared" si="130"/>
        <v/>
      </c>
      <c r="I1953" s="6" t="str">
        <f t="shared" si="131"/>
        <v>0</v>
      </c>
      <c r="K1953" s="19" t="s">
        <v>4468</v>
      </c>
    </row>
    <row r="1954" spans="1:11" x14ac:dyDescent="0.2">
      <c r="A1954" t="s">
        <v>2471</v>
      </c>
      <c r="B1954" t="s">
        <v>7152</v>
      </c>
      <c r="G1954" s="5" t="str">
        <f t="shared" si="130"/>
        <v/>
      </c>
      <c r="I1954" s="6" t="str">
        <f t="shared" si="131"/>
        <v>0</v>
      </c>
    </row>
    <row r="1955" spans="1:11" x14ac:dyDescent="0.2">
      <c r="A1955" t="s">
        <v>2472</v>
      </c>
      <c r="B1955" t="s">
        <v>3703</v>
      </c>
      <c r="E1955" t="str">
        <f>IF(D1955&lt;&gt;"",C1955&amp;"/"&amp;D1955,"")</f>
        <v/>
      </c>
      <c r="G1955" s="5" t="str">
        <f t="shared" si="130"/>
        <v/>
      </c>
      <c r="I1955" s="6" t="str">
        <f t="shared" si="131"/>
        <v>0</v>
      </c>
      <c r="K1955" s="19" t="s">
        <v>3704</v>
      </c>
    </row>
    <row r="1956" spans="1:11" x14ac:dyDescent="0.2">
      <c r="A1956" t="s">
        <v>2473</v>
      </c>
      <c r="B1956" t="s">
        <v>3705</v>
      </c>
      <c r="E1956" t="str">
        <f>IF(D1956&lt;&gt;"",C1956&amp;"/"&amp;D1956,"")</f>
        <v/>
      </c>
      <c r="G1956" s="5" t="str">
        <f t="shared" si="130"/>
        <v/>
      </c>
      <c r="I1956" s="6" t="str">
        <f t="shared" si="131"/>
        <v>0</v>
      </c>
      <c r="K1956" s="19" t="s">
        <v>3706</v>
      </c>
    </row>
    <row r="1957" spans="1:11" x14ac:dyDescent="0.2">
      <c r="A1957" t="s">
        <v>2474</v>
      </c>
      <c r="B1957" t="s">
        <v>3707</v>
      </c>
      <c r="E1957" t="str">
        <f>IF(D1957&lt;&gt;"",C1957&amp;"/"&amp;D1957,"")</f>
        <v/>
      </c>
      <c r="G1957" s="5" t="str">
        <f t="shared" si="130"/>
        <v/>
      </c>
      <c r="I1957" s="6" t="str">
        <f t="shared" si="131"/>
        <v>0</v>
      </c>
      <c r="K1957" s="19" t="s">
        <v>3708</v>
      </c>
    </row>
    <row r="1958" spans="1:11" x14ac:dyDescent="0.2">
      <c r="A1958" t="s">
        <v>2475</v>
      </c>
      <c r="B1958" t="s">
        <v>3279</v>
      </c>
      <c r="G1958" s="5" t="str">
        <f t="shared" si="130"/>
        <v/>
      </c>
      <c r="I1958" s="6" t="str">
        <f t="shared" si="131"/>
        <v>0</v>
      </c>
      <c r="K1958" s="19" t="s">
        <v>4469</v>
      </c>
    </row>
    <row r="1959" spans="1:11" x14ac:dyDescent="0.2">
      <c r="A1959" t="s">
        <v>2477</v>
      </c>
      <c r="B1959" t="s">
        <v>3233</v>
      </c>
      <c r="C1959" s="5" t="s">
        <v>121</v>
      </c>
      <c r="D1959" t="s">
        <v>3060</v>
      </c>
      <c r="E1959" t="str">
        <f t="shared" ref="E1959" si="133">IF(D1959&lt;&gt;"",C1959&amp;"/"&amp;D1959,"")</f>
        <v>gfx/Main_Slots.colours</v>
      </c>
      <c r="F1959" s="5" t="s">
        <v>3232</v>
      </c>
      <c r="G1959" s="5">
        <f t="shared" si="130"/>
        <v>44672</v>
      </c>
      <c r="H1959" s="5">
        <v>32</v>
      </c>
      <c r="I1959" s="6" t="str">
        <f t="shared" si="131"/>
        <v>20</v>
      </c>
      <c r="K1959" s="19" t="s">
        <v>3683</v>
      </c>
    </row>
    <row r="1960" spans="1:11" x14ac:dyDescent="0.2">
      <c r="A1960" t="s">
        <v>2478</v>
      </c>
      <c r="B1960" t="s">
        <v>3659</v>
      </c>
      <c r="E1960" t="str">
        <f>IF(D1960&lt;&gt;"",C1960&amp;"/"&amp;D1960,"")</f>
        <v/>
      </c>
      <c r="G1960" s="5" t="str">
        <f t="shared" si="130"/>
        <v/>
      </c>
      <c r="I1960" s="6" t="str">
        <f t="shared" si="131"/>
        <v>0</v>
      </c>
      <c r="K1960" s="19" t="s">
        <v>3697</v>
      </c>
    </row>
    <row r="1961" spans="1:11" x14ac:dyDescent="0.2">
      <c r="A1961" t="s">
        <v>2479</v>
      </c>
      <c r="B1961" t="s">
        <v>3277</v>
      </c>
      <c r="C1961" s="5" t="s">
        <v>3109</v>
      </c>
      <c r="D1961" t="s">
        <v>3613</v>
      </c>
      <c r="E1961" t="str">
        <f t="shared" ref="E1961:E1962" si="134">IF(D1961&lt;&gt;"",C1961&amp;"/"&amp;D1961,"")</f>
        <v>gfx-data/Dungeon_MainWall_SpriteSelection.lookup</v>
      </c>
      <c r="F1961" s="5" t="s">
        <v>3614</v>
      </c>
      <c r="G1961" s="5">
        <f t="shared" si="130"/>
        <v>44854</v>
      </c>
      <c r="H1961" s="5">
        <v>28</v>
      </c>
      <c r="I1961" s="6" t="str">
        <f t="shared" si="131"/>
        <v>1C</v>
      </c>
      <c r="K1961" s="19" t="s">
        <v>3615</v>
      </c>
    </row>
    <row r="1962" spans="1:11" x14ac:dyDescent="0.2">
      <c r="A1962" t="s">
        <v>2480</v>
      </c>
      <c r="B1962" t="s">
        <v>3253</v>
      </c>
      <c r="C1962" s="5" t="s">
        <v>48</v>
      </c>
      <c r="D1962" t="s">
        <v>3254</v>
      </c>
      <c r="E1962" t="str">
        <f t="shared" si="134"/>
        <v>data/Door_Lock.colours</v>
      </c>
      <c r="F1962" s="5" t="s">
        <v>3255</v>
      </c>
      <c r="G1962" s="5">
        <f t="shared" si="130"/>
        <v>44882</v>
      </c>
      <c r="H1962" s="5">
        <v>8</v>
      </c>
      <c r="I1962" s="6" t="str">
        <f t="shared" si="131"/>
        <v>8</v>
      </c>
      <c r="K1962" s="19" t="s">
        <v>4471</v>
      </c>
    </row>
    <row r="1963" spans="1:11" x14ac:dyDescent="0.2">
      <c r="A1963" t="s">
        <v>2481</v>
      </c>
      <c r="B1963" t="s">
        <v>3709</v>
      </c>
      <c r="E1963" t="str">
        <f t="shared" ref="E1963:E1967" si="135">IF(D1963&lt;&gt;"",C1963&amp;"/"&amp;D1963,"")</f>
        <v/>
      </c>
      <c r="G1963" s="5" t="str">
        <f t="shared" si="130"/>
        <v/>
      </c>
      <c r="I1963" s="6" t="str">
        <f t="shared" si="131"/>
        <v>0</v>
      </c>
      <c r="K1963" s="19" t="s">
        <v>3710</v>
      </c>
    </row>
    <row r="1964" spans="1:11" x14ac:dyDescent="0.2">
      <c r="A1964" t="s">
        <v>2486</v>
      </c>
      <c r="B1964" t="s">
        <v>7153</v>
      </c>
      <c r="G1964" s="5" t="str">
        <f t="shared" si="130"/>
        <v/>
      </c>
      <c r="I1964" s="6" t="str">
        <f t="shared" si="131"/>
        <v>0</v>
      </c>
    </row>
    <row r="1965" spans="1:11" x14ac:dyDescent="0.2">
      <c r="A1965" t="s">
        <v>2490</v>
      </c>
      <c r="B1965" t="s">
        <v>7154</v>
      </c>
      <c r="G1965" s="5" t="str">
        <f t="shared" si="130"/>
        <v/>
      </c>
      <c r="I1965" s="6" t="str">
        <f t="shared" si="131"/>
        <v>0</v>
      </c>
    </row>
    <row r="1966" spans="1:11" x14ac:dyDescent="0.2">
      <c r="A1966" t="s">
        <v>2491</v>
      </c>
      <c r="B1966" t="s">
        <v>3660</v>
      </c>
      <c r="E1966" t="str">
        <f t="shared" si="135"/>
        <v/>
      </c>
      <c r="G1966" s="5" t="str">
        <f t="shared" si="130"/>
        <v/>
      </c>
      <c r="I1966" s="6" t="str">
        <f t="shared" si="131"/>
        <v>0</v>
      </c>
      <c r="K1966" s="19" t="s">
        <v>3661</v>
      </c>
    </row>
    <row r="1967" spans="1:11" x14ac:dyDescent="0.2">
      <c r="A1967" t="s">
        <v>2493</v>
      </c>
      <c r="B1967" t="s">
        <v>3662</v>
      </c>
      <c r="E1967" t="str">
        <f t="shared" si="135"/>
        <v/>
      </c>
      <c r="G1967" s="5" t="str">
        <f t="shared" si="130"/>
        <v/>
      </c>
      <c r="I1967" s="6" t="str">
        <f t="shared" si="131"/>
        <v>0</v>
      </c>
      <c r="K1967" s="19" t="s">
        <v>3663</v>
      </c>
    </row>
    <row r="1968" spans="1:11" x14ac:dyDescent="0.2">
      <c r="A1968" t="s">
        <v>2494</v>
      </c>
      <c r="B1968" t="s">
        <v>7155</v>
      </c>
      <c r="G1968" s="5" t="str">
        <f t="shared" si="130"/>
        <v/>
      </c>
      <c r="I1968" s="6" t="str">
        <f t="shared" si="131"/>
        <v>0</v>
      </c>
    </row>
    <row r="1969" spans="1:11" x14ac:dyDescent="0.2">
      <c r="A1969" t="s">
        <v>2495</v>
      </c>
      <c r="B1969" t="s">
        <v>3275</v>
      </c>
      <c r="G1969" s="5" t="str">
        <f t="shared" si="130"/>
        <v/>
      </c>
      <c r="I1969" s="6" t="str">
        <f t="shared" si="131"/>
        <v>0</v>
      </c>
      <c r="K1969" s="19" t="s">
        <v>4470</v>
      </c>
    </row>
    <row r="1970" spans="1:11" x14ac:dyDescent="0.2">
      <c r="A1970" t="s">
        <v>2496</v>
      </c>
      <c r="B1970" t="s">
        <v>3616</v>
      </c>
      <c r="C1970" s="5" t="s">
        <v>3109</v>
      </c>
      <c r="D1970" t="s">
        <v>3617</v>
      </c>
      <c r="E1970" t="str">
        <f t="shared" ref="E1970" si="136">IF(D1970&lt;&gt;"",C1970&amp;"/"&amp;D1970,"")</f>
        <v>gfx-data/Dungeon_WallComponents.lookup</v>
      </c>
      <c r="F1970" s="5" t="s">
        <v>3618</v>
      </c>
      <c r="G1970" s="5">
        <f t="shared" si="130"/>
        <v>45240</v>
      </c>
      <c r="H1970" s="5">
        <v>28</v>
      </c>
      <c r="I1970" s="6" t="str">
        <f t="shared" si="131"/>
        <v>1C</v>
      </c>
      <c r="K1970" s="19" t="s">
        <v>3619</v>
      </c>
    </row>
    <row r="1971" spans="1:11" x14ac:dyDescent="0.2">
      <c r="A1971" t="s">
        <v>2497</v>
      </c>
      <c r="B1971" t="s">
        <v>3664</v>
      </c>
      <c r="E1971" t="str">
        <f t="shared" ref="E1971:E1998" si="137">IF(D1971&lt;&gt;"",C1971&amp;"/"&amp;D1971,"")</f>
        <v/>
      </c>
      <c r="G1971" s="5" t="str">
        <f t="shared" si="130"/>
        <v/>
      </c>
      <c r="I1971" s="6" t="str">
        <f t="shared" si="131"/>
        <v>0</v>
      </c>
      <c r="K1971" s="19" t="s">
        <v>3665</v>
      </c>
    </row>
    <row r="1972" spans="1:11" x14ac:dyDescent="0.2">
      <c r="A1972" t="s">
        <v>2498</v>
      </c>
      <c r="B1972" t="s">
        <v>3666</v>
      </c>
      <c r="E1972" t="str">
        <f t="shared" si="137"/>
        <v/>
      </c>
      <c r="G1972" s="5" t="str">
        <f t="shared" si="130"/>
        <v/>
      </c>
      <c r="I1972" s="6" t="str">
        <f t="shared" si="131"/>
        <v>0</v>
      </c>
      <c r="K1972" s="19" t="s">
        <v>3667</v>
      </c>
    </row>
    <row r="1973" spans="1:11" x14ac:dyDescent="0.2">
      <c r="A1973" t="s">
        <v>2499</v>
      </c>
      <c r="B1973" t="s">
        <v>3668</v>
      </c>
      <c r="E1973" t="str">
        <f t="shared" si="137"/>
        <v/>
      </c>
      <c r="G1973" s="5" t="str">
        <f t="shared" si="130"/>
        <v/>
      </c>
      <c r="I1973" s="6" t="str">
        <f t="shared" si="131"/>
        <v>0</v>
      </c>
      <c r="K1973" s="19" t="s">
        <v>3669</v>
      </c>
    </row>
    <row r="1974" spans="1:11" x14ac:dyDescent="0.2">
      <c r="A1974" t="s">
        <v>2500</v>
      </c>
      <c r="B1974" t="s">
        <v>3246</v>
      </c>
      <c r="E1974" t="str">
        <f t="shared" si="137"/>
        <v/>
      </c>
      <c r="G1974" s="5" t="str">
        <f t="shared" si="130"/>
        <v/>
      </c>
      <c r="I1974" s="6" t="str">
        <f t="shared" si="131"/>
        <v>0</v>
      </c>
    </row>
    <row r="1975" spans="1:11" x14ac:dyDescent="0.2">
      <c r="A1975" t="s">
        <v>2501</v>
      </c>
      <c r="B1975" t="s">
        <v>3245</v>
      </c>
      <c r="E1975" t="str">
        <f t="shared" si="137"/>
        <v/>
      </c>
      <c r="G1975" s="5" t="str">
        <f t="shared" si="130"/>
        <v/>
      </c>
      <c r="I1975" s="6" t="str">
        <f t="shared" si="131"/>
        <v>0</v>
      </c>
    </row>
    <row r="1976" spans="1:11" x14ac:dyDescent="0.2">
      <c r="A1976" t="s">
        <v>2502</v>
      </c>
      <c r="B1976" t="s">
        <v>3256</v>
      </c>
      <c r="E1976" t="str">
        <f t="shared" si="137"/>
        <v/>
      </c>
      <c r="G1976" s="5" t="str">
        <f t="shared" si="130"/>
        <v/>
      </c>
      <c r="I1976" s="6" t="str">
        <f t="shared" si="131"/>
        <v>0</v>
      </c>
    </row>
    <row r="1977" spans="1:11" x14ac:dyDescent="0.2">
      <c r="A1977" t="s">
        <v>2503</v>
      </c>
      <c r="B1977" t="s">
        <v>3620</v>
      </c>
      <c r="C1977" s="5" t="s">
        <v>3109</v>
      </c>
      <c r="D1977" t="s">
        <v>3621</v>
      </c>
      <c r="E1977" t="str">
        <f t="shared" si="137"/>
        <v>gfx-data/Dungeon_WallComponent_DrawTransform.flags</v>
      </c>
      <c r="F1977" s="5" t="s">
        <v>3622</v>
      </c>
      <c r="G1977" s="5">
        <f t="shared" si="130"/>
        <v>45376</v>
      </c>
      <c r="H1977" s="5">
        <v>28</v>
      </c>
      <c r="I1977" s="6" t="str">
        <f t="shared" si="131"/>
        <v>1C</v>
      </c>
      <c r="K1977" s="19" t="s">
        <v>3623</v>
      </c>
    </row>
    <row r="1978" spans="1:11" x14ac:dyDescent="0.2">
      <c r="A1978" t="s">
        <v>2504</v>
      </c>
      <c r="B1978" t="s">
        <v>3670</v>
      </c>
      <c r="E1978" t="str">
        <f t="shared" si="137"/>
        <v/>
      </c>
      <c r="G1978" s="5" t="str">
        <f t="shared" si="130"/>
        <v/>
      </c>
      <c r="I1978" s="6" t="str">
        <f t="shared" si="131"/>
        <v>0</v>
      </c>
      <c r="K1978" s="19" t="s">
        <v>3671</v>
      </c>
    </row>
    <row r="1979" spans="1:11" x14ac:dyDescent="0.2">
      <c r="A1979" t="s">
        <v>2505</v>
      </c>
      <c r="B1979" t="s">
        <v>7156</v>
      </c>
      <c r="G1979" s="5" t="str">
        <f t="shared" si="130"/>
        <v/>
      </c>
      <c r="I1979" s="6" t="str">
        <f t="shared" si="131"/>
        <v>0</v>
      </c>
    </row>
    <row r="1980" spans="1:11" x14ac:dyDescent="0.2">
      <c r="A1980" t="s">
        <v>2506</v>
      </c>
      <c r="B1980" t="s">
        <v>7157</v>
      </c>
      <c r="G1980" s="5" t="str">
        <f t="shared" si="130"/>
        <v/>
      </c>
      <c r="I1980" s="6" t="str">
        <f t="shared" si="131"/>
        <v>0</v>
      </c>
    </row>
    <row r="1981" spans="1:11" x14ac:dyDescent="0.2">
      <c r="A1981" t="s">
        <v>2507</v>
      </c>
      <c r="B1981" t="s">
        <v>7158</v>
      </c>
      <c r="G1981" s="5" t="str">
        <f t="shared" si="130"/>
        <v/>
      </c>
      <c r="I1981" s="6" t="str">
        <f t="shared" si="131"/>
        <v>0</v>
      </c>
    </row>
    <row r="1982" spans="1:11" x14ac:dyDescent="0.2">
      <c r="A1982" t="s">
        <v>2508</v>
      </c>
      <c r="B1982" t="s">
        <v>7159</v>
      </c>
      <c r="G1982" s="5" t="str">
        <f t="shared" si="130"/>
        <v/>
      </c>
      <c r="I1982" s="6" t="str">
        <f t="shared" si="131"/>
        <v>0</v>
      </c>
    </row>
    <row r="1983" spans="1:11" x14ac:dyDescent="0.2">
      <c r="A1983" t="s">
        <v>2509</v>
      </c>
      <c r="B1983" t="s">
        <v>3624</v>
      </c>
      <c r="C1983" s="5" t="s">
        <v>3109</v>
      </c>
      <c r="D1983" t="s">
        <v>3625</v>
      </c>
      <c r="E1983" t="str">
        <f t="shared" ref="E1983" si="138">IF(D1983&lt;&gt;"",C1983&amp;"/"&amp;D1983,"")</f>
        <v>gfx-data/Dungeon_WallComponent_PerspectiveTrim.lookup</v>
      </c>
      <c r="F1983" s="5" t="s">
        <v>3626</v>
      </c>
      <c r="G1983" s="5">
        <f t="shared" si="130"/>
        <v>45524</v>
      </c>
      <c r="H1983" s="5">
        <v>8</v>
      </c>
      <c r="I1983" s="6" t="str">
        <f t="shared" si="131"/>
        <v>8</v>
      </c>
      <c r="K1983" s="19" t="s">
        <v>3627</v>
      </c>
    </row>
    <row r="1984" spans="1:11" x14ac:dyDescent="0.2">
      <c r="A1984" t="s">
        <v>2510</v>
      </c>
      <c r="B1984" t="s">
        <v>3672</v>
      </c>
      <c r="E1984" t="str">
        <f t="shared" si="137"/>
        <v/>
      </c>
      <c r="G1984" s="5" t="str">
        <f t="shared" si="130"/>
        <v/>
      </c>
      <c r="I1984" s="6" t="str">
        <f t="shared" si="131"/>
        <v>0</v>
      </c>
      <c r="K1984" s="19" t="s">
        <v>3673</v>
      </c>
    </row>
    <row r="1985" spans="1:11" x14ac:dyDescent="0.2">
      <c r="A1985" t="s">
        <v>2511</v>
      </c>
      <c r="B1985" t="s">
        <v>7160</v>
      </c>
      <c r="G1985" s="5" t="str">
        <f t="shared" ref="G1985:G2048" si="139">IF(F1985&lt;&gt;"",HEX2DEC(SUBSTITUTE(SUBSTITUTE(F1985,"adrEA",""),"$","")),"")</f>
        <v/>
      </c>
      <c r="I1985" s="6" t="str">
        <f t="shared" ref="I1985:I2048" si="140">IFERROR(DEC2HEX(H1985),"")</f>
        <v>0</v>
      </c>
    </row>
    <row r="1986" spans="1:11" x14ac:dyDescent="0.2">
      <c r="A1986" t="s">
        <v>2514</v>
      </c>
      <c r="B1986" t="s">
        <v>7161</v>
      </c>
      <c r="G1986" s="5" t="str">
        <f t="shared" si="139"/>
        <v/>
      </c>
      <c r="I1986" s="6" t="str">
        <f t="shared" si="140"/>
        <v>0</v>
      </c>
    </row>
    <row r="1987" spans="1:11" x14ac:dyDescent="0.2">
      <c r="A1987" t="s">
        <v>2516</v>
      </c>
      <c r="B1987" t="s">
        <v>7162</v>
      </c>
      <c r="G1987" s="5" t="str">
        <f t="shared" si="139"/>
        <v/>
      </c>
      <c r="I1987" s="6" t="str">
        <f t="shared" si="140"/>
        <v>0</v>
      </c>
    </row>
    <row r="1988" spans="1:11" x14ac:dyDescent="0.2">
      <c r="A1988" t="s">
        <v>2517</v>
      </c>
      <c r="B1988" t="s">
        <v>7163</v>
      </c>
      <c r="G1988" s="5" t="str">
        <f t="shared" si="139"/>
        <v/>
      </c>
      <c r="I1988" s="6" t="str">
        <f t="shared" si="140"/>
        <v>0</v>
      </c>
    </row>
    <row r="1989" spans="1:11" x14ac:dyDescent="0.2">
      <c r="A1989" t="s">
        <v>2518</v>
      </c>
      <c r="B1989" t="s">
        <v>3628</v>
      </c>
      <c r="C1989" s="5" t="s">
        <v>3109</v>
      </c>
      <c r="D1989" t="s">
        <v>3629</v>
      </c>
      <c r="E1989" t="str">
        <f t="shared" ref="E1989" si="141">IF(D1989&lt;&gt;"",C1989&amp;"/"&amp;D1989,"")</f>
        <v>gfx-data/Dungeon_MainWall_DrawTransform.flags</v>
      </c>
      <c r="F1989" s="5" t="s">
        <v>3630</v>
      </c>
      <c r="G1989" s="5">
        <f t="shared" si="139"/>
        <v>45766</v>
      </c>
      <c r="H1989" s="5">
        <v>28</v>
      </c>
      <c r="I1989" s="6" t="str">
        <f t="shared" si="140"/>
        <v>1C</v>
      </c>
      <c r="K1989" s="19" t="s">
        <v>3631</v>
      </c>
    </row>
    <row r="1990" spans="1:11" x14ac:dyDescent="0.2">
      <c r="A1990" t="s">
        <v>2519</v>
      </c>
      <c r="B1990" t="s">
        <v>3674</v>
      </c>
      <c r="E1990" t="str">
        <f t="shared" si="137"/>
        <v/>
      </c>
      <c r="G1990" s="5" t="str">
        <f t="shared" si="139"/>
        <v/>
      </c>
      <c r="I1990" s="6" t="str">
        <f t="shared" si="140"/>
        <v>0</v>
      </c>
      <c r="K1990" s="19" t="s">
        <v>3675</v>
      </c>
    </row>
    <row r="1991" spans="1:11" x14ac:dyDescent="0.2">
      <c r="A1991" t="s">
        <v>2520</v>
      </c>
      <c r="B1991" t="s">
        <v>7164</v>
      </c>
      <c r="G1991" s="5" t="str">
        <f t="shared" si="139"/>
        <v/>
      </c>
      <c r="I1991" s="6" t="str">
        <f t="shared" si="140"/>
        <v>0</v>
      </c>
    </row>
    <row r="1992" spans="1:11" x14ac:dyDescent="0.2">
      <c r="A1992" t="s">
        <v>2521</v>
      </c>
      <c r="B1992" t="s">
        <v>7165</v>
      </c>
      <c r="G1992" s="5" t="str">
        <f t="shared" si="139"/>
        <v/>
      </c>
      <c r="I1992" s="6" t="str">
        <f t="shared" si="140"/>
        <v>0</v>
      </c>
    </row>
    <row r="1993" spans="1:11" x14ac:dyDescent="0.2">
      <c r="A1993" t="s">
        <v>2522</v>
      </c>
      <c r="B1993" t="s">
        <v>7166</v>
      </c>
      <c r="G1993" s="5" t="str">
        <f t="shared" si="139"/>
        <v/>
      </c>
      <c r="I1993" s="6" t="str">
        <f t="shared" si="140"/>
        <v>0</v>
      </c>
    </row>
    <row r="1994" spans="1:11" x14ac:dyDescent="0.2">
      <c r="A1994" t="s">
        <v>2523</v>
      </c>
      <c r="B1994" t="s">
        <v>7167</v>
      </c>
      <c r="G1994" s="5" t="str">
        <f t="shared" si="139"/>
        <v/>
      </c>
      <c r="I1994" s="6" t="str">
        <f t="shared" si="140"/>
        <v>0</v>
      </c>
    </row>
    <row r="1995" spans="1:11" x14ac:dyDescent="0.2">
      <c r="A1995" t="s">
        <v>2524</v>
      </c>
      <c r="B1995" t="s">
        <v>3632</v>
      </c>
      <c r="C1995" s="5" t="s">
        <v>3109</v>
      </c>
      <c r="D1995" t="s">
        <v>3633</v>
      </c>
      <c r="E1995" t="str">
        <f t="shared" ref="E1995" si="142">IF(D1995&lt;&gt;"",C1995&amp;"/"&amp;D1995,"")</f>
        <v>gfx-data/Dungeon_MainWall_PerspectiveTrim.lookup</v>
      </c>
      <c r="F1995" s="5" t="s">
        <v>3634</v>
      </c>
      <c r="G1995" s="5">
        <f t="shared" si="139"/>
        <v>45934</v>
      </c>
      <c r="H1995" s="5">
        <v>8</v>
      </c>
      <c r="I1995" s="6" t="str">
        <f t="shared" si="140"/>
        <v>8</v>
      </c>
      <c r="K1995" s="19" t="s">
        <v>3635</v>
      </c>
    </row>
    <row r="1996" spans="1:11" x14ac:dyDescent="0.2">
      <c r="A1996" t="s">
        <v>2525</v>
      </c>
      <c r="B1996" t="s">
        <v>3676</v>
      </c>
      <c r="E1996" t="str">
        <f t="shared" si="137"/>
        <v/>
      </c>
      <c r="G1996" s="5" t="str">
        <f t="shared" si="139"/>
        <v/>
      </c>
      <c r="I1996" s="6" t="str">
        <f t="shared" si="140"/>
        <v>0</v>
      </c>
      <c r="K1996" s="19" t="s">
        <v>3677</v>
      </c>
    </row>
    <row r="1997" spans="1:11" x14ac:dyDescent="0.2">
      <c r="A1997" t="s">
        <v>2526</v>
      </c>
      <c r="B1997" t="s">
        <v>7168</v>
      </c>
      <c r="G1997" s="5" t="str">
        <f t="shared" si="139"/>
        <v/>
      </c>
      <c r="I1997" s="6" t="str">
        <f t="shared" si="140"/>
        <v>0</v>
      </c>
    </row>
    <row r="1998" spans="1:11" x14ac:dyDescent="0.2">
      <c r="A1998" t="s">
        <v>2527</v>
      </c>
      <c r="B1998" t="s">
        <v>3678</v>
      </c>
      <c r="E1998" t="str">
        <f t="shared" si="137"/>
        <v/>
      </c>
      <c r="G1998" s="5" t="str">
        <f t="shared" si="139"/>
        <v/>
      </c>
      <c r="I1998" s="6" t="str">
        <f t="shared" si="140"/>
        <v>0</v>
      </c>
      <c r="K1998" s="19" t="s">
        <v>3679</v>
      </c>
    </row>
    <row r="1999" spans="1:11" x14ac:dyDescent="0.2">
      <c r="A1999" t="s">
        <v>2530</v>
      </c>
      <c r="B1999" t="s">
        <v>7169</v>
      </c>
      <c r="G1999" s="5" t="str">
        <f t="shared" si="139"/>
        <v/>
      </c>
      <c r="I1999" s="6" t="str">
        <f t="shared" si="140"/>
        <v>0</v>
      </c>
    </row>
    <row r="2000" spans="1:11" x14ac:dyDescent="0.2">
      <c r="A2000" t="s">
        <v>2531</v>
      </c>
      <c r="B2000" t="s">
        <v>7170</v>
      </c>
      <c r="G2000" s="5" t="str">
        <f t="shared" si="139"/>
        <v/>
      </c>
      <c r="I2000" s="6" t="str">
        <f t="shared" si="140"/>
        <v>0</v>
      </c>
    </row>
    <row r="2001" spans="1:11" x14ac:dyDescent="0.2">
      <c r="A2001" t="s">
        <v>2534</v>
      </c>
      <c r="B2001" t="s">
        <v>7171</v>
      </c>
      <c r="G2001" s="5" t="str">
        <f t="shared" si="139"/>
        <v/>
      </c>
      <c r="I2001" s="6" t="str">
        <f t="shared" si="140"/>
        <v>0</v>
      </c>
    </row>
    <row r="2002" spans="1:11" x14ac:dyDescent="0.2">
      <c r="A2002" t="s">
        <v>2536</v>
      </c>
      <c r="B2002" t="s">
        <v>7172</v>
      </c>
      <c r="G2002" s="5" t="str">
        <f t="shared" si="139"/>
        <v/>
      </c>
      <c r="I2002" s="6" t="str">
        <f t="shared" si="140"/>
        <v>0</v>
      </c>
    </row>
    <row r="2003" spans="1:11" x14ac:dyDescent="0.2">
      <c r="A2003" t="s">
        <v>2539</v>
      </c>
      <c r="B2003" t="s">
        <v>7173</v>
      </c>
      <c r="G2003" s="5" t="str">
        <f t="shared" si="139"/>
        <v/>
      </c>
      <c r="I2003" s="6" t="str">
        <f t="shared" si="140"/>
        <v>0</v>
      </c>
    </row>
    <row r="2004" spans="1:11" x14ac:dyDescent="0.2">
      <c r="A2004" t="s">
        <v>1897</v>
      </c>
      <c r="B2004" t="s">
        <v>5053</v>
      </c>
      <c r="C2004" s="5" t="s">
        <v>7</v>
      </c>
      <c r="F2004" s="5" t="s">
        <v>5054</v>
      </c>
      <c r="G2004" s="5">
        <f t="shared" si="139"/>
        <v>32518</v>
      </c>
      <c r="I2004" s="6" t="str">
        <f t="shared" si="140"/>
        <v>0</v>
      </c>
      <c r="K2004" s="19" t="s">
        <v>5055</v>
      </c>
    </row>
    <row r="2005" spans="1:11" x14ac:dyDescent="0.2">
      <c r="A2005" t="s">
        <v>2540</v>
      </c>
      <c r="B2005" t="s">
        <v>3636</v>
      </c>
      <c r="C2005" s="5" t="s">
        <v>3109</v>
      </c>
      <c r="D2005" t="s">
        <v>3637</v>
      </c>
      <c r="E2005" t="str">
        <f t="shared" ref="E2005:E2007" si="143">IF(D2005&lt;&gt;"",C2005&amp;"/"&amp;D2005,"")</f>
        <v>gfx-data/Dungeon_ViewCell_RelativeCoordinates.positions</v>
      </c>
      <c r="F2005" s="5" t="s">
        <v>3711</v>
      </c>
      <c r="G2005" s="5">
        <f t="shared" si="139"/>
        <v>46378</v>
      </c>
      <c r="H2005" s="5">
        <v>152</v>
      </c>
      <c r="I2005" s="6" t="str">
        <f t="shared" si="140"/>
        <v>98</v>
      </c>
      <c r="J2005" s="6" t="s">
        <v>3409</v>
      </c>
      <c r="K2005" s="19" t="s">
        <v>3638</v>
      </c>
    </row>
    <row r="2006" spans="1:11" x14ac:dyDescent="0.2">
      <c r="A2006" t="s">
        <v>2540</v>
      </c>
      <c r="B2006" t="s">
        <v>3639</v>
      </c>
      <c r="C2006" s="5" t="s">
        <v>3109</v>
      </c>
      <c r="D2006" t="s">
        <v>3640</v>
      </c>
      <c r="E2006" t="str">
        <f t="shared" si="143"/>
        <v>gfx-data/Dungeon_ViewCell_Occlusion.flags</v>
      </c>
      <c r="F2006" s="5" t="s">
        <v>3712</v>
      </c>
      <c r="G2006" s="5">
        <f t="shared" si="139"/>
        <v>46530</v>
      </c>
      <c r="H2006" s="5">
        <v>76</v>
      </c>
      <c r="I2006" s="6" t="str">
        <f t="shared" si="140"/>
        <v>4C</v>
      </c>
      <c r="J2006" s="6" t="s">
        <v>3414</v>
      </c>
    </row>
    <row r="2007" spans="1:11" x14ac:dyDescent="0.2">
      <c r="A2007" t="s">
        <v>2540</v>
      </c>
      <c r="B2007" t="s">
        <v>3641</v>
      </c>
      <c r="C2007" s="5" t="s">
        <v>3109</v>
      </c>
      <c r="D2007" t="s">
        <v>3642</v>
      </c>
      <c r="E2007" t="str">
        <f t="shared" si="143"/>
        <v>gfx-data/Dungeon_ViewCell_VisibleFaces.flags</v>
      </c>
      <c r="F2007" s="5" t="s">
        <v>3713</v>
      </c>
      <c r="G2007" s="5">
        <f t="shared" si="139"/>
        <v>46606</v>
      </c>
      <c r="H2007" s="5">
        <v>76</v>
      </c>
      <c r="I2007" s="6" t="str">
        <f t="shared" si="140"/>
        <v>4C</v>
      </c>
      <c r="J2007" s="6" t="s">
        <v>3414</v>
      </c>
    </row>
    <row r="2008" spans="1:11" x14ac:dyDescent="0.2">
      <c r="A2008" t="s">
        <v>2541</v>
      </c>
      <c r="B2008" t="s">
        <v>3684</v>
      </c>
      <c r="E2008" t="str">
        <f t="shared" ref="E2008:E2011" si="144">IF(D2008&lt;&gt;"",C2008&amp;"/"&amp;D2008,"")</f>
        <v/>
      </c>
      <c r="G2008" s="5" t="str">
        <f t="shared" si="139"/>
        <v/>
      </c>
      <c r="I2008" s="6" t="str">
        <f t="shared" si="140"/>
        <v>0</v>
      </c>
    </row>
    <row r="2009" spans="1:11" x14ac:dyDescent="0.2">
      <c r="A2009" t="s">
        <v>2542</v>
      </c>
      <c r="B2009" t="s">
        <v>3685</v>
      </c>
      <c r="E2009" t="str">
        <f t="shared" si="144"/>
        <v/>
      </c>
      <c r="G2009" s="5" t="str">
        <f t="shared" si="139"/>
        <v/>
      </c>
      <c r="I2009" s="6" t="str">
        <f t="shared" si="140"/>
        <v>0</v>
      </c>
    </row>
    <row r="2010" spans="1:11" x14ac:dyDescent="0.2">
      <c r="A2010" t="s">
        <v>2543</v>
      </c>
      <c r="B2010" t="s">
        <v>3643</v>
      </c>
      <c r="C2010" s="5" t="s">
        <v>3109</v>
      </c>
      <c r="D2010" t="s">
        <v>3644</v>
      </c>
      <c r="E2010" t="str">
        <f t="shared" si="144"/>
        <v>gfx-data/Dungeon_ViewCell_CentredSlots.lookup</v>
      </c>
      <c r="F2010" s="5" t="s">
        <v>3645</v>
      </c>
      <c r="G2010" s="5">
        <f t="shared" si="139"/>
        <v>46682</v>
      </c>
      <c r="H2010" s="5">
        <v>20</v>
      </c>
      <c r="I2010" s="6" t="str">
        <f t="shared" si="140"/>
        <v>14</v>
      </c>
      <c r="K2010" s="19" t="s">
        <v>3646</v>
      </c>
    </row>
    <row r="2011" spans="1:11" x14ac:dyDescent="0.2">
      <c r="A2011" t="s">
        <v>2544</v>
      </c>
      <c r="B2011" t="s">
        <v>3647</v>
      </c>
      <c r="C2011" s="5" t="s">
        <v>3109</v>
      </c>
      <c r="D2011" t="s">
        <v>3648</v>
      </c>
      <c r="E2011" t="str">
        <f t="shared" si="144"/>
        <v>gfx-data/Dungeon_ViewCell_WallFaces.lookup</v>
      </c>
      <c r="F2011" s="5" t="s">
        <v>3649</v>
      </c>
      <c r="G2011" s="5">
        <f t="shared" si="139"/>
        <v>46702</v>
      </c>
      <c r="H2011" s="5">
        <v>76</v>
      </c>
      <c r="I2011" s="6" t="str">
        <f t="shared" si="140"/>
        <v>4C</v>
      </c>
      <c r="K2011" s="19" t="s">
        <v>3650</v>
      </c>
    </row>
    <row r="2012" spans="1:11" x14ac:dyDescent="0.2">
      <c r="A2012" t="s">
        <v>2545</v>
      </c>
      <c r="B2012" t="s">
        <v>5411</v>
      </c>
      <c r="G2012" s="5" t="str">
        <f t="shared" si="139"/>
        <v/>
      </c>
      <c r="I2012" s="6" t="str">
        <f t="shared" si="140"/>
        <v>0</v>
      </c>
      <c r="K2012" s="19" t="s">
        <v>5412</v>
      </c>
    </row>
    <row r="2013" spans="1:11" x14ac:dyDescent="0.2">
      <c r="A2013" t="s">
        <v>2546</v>
      </c>
      <c r="B2013" t="s">
        <v>7174</v>
      </c>
      <c r="G2013" s="5" t="str">
        <f t="shared" si="139"/>
        <v/>
      </c>
      <c r="I2013" s="6" t="str">
        <f t="shared" si="140"/>
        <v>0</v>
      </c>
    </row>
    <row r="2014" spans="1:11" x14ac:dyDescent="0.2">
      <c r="A2014" t="s">
        <v>2547</v>
      </c>
      <c r="B2014" t="s">
        <v>5652</v>
      </c>
      <c r="G2014" s="5" t="str">
        <f t="shared" si="139"/>
        <v/>
      </c>
      <c r="I2014" s="6" t="str">
        <f t="shared" si="140"/>
        <v>0</v>
      </c>
      <c r="K2014" s="19" t="s">
        <v>5653</v>
      </c>
    </row>
    <row r="2015" spans="1:11" x14ac:dyDescent="0.2">
      <c r="A2015" t="s">
        <v>2548</v>
      </c>
      <c r="B2015" t="s">
        <v>7175</v>
      </c>
      <c r="G2015" s="5" t="str">
        <f t="shared" si="139"/>
        <v/>
      </c>
      <c r="I2015" s="6" t="str">
        <f t="shared" si="140"/>
        <v>0</v>
      </c>
      <c r="K2015" s="19" t="s">
        <v>6333</v>
      </c>
    </row>
    <row r="2016" spans="1:11" x14ac:dyDescent="0.2">
      <c r="A2016" t="s">
        <v>2549</v>
      </c>
      <c r="B2016" t="s">
        <v>7176</v>
      </c>
      <c r="G2016" s="5" t="str">
        <f t="shared" si="139"/>
        <v/>
      </c>
      <c r="I2016" s="6" t="str">
        <f t="shared" si="140"/>
        <v>0</v>
      </c>
    </row>
    <row r="2017" spans="1:11" x14ac:dyDescent="0.2">
      <c r="A2017" t="s">
        <v>2550</v>
      </c>
      <c r="B2017" t="s">
        <v>5016</v>
      </c>
      <c r="C2017" s="5" t="s">
        <v>7</v>
      </c>
      <c r="F2017" s="5" t="s">
        <v>5017</v>
      </c>
      <c r="G2017" s="5">
        <f t="shared" si="139"/>
        <v>48438</v>
      </c>
      <c r="I2017" s="6" t="str">
        <f t="shared" si="140"/>
        <v>0</v>
      </c>
      <c r="K2017" s="19" t="s">
        <v>5018</v>
      </c>
    </row>
    <row r="2018" spans="1:11" x14ac:dyDescent="0.2">
      <c r="A2018" t="s">
        <v>2551</v>
      </c>
      <c r="B2018" t="s">
        <v>7177</v>
      </c>
      <c r="G2018" s="5" t="str">
        <f t="shared" si="139"/>
        <v/>
      </c>
      <c r="I2018" s="6" t="str">
        <f t="shared" si="140"/>
        <v>0</v>
      </c>
    </row>
    <row r="2019" spans="1:11" x14ac:dyDescent="0.2">
      <c r="A2019" t="s">
        <v>2552</v>
      </c>
      <c r="B2019" t="s">
        <v>2553</v>
      </c>
      <c r="G2019" s="5" t="str">
        <f t="shared" si="139"/>
        <v/>
      </c>
      <c r="I2019" s="6" t="str">
        <f t="shared" si="140"/>
        <v>0</v>
      </c>
      <c r="K2019" s="19" t="s">
        <v>6334</v>
      </c>
    </row>
    <row r="2020" spans="1:11" x14ac:dyDescent="0.2">
      <c r="A2020" t="s">
        <v>2554</v>
      </c>
      <c r="B2020" t="s">
        <v>7178</v>
      </c>
      <c r="G2020" s="5" t="str">
        <f t="shared" si="139"/>
        <v/>
      </c>
      <c r="I2020" s="6" t="str">
        <f t="shared" si="140"/>
        <v>0</v>
      </c>
    </row>
    <row r="2021" spans="1:11" x14ac:dyDescent="0.2">
      <c r="A2021" t="s">
        <v>2555</v>
      </c>
      <c r="B2021" t="s">
        <v>7179</v>
      </c>
      <c r="G2021" s="5" t="str">
        <f t="shared" si="139"/>
        <v/>
      </c>
      <c r="I2021" s="6" t="str">
        <f t="shared" si="140"/>
        <v>0</v>
      </c>
    </row>
    <row r="2022" spans="1:11" x14ac:dyDescent="0.2">
      <c r="A2022" t="s">
        <v>2556</v>
      </c>
      <c r="B2022" t="s">
        <v>7180</v>
      </c>
      <c r="G2022" s="5" t="str">
        <f t="shared" si="139"/>
        <v/>
      </c>
      <c r="I2022" s="6" t="str">
        <f t="shared" si="140"/>
        <v>0</v>
      </c>
    </row>
    <row r="2023" spans="1:11" x14ac:dyDescent="0.2">
      <c r="A2023" t="s">
        <v>2557</v>
      </c>
      <c r="B2023" t="s">
        <v>2558</v>
      </c>
      <c r="E2023" t="str">
        <f t="shared" ref="E2023:E2027" si="145">IF(D2023&lt;&gt;"",C2023&amp;"/"&amp;D2023,"")</f>
        <v/>
      </c>
      <c r="G2023" s="5" t="str">
        <f t="shared" si="139"/>
        <v/>
      </c>
      <c r="I2023" s="6" t="str">
        <f t="shared" si="140"/>
        <v>0</v>
      </c>
    </row>
    <row r="2024" spans="1:11" x14ac:dyDescent="0.2">
      <c r="A2024" t="s">
        <v>2559</v>
      </c>
      <c r="B2024" t="s">
        <v>5654</v>
      </c>
      <c r="G2024" s="5" t="str">
        <f t="shared" si="139"/>
        <v/>
      </c>
      <c r="I2024" s="6" t="str">
        <f t="shared" si="140"/>
        <v>0</v>
      </c>
      <c r="K2024" s="19" t="s">
        <v>7291</v>
      </c>
    </row>
    <row r="2025" spans="1:11" x14ac:dyDescent="0.2">
      <c r="A2025" t="s">
        <v>2561</v>
      </c>
      <c r="B2025" t="s">
        <v>7181</v>
      </c>
      <c r="G2025" s="5" t="str">
        <f t="shared" si="139"/>
        <v/>
      </c>
      <c r="I2025" s="6" t="str">
        <f t="shared" si="140"/>
        <v>0</v>
      </c>
    </row>
    <row r="2026" spans="1:11" x14ac:dyDescent="0.2">
      <c r="A2026" t="s">
        <v>2564</v>
      </c>
      <c r="B2026" t="s">
        <v>2565</v>
      </c>
      <c r="E2026" t="str">
        <f t="shared" si="145"/>
        <v/>
      </c>
      <c r="G2026" s="5" t="str">
        <f t="shared" si="139"/>
        <v/>
      </c>
      <c r="I2026" s="6" t="str">
        <f t="shared" si="140"/>
        <v>0</v>
      </c>
    </row>
    <row r="2027" spans="1:11" x14ac:dyDescent="0.2">
      <c r="A2027" t="s">
        <v>2566</v>
      </c>
      <c r="B2027" t="s">
        <v>2567</v>
      </c>
      <c r="E2027" t="str">
        <f t="shared" si="145"/>
        <v/>
      </c>
      <c r="G2027" s="5" t="str">
        <f t="shared" si="139"/>
        <v/>
      </c>
      <c r="I2027" s="6" t="str">
        <f t="shared" si="140"/>
        <v>0</v>
      </c>
    </row>
    <row r="2028" spans="1:11" x14ac:dyDescent="0.2">
      <c r="A2028" t="s">
        <v>2568</v>
      </c>
      <c r="B2028" t="s">
        <v>7182</v>
      </c>
      <c r="G2028" s="5" t="str">
        <f t="shared" si="139"/>
        <v/>
      </c>
      <c r="I2028" s="6" t="str">
        <f t="shared" si="140"/>
        <v>0</v>
      </c>
    </row>
    <row r="2029" spans="1:11" x14ac:dyDescent="0.2">
      <c r="A2029" t="s">
        <v>2569</v>
      </c>
      <c r="B2029" t="s">
        <v>5105</v>
      </c>
      <c r="C2029" s="5" t="s">
        <v>7</v>
      </c>
      <c r="F2029" s="5" t="s">
        <v>5106</v>
      </c>
      <c r="G2029" s="5">
        <f t="shared" si="139"/>
        <v>48936</v>
      </c>
      <c r="I2029" s="6" t="str">
        <f t="shared" si="140"/>
        <v>0</v>
      </c>
      <c r="K2029" s="19" t="s">
        <v>5107</v>
      </c>
    </row>
    <row r="2030" spans="1:11" ht="17" x14ac:dyDescent="0.25">
      <c r="A2030" t="s">
        <v>2570</v>
      </c>
      <c r="B2030" t="s">
        <v>5108</v>
      </c>
      <c r="C2030" s="5" t="s">
        <v>7</v>
      </c>
      <c r="F2030" s="5" t="s">
        <v>5109</v>
      </c>
      <c r="G2030" s="5">
        <f t="shared" si="139"/>
        <v>48976</v>
      </c>
      <c r="I2030" s="6" t="str">
        <f t="shared" si="140"/>
        <v>0</v>
      </c>
      <c r="K2030" s="19" t="s">
        <v>5110</v>
      </c>
    </row>
    <row r="2031" spans="1:11" x14ac:dyDescent="0.2">
      <c r="A2031" t="s">
        <v>2571</v>
      </c>
      <c r="B2031" t="s">
        <v>7183</v>
      </c>
      <c r="G2031" s="5" t="str">
        <f t="shared" si="139"/>
        <v/>
      </c>
      <c r="I2031" s="6" t="str">
        <f t="shared" si="140"/>
        <v>0</v>
      </c>
    </row>
    <row r="2032" spans="1:11" x14ac:dyDescent="0.2">
      <c r="A2032" t="s">
        <v>2572</v>
      </c>
      <c r="B2032" t="s">
        <v>7184</v>
      </c>
      <c r="G2032" s="5" t="str">
        <f t="shared" si="139"/>
        <v/>
      </c>
      <c r="I2032" s="6" t="str">
        <f t="shared" si="140"/>
        <v>0</v>
      </c>
    </row>
    <row r="2033" spans="1:11" x14ac:dyDescent="0.2">
      <c r="A2033" t="s">
        <v>2573</v>
      </c>
      <c r="B2033" t="s">
        <v>2574</v>
      </c>
      <c r="E2033" t="str">
        <f>IF(D2033&lt;&gt;"",C2033&amp;"/"&amp;D2033,"")</f>
        <v/>
      </c>
      <c r="G2033" s="5" t="str">
        <f t="shared" si="139"/>
        <v/>
      </c>
      <c r="I2033" s="6" t="str">
        <f t="shared" si="140"/>
        <v>0</v>
      </c>
    </row>
    <row r="2034" spans="1:11" x14ac:dyDescent="0.2">
      <c r="A2034" t="s">
        <v>2575</v>
      </c>
      <c r="B2034" t="s">
        <v>7185</v>
      </c>
      <c r="G2034" s="5" t="str">
        <f t="shared" si="139"/>
        <v/>
      </c>
      <c r="I2034" s="6" t="str">
        <f t="shared" si="140"/>
        <v>0</v>
      </c>
    </row>
    <row r="2035" spans="1:11" x14ac:dyDescent="0.2">
      <c r="A2035" t="s">
        <v>2576</v>
      </c>
      <c r="B2035" t="s">
        <v>7186</v>
      </c>
      <c r="G2035" s="5" t="str">
        <f t="shared" si="139"/>
        <v/>
      </c>
      <c r="I2035" s="6" t="str">
        <f t="shared" si="140"/>
        <v>0</v>
      </c>
    </row>
    <row r="2036" spans="1:11" x14ac:dyDescent="0.2">
      <c r="A2036" t="s">
        <v>2577</v>
      </c>
      <c r="B2036" t="s">
        <v>5111</v>
      </c>
      <c r="C2036" s="5" t="s">
        <v>7</v>
      </c>
      <c r="F2036" s="5" t="s">
        <v>5112</v>
      </c>
      <c r="G2036" s="5">
        <f t="shared" si="139"/>
        <v>49054</v>
      </c>
      <c r="I2036" s="6" t="str">
        <f t="shared" si="140"/>
        <v>0</v>
      </c>
      <c r="K2036" s="19" t="s">
        <v>6335</v>
      </c>
    </row>
    <row r="2037" spans="1:11" x14ac:dyDescent="0.2">
      <c r="A2037" t="s">
        <v>2578</v>
      </c>
      <c r="B2037" t="s">
        <v>7187</v>
      </c>
      <c r="G2037" s="5" t="str">
        <f t="shared" si="139"/>
        <v/>
      </c>
      <c r="I2037" s="6" t="str">
        <f t="shared" si="140"/>
        <v>0</v>
      </c>
    </row>
    <row r="2038" spans="1:11" x14ac:dyDescent="0.2">
      <c r="A2038" t="s">
        <v>2579</v>
      </c>
      <c r="B2038" t="s">
        <v>7188</v>
      </c>
      <c r="G2038" s="5" t="str">
        <f t="shared" si="139"/>
        <v/>
      </c>
      <c r="I2038" s="6" t="str">
        <f t="shared" si="140"/>
        <v>0</v>
      </c>
      <c r="K2038" s="19" t="s">
        <v>6336</v>
      </c>
    </row>
    <row r="2039" spans="1:11" x14ac:dyDescent="0.2">
      <c r="A2039" t="s">
        <v>2580</v>
      </c>
      <c r="B2039" t="s">
        <v>7189</v>
      </c>
      <c r="G2039" s="5" t="str">
        <f t="shared" si="139"/>
        <v/>
      </c>
      <c r="I2039" s="6" t="str">
        <f t="shared" si="140"/>
        <v>0</v>
      </c>
    </row>
    <row r="2040" spans="1:11" x14ac:dyDescent="0.2">
      <c r="A2040" t="s">
        <v>2581</v>
      </c>
      <c r="B2040" t="s">
        <v>5113</v>
      </c>
      <c r="C2040" s="5" t="s">
        <v>7</v>
      </c>
      <c r="F2040" s="5" t="s">
        <v>5114</v>
      </c>
      <c r="G2040" s="5">
        <f t="shared" si="139"/>
        <v>49186</v>
      </c>
      <c r="I2040" s="6" t="str">
        <f t="shared" si="140"/>
        <v>0</v>
      </c>
      <c r="K2040" s="19" t="s">
        <v>5115</v>
      </c>
    </row>
    <row r="2041" spans="1:11" x14ac:dyDescent="0.2">
      <c r="A2041" t="s">
        <v>2582</v>
      </c>
      <c r="B2041" t="s">
        <v>7190</v>
      </c>
      <c r="G2041" s="5" t="str">
        <f t="shared" si="139"/>
        <v/>
      </c>
      <c r="I2041" s="6" t="str">
        <f t="shared" si="140"/>
        <v>0</v>
      </c>
    </row>
    <row r="2042" spans="1:11" x14ac:dyDescent="0.2">
      <c r="A2042" t="s">
        <v>2583</v>
      </c>
      <c r="B2042" t="s">
        <v>4908</v>
      </c>
      <c r="C2042" s="5" t="s">
        <v>7</v>
      </c>
      <c r="F2042" s="5" t="s">
        <v>4909</v>
      </c>
      <c r="G2042" s="5">
        <f t="shared" si="139"/>
        <v>49242</v>
      </c>
      <c r="I2042" s="6" t="str">
        <f t="shared" si="140"/>
        <v>0</v>
      </c>
      <c r="K2042" s="19" t="s">
        <v>4910</v>
      </c>
    </row>
    <row r="2043" spans="1:11" x14ac:dyDescent="0.2">
      <c r="A2043" t="s">
        <v>2584</v>
      </c>
      <c r="B2043" t="s">
        <v>7191</v>
      </c>
      <c r="G2043" s="5" t="str">
        <f t="shared" si="139"/>
        <v/>
      </c>
      <c r="I2043" s="6" t="str">
        <f t="shared" si="140"/>
        <v>0</v>
      </c>
    </row>
    <row r="2044" spans="1:11" x14ac:dyDescent="0.2">
      <c r="A2044" t="s">
        <v>2585</v>
      </c>
      <c r="B2044" t="s">
        <v>2586</v>
      </c>
      <c r="G2044" s="5" t="str">
        <f t="shared" si="139"/>
        <v/>
      </c>
      <c r="I2044" s="6" t="str">
        <f t="shared" si="140"/>
        <v>0</v>
      </c>
      <c r="K2044" s="19" t="s">
        <v>6337</v>
      </c>
    </row>
    <row r="2045" spans="1:11" x14ac:dyDescent="0.2">
      <c r="A2045" t="s">
        <v>2587</v>
      </c>
      <c r="B2045" t="s">
        <v>5655</v>
      </c>
      <c r="G2045" s="5" t="str">
        <f t="shared" si="139"/>
        <v/>
      </c>
      <c r="I2045" s="6" t="str">
        <f t="shared" si="140"/>
        <v>0</v>
      </c>
      <c r="K2045" s="19" t="s">
        <v>5656</v>
      </c>
    </row>
    <row r="2046" spans="1:11" x14ac:dyDescent="0.2">
      <c r="A2046" t="s">
        <v>2588</v>
      </c>
      <c r="B2046" t="s">
        <v>7192</v>
      </c>
      <c r="G2046" s="5" t="str">
        <f t="shared" si="139"/>
        <v/>
      </c>
      <c r="I2046" s="6" t="str">
        <f t="shared" si="140"/>
        <v>0</v>
      </c>
    </row>
    <row r="2047" spans="1:11" x14ac:dyDescent="0.2">
      <c r="A2047" t="s">
        <v>2589</v>
      </c>
      <c r="B2047" t="s">
        <v>5888</v>
      </c>
      <c r="G2047" s="5" t="str">
        <f t="shared" si="139"/>
        <v/>
      </c>
      <c r="I2047" s="6" t="str">
        <f t="shared" si="140"/>
        <v>0</v>
      </c>
      <c r="K2047" s="19" t="s">
        <v>5889</v>
      </c>
    </row>
    <row r="2048" spans="1:11" x14ac:dyDescent="0.2">
      <c r="A2048" t="s">
        <v>2590</v>
      </c>
      <c r="B2048" t="s">
        <v>2591</v>
      </c>
      <c r="G2048" s="5" t="str">
        <f t="shared" si="139"/>
        <v/>
      </c>
      <c r="I2048" s="6" t="str">
        <f t="shared" si="140"/>
        <v>0</v>
      </c>
      <c r="K2048" s="19" t="s">
        <v>6338</v>
      </c>
    </row>
    <row r="2049" spans="1:11" x14ac:dyDescent="0.2">
      <c r="A2049" t="s">
        <v>2592</v>
      </c>
      <c r="B2049" t="s">
        <v>7193</v>
      </c>
      <c r="G2049" s="5" t="str">
        <f t="shared" ref="G2049:G2112" si="146">IF(F2049&lt;&gt;"",HEX2DEC(SUBSTITUTE(SUBSTITUTE(F2049,"adrEA",""),"$","")),"")</f>
        <v/>
      </c>
      <c r="I2049" s="6" t="str">
        <f t="shared" ref="I2049:I2112" si="147">IFERROR(DEC2HEX(H2049),"")</f>
        <v>0</v>
      </c>
    </row>
    <row r="2050" spans="1:11" x14ac:dyDescent="0.2">
      <c r="A2050" t="s">
        <v>2593</v>
      </c>
      <c r="B2050" t="s">
        <v>7194</v>
      </c>
      <c r="G2050" s="5" t="str">
        <f t="shared" si="146"/>
        <v/>
      </c>
      <c r="I2050" s="6" t="str">
        <f t="shared" si="147"/>
        <v>0</v>
      </c>
    </row>
    <row r="2051" spans="1:11" x14ac:dyDescent="0.2">
      <c r="A2051" t="s">
        <v>2594</v>
      </c>
      <c r="B2051" t="s">
        <v>7195</v>
      </c>
      <c r="G2051" s="5" t="str">
        <f t="shared" si="146"/>
        <v/>
      </c>
      <c r="I2051" s="6" t="str">
        <f t="shared" si="147"/>
        <v>0</v>
      </c>
    </row>
    <row r="2052" spans="1:11" x14ac:dyDescent="0.2">
      <c r="A2052" t="s">
        <v>2595</v>
      </c>
      <c r="B2052" t="s">
        <v>5890</v>
      </c>
      <c r="G2052" s="5" t="str">
        <f t="shared" si="146"/>
        <v/>
      </c>
      <c r="I2052" s="6" t="str">
        <f t="shared" si="147"/>
        <v>0</v>
      </c>
      <c r="K2052" s="19" t="s">
        <v>5891</v>
      </c>
    </row>
    <row r="2053" spans="1:11" x14ac:dyDescent="0.2">
      <c r="A2053" t="s">
        <v>2596</v>
      </c>
      <c r="B2053" t="s">
        <v>2597</v>
      </c>
      <c r="E2053" t="str">
        <f t="shared" ref="E2053:E2054" si="148">IF(D2053&lt;&gt;"",C2053&amp;"/"&amp;D2053,"")</f>
        <v/>
      </c>
      <c r="G2053" s="5" t="str">
        <f t="shared" si="146"/>
        <v/>
      </c>
      <c r="I2053" s="6" t="str">
        <f t="shared" si="147"/>
        <v>0</v>
      </c>
    </row>
    <row r="2054" spans="1:11" x14ac:dyDescent="0.2">
      <c r="A2054" t="s">
        <v>2598</v>
      </c>
      <c r="B2054" t="s">
        <v>2599</v>
      </c>
      <c r="E2054" t="str">
        <f t="shared" si="148"/>
        <v/>
      </c>
      <c r="G2054" s="5" t="str">
        <f t="shared" si="146"/>
        <v/>
      </c>
      <c r="I2054" s="6" t="str">
        <f t="shared" si="147"/>
        <v>0</v>
      </c>
    </row>
    <row r="2055" spans="1:11" x14ac:dyDescent="0.2">
      <c r="A2055" t="s">
        <v>2600</v>
      </c>
      <c r="B2055" t="s">
        <v>7196</v>
      </c>
      <c r="G2055" s="5" t="str">
        <f t="shared" si="146"/>
        <v/>
      </c>
      <c r="I2055" s="6" t="str">
        <f t="shared" si="147"/>
        <v>0</v>
      </c>
    </row>
    <row r="2056" spans="1:11" x14ac:dyDescent="0.2">
      <c r="A2056" t="s">
        <v>2601</v>
      </c>
      <c r="B2056" t="s">
        <v>7197</v>
      </c>
      <c r="G2056" s="5" t="str">
        <f t="shared" si="146"/>
        <v/>
      </c>
      <c r="I2056" s="6" t="str">
        <f t="shared" si="147"/>
        <v>0</v>
      </c>
    </row>
    <row r="2057" spans="1:11" x14ac:dyDescent="0.2">
      <c r="A2057" t="s">
        <v>2602</v>
      </c>
      <c r="B2057" t="s">
        <v>7198</v>
      </c>
      <c r="G2057" s="5" t="str">
        <f t="shared" si="146"/>
        <v/>
      </c>
      <c r="I2057" s="6" t="str">
        <f t="shared" si="147"/>
        <v>0</v>
      </c>
    </row>
    <row r="2058" spans="1:11" x14ac:dyDescent="0.2">
      <c r="A2058" t="s">
        <v>2603</v>
      </c>
      <c r="B2058" t="s">
        <v>5413</v>
      </c>
      <c r="G2058" s="5" t="str">
        <f t="shared" si="146"/>
        <v/>
      </c>
      <c r="I2058" s="6" t="str">
        <f t="shared" si="147"/>
        <v>0</v>
      </c>
      <c r="K2058" s="19" t="s">
        <v>5414</v>
      </c>
    </row>
    <row r="2059" spans="1:11" x14ac:dyDescent="0.2">
      <c r="A2059" t="s">
        <v>2604</v>
      </c>
      <c r="B2059" t="s">
        <v>5657</v>
      </c>
      <c r="G2059" s="5" t="str">
        <f t="shared" si="146"/>
        <v/>
      </c>
      <c r="I2059" s="6" t="str">
        <f t="shared" si="147"/>
        <v>0</v>
      </c>
      <c r="K2059" s="19" t="s">
        <v>5658</v>
      </c>
    </row>
    <row r="2060" spans="1:11" x14ac:dyDescent="0.2">
      <c r="A2060" t="s">
        <v>2605</v>
      </c>
      <c r="B2060" t="s">
        <v>5659</v>
      </c>
      <c r="G2060" s="5" t="str">
        <f t="shared" si="146"/>
        <v/>
      </c>
      <c r="I2060" s="6" t="str">
        <f t="shared" si="147"/>
        <v>0</v>
      </c>
      <c r="K2060" s="19" t="s">
        <v>7292</v>
      </c>
    </row>
    <row r="2061" spans="1:11" x14ac:dyDescent="0.2">
      <c r="A2061" t="s">
        <v>2606</v>
      </c>
      <c r="B2061" t="s">
        <v>7199</v>
      </c>
      <c r="G2061" s="5" t="str">
        <f t="shared" si="146"/>
        <v/>
      </c>
      <c r="I2061" s="6" t="str">
        <f t="shared" si="147"/>
        <v>0</v>
      </c>
    </row>
    <row r="2062" spans="1:11" x14ac:dyDescent="0.2">
      <c r="A2062" t="s">
        <v>2607</v>
      </c>
      <c r="B2062" t="s">
        <v>5660</v>
      </c>
      <c r="G2062" s="5" t="str">
        <f t="shared" si="146"/>
        <v/>
      </c>
      <c r="I2062" s="6" t="str">
        <f t="shared" si="147"/>
        <v>0</v>
      </c>
      <c r="K2062" s="19" t="s">
        <v>7293</v>
      </c>
    </row>
    <row r="2063" spans="1:11" x14ac:dyDescent="0.2">
      <c r="A2063" t="s">
        <v>2608</v>
      </c>
      <c r="B2063" t="s">
        <v>7200</v>
      </c>
      <c r="G2063" s="5" t="str">
        <f t="shared" si="146"/>
        <v/>
      </c>
      <c r="I2063" s="6" t="str">
        <f t="shared" si="147"/>
        <v>0</v>
      </c>
    </row>
    <row r="2064" spans="1:11" x14ac:dyDescent="0.2">
      <c r="A2064" t="s">
        <v>2609</v>
      </c>
      <c r="B2064" t="s">
        <v>5116</v>
      </c>
      <c r="C2064" s="5" t="s">
        <v>7</v>
      </c>
      <c r="F2064" s="5" t="s">
        <v>5117</v>
      </c>
      <c r="G2064" s="5">
        <f t="shared" si="146"/>
        <v>49868</v>
      </c>
      <c r="I2064" s="6" t="str">
        <f t="shared" si="147"/>
        <v>0</v>
      </c>
      <c r="K2064" s="19" t="s">
        <v>7294</v>
      </c>
    </row>
    <row r="2065" spans="1:11" x14ac:dyDescent="0.2">
      <c r="A2065" t="s">
        <v>2610</v>
      </c>
      <c r="B2065" t="s">
        <v>7201</v>
      </c>
      <c r="G2065" s="5" t="str">
        <f t="shared" si="146"/>
        <v/>
      </c>
      <c r="I2065" s="6" t="str">
        <f t="shared" si="147"/>
        <v>0</v>
      </c>
    </row>
    <row r="2066" spans="1:11" x14ac:dyDescent="0.2">
      <c r="A2066" t="s">
        <v>2611</v>
      </c>
      <c r="B2066" t="s">
        <v>7202</v>
      </c>
      <c r="G2066" s="5" t="str">
        <f t="shared" si="146"/>
        <v/>
      </c>
      <c r="I2066" s="6" t="str">
        <f t="shared" si="147"/>
        <v>0</v>
      </c>
    </row>
    <row r="2067" spans="1:11" x14ac:dyDescent="0.2">
      <c r="A2067" t="s">
        <v>2612</v>
      </c>
      <c r="B2067" t="s">
        <v>7203</v>
      </c>
      <c r="G2067" s="5" t="str">
        <f t="shared" si="146"/>
        <v/>
      </c>
      <c r="I2067" s="6" t="str">
        <f t="shared" si="147"/>
        <v>0</v>
      </c>
    </row>
    <row r="2068" spans="1:11" x14ac:dyDescent="0.2">
      <c r="A2068" t="s">
        <v>2613</v>
      </c>
      <c r="B2068" t="s">
        <v>7204</v>
      </c>
      <c r="G2068" s="5" t="str">
        <f t="shared" si="146"/>
        <v/>
      </c>
      <c r="I2068" s="6" t="str">
        <f t="shared" si="147"/>
        <v>0</v>
      </c>
    </row>
    <row r="2069" spans="1:11" x14ac:dyDescent="0.2">
      <c r="A2069" t="s">
        <v>2614</v>
      </c>
      <c r="B2069" t="s">
        <v>7205</v>
      </c>
      <c r="G2069" s="5" t="str">
        <f t="shared" si="146"/>
        <v/>
      </c>
      <c r="I2069" s="6" t="str">
        <f t="shared" si="147"/>
        <v>0</v>
      </c>
    </row>
    <row r="2070" spans="1:11" x14ac:dyDescent="0.2">
      <c r="A2070" t="s">
        <v>2615</v>
      </c>
      <c r="B2070" t="s">
        <v>5661</v>
      </c>
      <c r="G2070" s="5" t="str">
        <f t="shared" si="146"/>
        <v/>
      </c>
      <c r="I2070" s="6" t="str">
        <f t="shared" si="147"/>
        <v>0</v>
      </c>
      <c r="K2070" s="19" t="s">
        <v>5662</v>
      </c>
    </row>
    <row r="2071" spans="1:11" x14ac:dyDescent="0.2">
      <c r="A2071" t="s">
        <v>2616</v>
      </c>
      <c r="B2071" t="s">
        <v>5663</v>
      </c>
      <c r="G2071" s="5" t="str">
        <f t="shared" si="146"/>
        <v/>
      </c>
      <c r="I2071" s="6" t="str">
        <f t="shared" si="147"/>
        <v>0</v>
      </c>
      <c r="K2071" s="19" t="s">
        <v>7295</v>
      </c>
    </row>
    <row r="2072" spans="1:11" x14ac:dyDescent="0.2">
      <c r="A2072" t="s">
        <v>2617</v>
      </c>
      <c r="B2072" t="s">
        <v>7206</v>
      </c>
      <c r="G2072" s="5" t="str">
        <f t="shared" si="146"/>
        <v/>
      </c>
      <c r="I2072" s="6" t="str">
        <f t="shared" si="147"/>
        <v>0</v>
      </c>
    </row>
    <row r="2073" spans="1:11" x14ac:dyDescent="0.2">
      <c r="A2073" t="s">
        <v>2618</v>
      </c>
      <c r="B2073" t="s">
        <v>7207</v>
      </c>
      <c r="G2073" s="5" t="str">
        <f t="shared" si="146"/>
        <v/>
      </c>
      <c r="I2073" s="6" t="str">
        <f t="shared" si="147"/>
        <v>0</v>
      </c>
    </row>
    <row r="2074" spans="1:11" x14ac:dyDescent="0.2">
      <c r="A2074" t="s">
        <v>2619</v>
      </c>
      <c r="B2074" t="s">
        <v>5664</v>
      </c>
      <c r="G2074" s="5" t="str">
        <f t="shared" si="146"/>
        <v/>
      </c>
      <c r="I2074" s="6" t="str">
        <f t="shared" si="147"/>
        <v>0</v>
      </c>
      <c r="K2074" s="19" t="s">
        <v>7296</v>
      </c>
    </row>
    <row r="2075" spans="1:11" x14ac:dyDescent="0.2">
      <c r="A2075" t="s">
        <v>2620</v>
      </c>
      <c r="B2075" t="s">
        <v>7208</v>
      </c>
      <c r="G2075" s="5" t="str">
        <f t="shared" si="146"/>
        <v/>
      </c>
      <c r="I2075" s="6" t="str">
        <f t="shared" si="147"/>
        <v>0</v>
      </c>
    </row>
    <row r="2076" spans="1:11" x14ac:dyDescent="0.2">
      <c r="A2076" t="s">
        <v>2621</v>
      </c>
      <c r="B2076" t="s">
        <v>7209</v>
      </c>
      <c r="G2076" s="5" t="str">
        <f t="shared" si="146"/>
        <v/>
      </c>
      <c r="I2076" s="6" t="str">
        <f t="shared" si="147"/>
        <v>0</v>
      </c>
    </row>
    <row r="2077" spans="1:11" x14ac:dyDescent="0.2">
      <c r="A2077" t="s">
        <v>2622</v>
      </c>
      <c r="B2077" t="s">
        <v>7210</v>
      </c>
      <c r="G2077" s="5" t="str">
        <f t="shared" si="146"/>
        <v/>
      </c>
      <c r="I2077" s="6" t="str">
        <f t="shared" si="147"/>
        <v>0</v>
      </c>
    </row>
    <row r="2078" spans="1:11" x14ac:dyDescent="0.2">
      <c r="A2078" t="s">
        <v>2623</v>
      </c>
      <c r="B2078" t="s">
        <v>7211</v>
      </c>
      <c r="G2078" s="5" t="str">
        <f t="shared" si="146"/>
        <v/>
      </c>
      <c r="I2078" s="6" t="str">
        <f t="shared" si="147"/>
        <v>0</v>
      </c>
    </row>
    <row r="2079" spans="1:11" x14ac:dyDescent="0.2">
      <c r="A2079" t="s">
        <v>2624</v>
      </c>
      <c r="B2079" t="s">
        <v>7212</v>
      </c>
      <c r="G2079" s="5" t="str">
        <f t="shared" si="146"/>
        <v/>
      </c>
      <c r="I2079" s="6" t="str">
        <f t="shared" si="147"/>
        <v>0</v>
      </c>
    </row>
    <row r="2080" spans="1:11" x14ac:dyDescent="0.2">
      <c r="A2080" t="s">
        <v>2625</v>
      </c>
      <c r="B2080" t="s">
        <v>7213</v>
      </c>
      <c r="G2080" s="5" t="str">
        <f t="shared" si="146"/>
        <v/>
      </c>
      <c r="I2080" s="6" t="str">
        <f t="shared" si="147"/>
        <v>0</v>
      </c>
    </row>
    <row r="2081" spans="1:11" x14ac:dyDescent="0.2">
      <c r="A2081" t="s">
        <v>2626</v>
      </c>
      <c r="B2081" t="s">
        <v>7214</v>
      </c>
      <c r="G2081" s="5" t="str">
        <f t="shared" si="146"/>
        <v/>
      </c>
      <c r="I2081" s="6" t="str">
        <f t="shared" si="147"/>
        <v>0</v>
      </c>
    </row>
    <row r="2082" spans="1:11" x14ac:dyDescent="0.2">
      <c r="A2082" t="s">
        <v>2627</v>
      </c>
      <c r="B2082" t="s">
        <v>4897</v>
      </c>
      <c r="C2082" s="5" t="s">
        <v>7</v>
      </c>
      <c r="F2082" s="5" t="s">
        <v>4898</v>
      </c>
      <c r="G2082" s="5">
        <f t="shared" si="146"/>
        <v>50244</v>
      </c>
      <c r="I2082" s="6" t="str">
        <f t="shared" si="147"/>
        <v>0</v>
      </c>
      <c r="K2082" s="19" t="s">
        <v>4899</v>
      </c>
    </row>
    <row r="2083" spans="1:11" x14ac:dyDescent="0.2">
      <c r="A2083" t="s">
        <v>2628</v>
      </c>
      <c r="B2083" t="s">
        <v>4900</v>
      </c>
      <c r="C2083" s="5" t="s">
        <v>7</v>
      </c>
      <c r="F2083" s="5" t="s">
        <v>4901</v>
      </c>
      <c r="G2083" s="5">
        <f t="shared" si="146"/>
        <v>50296</v>
      </c>
      <c r="I2083" s="6" t="str">
        <f t="shared" si="147"/>
        <v>0</v>
      </c>
      <c r="K2083" s="19" t="s">
        <v>4902</v>
      </c>
    </row>
    <row r="2084" spans="1:11" x14ac:dyDescent="0.2">
      <c r="A2084" t="s">
        <v>2629</v>
      </c>
      <c r="B2084" t="s">
        <v>4903</v>
      </c>
      <c r="C2084" s="5" t="s">
        <v>7</v>
      </c>
      <c r="F2084" s="5" t="s">
        <v>4904</v>
      </c>
      <c r="G2084" s="5">
        <f t="shared" si="146"/>
        <v>50318</v>
      </c>
      <c r="I2084" s="6" t="str">
        <f t="shared" si="147"/>
        <v>0</v>
      </c>
      <c r="K2084" s="19" t="s">
        <v>4905</v>
      </c>
    </row>
    <row r="2085" spans="1:11" x14ac:dyDescent="0.2">
      <c r="A2085" t="s">
        <v>2630</v>
      </c>
      <c r="B2085" t="s">
        <v>5665</v>
      </c>
      <c r="G2085" s="5" t="str">
        <f t="shared" si="146"/>
        <v/>
      </c>
      <c r="I2085" s="6" t="str">
        <f t="shared" si="147"/>
        <v>0</v>
      </c>
      <c r="K2085" s="19" t="s">
        <v>5666</v>
      </c>
    </row>
    <row r="2086" spans="1:11" x14ac:dyDescent="0.2">
      <c r="A2086" t="s">
        <v>2631</v>
      </c>
      <c r="B2086" t="s">
        <v>7215</v>
      </c>
      <c r="G2086" s="5" t="str">
        <f t="shared" si="146"/>
        <v/>
      </c>
      <c r="I2086" s="6" t="str">
        <f t="shared" si="147"/>
        <v>0</v>
      </c>
      <c r="K2086" s="19" t="s">
        <v>6339</v>
      </c>
    </row>
    <row r="2087" spans="1:11" x14ac:dyDescent="0.2">
      <c r="A2087" t="s">
        <v>2632</v>
      </c>
      <c r="B2087" t="s">
        <v>5667</v>
      </c>
      <c r="G2087" s="5" t="str">
        <f t="shared" si="146"/>
        <v/>
      </c>
      <c r="I2087" s="6" t="str">
        <f t="shared" si="147"/>
        <v>0</v>
      </c>
      <c r="K2087" s="19" t="s">
        <v>5668</v>
      </c>
    </row>
    <row r="2088" spans="1:11" x14ac:dyDescent="0.2">
      <c r="A2088" t="s">
        <v>2633</v>
      </c>
      <c r="B2088" t="s">
        <v>4906</v>
      </c>
      <c r="C2088" s="5" t="s">
        <v>7</v>
      </c>
      <c r="F2088" s="5" t="s">
        <v>4907</v>
      </c>
      <c r="G2088" s="5">
        <f t="shared" si="146"/>
        <v>50406</v>
      </c>
      <c r="I2088" s="6" t="str">
        <f t="shared" si="147"/>
        <v>0</v>
      </c>
      <c r="K2088" s="19" t="s">
        <v>6340</v>
      </c>
    </row>
    <row r="2089" spans="1:11" x14ac:dyDescent="0.2">
      <c r="A2089" t="s">
        <v>2634</v>
      </c>
      <c r="B2089" t="s">
        <v>7216</v>
      </c>
      <c r="G2089" s="5" t="str">
        <f t="shared" si="146"/>
        <v/>
      </c>
      <c r="I2089" s="6" t="str">
        <f t="shared" si="147"/>
        <v>0</v>
      </c>
    </row>
    <row r="2090" spans="1:11" x14ac:dyDescent="0.2">
      <c r="A2090" t="s">
        <v>2635</v>
      </c>
      <c r="B2090" t="s">
        <v>7217</v>
      </c>
      <c r="G2090" s="5" t="str">
        <f t="shared" si="146"/>
        <v/>
      </c>
      <c r="I2090" s="6" t="str">
        <f t="shared" si="147"/>
        <v>0</v>
      </c>
    </row>
    <row r="2091" spans="1:11" x14ac:dyDescent="0.2">
      <c r="A2091" t="s">
        <v>2636</v>
      </c>
      <c r="B2091" t="s">
        <v>7218</v>
      </c>
      <c r="G2091" s="5" t="str">
        <f t="shared" si="146"/>
        <v/>
      </c>
      <c r="I2091" s="6" t="str">
        <f t="shared" si="147"/>
        <v>0</v>
      </c>
    </row>
    <row r="2092" spans="1:11" x14ac:dyDescent="0.2">
      <c r="A2092" t="s">
        <v>2637</v>
      </c>
      <c r="B2092" t="s">
        <v>7219</v>
      </c>
      <c r="G2092" s="5" t="str">
        <f t="shared" si="146"/>
        <v/>
      </c>
      <c r="I2092" s="6" t="str">
        <f t="shared" si="147"/>
        <v>0</v>
      </c>
    </row>
    <row r="2093" spans="1:11" x14ac:dyDescent="0.2">
      <c r="A2093" t="s">
        <v>2638</v>
      </c>
      <c r="B2093" t="s">
        <v>7220</v>
      </c>
      <c r="G2093" s="5" t="str">
        <f t="shared" si="146"/>
        <v/>
      </c>
      <c r="I2093" s="6" t="str">
        <f t="shared" si="147"/>
        <v>0</v>
      </c>
    </row>
    <row r="2094" spans="1:11" x14ac:dyDescent="0.2">
      <c r="A2094" t="s">
        <v>2639</v>
      </c>
      <c r="B2094" t="s">
        <v>5437</v>
      </c>
      <c r="G2094" s="5" t="str">
        <f t="shared" si="146"/>
        <v/>
      </c>
      <c r="I2094" s="6" t="str">
        <f t="shared" si="147"/>
        <v>0</v>
      </c>
      <c r="K2094" s="19" t="s">
        <v>5438</v>
      </c>
    </row>
    <row r="2095" spans="1:11" x14ac:dyDescent="0.2">
      <c r="A2095" t="s">
        <v>2640</v>
      </c>
      <c r="B2095" t="s">
        <v>7221</v>
      </c>
      <c r="G2095" s="5" t="str">
        <f t="shared" si="146"/>
        <v/>
      </c>
      <c r="I2095" s="6" t="str">
        <f t="shared" si="147"/>
        <v>0</v>
      </c>
    </row>
    <row r="2096" spans="1:11" x14ac:dyDescent="0.2">
      <c r="A2096" t="s">
        <v>2641</v>
      </c>
      <c r="B2096" t="s">
        <v>5892</v>
      </c>
      <c r="G2096" s="5" t="str">
        <f t="shared" si="146"/>
        <v/>
      </c>
      <c r="I2096" s="6" t="str">
        <f t="shared" si="147"/>
        <v>0</v>
      </c>
      <c r="K2096" s="19" t="s">
        <v>5893</v>
      </c>
    </row>
    <row r="2097" spans="1:11" x14ac:dyDescent="0.2">
      <c r="A2097" t="s">
        <v>2642</v>
      </c>
      <c r="B2097" t="s">
        <v>5056</v>
      </c>
      <c r="C2097" s="5" t="s">
        <v>7</v>
      </c>
      <c r="F2097" s="5" t="s">
        <v>5057</v>
      </c>
      <c r="G2097" s="5">
        <f t="shared" si="146"/>
        <v>50612</v>
      </c>
      <c r="I2097" s="6" t="str">
        <f t="shared" si="147"/>
        <v>0</v>
      </c>
      <c r="K2097" s="19" t="s">
        <v>5058</v>
      </c>
    </row>
    <row r="2098" spans="1:11" x14ac:dyDescent="0.2">
      <c r="A2098" t="s">
        <v>2643</v>
      </c>
      <c r="B2098" t="s">
        <v>5059</v>
      </c>
      <c r="C2098" s="5" t="s">
        <v>7</v>
      </c>
      <c r="F2098" s="5" t="s">
        <v>5060</v>
      </c>
      <c r="G2098" s="5">
        <f t="shared" si="146"/>
        <v>50688</v>
      </c>
      <c r="I2098" s="6" t="str">
        <f t="shared" si="147"/>
        <v>0</v>
      </c>
      <c r="K2098" s="19" t="s">
        <v>5061</v>
      </c>
    </row>
    <row r="2099" spans="1:11" x14ac:dyDescent="0.2">
      <c r="A2099" t="s">
        <v>2644</v>
      </c>
      <c r="B2099" t="s">
        <v>7222</v>
      </c>
      <c r="G2099" s="5" t="str">
        <f t="shared" si="146"/>
        <v/>
      </c>
      <c r="I2099" s="6" t="str">
        <f t="shared" si="147"/>
        <v>0</v>
      </c>
    </row>
    <row r="2100" spans="1:11" x14ac:dyDescent="0.2">
      <c r="A2100" t="s">
        <v>2645</v>
      </c>
      <c r="B2100" t="s">
        <v>4894</v>
      </c>
      <c r="C2100" s="5" t="s">
        <v>7</v>
      </c>
      <c r="F2100" s="5" t="s">
        <v>4895</v>
      </c>
      <c r="G2100" s="5">
        <f t="shared" si="146"/>
        <v>50744</v>
      </c>
      <c r="I2100" s="6" t="str">
        <f t="shared" si="147"/>
        <v>0</v>
      </c>
      <c r="K2100" s="19" t="s">
        <v>7297</v>
      </c>
    </row>
    <row r="2101" spans="1:11" x14ac:dyDescent="0.2">
      <c r="A2101" t="s">
        <v>2646</v>
      </c>
      <c r="B2101" t="s">
        <v>5062</v>
      </c>
      <c r="C2101" s="5" t="s">
        <v>7</v>
      </c>
      <c r="F2101" s="5" t="s">
        <v>5063</v>
      </c>
      <c r="G2101" s="5">
        <f t="shared" si="146"/>
        <v>50776</v>
      </c>
      <c r="I2101" s="6" t="str">
        <f t="shared" si="147"/>
        <v>0</v>
      </c>
      <c r="K2101" s="19" t="s">
        <v>5064</v>
      </c>
    </row>
    <row r="2102" spans="1:11" x14ac:dyDescent="0.2">
      <c r="A2102" t="s">
        <v>2647</v>
      </c>
      <c r="B2102" t="s">
        <v>4952</v>
      </c>
      <c r="G2102" s="5" t="str">
        <f t="shared" si="146"/>
        <v/>
      </c>
      <c r="I2102" s="6" t="str">
        <f t="shared" si="147"/>
        <v>0</v>
      </c>
      <c r="K2102" s="19" t="s">
        <v>7298</v>
      </c>
    </row>
    <row r="2103" spans="1:11" x14ac:dyDescent="0.2">
      <c r="A2103" t="s">
        <v>2648</v>
      </c>
      <c r="B2103" t="s">
        <v>7223</v>
      </c>
      <c r="G2103" s="5" t="str">
        <f t="shared" si="146"/>
        <v/>
      </c>
      <c r="I2103" s="6" t="str">
        <f t="shared" si="147"/>
        <v>0</v>
      </c>
      <c r="K2103" s="19" t="s">
        <v>7299</v>
      </c>
    </row>
    <row r="2104" spans="1:11" x14ac:dyDescent="0.2">
      <c r="A2104" t="s">
        <v>2649</v>
      </c>
      <c r="B2104" t="s">
        <v>7224</v>
      </c>
      <c r="G2104" s="5" t="str">
        <f t="shared" si="146"/>
        <v/>
      </c>
      <c r="I2104" s="6" t="str">
        <f t="shared" si="147"/>
        <v>0</v>
      </c>
    </row>
    <row r="2105" spans="1:11" x14ac:dyDescent="0.2">
      <c r="A2105" t="s">
        <v>2650</v>
      </c>
      <c r="B2105" t="s">
        <v>7225</v>
      </c>
      <c r="G2105" s="5" t="str">
        <f t="shared" si="146"/>
        <v/>
      </c>
      <c r="I2105" s="6" t="str">
        <f t="shared" si="147"/>
        <v>0</v>
      </c>
    </row>
    <row r="2106" spans="1:11" x14ac:dyDescent="0.2">
      <c r="A2106" t="s">
        <v>2651</v>
      </c>
      <c r="B2106" t="s">
        <v>7226</v>
      </c>
      <c r="G2106" s="5" t="str">
        <f t="shared" si="146"/>
        <v/>
      </c>
      <c r="I2106" s="6" t="str">
        <f t="shared" si="147"/>
        <v>0</v>
      </c>
    </row>
    <row r="2107" spans="1:11" x14ac:dyDescent="0.2">
      <c r="A2107" t="s">
        <v>2652</v>
      </c>
      <c r="B2107" t="s">
        <v>7227</v>
      </c>
      <c r="G2107" s="5" t="str">
        <f t="shared" si="146"/>
        <v/>
      </c>
      <c r="I2107" s="6" t="str">
        <f t="shared" si="147"/>
        <v>0</v>
      </c>
    </row>
    <row r="2108" spans="1:11" x14ac:dyDescent="0.2">
      <c r="A2108" t="s">
        <v>2653</v>
      </c>
      <c r="B2108" t="s">
        <v>7228</v>
      </c>
      <c r="G2108" s="5" t="str">
        <f t="shared" si="146"/>
        <v/>
      </c>
      <c r="I2108" s="6" t="str">
        <f t="shared" si="147"/>
        <v>0</v>
      </c>
    </row>
    <row r="2109" spans="1:11" x14ac:dyDescent="0.2">
      <c r="A2109" t="s">
        <v>2654</v>
      </c>
      <c r="B2109" t="s">
        <v>2655</v>
      </c>
      <c r="G2109" s="5" t="str">
        <f t="shared" si="146"/>
        <v/>
      </c>
      <c r="I2109" s="6" t="str">
        <f t="shared" si="147"/>
        <v>0</v>
      </c>
      <c r="K2109" s="19" t="s">
        <v>7300</v>
      </c>
    </row>
    <row r="2110" spans="1:11" x14ac:dyDescent="0.2">
      <c r="A2110" t="s">
        <v>2656</v>
      </c>
      <c r="B2110" t="s">
        <v>2657</v>
      </c>
      <c r="E2110" t="str">
        <f t="shared" ref="E2110:E2114" si="149">IF(D2110&lt;&gt;"",C2110&amp;"/"&amp;D2110,"")</f>
        <v/>
      </c>
      <c r="G2110" s="5" t="str">
        <f t="shared" si="146"/>
        <v/>
      </c>
      <c r="I2110" s="6" t="str">
        <f t="shared" si="147"/>
        <v>0</v>
      </c>
    </row>
    <row r="2111" spans="1:11" x14ac:dyDescent="0.2">
      <c r="A2111" t="s">
        <v>2658</v>
      </c>
      <c r="B2111" t="s">
        <v>2659</v>
      </c>
      <c r="E2111" t="str">
        <f t="shared" si="149"/>
        <v/>
      </c>
      <c r="G2111" s="5" t="str">
        <f t="shared" si="146"/>
        <v/>
      </c>
      <c r="I2111" s="6" t="str">
        <f t="shared" si="147"/>
        <v>0</v>
      </c>
      <c r="K2111" s="19" t="s">
        <v>7301</v>
      </c>
    </row>
    <row r="2112" spans="1:11" x14ac:dyDescent="0.2">
      <c r="A2112" t="s">
        <v>2660</v>
      </c>
      <c r="B2112" t="s">
        <v>7229</v>
      </c>
      <c r="G2112" s="5" t="str">
        <f t="shared" si="146"/>
        <v/>
      </c>
      <c r="I2112" s="6" t="str">
        <f t="shared" si="147"/>
        <v>0</v>
      </c>
    </row>
    <row r="2113" spans="1:11" x14ac:dyDescent="0.2">
      <c r="A2113" t="s">
        <v>2661</v>
      </c>
      <c r="B2113" t="s">
        <v>5894</v>
      </c>
      <c r="G2113" s="5" t="str">
        <f t="shared" ref="G2113:G2176" si="150">IF(F2113&lt;&gt;"",HEX2DEC(SUBSTITUTE(SUBSTITUTE(F2113,"adrEA",""),"$","")),"")</f>
        <v/>
      </c>
      <c r="I2113" s="6" t="str">
        <f t="shared" ref="I2113:I2176" si="151">IFERROR(DEC2HEX(H2113),"")</f>
        <v>0</v>
      </c>
      <c r="K2113" s="19" t="s">
        <v>5895</v>
      </c>
    </row>
    <row r="2114" spans="1:11" x14ac:dyDescent="0.2">
      <c r="A2114" t="s">
        <v>2662</v>
      </c>
      <c r="B2114" t="s">
        <v>2662</v>
      </c>
      <c r="E2114" t="str">
        <f t="shared" si="149"/>
        <v/>
      </c>
      <c r="G2114" s="5" t="str">
        <f t="shared" si="150"/>
        <v/>
      </c>
      <c r="I2114" s="6" t="str">
        <f t="shared" si="151"/>
        <v>0</v>
      </c>
    </row>
    <row r="2115" spans="1:11" x14ac:dyDescent="0.2">
      <c r="A2115" t="s">
        <v>2663</v>
      </c>
      <c r="B2115" t="s">
        <v>4896</v>
      </c>
      <c r="G2115" s="5" t="str">
        <f t="shared" si="150"/>
        <v/>
      </c>
      <c r="I2115" s="6" t="str">
        <f t="shared" si="151"/>
        <v>0</v>
      </c>
      <c r="K2115" s="19" t="s">
        <v>4953</v>
      </c>
    </row>
    <row r="2116" spans="1:11" x14ac:dyDescent="0.2">
      <c r="A2116" t="s">
        <v>2664</v>
      </c>
      <c r="B2116" t="s">
        <v>5065</v>
      </c>
      <c r="C2116" s="5" t="s">
        <v>7</v>
      </c>
      <c r="F2116" s="5" t="s">
        <v>5066</v>
      </c>
      <c r="G2116" s="5">
        <f t="shared" si="150"/>
        <v>51062</v>
      </c>
      <c r="I2116" s="6" t="str">
        <f t="shared" si="151"/>
        <v>0</v>
      </c>
      <c r="K2116" s="19" t="s">
        <v>5067</v>
      </c>
    </row>
    <row r="2117" spans="1:11" x14ac:dyDescent="0.2">
      <c r="A2117" t="s">
        <v>2665</v>
      </c>
      <c r="B2117" t="s">
        <v>7230</v>
      </c>
      <c r="G2117" s="5" t="str">
        <f t="shared" si="150"/>
        <v/>
      </c>
      <c r="I2117" s="6" t="str">
        <f t="shared" si="151"/>
        <v>0</v>
      </c>
    </row>
    <row r="2118" spans="1:11" x14ac:dyDescent="0.2">
      <c r="A2118" t="s">
        <v>2666</v>
      </c>
      <c r="B2118" t="s">
        <v>7231</v>
      </c>
      <c r="G2118" s="5" t="str">
        <f t="shared" si="150"/>
        <v/>
      </c>
      <c r="I2118" s="6" t="str">
        <f t="shared" si="151"/>
        <v>0</v>
      </c>
      <c r="K2118" s="19" t="s">
        <v>6341</v>
      </c>
    </row>
    <row r="2119" spans="1:11" x14ac:dyDescent="0.2">
      <c r="A2119" t="s">
        <v>2667</v>
      </c>
      <c r="B2119" t="s">
        <v>3748</v>
      </c>
      <c r="G2119" s="5" t="str">
        <f t="shared" si="150"/>
        <v/>
      </c>
      <c r="I2119" s="6" t="str">
        <f t="shared" si="151"/>
        <v>0</v>
      </c>
      <c r="K2119" s="19" t="s">
        <v>3754</v>
      </c>
    </row>
    <row r="2120" spans="1:11" x14ac:dyDescent="0.2">
      <c r="A2120" t="s">
        <v>2668</v>
      </c>
      <c r="B2120" t="s">
        <v>3741</v>
      </c>
      <c r="G2120" s="5" t="str">
        <f t="shared" si="150"/>
        <v/>
      </c>
      <c r="I2120" s="6" t="str">
        <f t="shared" si="151"/>
        <v>0</v>
      </c>
      <c r="K2120" s="19" t="s">
        <v>3755</v>
      </c>
    </row>
    <row r="2121" spans="1:11" x14ac:dyDescent="0.2">
      <c r="A2121" t="s">
        <v>2669</v>
      </c>
      <c r="B2121" t="s">
        <v>3756</v>
      </c>
      <c r="G2121" s="5" t="str">
        <f t="shared" si="150"/>
        <v/>
      </c>
      <c r="I2121" s="6" t="str">
        <f t="shared" si="151"/>
        <v>0</v>
      </c>
      <c r="K2121" s="19" t="s">
        <v>3757</v>
      </c>
    </row>
    <row r="2122" spans="1:11" x14ac:dyDescent="0.2">
      <c r="A2122" t="s">
        <v>2670</v>
      </c>
      <c r="B2122" t="s">
        <v>7232</v>
      </c>
      <c r="G2122" s="5" t="str">
        <f t="shared" si="150"/>
        <v/>
      </c>
      <c r="I2122" s="6" t="str">
        <f t="shared" si="151"/>
        <v>0</v>
      </c>
    </row>
    <row r="2123" spans="1:11" x14ac:dyDescent="0.2">
      <c r="A2123" t="s">
        <v>2671</v>
      </c>
      <c r="B2123" t="s">
        <v>7233</v>
      </c>
      <c r="G2123" s="5" t="str">
        <f t="shared" si="150"/>
        <v/>
      </c>
      <c r="I2123" s="6" t="str">
        <f t="shared" si="151"/>
        <v>0</v>
      </c>
    </row>
    <row r="2124" spans="1:11" x14ac:dyDescent="0.2">
      <c r="A2124" t="s">
        <v>2672</v>
      </c>
      <c r="B2124" t="s">
        <v>3758</v>
      </c>
      <c r="C2124" s="5" t="s">
        <v>48</v>
      </c>
      <c r="D2124" t="s">
        <v>3759</v>
      </c>
      <c r="E2124" t="str">
        <f t="shared" ref="E2124:E2125" si="152">IF(D2124&lt;&gt;"",C2124&amp;"/"&amp;D2124,"")</f>
        <v>data/champion-stats-scroll.lookup</v>
      </c>
      <c r="F2124" s="5" t="s">
        <v>3760</v>
      </c>
      <c r="G2124" s="5">
        <f t="shared" si="150"/>
        <v>51264</v>
      </c>
      <c r="H2124" s="5">
        <v>14</v>
      </c>
      <c r="I2124" s="6" t="str">
        <f t="shared" si="151"/>
        <v>E</v>
      </c>
      <c r="K2124" s="19" t="s">
        <v>3761</v>
      </c>
    </row>
    <row r="2125" spans="1:11" x14ac:dyDescent="0.2">
      <c r="A2125" t="s">
        <v>2673</v>
      </c>
      <c r="B2125" t="s">
        <v>3762</v>
      </c>
      <c r="C2125" s="5" t="s">
        <v>48</v>
      </c>
      <c r="D2125" t="s">
        <v>3763</v>
      </c>
      <c r="E2125" t="str">
        <f t="shared" si="152"/>
        <v>data/champion-stats-scroll.text</v>
      </c>
      <c r="F2125" s="5" t="s">
        <v>3764</v>
      </c>
      <c r="G2125" s="5">
        <f t="shared" si="150"/>
        <v>51278</v>
      </c>
      <c r="H2125" s="5">
        <v>104</v>
      </c>
      <c r="I2125" s="6" t="str">
        <f t="shared" si="151"/>
        <v>68</v>
      </c>
      <c r="K2125" s="19" t="s">
        <v>3765</v>
      </c>
    </row>
    <row r="2126" spans="1:11" x14ac:dyDescent="0.2">
      <c r="A2126" t="s">
        <v>2674</v>
      </c>
      <c r="B2126" t="s">
        <v>3753</v>
      </c>
      <c r="G2126" s="5" t="str">
        <f t="shared" si="150"/>
        <v/>
      </c>
      <c r="I2126" s="6" t="str">
        <f t="shared" si="151"/>
        <v>0</v>
      </c>
      <c r="K2126" s="19" t="s">
        <v>3766</v>
      </c>
    </row>
    <row r="2127" spans="1:11" x14ac:dyDescent="0.2">
      <c r="A2127" t="s">
        <v>2675</v>
      </c>
      <c r="B2127" t="s">
        <v>3767</v>
      </c>
      <c r="G2127" s="5" t="str">
        <f t="shared" si="150"/>
        <v/>
      </c>
      <c r="I2127" s="6" t="str">
        <f t="shared" si="151"/>
        <v>0</v>
      </c>
      <c r="K2127" s="19" t="s">
        <v>3768</v>
      </c>
    </row>
    <row r="2128" spans="1:11" x14ac:dyDescent="0.2">
      <c r="A2128" t="s">
        <v>2676</v>
      </c>
      <c r="B2128" t="s">
        <v>5019</v>
      </c>
      <c r="C2128" s="5" t="s">
        <v>7</v>
      </c>
      <c r="F2128" s="5" t="s">
        <v>5020</v>
      </c>
      <c r="G2128" s="5">
        <f t="shared" si="150"/>
        <v>51514</v>
      </c>
      <c r="I2128" s="6" t="str">
        <f t="shared" si="151"/>
        <v>0</v>
      </c>
      <c r="K2128" s="19" t="s">
        <v>5021</v>
      </c>
    </row>
    <row r="2129" spans="1:11" x14ac:dyDescent="0.2">
      <c r="A2129" t="s">
        <v>2677</v>
      </c>
      <c r="B2129" t="s">
        <v>5022</v>
      </c>
      <c r="C2129" s="5" t="s">
        <v>7</v>
      </c>
      <c r="F2129" s="5" t="s">
        <v>5023</v>
      </c>
      <c r="G2129" s="5">
        <f t="shared" si="150"/>
        <v>51540</v>
      </c>
      <c r="I2129" s="6" t="str">
        <f t="shared" si="151"/>
        <v>0</v>
      </c>
      <c r="K2129" s="19" t="s">
        <v>5024</v>
      </c>
    </row>
    <row r="2130" spans="1:11" x14ac:dyDescent="0.2">
      <c r="A2130" t="s">
        <v>2678</v>
      </c>
      <c r="B2130" t="s">
        <v>5002</v>
      </c>
      <c r="C2130" s="5" t="s">
        <v>7</v>
      </c>
      <c r="F2130" s="5" t="s">
        <v>5003</v>
      </c>
      <c r="G2130" s="5">
        <f t="shared" si="150"/>
        <v>51578</v>
      </c>
      <c r="I2130" s="6" t="str">
        <f t="shared" si="151"/>
        <v>0</v>
      </c>
      <c r="K2130" s="19" t="s">
        <v>5004</v>
      </c>
    </row>
    <row r="2131" spans="1:11" x14ac:dyDescent="0.2">
      <c r="A2131" t="s">
        <v>2679</v>
      </c>
      <c r="B2131" t="s">
        <v>7234</v>
      </c>
      <c r="G2131" s="5" t="str">
        <f t="shared" si="150"/>
        <v/>
      </c>
      <c r="I2131" s="6" t="str">
        <f t="shared" si="151"/>
        <v>0</v>
      </c>
    </row>
    <row r="2132" spans="1:11" x14ac:dyDescent="0.2">
      <c r="A2132" t="s">
        <v>2680</v>
      </c>
      <c r="B2132" t="s">
        <v>5005</v>
      </c>
      <c r="C2132" s="5" t="s">
        <v>7</v>
      </c>
      <c r="F2132" s="5" t="s">
        <v>5006</v>
      </c>
      <c r="G2132" s="5">
        <f t="shared" si="150"/>
        <v>51600</v>
      </c>
      <c r="I2132" s="6" t="str">
        <f t="shared" si="151"/>
        <v>0</v>
      </c>
      <c r="K2132" s="19" t="s">
        <v>5007</v>
      </c>
    </row>
    <row r="2133" spans="1:11" x14ac:dyDescent="0.2">
      <c r="A2133" t="s">
        <v>2681</v>
      </c>
      <c r="B2133" t="s">
        <v>3742</v>
      </c>
      <c r="G2133" s="5" t="str">
        <f t="shared" si="150"/>
        <v/>
      </c>
      <c r="I2133" s="6" t="str">
        <f t="shared" si="151"/>
        <v>0</v>
      </c>
      <c r="K2133" s="19" t="s">
        <v>3743</v>
      </c>
    </row>
    <row r="2134" spans="1:11" x14ac:dyDescent="0.2">
      <c r="A2134" t="s">
        <v>2682</v>
      </c>
      <c r="B2134" t="s">
        <v>3744</v>
      </c>
      <c r="G2134" s="5" t="str">
        <f t="shared" si="150"/>
        <v/>
      </c>
      <c r="I2134" s="6" t="str">
        <f t="shared" si="151"/>
        <v>0</v>
      </c>
      <c r="K2134" s="19" t="s">
        <v>3745</v>
      </c>
    </row>
    <row r="2135" spans="1:11" x14ac:dyDescent="0.2">
      <c r="A2135" t="s">
        <v>2683</v>
      </c>
      <c r="B2135" t="s">
        <v>5669</v>
      </c>
      <c r="G2135" s="5" t="str">
        <f t="shared" si="150"/>
        <v/>
      </c>
      <c r="I2135" s="6" t="str">
        <f t="shared" si="151"/>
        <v>0</v>
      </c>
      <c r="K2135" s="19" t="s">
        <v>5670</v>
      </c>
    </row>
    <row r="2136" spans="1:11" x14ac:dyDescent="0.2">
      <c r="A2136" t="s">
        <v>2684</v>
      </c>
      <c r="B2136" t="s">
        <v>2685</v>
      </c>
      <c r="G2136" s="5" t="str">
        <f t="shared" si="150"/>
        <v/>
      </c>
      <c r="I2136" s="6" t="str">
        <f t="shared" si="151"/>
        <v>0</v>
      </c>
      <c r="K2136" s="19" t="s">
        <v>6342</v>
      </c>
    </row>
    <row r="2137" spans="1:11" x14ac:dyDescent="0.2">
      <c r="A2137" t="s">
        <v>2686</v>
      </c>
      <c r="B2137" t="s">
        <v>2687</v>
      </c>
      <c r="E2137" t="str">
        <f>IF(D2137&lt;&gt;"",C2137&amp;"/"&amp;D2137,"")</f>
        <v/>
      </c>
      <c r="G2137" s="5" t="str">
        <f t="shared" si="150"/>
        <v/>
      </c>
      <c r="I2137" s="6" t="str">
        <f t="shared" si="151"/>
        <v>0</v>
      </c>
    </row>
    <row r="2138" spans="1:11" x14ac:dyDescent="0.2">
      <c r="A2138" t="s">
        <v>2688</v>
      </c>
      <c r="B2138" t="s">
        <v>2689</v>
      </c>
      <c r="E2138" t="str">
        <f>IF(D2138&lt;&gt;"",C2138&amp;"/"&amp;D2138,"")</f>
        <v/>
      </c>
      <c r="G2138" s="5" t="str">
        <f t="shared" si="150"/>
        <v/>
      </c>
      <c r="I2138" s="6" t="str">
        <f t="shared" si="151"/>
        <v>0</v>
      </c>
    </row>
    <row r="2139" spans="1:11" x14ac:dyDescent="0.2">
      <c r="A2139" t="s">
        <v>2690</v>
      </c>
      <c r="B2139" t="s">
        <v>2690</v>
      </c>
      <c r="G2139" s="5" t="str">
        <f t="shared" si="150"/>
        <v/>
      </c>
      <c r="I2139" s="6" t="str">
        <f t="shared" si="151"/>
        <v>0</v>
      </c>
      <c r="K2139" s="19" t="s">
        <v>6343</v>
      </c>
    </row>
    <row r="2140" spans="1:11" x14ac:dyDescent="0.2">
      <c r="A2140" t="s">
        <v>2691</v>
      </c>
      <c r="B2140" t="s">
        <v>2692</v>
      </c>
      <c r="G2140" s="5" t="str">
        <f t="shared" si="150"/>
        <v/>
      </c>
      <c r="I2140" s="6" t="str">
        <f t="shared" si="151"/>
        <v>0</v>
      </c>
      <c r="K2140" s="19" t="s">
        <v>4488</v>
      </c>
    </row>
    <row r="2141" spans="1:11" x14ac:dyDescent="0.2">
      <c r="A2141" t="s">
        <v>2693</v>
      </c>
      <c r="B2141" t="s">
        <v>5008</v>
      </c>
      <c r="C2141" s="5" t="s">
        <v>7</v>
      </c>
      <c r="F2141" s="5" t="s">
        <v>5009</v>
      </c>
      <c r="G2141" s="5">
        <f t="shared" si="150"/>
        <v>51768</v>
      </c>
      <c r="I2141" s="6" t="str">
        <f t="shared" si="151"/>
        <v>0</v>
      </c>
      <c r="K2141" s="19" t="s">
        <v>5010</v>
      </c>
    </row>
    <row r="2142" spans="1:11" x14ac:dyDescent="0.2">
      <c r="A2142" t="s">
        <v>2694</v>
      </c>
      <c r="B2142" t="s">
        <v>5415</v>
      </c>
      <c r="G2142" s="5" t="str">
        <f t="shared" si="150"/>
        <v/>
      </c>
      <c r="I2142" s="6" t="str">
        <f t="shared" si="151"/>
        <v>0</v>
      </c>
      <c r="K2142" s="19" t="s">
        <v>5416</v>
      </c>
    </row>
    <row r="2143" spans="1:11" x14ac:dyDescent="0.2">
      <c r="A2143" t="s">
        <v>2695</v>
      </c>
      <c r="B2143" t="s">
        <v>4954</v>
      </c>
      <c r="G2143" s="5" t="str">
        <f t="shared" si="150"/>
        <v/>
      </c>
      <c r="I2143" s="6" t="str">
        <f t="shared" si="151"/>
        <v>0</v>
      </c>
      <c r="K2143" s="19" t="s">
        <v>4955</v>
      </c>
    </row>
    <row r="2144" spans="1:11" x14ac:dyDescent="0.2">
      <c r="A2144" t="s">
        <v>2696</v>
      </c>
      <c r="B2144" t="s">
        <v>7235</v>
      </c>
      <c r="G2144" s="5" t="str">
        <f t="shared" si="150"/>
        <v/>
      </c>
      <c r="I2144" s="6" t="str">
        <f t="shared" si="151"/>
        <v>0</v>
      </c>
    </row>
    <row r="2145" spans="1:11" x14ac:dyDescent="0.2">
      <c r="A2145" t="s">
        <v>2697</v>
      </c>
      <c r="B2145" t="s">
        <v>7236</v>
      </c>
      <c r="G2145" s="5" t="str">
        <f t="shared" si="150"/>
        <v/>
      </c>
      <c r="I2145" s="6" t="str">
        <f t="shared" si="151"/>
        <v>0</v>
      </c>
    </row>
    <row r="2146" spans="1:11" x14ac:dyDescent="0.2">
      <c r="A2146" t="s">
        <v>2698</v>
      </c>
      <c r="B2146" t="s">
        <v>7237</v>
      </c>
      <c r="G2146" s="5" t="str">
        <f t="shared" si="150"/>
        <v/>
      </c>
      <c r="I2146" s="6" t="str">
        <f t="shared" si="151"/>
        <v>0</v>
      </c>
    </row>
    <row r="2147" spans="1:11" x14ac:dyDescent="0.2">
      <c r="A2147" t="s">
        <v>2699</v>
      </c>
      <c r="B2147" t="s">
        <v>4956</v>
      </c>
      <c r="G2147" s="5" t="str">
        <f t="shared" si="150"/>
        <v/>
      </c>
      <c r="I2147" s="6" t="str">
        <f t="shared" si="151"/>
        <v>0</v>
      </c>
      <c r="K2147" s="19" t="s">
        <v>4957</v>
      </c>
    </row>
    <row r="2148" spans="1:11" x14ac:dyDescent="0.2">
      <c r="A2148" t="s">
        <v>2700</v>
      </c>
      <c r="B2148" t="s">
        <v>3769</v>
      </c>
      <c r="G2148" s="5" t="str">
        <f t="shared" si="150"/>
        <v/>
      </c>
      <c r="I2148" s="6" t="str">
        <f t="shared" si="151"/>
        <v>0</v>
      </c>
      <c r="K2148" s="19" t="s">
        <v>3770</v>
      </c>
    </row>
    <row r="2149" spans="1:11" x14ac:dyDescent="0.2">
      <c r="A2149" t="s">
        <v>2701</v>
      </c>
      <c r="B2149" t="s">
        <v>3771</v>
      </c>
      <c r="G2149" s="5" t="str">
        <f t="shared" si="150"/>
        <v/>
      </c>
      <c r="I2149" s="6" t="str">
        <f t="shared" si="151"/>
        <v>0</v>
      </c>
      <c r="K2149" s="19" t="s">
        <v>3772</v>
      </c>
    </row>
    <row r="2150" spans="1:11" x14ac:dyDescent="0.2">
      <c r="A2150" t="s">
        <v>2702</v>
      </c>
      <c r="B2150" t="s">
        <v>3773</v>
      </c>
      <c r="G2150" s="5" t="str">
        <f t="shared" si="150"/>
        <v/>
      </c>
      <c r="I2150" s="6" t="str">
        <f t="shared" si="151"/>
        <v>0</v>
      </c>
      <c r="K2150" s="19" t="s">
        <v>3774</v>
      </c>
    </row>
    <row r="2151" spans="1:11" x14ac:dyDescent="0.2">
      <c r="A2151" t="s">
        <v>2703</v>
      </c>
      <c r="B2151" t="s">
        <v>3775</v>
      </c>
      <c r="G2151" s="5" t="str">
        <f t="shared" si="150"/>
        <v/>
      </c>
      <c r="I2151" s="6" t="str">
        <f t="shared" si="151"/>
        <v>0</v>
      </c>
      <c r="K2151" s="19" t="s">
        <v>3776</v>
      </c>
    </row>
    <row r="2152" spans="1:11" x14ac:dyDescent="0.2">
      <c r="A2152" t="s">
        <v>2704</v>
      </c>
      <c r="B2152" t="s">
        <v>7238</v>
      </c>
      <c r="G2152" s="5" t="str">
        <f t="shared" si="150"/>
        <v/>
      </c>
      <c r="I2152" s="6" t="str">
        <f t="shared" si="151"/>
        <v>0</v>
      </c>
    </row>
    <row r="2153" spans="1:11" x14ac:dyDescent="0.2">
      <c r="A2153" t="s">
        <v>2705</v>
      </c>
      <c r="B2153" t="s">
        <v>5417</v>
      </c>
      <c r="G2153" s="5" t="str">
        <f t="shared" si="150"/>
        <v/>
      </c>
      <c r="I2153" s="6" t="str">
        <f t="shared" si="151"/>
        <v>0</v>
      </c>
      <c r="K2153" s="19" t="s">
        <v>5418</v>
      </c>
    </row>
    <row r="2154" spans="1:11" x14ac:dyDescent="0.2">
      <c r="A2154" t="s">
        <v>2706</v>
      </c>
      <c r="B2154" t="s">
        <v>5671</v>
      </c>
      <c r="G2154" s="5" t="str">
        <f t="shared" si="150"/>
        <v/>
      </c>
      <c r="I2154" s="6" t="str">
        <f t="shared" si="151"/>
        <v>0</v>
      </c>
      <c r="K2154" s="19" t="s">
        <v>5672</v>
      </c>
    </row>
    <row r="2155" spans="1:11" x14ac:dyDescent="0.2">
      <c r="A2155" t="s">
        <v>2707</v>
      </c>
      <c r="B2155" t="s">
        <v>5439</v>
      </c>
      <c r="G2155" s="5" t="str">
        <f t="shared" si="150"/>
        <v/>
      </c>
      <c r="I2155" s="6" t="str">
        <f t="shared" si="151"/>
        <v>0</v>
      </c>
      <c r="K2155" s="19" t="s">
        <v>5440</v>
      </c>
    </row>
    <row r="2156" spans="1:11" x14ac:dyDescent="0.2">
      <c r="A2156" t="s">
        <v>2708</v>
      </c>
      <c r="B2156" t="s">
        <v>2708</v>
      </c>
      <c r="G2156" s="5" t="str">
        <f t="shared" si="150"/>
        <v/>
      </c>
      <c r="I2156" s="6" t="str">
        <f t="shared" si="151"/>
        <v>0</v>
      </c>
      <c r="K2156" s="19" t="s">
        <v>6344</v>
      </c>
    </row>
    <row r="2157" spans="1:11" x14ac:dyDescent="0.2">
      <c r="A2157" t="s">
        <v>2709</v>
      </c>
      <c r="B2157" t="s">
        <v>5419</v>
      </c>
      <c r="G2157" s="5" t="str">
        <f t="shared" si="150"/>
        <v/>
      </c>
      <c r="I2157" s="6" t="str">
        <f t="shared" si="151"/>
        <v>0</v>
      </c>
      <c r="K2157" s="19" t="s">
        <v>5420</v>
      </c>
    </row>
    <row r="2158" spans="1:11" x14ac:dyDescent="0.2">
      <c r="A2158" t="s">
        <v>2710</v>
      </c>
      <c r="B2158" t="s">
        <v>5673</v>
      </c>
      <c r="G2158" s="5" t="str">
        <f t="shared" si="150"/>
        <v/>
      </c>
      <c r="I2158" s="6" t="str">
        <f t="shared" si="151"/>
        <v>0</v>
      </c>
      <c r="K2158" s="19" t="s">
        <v>5674</v>
      </c>
    </row>
    <row r="2159" spans="1:11" x14ac:dyDescent="0.2">
      <c r="A2159" t="s">
        <v>2711</v>
      </c>
      <c r="B2159" t="s">
        <v>7239</v>
      </c>
      <c r="G2159" s="5" t="str">
        <f t="shared" si="150"/>
        <v/>
      </c>
      <c r="I2159" s="6" t="str">
        <f t="shared" si="151"/>
        <v>0</v>
      </c>
    </row>
    <row r="2160" spans="1:11" x14ac:dyDescent="0.2">
      <c r="A2160" t="s">
        <v>2712</v>
      </c>
      <c r="B2160" t="s">
        <v>5421</v>
      </c>
      <c r="G2160" s="5" t="str">
        <f t="shared" si="150"/>
        <v/>
      </c>
      <c r="I2160" s="6" t="str">
        <f t="shared" si="151"/>
        <v>0</v>
      </c>
      <c r="K2160" s="19" t="s">
        <v>5422</v>
      </c>
    </row>
    <row r="2161" spans="1:11" x14ac:dyDescent="0.2">
      <c r="A2161" t="s">
        <v>2713</v>
      </c>
      <c r="B2161" t="s">
        <v>2714</v>
      </c>
      <c r="G2161" s="5" t="str">
        <f t="shared" si="150"/>
        <v/>
      </c>
      <c r="I2161" s="6" t="str">
        <f t="shared" si="151"/>
        <v>0</v>
      </c>
      <c r="K2161" s="19" t="s">
        <v>6345</v>
      </c>
    </row>
    <row r="2162" spans="1:11" x14ac:dyDescent="0.2">
      <c r="A2162" t="s">
        <v>2715</v>
      </c>
      <c r="B2162" t="s">
        <v>7240</v>
      </c>
      <c r="G2162" s="5" t="str">
        <f t="shared" si="150"/>
        <v/>
      </c>
      <c r="I2162" s="6" t="str">
        <f t="shared" si="151"/>
        <v>0</v>
      </c>
    </row>
    <row r="2163" spans="1:11" x14ac:dyDescent="0.2">
      <c r="A2163" t="s">
        <v>2716</v>
      </c>
      <c r="B2163" t="s">
        <v>7241</v>
      </c>
      <c r="G2163" s="5" t="str">
        <f t="shared" si="150"/>
        <v/>
      </c>
      <c r="I2163" s="6" t="str">
        <f t="shared" si="151"/>
        <v>0</v>
      </c>
    </row>
    <row r="2164" spans="1:11" x14ac:dyDescent="0.2">
      <c r="A2164" t="s">
        <v>2717</v>
      </c>
      <c r="B2164" t="s">
        <v>5462</v>
      </c>
      <c r="G2164" s="5" t="str">
        <f t="shared" si="150"/>
        <v/>
      </c>
      <c r="I2164" s="6" t="str">
        <f t="shared" si="151"/>
        <v>0</v>
      </c>
      <c r="K2164" s="19" t="s">
        <v>5463</v>
      </c>
    </row>
    <row r="2165" spans="1:11" x14ac:dyDescent="0.2">
      <c r="A2165" t="s">
        <v>2718</v>
      </c>
      <c r="B2165" t="s">
        <v>5675</v>
      </c>
      <c r="G2165" s="5" t="str">
        <f t="shared" si="150"/>
        <v/>
      </c>
      <c r="I2165" s="6" t="str">
        <f t="shared" si="151"/>
        <v>0</v>
      </c>
      <c r="K2165" s="19" t="s">
        <v>5676</v>
      </c>
    </row>
    <row r="2166" spans="1:11" x14ac:dyDescent="0.2">
      <c r="A2166" t="s">
        <v>2719</v>
      </c>
      <c r="B2166" t="s">
        <v>2720</v>
      </c>
      <c r="E2166" t="str">
        <f t="shared" ref="E2166:E2168" si="153">IF(D2166&lt;&gt;"",C2166&amp;"/"&amp;D2166,"")</f>
        <v/>
      </c>
      <c r="G2166" s="5" t="str">
        <f t="shared" si="150"/>
        <v/>
      </c>
      <c r="I2166" s="6" t="str">
        <f t="shared" si="151"/>
        <v>0</v>
      </c>
    </row>
    <row r="2167" spans="1:11" x14ac:dyDescent="0.2">
      <c r="A2167" t="s">
        <v>2721</v>
      </c>
      <c r="B2167" t="s">
        <v>7242</v>
      </c>
      <c r="G2167" s="5" t="str">
        <f t="shared" si="150"/>
        <v/>
      </c>
      <c r="I2167" s="6" t="str">
        <f t="shared" si="151"/>
        <v>0</v>
      </c>
    </row>
    <row r="2168" spans="1:11" x14ac:dyDescent="0.2">
      <c r="A2168" t="s">
        <v>2722</v>
      </c>
      <c r="B2168" t="s">
        <v>2723</v>
      </c>
      <c r="E2168" t="str">
        <f t="shared" si="153"/>
        <v/>
      </c>
      <c r="G2168" s="5" t="str">
        <f t="shared" si="150"/>
        <v/>
      </c>
      <c r="I2168" s="6" t="str">
        <f t="shared" si="151"/>
        <v>0</v>
      </c>
    </row>
    <row r="2169" spans="1:11" x14ac:dyDescent="0.2">
      <c r="A2169" t="s">
        <v>2724</v>
      </c>
      <c r="B2169" t="s">
        <v>7243</v>
      </c>
      <c r="G2169" s="5" t="str">
        <f t="shared" si="150"/>
        <v/>
      </c>
      <c r="I2169" s="6" t="str">
        <f t="shared" si="151"/>
        <v>0</v>
      </c>
    </row>
    <row r="2170" spans="1:11" x14ac:dyDescent="0.2">
      <c r="A2170" t="s">
        <v>2725</v>
      </c>
      <c r="B2170" t="s">
        <v>2726</v>
      </c>
      <c r="C2170" s="5" t="s">
        <v>5119</v>
      </c>
      <c r="G2170" s="5" t="str">
        <f t="shared" si="150"/>
        <v/>
      </c>
      <c r="I2170" s="6" t="str">
        <f t="shared" si="151"/>
        <v>0</v>
      </c>
      <c r="K2170" s="19" t="s">
        <v>6346</v>
      </c>
    </row>
    <row r="2171" spans="1:11" x14ac:dyDescent="0.2">
      <c r="A2171" t="s">
        <v>2727</v>
      </c>
      <c r="B2171" t="s">
        <v>2727</v>
      </c>
      <c r="G2171" s="5" t="str">
        <f t="shared" si="150"/>
        <v/>
      </c>
      <c r="I2171" s="6" t="str">
        <f t="shared" si="151"/>
        <v>0</v>
      </c>
      <c r="K2171" s="19" t="s">
        <v>6347</v>
      </c>
    </row>
    <row r="2172" spans="1:11" x14ac:dyDescent="0.2">
      <c r="A2172" t="s">
        <v>2728</v>
      </c>
      <c r="B2172" t="s">
        <v>2729</v>
      </c>
      <c r="G2172" s="5" t="str">
        <f t="shared" si="150"/>
        <v/>
      </c>
      <c r="I2172" s="6" t="str">
        <f t="shared" si="151"/>
        <v>0</v>
      </c>
      <c r="K2172" s="19" t="s">
        <v>6348</v>
      </c>
    </row>
    <row r="2173" spans="1:11" x14ac:dyDescent="0.2">
      <c r="A2173" t="s">
        <v>2730</v>
      </c>
      <c r="B2173" t="s">
        <v>2731</v>
      </c>
      <c r="G2173" s="5" t="str">
        <f t="shared" si="150"/>
        <v/>
      </c>
      <c r="I2173" s="6" t="str">
        <f t="shared" si="151"/>
        <v>0</v>
      </c>
      <c r="K2173" s="19" t="s">
        <v>6349</v>
      </c>
    </row>
    <row r="2174" spans="1:11" x14ac:dyDescent="0.2">
      <c r="A2174" t="s">
        <v>2732</v>
      </c>
      <c r="B2174" t="s">
        <v>2733</v>
      </c>
      <c r="G2174" s="5" t="str">
        <f t="shared" si="150"/>
        <v/>
      </c>
      <c r="I2174" s="6" t="str">
        <f t="shared" si="151"/>
        <v>0</v>
      </c>
      <c r="K2174" s="19" t="s">
        <v>6350</v>
      </c>
    </row>
    <row r="2175" spans="1:11" x14ac:dyDescent="0.2">
      <c r="A2175" t="s">
        <v>2734</v>
      </c>
      <c r="B2175" t="s">
        <v>2735</v>
      </c>
      <c r="E2175" t="str">
        <f t="shared" ref="E2175:E2201" si="154">IF(D2175&lt;&gt;"",C2175&amp;"/"&amp;D2175,"")</f>
        <v/>
      </c>
      <c r="G2175" s="5" t="str">
        <f t="shared" si="150"/>
        <v/>
      </c>
      <c r="I2175" s="6" t="str">
        <f t="shared" si="151"/>
        <v>0</v>
      </c>
    </row>
    <row r="2176" spans="1:11" x14ac:dyDescent="0.2">
      <c r="A2176" t="s">
        <v>2736</v>
      </c>
      <c r="B2176" t="s">
        <v>2737</v>
      </c>
      <c r="G2176" s="5" t="str">
        <f t="shared" si="150"/>
        <v/>
      </c>
      <c r="I2176" s="6" t="str">
        <f t="shared" si="151"/>
        <v>0</v>
      </c>
      <c r="K2176" s="19" t="s">
        <v>6351</v>
      </c>
    </row>
    <row r="2177" spans="1:11" x14ac:dyDescent="0.2">
      <c r="A2177" t="s">
        <v>2738</v>
      </c>
      <c r="B2177" t="s">
        <v>2739</v>
      </c>
      <c r="E2177" t="str">
        <f t="shared" si="154"/>
        <v/>
      </c>
      <c r="G2177" s="5" t="str">
        <f t="shared" ref="G2177:G2239" si="155">IF(F2177&lt;&gt;"",HEX2DEC(SUBSTITUTE(SUBSTITUTE(F2177,"adrEA",""),"$","")),"")</f>
        <v/>
      </c>
      <c r="I2177" s="6" t="str">
        <f t="shared" ref="I2177:I2239" si="156">IFERROR(DEC2HEX(H2177),"")</f>
        <v>0</v>
      </c>
    </row>
    <row r="2178" spans="1:11" x14ac:dyDescent="0.2">
      <c r="A2178" t="s">
        <v>2740</v>
      </c>
      <c r="B2178" t="s">
        <v>2741</v>
      </c>
      <c r="E2178" t="str">
        <f t="shared" si="154"/>
        <v/>
      </c>
      <c r="G2178" s="5" t="str">
        <f t="shared" si="155"/>
        <v/>
      </c>
      <c r="I2178" s="6" t="str">
        <f t="shared" si="156"/>
        <v>0</v>
      </c>
    </row>
    <row r="2179" spans="1:11" x14ac:dyDescent="0.2">
      <c r="A2179" t="s">
        <v>2742</v>
      </c>
      <c r="B2179" t="s">
        <v>2743</v>
      </c>
      <c r="E2179" t="str">
        <f t="shared" si="154"/>
        <v/>
      </c>
      <c r="G2179" s="5" t="str">
        <f t="shared" si="155"/>
        <v/>
      </c>
      <c r="I2179" s="6" t="str">
        <f t="shared" si="156"/>
        <v>0</v>
      </c>
    </row>
    <row r="2180" spans="1:11" x14ac:dyDescent="0.2">
      <c r="A2180" t="s">
        <v>2744</v>
      </c>
      <c r="B2180" t="s">
        <v>2745</v>
      </c>
      <c r="E2180" t="str">
        <f t="shared" si="154"/>
        <v/>
      </c>
      <c r="G2180" s="5" t="str">
        <f t="shared" si="155"/>
        <v/>
      </c>
      <c r="I2180" s="6" t="str">
        <f t="shared" si="156"/>
        <v>0</v>
      </c>
    </row>
    <row r="2181" spans="1:11" x14ac:dyDescent="0.2">
      <c r="A2181" t="s">
        <v>2746</v>
      </c>
      <c r="B2181" t="s">
        <v>2747</v>
      </c>
      <c r="E2181" t="str">
        <f t="shared" si="154"/>
        <v/>
      </c>
      <c r="G2181" s="5" t="str">
        <f t="shared" si="155"/>
        <v/>
      </c>
      <c r="I2181" s="6" t="str">
        <f t="shared" si="156"/>
        <v>0</v>
      </c>
    </row>
    <row r="2182" spans="1:11" x14ac:dyDescent="0.2">
      <c r="A2182" t="s">
        <v>2748</v>
      </c>
      <c r="B2182" t="s">
        <v>2748</v>
      </c>
      <c r="F2182" s="5" t="s">
        <v>7310</v>
      </c>
      <c r="G2182" s="5">
        <f t="shared" si="155"/>
        <v>52660</v>
      </c>
      <c r="I2182" s="6" t="str">
        <f t="shared" si="156"/>
        <v>0</v>
      </c>
      <c r="K2182" s="19" t="s">
        <v>7311</v>
      </c>
    </row>
    <row r="2183" spans="1:11" x14ac:dyDescent="0.2">
      <c r="A2183" t="s">
        <v>2749</v>
      </c>
      <c r="B2183" t="s">
        <v>7315</v>
      </c>
      <c r="C2183" s="5" t="s">
        <v>48</v>
      </c>
      <c r="D2183" t="s">
        <v>7316</v>
      </c>
      <c r="E2183" t="str">
        <f t="shared" ref="E2183" si="157">IF(D2183&lt;&gt;"",C2183&amp;"/"&amp;D2183,"")</f>
        <v>data/CopyProtection_StateWorkspace.block</v>
      </c>
      <c r="F2183" s="5" t="s">
        <v>7317</v>
      </c>
      <c r="G2183" s="5">
        <f t="shared" si="155"/>
        <v>52738</v>
      </c>
      <c r="H2183" s="5">
        <v>106</v>
      </c>
      <c r="I2183" s="6" t="str">
        <f t="shared" si="156"/>
        <v>6A</v>
      </c>
      <c r="J2183" s="6" t="s">
        <v>3409</v>
      </c>
      <c r="K2183" s="19" t="s">
        <v>7318</v>
      </c>
    </row>
    <row r="2184" spans="1:11" x14ac:dyDescent="0.2">
      <c r="A2184" t="s">
        <v>2750</v>
      </c>
      <c r="B2184" t="s">
        <v>5896</v>
      </c>
      <c r="F2184" s="5" t="s">
        <v>7319</v>
      </c>
      <c r="G2184" s="5">
        <f t="shared" si="155"/>
        <v>52844</v>
      </c>
      <c r="I2184" s="6" t="str">
        <f t="shared" si="156"/>
        <v>0</v>
      </c>
      <c r="K2184" s="19" t="s">
        <v>7320</v>
      </c>
    </row>
    <row r="2185" spans="1:11" x14ac:dyDescent="0.2">
      <c r="A2185" t="s">
        <v>2751</v>
      </c>
      <c r="B2185" t="s">
        <v>7321</v>
      </c>
      <c r="F2185" s="5" t="s">
        <v>7322</v>
      </c>
      <c r="G2185" s="5">
        <v>52852</v>
      </c>
      <c r="I2185" s="6">
        <v>0</v>
      </c>
      <c r="K2185" s="19" t="s">
        <v>7400</v>
      </c>
    </row>
    <row r="2186" spans="1:11" x14ac:dyDescent="0.2">
      <c r="A2186" t="s">
        <v>2752</v>
      </c>
      <c r="B2186" t="s">
        <v>7323</v>
      </c>
      <c r="F2186" s="5" t="s">
        <v>7324</v>
      </c>
      <c r="G2186" s="5">
        <f t="shared" si="155"/>
        <v>52856</v>
      </c>
      <c r="I2186" s="6" t="str">
        <f t="shared" si="156"/>
        <v>0</v>
      </c>
      <c r="K2186" s="19" t="s">
        <v>7325</v>
      </c>
    </row>
    <row r="2187" spans="1:11" x14ac:dyDescent="0.2">
      <c r="A2187" t="s">
        <v>2753</v>
      </c>
      <c r="B2187" t="s">
        <v>7330</v>
      </c>
      <c r="F2187" s="5" t="s">
        <v>7331</v>
      </c>
      <c r="G2187" s="5">
        <f t="shared" si="155"/>
        <v>53070</v>
      </c>
      <c r="I2187" s="6" t="str">
        <f t="shared" si="156"/>
        <v>0</v>
      </c>
      <c r="K2187" s="19" t="s">
        <v>7332</v>
      </c>
    </row>
    <row r="2188" spans="1:11" x14ac:dyDescent="0.2">
      <c r="A2188" t="s">
        <v>2754</v>
      </c>
      <c r="B2188" t="s">
        <v>7333</v>
      </c>
      <c r="F2188" s="5" t="s">
        <v>7334</v>
      </c>
      <c r="G2188" s="5">
        <f t="shared" si="155"/>
        <v>53094</v>
      </c>
      <c r="I2188" s="6" t="str">
        <f t="shared" si="156"/>
        <v>0</v>
      </c>
      <c r="K2188" s="19" t="s">
        <v>7335</v>
      </c>
    </row>
    <row r="2189" spans="1:11" x14ac:dyDescent="0.2">
      <c r="A2189" t="s">
        <v>2755</v>
      </c>
      <c r="B2189" t="s">
        <v>7336</v>
      </c>
      <c r="F2189" s="5" t="s">
        <v>7337</v>
      </c>
      <c r="G2189" s="5">
        <f t="shared" si="155"/>
        <v>53128</v>
      </c>
      <c r="I2189" s="6" t="str">
        <f t="shared" si="156"/>
        <v>0</v>
      </c>
      <c r="K2189" s="19" t="s">
        <v>7338</v>
      </c>
    </row>
    <row r="2190" spans="1:11" x14ac:dyDescent="0.2">
      <c r="A2190" t="s">
        <v>2756</v>
      </c>
      <c r="B2190" t="s">
        <v>7339</v>
      </c>
      <c r="F2190" s="5" t="s">
        <v>7340</v>
      </c>
      <c r="G2190" s="5">
        <f t="shared" si="155"/>
        <v>53146</v>
      </c>
      <c r="I2190" s="6" t="str">
        <f t="shared" si="156"/>
        <v>0</v>
      </c>
      <c r="K2190" s="19" t="s">
        <v>7341</v>
      </c>
    </row>
    <row r="2191" spans="1:11" x14ac:dyDescent="0.2">
      <c r="A2191" t="s">
        <v>2757</v>
      </c>
      <c r="B2191" t="s">
        <v>7342</v>
      </c>
      <c r="F2191" s="5" t="s">
        <v>7343</v>
      </c>
      <c r="G2191" s="5">
        <f t="shared" si="155"/>
        <v>53150</v>
      </c>
      <c r="I2191" s="6" t="str">
        <f t="shared" si="156"/>
        <v>0</v>
      </c>
      <c r="K2191" s="19" t="s">
        <v>7344</v>
      </c>
    </row>
    <row r="2192" spans="1:11" x14ac:dyDescent="0.2">
      <c r="A2192" t="s">
        <v>2758</v>
      </c>
      <c r="B2192" t="s">
        <v>7345</v>
      </c>
      <c r="F2192" s="5" t="s">
        <v>7346</v>
      </c>
      <c r="G2192" s="5">
        <f t="shared" si="155"/>
        <v>53166</v>
      </c>
      <c r="I2192" s="6" t="str">
        <f t="shared" si="156"/>
        <v>0</v>
      </c>
      <c r="K2192" s="19" t="s">
        <v>7347</v>
      </c>
    </row>
    <row r="2193" spans="1:11" x14ac:dyDescent="0.2">
      <c r="A2193" t="s">
        <v>2759</v>
      </c>
      <c r="B2193" t="s">
        <v>7352</v>
      </c>
      <c r="F2193" s="5" t="s">
        <v>7353</v>
      </c>
      <c r="G2193" s="5">
        <f t="shared" si="155"/>
        <v>53658</v>
      </c>
      <c r="I2193" s="6" t="str">
        <f t="shared" si="156"/>
        <v>0</v>
      </c>
      <c r="K2193" s="19" t="s">
        <v>7354</v>
      </c>
    </row>
    <row r="2194" spans="1:11" x14ac:dyDescent="0.2">
      <c r="A2194" t="s">
        <v>2760</v>
      </c>
      <c r="B2194" t="s">
        <v>7355</v>
      </c>
      <c r="F2194" s="5" t="s">
        <v>7356</v>
      </c>
      <c r="G2194" s="5">
        <f t="shared" si="155"/>
        <v>53688</v>
      </c>
      <c r="I2194" s="6" t="str">
        <f t="shared" si="156"/>
        <v>0</v>
      </c>
      <c r="K2194" s="19" t="s">
        <v>7357</v>
      </c>
    </row>
    <row r="2195" spans="1:11" x14ac:dyDescent="0.2">
      <c r="A2195" t="s">
        <v>2761</v>
      </c>
      <c r="B2195" t="s">
        <v>7358</v>
      </c>
      <c r="F2195" s="5" t="s">
        <v>7359</v>
      </c>
      <c r="G2195" s="5">
        <f t="shared" si="155"/>
        <v>53704</v>
      </c>
      <c r="I2195" s="6" t="str">
        <f t="shared" si="156"/>
        <v>0</v>
      </c>
      <c r="K2195" s="19" t="s">
        <v>7360</v>
      </c>
    </row>
    <row r="2196" spans="1:11" x14ac:dyDescent="0.2">
      <c r="A2196" t="s">
        <v>2762</v>
      </c>
      <c r="B2196" t="s">
        <v>7361</v>
      </c>
      <c r="F2196" s="5" t="s">
        <v>7362</v>
      </c>
      <c r="G2196" s="5">
        <f t="shared" si="155"/>
        <v>53722</v>
      </c>
      <c r="I2196" s="6" t="str">
        <f t="shared" si="156"/>
        <v>0</v>
      </c>
      <c r="K2196" s="19" t="s">
        <v>7363</v>
      </c>
    </row>
    <row r="2197" spans="1:11" x14ac:dyDescent="0.2">
      <c r="A2197" t="s">
        <v>2763</v>
      </c>
      <c r="B2197" t="s">
        <v>7364</v>
      </c>
      <c r="F2197" s="5" t="s">
        <v>7365</v>
      </c>
      <c r="G2197" s="5">
        <f t="shared" si="155"/>
        <v>53734</v>
      </c>
      <c r="I2197" s="6" t="str">
        <f t="shared" si="156"/>
        <v>0</v>
      </c>
      <c r="K2197" s="19" t="s">
        <v>7366</v>
      </c>
    </row>
    <row r="2198" spans="1:11" x14ac:dyDescent="0.2">
      <c r="A2198" t="s">
        <v>2764</v>
      </c>
      <c r="B2198" t="s">
        <v>7371</v>
      </c>
      <c r="F2198" s="5" t="s">
        <v>7372</v>
      </c>
      <c r="G2198" s="5">
        <f t="shared" si="155"/>
        <v>53782</v>
      </c>
      <c r="I2198" s="6" t="str">
        <f t="shared" si="156"/>
        <v>0</v>
      </c>
      <c r="K2198" s="19" t="s">
        <v>7373</v>
      </c>
    </row>
    <row r="2199" spans="1:11" x14ac:dyDescent="0.2">
      <c r="A2199" t="s">
        <v>2765</v>
      </c>
      <c r="B2199" t="s">
        <v>7377</v>
      </c>
      <c r="F2199" s="5" t="s">
        <v>7378</v>
      </c>
      <c r="G2199" s="5">
        <f t="shared" si="155"/>
        <v>54204</v>
      </c>
      <c r="I2199" s="6" t="str">
        <f t="shared" si="156"/>
        <v>0</v>
      </c>
      <c r="K2199" t="s">
        <v>7385</v>
      </c>
    </row>
    <row r="2200" spans="1:11" x14ac:dyDescent="0.2">
      <c r="A2200" t="s">
        <v>2766</v>
      </c>
      <c r="B2200" t="s">
        <v>2767</v>
      </c>
      <c r="G2200" s="5" t="str">
        <f t="shared" si="155"/>
        <v/>
      </c>
      <c r="I2200" s="6" t="str">
        <f t="shared" si="156"/>
        <v>0</v>
      </c>
      <c r="K2200" s="19" t="s">
        <v>6352</v>
      </c>
    </row>
    <row r="2201" spans="1:11" x14ac:dyDescent="0.2">
      <c r="A2201" t="s">
        <v>2768</v>
      </c>
      <c r="B2201" t="s">
        <v>2769</v>
      </c>
      <c r="E2201" t="str">
        <f t="shared" si="154"/>
        <v/>
      </c>
      <c r="G2201" s="5" t="str">
        <f t="shared" si="155"/>
        <v/>
      </c>
      <c r="I2201" s="6" t="str">
        <f t="shared" si="156"/>
        <v>0</v>
      </c>
    </row>
    <row r="2202" spans="1:11" x14ac:dyDescent="0.2">
      <c r="A2202" t="s">
        <v>2770</v>
      </c>
      <c r="B2202" t="s">
        <v>5423</v>
      </c>
      <c r="G2202" s="5" t="str">
        <f t="shared" si="155"/>
        <v/>
      </c>
      <c r="I2202" s="6" t="str">
        <f t="shared" si="156"/>
        <v>0</v>
      </c>
      <c r="K2202" s="19" t="s">
        <v>5424</v>
      </c>
    </row>
    <row r="2203" spans="1:11" x14ac:dyDescent="0.2">
      <c r="A2203" t="s">
        <v>2771</v>
      </c>
      <c r="B2203" t="s">
        <v>5425</v>
      </c>
      <c r="G2203" s="5" t="str">
        <f t="shared" si="155"/>
        <v/>
      </c>
      <c r="I2203" s="6" t="str">
        <f t="shared" si="156"/>
        <v>0</v>
      </c>
      <c r="K2203" s="19" t="s">
        <v>5426</v>
      </c>
    </row>
    <row r="2204" spans="1:11" x14ac:dyDescent="0.2">
      <c r="A2204" t="s">
        <v>2772</v>
      </c>
      <c r="B2204" t="s">
        <v>5677</v>
      </c>
      <c r="G2204" s="5" t="str">
        <f t="shared" si="155"/>
        <v/>
      </c>
      <c r="I2204" s="6" t="str">
        <f t="shared" si="156"/>
        <v>0</v>
      </c>
      <c r="K2204" s="19" t="s">
        <v>5678</v>
      </c>
    </row>
    <row r="2205" spans="1:11" x14ac:dyDescent="0.2">
      <c r="A2205" t="s">
        <v>2773</v>
      </c>
      <c r="B2205" t="s">
        <v>2774</v>
      </c>
      <c r="G2205" s="5" t="str">
        <f t="shared" si="155"/>
        <v/>
      </c>
      <c r="I2205" s="6" t="str">
        <f t="shared" si="156"/>
        <v>0</v>
      </c>
      <c r="K2205" s="19" t="s">
        <v>6353</v>
      </c>
    </row>
    <row r="2206" spans="1:11" x14ac:dyDescent="0.2">
      <c r="A2206" t="s">
        <v>2775</v>
      </c>
      <c r="B2206" t="s">
        <v>2776</v>
      </c>
      <c r="E2206" t="str">
        <f t="shared" ref="E2206:E2227" si="158">IF(D2206&lt;&gt;"",C2206&amp;"/"&amp;D2206,"")</f>
        <v/>
      </c>
      <c r="G2206" s="5" t="str">
        <f t="shared" si="155"/>
        <v/>
      </c>
      <c r="I2206" s="6" t="str">
        <f t="shared" si="156"/>
        <v>0</v>
      </c>
    </row>
    <row r="2207" spans="1:11" x14ac:dyDescent="0.2">
      <c r="A2207" t="s">
        <v>2777</v>
      </c>
      <c r="B2207" t="s">
        <v>2778</v>
      </c>
      <c r="E2207" t="str">
        <f t="shared" si="158"/>
        <v/>
      </c>
      <c r="G2207" s="5" t="str">
        <f t="shared" si="155"/>
        <v/>
      </c>
      <c r="I2207" s="6" t="str">
        <f t="shared" si="156"/>
        <v>0</v>
      </c>
    </row>
    <row r="2208" spans="1:11" x14ac:dyDescent="0.2">
      <c r="A2208" t="s">
        <v>2779</v>
      </c>
      <c r="B2208" t="s">
        <v>2780</v>
      </c>
      <c r="G2208" s="5" t="str">
        <f t="shared" si="155"/>
        <v/>
      </c>
      <c r="I2208" s="6" t="str">
        <f t="shared" si="156"/>
        <v>0</v>
      </c>
      <c r="K2208" s="19" t="s">
        <v>6354</v>
      </c>
    </row>
    <row r="2209" spans="1:11" x14ac:dyDescent="0.2">
      <c r="A2209" t="s">
        <v>2781</v>
      </c>
      <c r="B2209" t="s">
        <v>2782</v>
      </c>
      <c r="E2209" t="str">
        <f t="shared" si="158"/>
        <v/>
      </c>
      <c r="G2209" s="5" t="str">
        <f t="shared" si="155"/>
        <v/>
      </c>
      <c r="I2209" s="6" t="str">
        <f t="shared" si="156"/>
        <v>0</v>
      </c>
    </row>
    <row r="2210" spans="1:11" x14ac:dyDescent="0.2">
      <c r="A2210" t="s">
        <v>2783</v>
      </c>
      <c r="B2210" t="s">
        <v>2784</v>
      </c>
      <c r="G2210" s="5" t="str">
        <f t="shared" si="155"/>
        <v/>
      </c>
      <c r="I2210" s="6" t="str">
        <f t="shared" si="156"/>
        <v>0</v>
      </c>
      <c r="K2210" s="19" t="s">
        <v>6355</v>
      </c>
    </row>
    <row r="2211" spans="1:11" x14ac:dyDescent="0.2">
      <c r="A2211" t="s">
        <v>2785</v>
      </c>
      <c r="B2211" t="s">
        <v>2786</v>
      </c>
      <c r="G2211" s="5" t="str">
        <f t="shared" si="155"/>
        <v/>
      </c>
      <c r="I2211" s="6" t="str">
        <f t="shared" si="156"/>
        <v>0</v>
      </c>
      <c r="K2211" s="19" t="s">
        <v>6356</v>
      </c>
    </row>
    <row r="2212" spans="1:11" x14ac:dyDescent="0.2">
      <c r="A2212" t="s">
        <v>2787</v>
      </c>
      <c r="B2212" t="s">
        <v>2788</v>
      </c>
      <c r="E2212" t="str">
        <f t="shared" si="158"/>
        <v/>
      </c>
      <c r="G2212" s="5" t="str">
        <f t="shared" si="155"/>
        <v/>
      </c>
      <c r="I2212" s="6" t="str">
        <f t="shared" si="156"/>
        <v>0</v>
      </c>
    </row>
    <row r="2213" spans="1:11" x14ac:dyDescent="0.2">
      <c r="A2213" t="s">
        <v>2789</v>
      </c>
      <c r="B2213" t="s">
        <v>2790</v>
      </c>
      <c r="E2213" t="str">
        <f t="shared" si="158"/>
        <v/>
      </c>
      <c r="G2213" s="5" t="str">
        <f t="shared" si="155"/>
        <v/>
      </c>
      <c r="I2213" s="6" t="str">
        <f t="shared" si="156"/>
        <v>0</v>
      </c>
    </row>
    <row r="2214" spans="1:11" x14ac:dyDescent="0.2">
      <c r="A2214" t="s">
        <v>2791</v>
      </c>
      <c r="B2214" t="s">
        <v>2792</v>
      </c>
      <c r="E2214" t="str">
        <f t="shared" si="158"/>
        <v/>
      </c>
      <c r="G2214" s="5" t="str">
        <f t="shared" si="155"/>
        <v/>
      </c>
      <c r="I2214" s="6" t="str">
        <f t="shared" si="156"/>
        <v>0</v>
      </c>
    </row>
    <row r="2215" spans="1:11" x14ac:dyDescent="0.2">
      <c r="A2215" t="s">
        <v>2793</v>
      </c>
      <c r="B2215" t="s">
        <v>2794</v>
      </c>
      <c r="E2215" t="str">
        <f t="shared" si="158"/>
        <v/>
      </c>
      <c r="G2215" s="5" t="str">
        <f t="shared" si="155"/>
        <v/>
      </c>
      <c r="I2215" s="6" t="str">
        <f t="shared" si="156"/>
        <v>0</v>
      </c>
    </row>
    <row r="2216" spans="1:11" x14ac:dyDescent="0.2">
      <c r="A2216" t="s">
        <v>2795</v>
      </c>
      <c r="B2216" t="s">
        <v>2796</v>
      </c>
      <c r="E2216" t="str">
        <f t="shared" si="158"/>
        <v/>
      </c>
      <c r="G2216" s="5" t="str">
        <f t="shared" si="155"/>
        <v/>
      </c>
      <c r="I2216" s="6" t="str">
        <f t="shared" si="156"/>
        <v>0</v>
      </c>
    </row>
    <row r="2217" spans="1:11" x14ac:dyDescent="0.2">
      <c r="A2217" t="s">
        <v>2797</v>
      </c>
      <c r="B2217" t="s">
        <v>2798</v>
      </c>
      <c r="E2217" t="str">
        <f t="shared" si="158"/>
        <v/>
      </c>
      <c r="G2217" s="5" t="str">
        <f t="shared" si="155"/>
        <v/>
      </c>
      <c r="I2217" s="6" t="str">
        <f t="shared" si="156"/>
        <v>0</v>
      </c>
    </row>
    <row r="2218" spans="1:11" x14ac:dyDescent="0.2">
      <c r="A2218" t="s">
        <v>2799</v>
      </c>
      <c r="B2218" t="s">
        <v>2800</v>
      </c>
      <c r="E2218" t="str">
        <f t="shared" si="158"/>
        <v/>
      </c>
      <c r="G2218" s="5" t="str">
        <f t="shared" si="155"/>
        <v/>
      </c>
      <c r="I2218" s="6" t="str">
        <f t="shared" si="156"/>
        <v>0</v>
      </c>
    </row>
    <row r="2219" spans="1:11" x14ac:dyDescent="0.2">
      <c r="A2219" t="s">
        <v>2801</v>
      </c>
      <c r="B2219" t="s">
        <v>7244</v>
      </c>
      <c r="G2219" s="5" t="str">
        <f t="shared" si="155"/>
        <v/>
      </c>
      <c r="I2219" s="6" t="str">
        <f t="shared" si="156"/>
        <v>0</v>
      </c>
    </row>
    <row r="2220" spans="1:11" x14ac:dyDescent="0.2">
      <c r="A2220" t="s">
        <v>2802</v>
      </c>
      <c r="B2220" t="s">
        <v>7245</v>
      </c>
      <c r="G2220" s="5" t="str">
        <f t="shared" si="155"/>
        <v/>
      </c>
      <c r="I2220" s="6" t="str">
        <f t="shared" si="156"/>
        <v>0</v>
      </c>
    </row>
    <row r="2221" spans="1:11" x14ac:dyDescent="0.2">
      <c r="A2221" t="s">
        <v>2803</v>
      </c>
      <c r="B2221" t="s">
        <v>2804</v>
      </c>
      <c r="G2221" s="5" t="str">
        <f t="shared" si="155"/>
        <v/>
      </c>
      <c r="I2221" s="6" t="str">
        <f t="shared" si="156"/>
        <v>0</v>
      </c>
      <c r="K2221" s="19" t="s">
        <v>6357</v>
      </c>
    </row>
    <row r="2222" spans="1:11" x14ac:dyDescent="0.2">
      <c r="A2222" t="s">
        <v>2805</v>
      </c>
      <c r="B2222" t="s">
        <v>2806</v>
      </c>
      <c r="E2222" t="str">
        <f t="shared" si="158"/>
        <v/>
      </c>
      <c r="G2222" s="5" t="str">
        <f t="shared" si="155"/>
        <v/>
      </c>
      <c r="I2222" s="6" t="str">
        <f t="shared" si="156"/>
        <v>0</v>
      </c>
    </row>
    <row r="2223" spans="1:11" x14ac:dyDescent="0.2">
      <c r="A2223" t="s">
        <v>2807</v>
      </c>
      <c r="B2223" t="s">
        <v>2808</v>
      </c>
      <c r="G2223" s="5" t="str">
        <f t="shared" si="155"/>
        <v/>
      </c>
      <c r="I2223" s="6" t="str">
        <f t="shared" si="156"/>
        <v>0</v>
      </c>
      <c r="K2223" s="19" t="s">
        <v>6358</v>
      </c>
    </row>
    <row r="2224" spans="1:11" x14ac:dyDescent="0.2">
      <c r="A2224" t="s">
        <v>2809</v>
      </c>
      <c r="B2224" t="s">
        <v>2810</v>
      </c>
      <c r="E2224" t="str">
        <f t="shared" si="158"/>
        <v/>
      </c>
      <c r="G2224" s="5" t="str">
        <f t="shared" si="155"/>
        <v/>
      </c>
      <c r="I2224" s="6" t="str">
        <f t="shared" si="156"/>
        <v>0</v>
      </c>
    </row>
    <row r="2225" spans="1:11" x14ac:dyDescent="0.2">
      <c r="A2225" t="s">
        <v>2811</v>
      </c>
      <c r="B2225" t="s">
        <v>7246</v>
      </c>
      <c r="G2225" s="5" t="str">
        <f t="shared" si="155"/>
        <v/>
      </c>
      <c r="I2225" s="6" t="str">
        <f t="shared" si="156"/>
        <v>0</v>
      </c>
    </row>
    <row r="2226" spans="1:11" x14ac:dyDescent="0.2">
      <c r="A2226" t="s">
        <v>2812</v>
      </c>
      <c r="B2226" t="s">
        <v>7247</v>
      </c>
      <c r="G2226" s="5" t="str">
        <f t="shared" si="155"/>
        <v/>
      </c>
      <c r="I2226" s="6" t="str">
        <f t="shared" si="156"/>
        <v>0</v>
      </c>
    </row>
    <row r="2227" spans="1:11" x14ac:dyDescent="0.2">
      <c r="A2227" t="s">
        <v>2813</v>
      </c>
      <c r="B2227" t="s">
        <v>2814</v>
      </c>
      <c r="E2227" t="str">
        <f t="shared" si="158"/>
        <v/>
      </c>
      <c r="G2227" s="5" t="str">
        <f t="shared" si="155"/>
        <v/>
      </c>
      <c r="I2227" s="6" t="str">
        <f t="shared" si="156"/>
        <v>0</v>
      </c>
    </row>
    <row r="2228" spans="1:11" x14ac:dyDescent="0.2">
      <c r="A2228" t="s">
        <v>2815</v>
      </c>
      <c r="B2228" t="s">
        <v>7248</v>
      </c>
      <c r="G2228" s="5" t="str">
        <f t="shared" si="155"/>
        <v/>
      </c>
      <c r="I2228" s="6" t="str">
        <f t="shared" si="156"/>
        <v>0</v>
      </c>
    </row>
    <row r="2229" spans="1:11" x14ac:dyDescent="0.2">
      <c r="A2229" t="s">
        <v>2816</v>
      </c>
      <c r="B2229" t="s">
        <v>5427</v>
      </c>
      <c r="G2229" s="5" t="str">
        <f t="shared" si="155"/>
        <v/>
      </c>
      <c r="I2229" s="6" t="str">
        <f t="shared" si="156"/>
        <v>0</v>
      </c>
      <c r="K2229" s="19" t="s">
        <v>5428</v>
      </c>
    </row>
    <row r="2230" spans="1:11" x14ac:dyDescent="0.2">
      <c r="A2230" t="s">
        <v>2817</v>
      </c>
      <c r="B2230" t="s">
        <v>5429</v>
      </c>
      <c r="G2230" s="5" t="str">
        <f t="shared" si="155"/>
        <v/>
      </c>
      <c r="I2230" s="6" t="str">
        <f t="shared" si="156"/>
        <v>0</v>
      </c>
      <c r="K2230" s="19" t="s">
        <v>5430</v>
      </c>
    </row>
    <row r="2231" spans="1:11" x14ac:dyDescent="0.2">
      <c r="A2231" t="s">
        <v>2818</v>
      </c>
      <c r="B2231" t="s">
        <v>7249</v>
      </c>
      <c r="G2231" s="5" t="str">
        <f t="shared" si="155"/>
        <v/>
      </c>
      <c r="I2231" s="6" t="str">
        <f t="shared" si="156"/>
        <v>0</v>
      </c>
    </row>
    <row r="2232" spans="1:11" x14ac:dyDescent="0.2">
      <c r="A2232" t="s">
        <v>2819</v>
      </c>
      <c r="B2232" t="s">
        <v>7250</v>
      </c>
      <c r="G2232" s="5" t="str">
        <f t="shared" si="155"/>
        <v/>
      </c>
      <c r="I2232" s="6" t="str">
        <f t="shared" si="156"/>
        <v>0</v>
      </c>
    </row>
    <row r="2233" spans="1:11" x14ac:dyDescent="0.2">
      <c r="A2233" t="s">
        <v>2820</v>
      </c>
      <c r="B2233" t="s">
        <v>7251</v>
      </c>
      <c r="G2233" s="5" t="str">
        <f t="shared" si="155"/>
        <v/>
      </c>
      <c r="I2233" s="6" t="str">
        <f t="shared" si="156"/>
        <v>0</v>
      </c>
    </row>
    <row r="2234" spans="1:11" x14ac:dyDescent="0.2">
      <c r="A2234" t="s">
        <v>2821</v>
      </c>
      <c r="B2234" t="s">
        <v>7252</v>
      </c>
      <c r="G2234" s="5" t="str">
        <f t="shared" si="155"/>
        <v/>
      </c>
      <c r="I2234" s="6" t="str">
        <f t="shared" si="156"/>
        <v>0</v>
      </c>
    </row>
    <row r="2235" spans="1:11" x14ac:dyDescent="0.2">
      <c r="A2235" t="s">
        <v>2822</v>
      </c>
      <c r="B2235" t="s">
        <v>5897</v>
      </c>
      <c r="G2235" s="5" t="str">
        <f t="shared" si="155"/>
        <v/>
      </c>
      <c r="I2235" s="6" t="str">
        <f t="shared" si="156"/>
        <v>0</v>
      </c>
      <c r="K2235" s="19" t="s">
        <v>5898</v>
      </c>
    </row>
    <row r="2236" spans="1:11" x14ac:dyDescent="0.2">
      <c r="A2236" t="s">
        <v>2823</v>
      </c>
      <c r="B2236" t="s">
        <v>5899</v>
      </c>
      <c r="G2236" s="5" t="str">
        <f t="shared" si="155"/>
        <v/>
      </c>
      <c r="I2236" s="6" t="str">
        <f t="shared" si="156"/>
        <v>0</v>
      </c>
      <c r="K2236" s="19" t="s">
        <v>5900</v>
      </c>
    </row>
    <row r="2237" spans="1:11" x14ac:dyDescent="0.2">
      <c r="A2237" t="s">
        <v>2824</v>
      </c>
      <c r="B2237" t="s">
        <v>5901</v>
      </c>
      <c r="G2237" s="5" t="str">
        <f t="shared" si="155"/>
        <v/>
      </c>
      <c r="I2237" s="6" t="str">
        <f t="shared" si="156"/>
        <v>0</v>
      </c>
      <c r="K2237" s="19" t="s">
        <v>5902</v>
      </c>
    </row>
    <row r="2238" spans="1:11" x14ac:dyDescent="0.2">
      <c r="A2238" t="s">
        <v>2825</v>
      </c>
      <c r="B2238" t="s">
        <v>5903</v>
      </c>
      <c r="G2238" s="5" t="str">
        <f t="shared" si="155"/>
        <v/>
      </c>
      <c r="I2238" s="6" t="str">
        <f t="shared" si="156"/>
        <v>0</v>
      </c>
      <c r="K2238" s="19" t="s">
        <v>5904</v>
      </c>
    </row>
    <row r="2239" spans="1:11" x14ac:dyDescent="0.2">
      <c r="A2239" t="s">
        <v>2826</v>
      </c>
      <c r="B2239" t="s">
        <v>2827</v>
      </c>
      <c r="E2239" t="str">
        <f t="shared" ref="E2239:E2265" si="159">IF(D2239&lt;&gt;"",C2239&amp;"/"&amp;D2239,"")</f>
        <v/>
      </c>
      <c r="G2239" s="5" t="str">
        <f t="shared" si="155"/>
        <v/>
      </c>
      <c r="I2239" s="6" t="str">
        <f t="shared" si="156"/>
        <v>0</v>
      </c>
    </row>
    <row r="2240" spans="1:11" x14ac:dyDescent="0.2">
      <c r="A2240" t="s">
        <v>2828</v>
      </c>
      <c r="B2240" t="s">
        <v>2829</v>
      </c>
      <c r="E2240" t="str">
        <f t="shared" si="159"/>
        <v/>
      </c>
      <c r="G2240" s="5" t="str">
        <f t="shared" ref="G2240:G2303" si="160">IF(F2240&lt;&gt;"",HEX2DEC(SUBSTITUTE(SUBSTITUTE(F2240,"adrEA",""),"$","")),"")</f>
        <v/>
      </c>
      <c r="I2240" s="6" t="str">
        <f t="shared" ref="I2240:I2303" si="161">IFERROR(DEC2HEX(H2240),"")</f>
        <v>0</v>
      </c>
    </row>
    <row r="2241" spans="1:11" x14ac:dyDescent="0.2">
      <c r="A2241" t="s">
        <v>2830</v>
      </c>
      <c r="B2241" t="s">
        <v>2831</v>
      </c>
      <c r="E2241" t="str">
        <f t="shared" si="159"/>
        <v/>
      </c>
      <c r="G2241" s="5" t="str">
        <f t="shared" si="160"/>
        <v/>
      </c>
      <c r="I2241" s="6" t="str">
        <f t="shared" si="161"/>
        <v>0</v>
      </c>
    </row>
    <row r="2242" spans="1:11" x14ac:dyDescent="0.2">
      <c r="A2242" t="s">
        <v>2832</v>
      </c>
      <c r="B2242" t="s">
        <v>2832</v>
      </c>
      <c r="G2242" s="5" t="str">
        <f t="shared" si="160"/>
        <v/>
      </c>
      <c r="I2242" s="6" t="str">
        <f t="shared" si="161"/>
        <v>0</v>
      </c>
      <c r="K2242" s="19" t="s">
        <v>6359</v>
      </c>
    </row>
    <row r="2243" spans="1:11" x14ac:dyDescent="0.2">
      <c r="A2243" t="s">
        <v>2833</v>
      </c>
      <c r="B2243" t="s">
        <v>305</v>
      </c>
      <c r="E2243" t="str">
        <f t="shared" si="159"/>
        <v/>
      </c>
      <c r="G2243" s="5" t="str">
        <f t="shared" si="160"/>
        <v/>
      </c>
      <c r="I2243" s="6" t="str">
        <f t="shared" si="161"/>
        <v>0</v>
      </c>
    </row>
    <row r="2244" spans="1:11" x14ac:dyDescent="0.2">
      <c r="A2244" t="s">
        <v>2834</v>
      </c>
      <c r="B2244" t="s">
        <v>2834</v>
      </c>
      <c r="E2244" t="str">
        <f t="shared" si="159"/>
        <v/>
      </c>
      <c r="G2244" s="5" t="str">
        <f t="shared" si="160"/>
        <v/>
      </c>
      <c r="I2244" s="6" t="str">
        <f t="shared" si="161"/>
        <v>0</v>
      </c>
    </row>
    <row r="2245" spans="1:11" x14ac:dyDescent="0.2">
      <c r="A2245" t="s">
        <v>2835</v>
      </c>
      <c r="B2245" t="s">
        <v>2835</v>
      </c>
      <c r="G2245" s="5" t="str">
        <f t="shared" si="160"/>
        <v/>
      </c>
      <c r="I2245" s="6" t="str">
        <f t="shared" si="161"/>
        <v>0</v>
      </c>
      <c r="K2245" s="19" t="s">
        <v>6360</v>
      </c>
    </row>
    <row r="2246" spans="1:11" x14ac:dyDescent="0.2">
      <c r="A2246" t="s">
        <v>2836</v>
      </c>
      <c r="B2246" t="s">
        <v>2836</v>
      </c>
      <c r="E2246" t="str">
        <f t="shared" si="159"/>
        <v/>
      </c>
      <c r="G2246" s="5" t="str">
        <f t="shared" si="160"/>
        <v/>
      </c>
      <c r="I2246" s="6" t="str">
        <f t="shared" si="161"/>
        <v>0</v>
      </c>
    </row>
    <row r="2247" spans="1:11" x14ac:dyDescent="0.2">
      <c r="A2247" t="s">
        <v>2837</v>
      </c>
      <c r="B2247" t="s">
        <v>2837</v>
      </c>
      <c r="G2247" s="5" t="str">
        <f t="shared" si="160"/>
        <v/>
      </c>
      <c r="I2247" s="6" t="str">
        <f t="shared" si="161"/>
        <v>0</v>
      </c>
      <c r="K2247" s="19" t="s">
        <v>6361</v>
      </c>
    </row>
    <row r="2248" spans="1:11" x14ac:dyDescent="0.2">
      <c r="A2248" t="s">
        <v>2838</v>
      </c>
      <c r="B2248" t="s">
        <v>2838</v>
      </c>
      <c r="G2248" s="5" t="str">
        <f t="shared" si="160"/>
        <v/>
      </c>
      <c r="I2248" s="6" t="str">
        <f t="shared" si="161"/>
        <v>0</v>
      </c>
      <c r="K2248" s="19" t="s">
        <v>6362</v>
      </c>
    </row>
    <row r="2249" spans="1:11" x14ac:dyDescent="0.2">
      <c r="A2249" t="s">
        <v>2839</v>
      </c>
      <c r="B2249" t="s">
        <v>2840</v>
      </c>
      <c r="G2249" s="5" t="str">
        <f t="shared" si="160"/>
        <v/>
      </c>
      <c r="I2249" s="6" t="str">
        <f t="shared" si="161"/>
        <v>0</v>
      </c>
      <c r="K2249" s="19" t="s">
        <v>6363</v>
      </c>
    </row>
    <row r="2250" spans="1:11" x14ac:dyDescent="0.2">
      <c r="A2250" t="s">
        <v>2841</v>
      </c>
      <c r="B2250" t="s">
        <v>2841</v>
      </c>
      <c r="E2250" t="str">
        <f t="shared" si="159"/>
        <v/>
      </c>
      <c r="G2250" s="5" t="str">
        <f t="shared" si="160"/>
        <v/>
      </c>
      <c r="I2250" s="6" t="str">
        <f t="shared" si="161"/>
        <v>0</v>
      </c>
    </row>
    <row r="2251" spans="1:11" x14ac:dyDescent="0.2">
      <c r="A2251" t="s">
        <v>2842</v>
      </c>
      <c r="B2251" t="s">
        <v>2842</v>
      </c>
      <c r="E2251" t="str">
        <f t="shared" si="159"/>
        <v/>
      </c>
      <c r="G2251" s="5" t="str">
        <f t="shared" si="160"/>
        <v/>
      </c>
      <c r="I2251" s="6" t="str">
        <f t="shared" si="161"/>
        <v>0</v>
      </c>
    </row>
    <row r="2252" spans="1:11" x14ac:dyDescent="0.2">
      <c r="A2252" t="s">
        <v>2843</v>
      </c>
      <c r="B2252" t="s">
        <v>2843</v>
      </c>
      <c r="G2252" s="5" t="str">
        <f t="shared" si="160"/>
        <v/>
      </c>
      <c r="I2252" s="6" t="str">
        <f t="shared" si="161"/>
        <v>0</v>
      </c>
      <c r="K2252" s="19" t="s">
        <v>6364</v>
      </c>
    </row>
    <row r="2253" spans="1:11" x14ac:dyDescent="0.2">
      <c r="A2253" t="s">
        <v>2844</v>
      </c>
      <c r="B2253" t="s">
        <v>5464</v>
      </c>
      <c r="G2253" s="5" t="str">
        <f t="shared" si="160"/>
        <v/>
      </c>
      <c r="I2253" s="6" t="str">
        <f t="shared" si="161"/>
        <v>0</v>
      </c>
      <c r="K2253" s="19" t="s">
        <v>5465</v>
      </c>
    </row>
    <row r="2254" spans="1:11" x14ac:dyDescent="0.2">
      <c r="A2254" t="s">
        <v>2845</v>
      </c>
      <c r="B2254" t="s">
        <v>2845</v>
      </c>
      <c r="E2254" t="str">
        <f t="shared" si="159"/>
        <v/>
      </c>
      <c r="G2254" s="5" t="str">
        <f t="shared" si="160"/>
        <v/>
      </c>
      <c r="I2254" s="6" t="str">
        <f t="shared" si="161"/>
        <v>0</v>
      </c>
    </row>
    <row r="2255" spans="1:11" x14ac:dyDescent="0.2">
      <c r="A2255" t="s">
        <v>2846</v>
      </c>
      <c r="B2255" t="s">
        <v>7253</v>
      </c>
      <c r="G2255" s="5" t="str">
        <f t="shared" si="160"/>
        <v/>
      </c>
      <c r="I2255" s="6" t="str">
        <f t="shared" si="161"/>
        <v>0</v>
      </c>
    </row>
    <row r="2256" spans="1:11" x14ac:dyDescent="0.2">
      <c r="A2256" t="s">
        <v>2847</v>
      </c>
      <c r="B2256" t="s">
        <v>7254</v>
      </c>
      <c r="G2256" s="5" t="str">
        <f t="shared" si="160"/>
        <v/>
      </c>
      <c r="I2256" s="6" t="str">
        <f t="shared" si="161"/>
        <v>0</v>
      </c>
    </row>
    <row r="2257" spans="1:11" x14ac:dyDescent="0.2">
      <c r="A2257" t="s">
        <v>2848</v>
      </c>
      <c r="B2257" t="s">
        <v>7255</v>
      </c>
      <c r="G2257" s="5" t="str">
        <f t="shared" si="160"/>
        <v/>
      </c>
      <c r="I2257" s="6" t="str">
        <f t="shared" si="161"/>
        <v>0</v>
      </c>
    </row>
    <row r="2258" spans="1:11" x14ac:dyDescent="0.2">
      <c r="A2258" t="s">
        <v>2849</v>
      </c>
      <c r="B2258" t="s">
        <v>7256</v>
      </c>
      <c r="G2258" s="5" t="str">
        <f t="shared" si="160"/>
        <v/>
      </c>
      <c r="I2258" s="6" t="str">
        <f t="shared" si="161"/>
        <v>0</v>
      </c>
    </row>
    <row r="2259" spans="1:11" x14ac:dyDescent="0.2">
      <c r="A2259" t="s">
        <v>2850</v>
      </c>
      <c r="B2259" t="s">
        <v>7257</v>
      </c>
      <c r="G2259" s="5" t="str">
        <f t="shared" si="160"/>
        <v/>
      </c>
      <c r="I2259" s="6" t="str">
        <f t="shared" si="161"/>
        <v>0</v>
      </c>
    </row>
    <row r="2260" spans="1:11" x14ac:dyDescent="0.2">
      <c r="A2260" t="s">
        <v>2851</v>
      </c>
      <c r="B2260" t="s">
        <v>7258</v>
      </c>
      <c r="G2260" s="5" t="str">
        <f t="shared" si="160"/>
        <v/>
      </c>
      <c r="I2260" s="6" t="str">
        <f t="shared" si="161"/>
        <v>0</v>
      </c>
    </row>
    <row r="2261" spans="1:11" x14ac:dyDescent="0.2">
      <c r="A2261" t="s">
        <v>2852</v>
      </c>
      <c r="B2261" t="s">
        <v>2852</v>
      </c>
      <c r="G2261" s="5" t="str">
        <f t="shared" si="160"/>
        <v/>
      </c>
      <c r="I2261" s="6" t="str">
        <f t="shared" si="161"/>
        <v>0</v>
      </c>
      <c r="K2261" s="19" t="s">
        <v>6365</v>
      </c>
    </row>
    <row r="2262" spans="1:11" x14ac:dyDescent="0.2">
      <c r="A2262" t="s">
        <v>2853</v>
      </c>
      <c r="B2262" t="s">
        <v>2853</v>
      </c>
      <c r="E2262" t="str">
        <f t="shared" si="159"/>
        <v/>
      </c>
      <c r="G2262" s="5" t="str">
        <f t="shared" si="160"/>
        <v/>
      </c>
      <c r="I2262" s="6" t="str">
        <f t="shared" si="161"/>
        <v>0</v>
      </c>
    </row>
    <row r="2263" spans="1:11" x14ac:dyDescent="0.2">
      <c r="A2263" t="s">
        <v>2855</v>
      </c>
      <c r="B2263" t="s">
        <v>3901</v>
      </c>
      <c r="E2263" t="str">
        <f t="shared" si="159"/>
        <v/>
      </c>
      <c r="G2263" s="5" t="str">
        <f t="shared" si="160"/>
        <v/>
      </c>
      <c r="I2263" s="6" t="str">
        <f t="shared" si="161"/>
        <v>0</v>
      </c>
    </row>
    <row r="2264" spans="1:11" x14ac:dyDescent="0.2">
      <c r="A2264" t="s">
        <v>2856</v>
      </c>
      <c r="B2264" t="s">
        <v>3902</v>
      </c>
      <c r="E2264" t="str">
        <f t="shared" si="159"/>
        <v/>
      </c>
      <c r="G2264" s="5" t="str">
        <f t="shared" si="160"/>
        <v/>
      </c>
      <c r="I2264" s="6" t="str">
        <f t="shared" si="161"/>
        <v>0</v>
      </c>
    </row>
    <row r="2265" spans="1:11" ht="17" x14ac:dyDescent="0.25">
      <c r="A2265" t="s">
        <v>2857</v>
      </c>
      <c r="B2265" t="s">
        <v>3841</v>
      </c>
      <c r="C2265" s="5" t="s">
        <v>48</v>
      </c>
      <c r="D2265" t="s">
        <v>3843</v>
      </c>
      <c r="E2265" t="str">
        <f t="shared" si="159"/>
        <v>data/objectdefinitions.block</v>
      </c>
      <c r="F2265" s="5" t="s">
        <v>3842</v>
      </c>
      <c r="G2265" s="5">
        <f t="shared" si="160"/>
        <v>57662</v>
      </c>
      <c r="H2265" s="5">
        <v>440</v>
      </c>
      <c r="I2265" s="6" t="str">
        <f t="shared" si="161"/>
        <v>1B8</v>
      </c>
      <c r="K2265" s="19" t="s">
        <v>3844</v>
      </c>
    </row>
    <row r="2266" spans="1:11" ht="17" x14ac:dyDescent="0.25">
      <c r="A2266" t="s">
        <v>2858</v>
      </c>
      <c r="B2266" t="s">
        <v>3845</v>
      </c>
      <c r="G2266" s="5" t="str">
        <f t="shared" si="160"/>
        <v/>
      </c>
      <c r="I2266" s="6" t="str">
        <f t="shared" si="161"/>
        <v>0</v>
      </c>
      <c r="K2266" s="19" t="s">
        <v>3846</v>
      </c>
    </row>
    <row r="2267" spans="1:11" ht="17" x14ac:dyDescent="0.25">
      <c r="A2267" t="s">
        <v>2859</v>
      </c>
      <c r="B2267" t="s">
        <v>3847</v>
      </c>
      <c r="G2267" s="5" t="str">
        <f t="shared" si="160"/>
        <v/>
      </c>
      <c r="I2267" s="6" t="str">
        <f t="shared" si="161"/>
        <v>0</v>
      </c>
      <c r="K2267" s="19" t="s">
        <v>3848</v>
      </c>
    </row>
    <row r="2268" spans="1:11" x14ac:dyDescent="0.2">
      <c r="A2268" t="s">
        <v>2865</v>
      </c>
      <c r="B2268" t="s">
        <v>5905</v>
      </c>
      <c r="G2268" s="5" t="str">
        <f t="shared" si="160"/>
        <v/>
      </c>
      <c r="I2268" s="6" t="str">
        <f t="shared" si="161"/>
        <v>0</v>
      </c>
      <c r="K2268" s="19" t="s">
        <v>5906</v>
      </c>
    </row>
    <row r="2269" spans="1:11" x14ac:dyDescent="0.2">
      <c r="A2269" t="s">
        <v>2866</v>
      </c>
      <c r="B2269" t="s">
        <v>2867</v>
      </c>
      <c r="E2269" t="str">
        <f>IF(D2269&lt;&gt;"",C2269&amp;"/"&amp;D2269,"")</f>
        <v/>
      </c>
      <c r="G2269" s="5" t="str">
        <f t="shared" si="160"/>
        <v/>
      </c>
      <c r="I2269" s="6" t="str">
        <f t="shared" si="161"/>
        <v>0</v>
      </c>
    </row>
    <row r="2270" spans="1:11" x14ac:dyDescent="0.2">
      <c r="A2270" t="s">
        <v>2868</v>
      </c>
      <c r="B2270" t="s">
        <v>3749</v>
      </c>
      <c r="C2270" s="5" t="s">
        <v>48</v>
      </c>
      <c r="D2270" t="s">
        <v>3750</v>
      </c>
      <c r="E2270" t="str">
        <f t="shared" ref="E2270" si="162">IF(D2270&lt;&gt;"",C2270&amp;"/"&amp;D2270,"")</f>
        <v>data/champion-stats-scroll-food.text</v>
      </c>
      <c r="F2270" s="5" t="s">
        <v>3751</v>
      </c>
      <c r="G2270" s="5">
        <f t="shared" si="160"/>
        <v>58980</v>
      </c>
      <c r="H2270" s="5">
        <v>24</v>
      </c>
      <c r="I2270" s="6" t="str">
        <f t="shared" si="161"/>
        <v>18</v>
      </c>
      <c r="K2270" s="19" t="s">
        <v>3752</v>
      </c>
    </row>
    <row r="2271" spans="1:11" x14ac:dyDescent="0.2">
      <c r="A2271" t="s">
        <v>2869</v>
      </c>
      <c r="B2271" t="s">
        <v>5907</v>
      </c>
      <c r="G2271" s="5" t="str">
        <f t="shared" si="160"/>
        <v/>
      </c>
      <c r="I2271" s="6" t="str">
        <f t="shared" si="161"/>
        <v>0</v>
      </c>
      <c r="K2271" s="19" t="s">
        <v>5908</v>
      </c>
    </row>
    <row r="2272" spans="1:11" x14ac:dyDescent="0.2">
      <c r="A2272" t="s">
        <v>2870</v>
      </c>
      <c r="B2272" t="s">
        <v>5909</v>
      </c>
      <c r="G2272" s="5" t="str">
        <f t="shared" si="160"/>
        <v/>
      </c>
      <c r="I2272" s="6" t="str">
        <f t="shared" si="161"/>
        <v>0</v>
      </c>
      <c r="K2272" s="19" t="s">
        <v>5910</v>
      </c>
    </row>
    <row r="2273" spans="1:11" x14ac:dyDescent="0.2">
      <c r="A2273" t="s">
        <v>2871</v>
      </c>
      <c r="B2273" t="s">
        <v>5911</v>
      </c>
      <c r="G2273" s="5" t="str">
        <f t="shared" si="160"/>
        <v/>
      </c>
      <c r="I2273" s="6" t="str">
        <f t="shared" si="161"/>
        <v>0</v>
      </c>
      <c r="K2273" s="19" t="s">
        <v>5912</v>
      </c>
    </row>
    <row r="2274" spans="1:11" x14ac:dyDescent="0.2">
      <c r="A2274" t="s">
        <v>2872</v>
      </c>
      <c r="B2274" t="s">
        <v>5913</v>
      </c>
      <c r="G2274" s="5" t="str">
        <f t="shared" si="160"/>
        <v/>
      </c>
      <c r="I2274" s="6" t="str">
        <f t="shared" si="161"/>
        <v>0</v>
      </c>
      <c r="K2274" s="19" t="s">
        <v>5914</v>
      </c>
    </row>
    <row r="2275" spans="1:11" x14ac:dyDescent="0.2">
      <c r="A2275" t="s">
        <v>2873</v>
      </c>
      <c r="B2275" t="s">
        <v>5915</v>
      </c>
      <c r="G2275" s="5" t="str">
        <f t="shared" si="160"/>
        <v/>
      </c>
      <c r="I2275" s="6" t="str">
        <f t="shared" si="161"/>
        <v>0</v>
      </c>
      <c r="K2275" s="19" t="s">
        <v>5916</v>
      </c>
    </row>
    <row r="2276" spans="1:11" x14ac:dyDescent="0.2">
      <c r="A2276" t="s">
        <v>2874</v>
      </c>
      <c r="B2276" t="s">
        <v>3135</v>
      </c>
      <c r="E2276" t="str">
        <f t="shared" ref="E2276:E2278" si="163">IF(D2276&lt;&gt;"",C2276&amp;"/"&amp;D2276,"")</f>
        <v/>
      </c>
      <c r="G2276" s="5" t="str">
        <f t="shared" si="160"/>
        <v/>
      </c>
      <c r="I2276" s="6" t="str">
        <f t="shared" si="161"/>
        <v>0</v>
      </c>
    </row>
    <row r="2277" spans="1:11" x14ac:dyDescent="0.2">
      <c r="A2277" t="s">
        <v>2875</v>
      </c>
      <c r="B2277" t="s">
        <v>4868</v>
      </c>
      <c r="C2277" s="5" t="s">
        <v>48</v>
      </c>
      <c r="D2277" t="s">
        <v>4869</v>
      </c>
      <c r="E2277" t="str">
        <f t="shared" si="163"/>
        <v>data/Interface_Hitboxes_Main.lookup</v>
      </c>
      <c r="F2277" s="5" t="s">
        <v>4870</v>
      </c>
      <c r="G2277" s="5">
        <f t="shared" si="160"/>
        <v>59118</v>
      </c>
      <c r="H2277" s="5">
        <v>136</v>
      </c>
      <c r="I2277" s="6" t="str">
        <f t="shared" si="161"/>
        <v>88</v>
      </c>
      <c r="J2277" s="6" t="s">
        <v>3409</v>
      </c>
      <c r="K2277" s="19" t="s">
        <v>4871</v>
      </c>
    </row>
    <row r="2278" spans="1:11" x14ac:dyDescent="0.2">
      <c r="A2278" t="s">
        <v>2876</v>
      </c>
      <c r="B2278" t="s">
        <v>4872</v>
      </c>
      <c r="C2278" s="5" t="s">
        <v>48</v>
      </c>
      <c r="D2278" t="s">
        <v>4873</v>
      </c>
      <c r="E2278" t="str">
        <f t="shared" si="163"/>
        <v>data/Interface_Hitboxes_Command.lookup</v>
      </c>
      <c r="F2278" s="5" t="s">
        <v>4874</v>
      </c>
      <c r="G2278" s="5">
        <f t="shared" si="160"/>
        <v>59254</v>
      </c>
      <c r="H2278" s="5">
        <v>48</v>
      </c>
      <c r="I2278" s="6" t="str">
        <f t="shared" si="161"/>
        <v>30</v>
      </c>
      <c r="J2278" s="6" t="s">
        <v>3409</v>
      </c>
      <c r="K2278" s="19" t="s">
        <v>4875</v>
      </c>
    </row>
    <row r="2279" spans="1:11" x14ac:dyDescent="0.2">
      <c r="A2279" t="s">
        <v>2878</v>
      </c>
      <c r="B2279" t="s">
        <v>3271</v>
      </c>
      <c r="E2279" t="str">
        <f t="shared" ref="E2279:E2289" si="164">IF(D2279&lt;&gt;"",C2279&amp;"/"&amp;D2279,"")</f>
        <v/>
      </c>
      <c r="G2279" s="5" t="str">
        <f t="shared" si="160"/>
        <v/>
      </c>
      <c r="I2279" s="6" t="str">
        <f t="shared" si="161"/>
        <v>0</v>
      </c>
    </row>
    <row r="2280" spans="1:11" x14ac:dyDescent="0.2">
      <c r="A2280" t="s">
        <v>2879</v>
      </c>
      <c r="B2280" t="s">
        <v>3272</v>
      </c>
      <c r="E2280" t="str">
        <f t="shared" si="164"/>
        <v/>
      </c>
      <c r="G2280" s="5" t="str">
        <f t="shared" si="160"/>
        <v/>
      </c>
      <c r="I2280" s="6" t="str">
        <f t="shared" si="161"/>
        <v>0</v>
      </c>
    </row>
    <row r="2281" spans="1:11" x14ac:dyDescent="0.2">
      <c r="A2281" t="s">
        <v>2880</v>
      </c>
      <c r="B2281" t="s">
        <v>3273</v>
      </c>
      <c r="E2281" t="str">
        <f t="shared" si="164"/>
        <v/>
      </c>
      <c r="G2281" s="5" t="str">
        <f t="shared" si="160"/>
        <v/>
      </c>
      <c r="I2281" s="6" t="str">
        <f t="shared" si="161"/>
        <v>0</v>
      </c>
    </row>
    <row r="2282" spans="1:11" x14ac:dyDescent="0.2">
      <c r="A2282" t="s">
        <v>2882</v>
      </c>
      <c r="B2282" t="s">
        <v>3274</v>
      </c>
      <c r="E2282" t="str">
        <f t="shared" si="164"/>
        <v/>
      </c>
      <c r="G2282" s="5" t="str">
        <f t="shared" si="160"/>
        <v/>
      </c>
      <c r="I2282" s="6" t="str">
        <f t="shared" si="161"/>
        <v>0</v>
      </c>
    </row>
    <row r="2283" spans="1:11" x14ac:dyDescent="0.2">
      <c r="A2283" t="s">
        <v>2883</v>
      </c>
      <c r="B2283" t="s">
        <v>7394</v>
      </c>
      <c r="I2283" s="6">
        <v>0</v>
      </c>
      <c r="K2283" s="19" t="s">
        <v>7395</v>
      </c>
    </row>
    <row r="2284" spans="1:11" x14ac:dyDescent="0.2">
      <c r="A2284" t="s">
        <v>2884</v>
      </c>
      <c r="B2284" t="s">
        <v>5917</v>
      </c>
      <c r="G2284" s="5" t="str">
        <f t="shared" si="160"/>
        <v/>
      </c>
      <c r="I2284" s="6" t="str">
        <f t="shared" si="161"/>
        <v>0</v>
      </c>
      <c r="K2284" s="19" t="s">
        <v>5918</v>
      </c>
    </row>
    <row r="2285" spans="1:11" x14ac:dyDescent="0.2">
      <c r="A2285" t="s">
        <v>2885</v>
      </c>
      <c r="B2285" t="s">
        <v>6188</v>
      </c>
      <c r="G2285" s="5" t="str">
        <f t="shared" si="160"/>
        <v/>
      </c>
      <c r="I2285" s="6" t="str">
        <f t="shared" si="161"/>
        <v>0</v>
      </c>
      <c r="K2285" s="19" t="s">
        <v>6189</v>
      </c>
    </row>
    <row r="2286" spans="1:11" x14ac:dyDescent="0.2">
      <c r="A2286" t="s">
        <v>2886</v>
      </c>
      <c r="B2286" t="s">
        <v>2886</v>
      </c>
      <c r="E2286" t="str">
        <f t="shared" si="164"/>
        <v/>
      </c>
      <c r="G2286" s="5" t="str">
        <f t="shared" si="160"/>
        <v/>
      </c>
      <c r="I2286" s="6" t="str">
        <f t="shared" si="161"/>
        <v>0</v>
      </c>
    </row>
    <row r="2287" spans="1:11" x14ac:dyDescent="0.2">
      <c r="A2287" t="s">
        <v>2887</v>
      </c>
      <c r="B2287" t="s">
        <v>3134</v>
      </c>
      <c r="E2287" t="str">
        <f t="shared" si="164"/>
        <v/>
      </c>
      <c r="G2287" s="5" t="str">
        <f t="shared" si="160"/>
        <v/>
      </c>
      <c r="I2287" s="6" t="str">
        <f t="shared" si="161"/>
        <v>0</v>
      </c>
    </row>
    <row r="2288" spans="1:11" x14ac:dyDescent="0.2">
      <c r="A2288" t="s">
        <v>2888</v>
      </c>
      <c r="B2288" t="s">
        <v>2888</v>
      </c>
      <c r="E2288" t="str">
        <f t="shared" si="164"/>
        <v/>
      </c>
      <c r="G2288" s="5" t="str">
        <f t="shared" si="160"/>
        <v/>
      </c>
      <c r="I2288" s="6" t="str">
        <f t="shared" si="161"/>
        <v>0</v>
      </c>
    </row>
    <row r="2289" spans="1:11" x14ac:dyDescent="0.2">
      <c r="A2289" t="s">
        <v>2889</v>
      </c>
      <c r="B2289" t="s">
        <v>2890</v>
      </c>
      <c r="E2289" t="str">
        <f t="shared" si="164"/>
        <v/>
      </c>
      <c r="G2289" s="5" t="str">
        <f t="shared" si="160"/>
        <v/>
      </c>
      <c r="I2289" s="6" t="str">
        <f t="shared" si="161"/>
        <v>0</v>
      </c>
    </row>
    <row r="2290" spans="1:11" x14ac:dyDescent="0.2">
      <c r="A2290" t="s">
        <v>2891</v>
      </c>
      <c r="B2290" t="s">
        <v>5919</v>
      </c>
      <c r="G2290" s="5" t="str">
        <f t="shared" si="160"/>
        <v/>
      </c>
      <c r="I2290" s="6" t="str">
        <f t="shared" si="161"/>
        <v>0</v>
      </c>
      <c r="K2290" s="19" t="s">
        <v>5920</v>
      </c>
    </row>
    <row r="2291" spans="1:11" x14ac:dyDescent="0.2">
      <c r="A2291" t="s">
        <v>2892</v>
      </c>
      <c r="B2291" t="s">
        <v>5921</v>
      </c>
      <c r="G2291" s="5" t="str">
        <f t="shared" si="160"/>
        <v/>
      </c>
      <c r="I2291" s="6" t="str">
        <f t="shared" si="161"/>
        <v>0</v>
      </c>
      <c r="K2291" s="19" t="s">
        <v>5922</v>
      </c>
    </row>
    <row r="2292" spans="1:11" x14ac:dyDescent="0.2">
      <c r="A2292" t="s">
        <v>2893</v>
      </c>
      <c r="B2292" t="s">
        <v>5923</v>
      </c>
      <c r="G2292" s="5" t="str">
        <f t="shared" si="160"/>
        <v/>
      </c>
      <c r="I2292" s="6" t="str">
        <f t="shared" si="161"/>
        <v>0</v>
      </c>
      <c r="K2292" s="19" t="s">
        <v>5924</v>
      </c>
    </row>
    <row r="2293" spans="1:11" x14ac:dyDescent="0.2">
      <c r="A2293" t="s">
        <v>2894</v>
      </c>
      <c r="B2293" t="s">
        <v>5925</v>
      </c>
      <c r="G2293" s="5" t="str">
        <f t="shared" si="160"/>
        <v/>
      </c>
      <c r="I2293" s="6" t="str">
        <f t="shared" si="161"/>
        <v>0</v>
      </c>
      <c r="K2293" s="19" t="s">
        <v>5926</v>
      </c>
    </row>
    <row r="2294" spans="1:11" x14ac:dyDescent="0.2">
      <c r="A2294" t="s">
        <v>2895</v>
      </c>
      <c r="B2294" t="s">
        <v>6096</v>
      </c>
      <c r="G2294" s="5" t="str">
        <f t="shared" si="160"/>
        <v/>
      </c>
      <c r="I2294" s="6" t="str">
        <f t="shared" si="161"/>
        <v>0</v>
      </c>
      <c r="K2294" s="19" t="s">
        <v>6097</v>
      </c>
    </row>
    <row r="2295" spans="1:11" x14ac:dyDescent="0.2">
      <c r="A2295" t="s">
        <v>2896</v>
      </c>
      <c r="B2295" t="s">
        <v>5927</v>
      </c>
      <c r="G2295" s="5" t="str">
        <f t="shared" si="160"/>
        <v/>
      </c>
      <c r="I2295" s="6" t="str">
        <f t="shared" si="161"/>
        <v>0</v>
      </c>
      <c r="K2295" s="19" t="s">
        <v>5928</v>
      </c>
    </row>
    <row r="2296" spans="1:11" x14ac:dyDescent="0.2">
      <c r="A2296" t="s">
        <v>2897</v>
      </c>
      <c r="B2296" t="s">
        <v>4321</v>
      </c>
      <c r="G2296" s="5" t="str">
        <f t="shared" si="160"/>
        <v/>
      </c>
      <c r="I2296" s="6" t="str">
        <f t="shared" si="161"/>
        <v>0</v>
      </c>
      <c r="K2296" s="19" t="s">
        <v>4322</v>
      </c>
    </row>
    <row r="2297" spans="1:11" x14ac:dyDescent="0.2">
      <c r="A2297" t="s">
        <v>2898</v>
      </c>
      <c r="B2297" t="s">
        <v>5929</v>
      </c>
      <c r="G2297" s="5" t="str">
        <f t="shared" si="160"/>
        <v/>
      </c>
      <c r="I2297" s="6" t="str">
        <f t="shared" si="161"/>
        <v>0</v>
      </c>
      <c r="K2297" s="19" t="s">
        <v>5930</v>
      </c>
    </row>
    <row r="2298" spans="1:11" x14ac:dyDescent="0.2">
      <c r="A2298" t="s">
        <v>2899</v>
      </c>
      <c r="B2298" t="s">
        <v>5931</v>
      </c>
      <c r="G2298" s="5" t="str">
        <f t="shared" si="160"/>
        <v/>
      </c>
      <c r="I2298" s="6" t="str">
        <f t="shared" si="161"/>
        <v>0</v>
      </c>
      <c r="K2298" s="19" t="s">
        <v>5932</v>
      </c>
    </row>
    <row r="2299" spans="1:11" x14ac:dyDescent="0.2">
      <c r="A2299" t="s">
        <v>2900</v>
      </c>
      <c r="B2299" t="s">
        <v>5933</v>
      </c>
      <c r="G2299" s="5" t="str">
        <f t="shared" si="160"/>
        <v/>
      </c>
      <c r="I2299" s="6" t="str">
        <f t="shared" si="161"/>
        <v>0</v>
      </c>
      <c r="K2299" s="19" t="s">
        <v>5934</v>
      </c>
    </row>
    <row r="2300" spans="1:11" x14ac:dyDescent="0.2">
      <c r="A2300" t="s">
        <v>2901</v>
      </c>
      <c r="B2300" t="s">
        <v>5935</v>
      </c>
      <c r="G2300" s="5" t="str">
        <f t="shared" si="160"/>
        <v/>
      </c>
      <c r="I2300" s="6" t="str">
        <f t="shared" si="161"/>
        <v>0</v>
      </c>
      <c r="K2300" s="19" t="s">
        <v>5936</v>
      </c>
    </row>
    <row r="2301" spans="1:11" x14ac:dyDescent="0.2">
      <c r="A2301" t="s">
        <v>2902</v>
      </c>
      <c r="B2301" t="s">
        <v>5937</v>
      </c>
      <c r="G2301" s="5" t="str">
        <f t="shared" si="160"/>
        <v/>
      </c>
      <c r="I2301" s="6" t="str">
        <f t="shared" si="161"/>
        <v>0</v>
      </c>
      <c r="K2301" s="19" t="s">
        <v>5938</v>
      </c>
    </row>
    <row r="2302" spans="1:11" x14ac:dyDescent="0.2">
      <c r="A2302" t="s">
        <v>2903</v>
      </c>
      <c r="B2302" t="s">
        <v>5939</v>
      </c>
      <c r="G2302" s="5" t="str">
        <f t="shared" si="160"/>
        <v/>
      </c>
      <c r="I2302" s="6" t="str">
        <f t="shared" si="161"/>
        <v>0</v>
      </c>
      <c r="K2302" s="19" t="s">
        <v>5940</v>
      </c>
    </row>
    <row r="2303" spans="1:11" x14ac:dyDescent="0.2">
      <c r="A2303" t="s">
        <v>2904</v>
      </c>
      <c r="B2303" t="s">
        <v>7259</v>
      </c>
      <c r="G2303" s="5" t="str">
        <f t="shared" si="160"/>
        <v/>
      </c>
      <c r="I2303" s="6" t="str">
        <f t="shared" si="161"/>
        <v>0</v>
      </c>
    </row>
    <row r="2304" spans="1:11" x14ac:dyDescent="0.2">
      <c r="A2304" t="s">
        <v>2905</v>
      </c>
      <c r="B2304" t="s">
        <v>4317</v>
      </c>
      <c r="G2304" s="5" t="str">
        <f t="shared" ref="G2304:G2366" si="165">IF(F2304&lt;&gt;"",HEX2DEC(SUBSTITUTE(SUBSTITUTE(F2304,"adrEA",""),"$","")),"")</f>
        <v/>
      </c>
      <c r="I2304" s="6" t="str">
        <f t="shared" ref="I2304:I2366" si="166">IFERROR(DEC2HEX(H2304),"")</f>
        <v>0</v>
      </c>
      <c r="K2304" s="19" t="s">
        <v>4318</v>
      </c>
    </row>
    <row r="2305" spans="1:11" x14ac:dyDescent="0.2">
      <c r="A2305" t="s">
        <v>2906</v>
      </c>
      <c r="B2305" t="s">
        <v>2906</v>
      </c>
      <c r="E2305" t="str">
        <f t="shared" ref="E2305" si="167">IF(D2305&lt;&gt;"",C2305&amp;"/"&amp;D2305,"")</f>
        <v/>
      </c>
      <c r="G2305" s="5" t="str">
        <f t="shared" si="165"/>
        <v/>
      </c>
      <c r="I2305" s="6" t="str">
        <f t="shared" si="166"/>
        <v>0</v>
      </c>
    </row>
    <row r="2306" spans="1:11" x14ac:dyDescent="0.2">
      <c r="A2306" t="s">
        <v>2907</v>
      </c>
      <c r="B2306" t="s">
        <v>5941</v>
      </c>
      <c r="G2306" s="5" t="str">
        <f t="shared" si="165"/>
        <v/>
      </c>
      <c r="I2306" s="6" t="str">
        <f t="shared" si="166"/>
        <v>0</v>
      </c>
      <c r="K2306" s="19" t="s">
        <v>5942</v>
      </c>
    </row>
    <row r="2307" spans="1:11" x14ac:dyDescent="0.2">
      <c r="A2307" t="s">
        <v>2908</v>
      </c>
      <c r="B2307" t="s">
        <v>5943</v>
      </c>
      <c r="G2307" s="5" t="str">
        <f t="shared" si="165"/>
        <v/>
      </c>
      <c r="I2307" s="6" t="str">
        <f t="shared" si="166"/>
        <v>0</v>
      </c>
      <c r="K2307" s="19" t="s">
        <v>5944</v>
      </c>
    </row>
    <row r="2308" spans="1:11" x14ac:dyDescent="0.2">
      <c r="A2308" t="s">
        <v>2909</v>
      </c>
      <c r="B2308" t="s">
        <v>5945</v>
      </c>
      <c r="G2308" s="5" t="str">
        <f t="shared" si="165"/>
        <v/>
      </c>
      <c r="I2308" s="6" t="str">
        <f t="shared" si="166"/>
        <v>0</v>
      </c>
      <c r="K2308" s="19" t="s">
        <v>5946</v>
      </c>
    </row>
    <row r="2309" spans="1:11" x14ac:dyDescent="0.2">
      <c r="A2309" t="s">
        <v>2910</v>
      </c>
      <c r="B2309" t="s">
        <v>5947</v>
      </c>
      <c r="G2309" s="5" t="str">
        <f t="shared" si="165"/>
        <v/>
      </c>
      <c r="I2309" s="6" t="str">
        <f t="shared" si="166"/>
        <v>0</v>
      </c>
      <c r="K2309" s="19" t="s">
        <v>5948</v>
      </c>
    </row>
    <row r="2310" spans="1:11" x14ac:dyDescent="0.2">
      <c r="A2310" t="s">
        <v>2911</v>
      </c>
      <c r="B2310" t="s">
        <v>5949</v>
      </c>
      <c r="G2310" s="5" t="str">
        <f t="shared" si="165"/>
        <v/>
      </c>
      <c r="I2310" s="6" t="str">
        <f t="shared" si="166"/>
        <v>0</v>
      </c>
      <c r="K2310" s="19" t="s">
        <v>5950</v>
      </c>
    </row>
    <row r="2311" spans="1:11" x14ac:dyDescent="0.2">
      <c r="A2311" t="s">
        <v>2912</v>
      </c>
      <c r="B2311" t="s">
        <v>4958</v>
      </c>
      <c r="G2311" s="5" t="str">
        <f t="shared" si="165"/>
        <v/>
      </c>
      <c r="I2311" s="6" t="str">
        <f t="shared" si="166"/>
        <v>0</v>
      </c>
      <c r="K2311" s="19" t="s">
        <v>4959</v>
      </c>
    </row>
    <row r="2312" spans="1:11" x14ac:dyDescent="0.2">
      <c r="A2312" t="s">
        <v>2913</v>
      </c>
      <c r="B2312" t="s">
        <v>3185</v>
      </c>
      <c r="E2312" t="str">
        <f t="shared" ref="E2312:E2358" si="168">IF(D2312&lt;&gt;"",C2312&amp;"/"&amp;D2312,"")</f>
        <v/>
      </c>
      <c r="G2312" s="5" t="str">
        <f t="shared" si="165"/>
        <v/>
      </c>
      <c r="I2312" s="6" t="str">
        <f t="shared" si="166"/>
        <v>0</v>
      </c>
    </row>
    <row r="2313" spans="1:11" x14ac:dyDescent="0.2">
      <c r="A2313" t="s">
        <v>2914</v>
      </c>
      <c r="B2313" t="s">
        <v>5951</v>
      </c>
      <c r="G2313" s="5" t="str">
        <f t="shared" si="165"/>
        <v/>
      </c>
      <c r="I2313" s="6" t="str">
        <f t="shared" si="166"/>
        <v>0</v>
      </c>
      <c r="K2313" s="19" t="s">
        <v>5952</v>
      </c>
    </row>
    <row r="2314" spans="1:11" x14ac:dyDescent="0.2">
      <c r="A2314" t="s">
        <v>2915</v>
      </c>
      <c r="B2314" t="s">
        <v>5953</v>
      </c>
      <c r="G2314" s="5" t="str">
        <f t="shared" si="165"/>
        <v/>
      </c>
      <c r="I2314" s="6" t="str">
        <f t="shared" si="166"/>
        <v>0</v>
      </c>
      <c r="K2314" s="19" t="s">
        <v>5954</v>
      </c>
    </row>
    <row r="2315" spans="1:11" x14ac:dyDescent="0.2">
      <c r="A2315" t="s">
        <v>2916</v>
      </c>
      <c r="B2315" t="s">
        <v>3187</v>
      </c>
      <c r="E2315" t="str">
        <f t="shared" si="168"/>
        <v/>
      </c>
      <c r="G2315" s="5" t="str">
        <f t="shared" si="165"/>
        <v/>
      </c>
      <c r="I2315" s="6" t="str">
        <f t="shared" si="166"/>
        <v>0</v>
      </c>
    </row>
    <row r="2316" spans="1:11" x14ac:dyDescent="0.2">
      <c r="A2316" t="s">
        <v>2917</v>
      </c>
      <c r="B2316" t="s">
        <v>5955</v>
      </c>
      <c r="G2316" s="5" t="str">
        <f t="shared" si="165"/>
        <v/>
      </c>
      <c r="I2316" s="6" t="str">
        <f t="shared" si="166"/>
        <v>0</v>
      </c>
      <c r="K2316" s="19" t="s">
        <v>5956</v>
      </c>
    </row>
    <row r="2317" spans="1:11" x14ac:dyDescent="0.2">
      <c r="A2317" t="s">
        <v>2918</v>
      </c>
      <c r="B2317" t="s">
        <v>5957</v>
      </c>
      <c r="G2317" s="5" t="str">
        <f t="shared" si="165"/>
        <v/>
      </c>
      <c r="I2317" s="6" t="str">
        <f t="shared" si="166"/>
        <v>0</v>
      </c>
      <c r="K2317" s="19" t="s">
        <v>5958</v>
      </c>
    </row>
    <row r="2318" spans="1:11" x14ac:dyDescent="0.2">
      <c r="A2318" t="s">
        <v>2919</v>
      </c>
      <c r="B2318" t="s">
        <v>5959</v>
      </c>
      <c r="G2318" s="5" t="str">
        <f t="shared" si="165"/>
        <v/>
      </c>
      <c r="I2318" s="6" t="str">
        <f t="shared" si="166"/>
        <v>0</v>
      </c>
      <c r="K2318" s="19" t="s">
        <v>5960</v>
      </c>
    </row>
    <row r="2319" spans="1:11" x14ac:dyDescent="0.2">
      <c r="A2319" t="s">
        <v>2920</v>
      </c>
      <c r="B2319" t="s">
        <v>5961</v>
      </c>
      <c r="G2319" s="5" t="str">
        <f t="shared" si="165"/>
        <v/>
      </c>
      <c r="I2319" s="6" t="str">
        <f t="shared" si="166"/>
        <v>0</v>
      </c>
      <c r="K2319" s="19" t="s">
        <v>5962</v>
      </c>
    </row>
    <row r="2320" spans="1:11" x14ac:dyDescent="0.2">
      <c r="A2320" t="s">
        <v>2921</v>
      </c>
      <c r="B2320" t="s">
        <v>5963</v>
      </c>
      <c r="G2320" s="5" t="str">
        <f t="shared" si="165"/>
        <v/>
      </c>
      <c r="I2320" s="6" t="str">
        <f t="shared" si="166"/>
        <v>0</v>
      </c>
      <c r="K2320" s="19" t="s">
        <v>5964</v>
      </c>
    </row>
    <row r="2321" spans="1:11" x14ac:dyDescent="0.2">
      <c r="A2321" t="s">
        <v>2923</v>
      </c>
      <c r="B2321" t="s">
        <v>5965</v>
      </c>
      <c r="G2321" s="5" t="str">
        <f t="shared" si="165"/>
        <v/>
      </c>
      <c r="I2321" s="6" t="str">
        <f t="shared" si="166"/>
        <v>0</v>
      </c>
      <c r="K2321" s="19" t="s">
        <v>5966</v>
      </c>
    </row>
    <row r="2322" spans="1:11" x14ac:dyDescent="0.2">
      <c r="A2322" t="s">
        <v>2924</v>
      </c>
      <c r="B2322" t="s">
        <v>5967</v>
      </c>
      <c r="G2322" s="5" t="str">
        <f t="shared" si="165"/>
        <v/>
      </c>
      <c r="I2322" s="6" t="str">
        <f t="shared" si="166"/>
        <v>0</v>
      </c>
      <c r="K2322" s="19" t="s">
        <v>5968</v>
      </c>
    </row>
    <row r="2323" spans="1:11" x14ac:dyDescent="0.2">
      <c r="A2323" t="s">
        <v>2925</v>
      </c>
      <c r="B2323" t="s">
        <v>2925</v>
      </c>
      <c r="E2323" t="str">
        <f t="shared" si="168"/>
        <v/>
      </c>
      <c r="G2323" s="5" t="str">
        <f t="shared" si="165"/>
        <v/>
      </c>
      <c r="I2323" s="6" t="str">
        <f t="shared" si="166"/>
        <v>0</v>
      </c>
    </row>
    <row r="2324" spans="1:11" x14ac:dyDescent="0.2">
      <c r="A2324" t="s">
        <v>2926</v>
      </c>
      <c r="B2324" t="s">
        <v>5969</v>
      </c>
      <c r="G2324" s="5" t="str">
        <f t="shared" si="165"/>
        <v/>
      </c>
      <c r="I2324" s="6" t="str">
        <f t="shared" si="166"/>
        <v>0</v>
      </c>
      <c r="K2324" s="19" t="s">
        <v>5970</v>
      </c>
    </row>
    <row r="2325" spans="1:11" x14ac:dyDescent="0.2">
      <c r="A2325" t="s">
        <v>2927</v>
      </c>
      <c r="B2325" t="s">
        <v>5971</v>
      </c>
      <c r="G2325" s="5" t="str">
        <f t="shared" si="165"/>
        <v/>
      </c>
      <c r="I2325" s="6" t="str">
        <f t="shared" si="166"/>
        <v>0</v>
      </c>
      <c r="K2325" s="19" t="s">
        <v>5972</v>
      </c>
    </row>
    <row r="2326" spans="1:11" x14ac:dyDescent="0.2">
      <c r="A2326" t="s">
        <v>2928</v>
      </c>
      <c r="B2326" t="s">
        <v>5973</v>
      </c>
      <c r="G2326" s="5" t="str">
        <f t="shared" si="165"/>
        <v/>
      </c>
      <c r="I2326" s="6" t="str">
        <f t="shared" si="166"/>
        <v>0</v>
      </c>
      <c r="K2326" s="19" t="s">
        <v>5974</v>
      </c>
    </row>
    <row r="2327" spans="1:11" x14ac:dyDescent="0.2">
      <c r="A2327" t="s">
        <v>2929</v>
      </c>
      <c r="B2327" t="s">
        <v>3186</v>
      </c>
      <c r="E2327" t="str">
        <f t="shared" si="168"/>
        <v/>
      </c>
      <c r="G2327" s="5" t="str">
        <f t="shared" si="165"/>
        <v/>
      </c>
      <c r="I2327" s="6" t="str">
        <f t="shared" si="166"/>
        <v>0</v>
      </c>
    </row>
    <row r="2328" spans="1:11" x14ac:dyDescent="0.2">
      <c r="A2328" t="s">
        <v>2930</v>
      </c>
      <c r="B2328" t="s">
        <v>5975</v>
      </c>
      <c r="G2328" s="5" t="str">
        <f t="shared" si="165"/>
        <v/>
      </c>
      <c r="I2328" s="6" t="str">
        <f t="shared" si="166"/>
        <v>0</v>
      </c>
      <c r="K2328" s="19" t="s">
        <v>5976</v>
      </c>
    </row>
    <row r="2329" spans="1:11" x14ac:dyDescent="0.2">
      <c r="A2329" t="s">
        <v>2931</v>
      </c>
      <c r="B2329" t="s">
        <v>3188</v>
      </c>
      <c r="E2329" t="str">
        <f t="shared" si="168"/>
        <v/>
      </c>
      <c r="G2329" s="5" t="str">
        <f t="shared" si="165"/>
        <v/>
      </c>
      <c r="I2329" s="6" t="str">
        <f t="shared" si="166"/>
        <v>0</v>
      </c>
    </row>
    <row r="2330" spans="1:11" x14ac:dyDescent="0.2">
      <c r="A2330" t="s">
        <v>2932</v>
      </c>
      <c r="B2330" t="s">
        <v>5977</v>
      </c>
      <c r="G2330" s="5" t="str">
        <f t="shared" si="165"/>
        <v/>
      </c>
      <c r="I2330" s="6" t="str">
        <f t="shared" si="166"/>
        <v>0</v>
      </c>
      <c r="K2330" s="19" t="s">
        <v>5978</v>
      </c>
    </row>
    <row r="2331" spans="1:11" x14ac:dyDescent="0.2">
      <c r="A2331" t="s">
        <v>2933</v>
      </c>
      <c r="B2331" t="s">
        <v>5979</v>
      </c>
      <c r="G2331" s="5" t="str">
        <f t="shared" si="165"/>
        <v/>
      </c>
      <c r="I2331" s="6" t="str">
        <f t="shared" si="166"/>
        <v>0</v>
      </c>
      <c r="K2331" s="19" t="s">
        <v>5980</v>
      </c>
    </row>
    <row r="2332" spans="1:11" x14ac:dyDescent="0.2">
      <c r="A2332" t="s">
        <v>2934</v>
      </c>
      <c r="B2332" t="s">
        <v>5981</v>
      </c>
      <c r="G2332" s="5" t="str">
        <f t="shared" si="165"/>
        <v/>
      </c>
      <c r="I2332" s="6" t="str">
        <f t="shared" si="166"/>
        <v>0</v>
      </c>
      <c r="K2332" s="19" t="s">
        <v>5982</v>
      </c>
    </row>
    <row r="2333" spans="1:11" x14ac:dyDescent="0.2">
      <c r="A2333" t="s">
        <v>2935</v>
      </c>
      <c r="B2333" t="s">
        <v>5983</v>
      </c>
      <c r="G2333" s="5" t="str">
        <f t="shared" si="165"/>
        <v/>
      </c>
      <c r="I2333" s="6" t="str">
        <f t="shared" si="166"/>
        <v>0</v>
      </c>
      <c r="K2333" s="19" t="s">
        <v>5984</v>
      </c>
    </row>
    <row r="2334" spans="1:11" x14ac:dyDescent="0.2">
      <c r="A2334" t="s">
        <v>2936</v>
      </c>
      <c r="B2334" t="s">
        <v>5985</v>
      </c>
      <c r="G2334" s="5" t="str">
        <f t="shared" si="165"/>
        <v/>
      </c>
      <c r="I2334" s="6" t="str">
        <f t="shared" si="166"/>
        <v>0</v>
      </c>
      <c r="K2334" s="19" t="s">
        <v>5986</v>
      </c>
    </row>
    <row r="2335" spans="1:11" x14ac:dyDescent="0.2">
      <c r="A2335" t="s">
        <v>2938</v>
      </c>
      <c r="B2335" t="s">
        <v>5987</v>
      </c>
      <c r="G2335" s="5" t="str">
        <f t="shared" si="165"/>
        <v/>
      </c>
      <c r="I2335" s="6" t="str">
        <f t="shared" si="166"/>
        <v>0</v>
      </c>
      <c r="K2335" s="19" t="s">
        <v>5988</v>
      </c>
    </row>
    <row r="2336" spans="1:11" x14ac:dyDescent="0.2">
      <c r="A2336" t="s">
        <v>2939</v>
      </c>
      <c r="B2336" t="s">
        <v>5989</v>
      </c>
      <c r="G2336" s="5" t="str">
        <f t="shared" si="165"/>
        <v/>
      </c>
      <c r="I2336" s="6" t="str">
        <f t="shared" si="166"/>
        <v>0</v>
      </c>
      <c r="K2336" s="19" t="s">
        <v>5990</v>
      </c>
    </row>
    <row r="2337" spans="1:11" x14ac:dyDescent="0.2">
      <c r="A2337" t="s">
        <v>2942</v>
      </c>
      <c r="B2337" t="s">
        <v>3062</v>
      </c>
      <c r="E2337" t="str">
        <f t="shared" si="168"/>
        <v/>
      </c>
      <c r="G2337" s="5" t="str">
        <f t="shared" si="165"/>
        <v/>
      </c>
      <c r="I2337" s="6" t="str">
        <f t="shared" si="166"/>
        <v>0</v>
      </c>
    </row>
    <row r="2338" spans="1:11" x14ac:dyDescent="0.2">
      <c r="A2338" t="s">
        <v>2943</v>
      </c>
      <c r="B2338" t="s">
        <v>3063</v>
      </c>
      <c r="E2338" t="str">
        <f t="shared" si="168"/>
        <v/>
      </c>
      <c r="G2338" s="5" t="str">
        <f t="shared" si="165"/>
        <v/>
      </c>
      <c r="I2338" s="6" t="str">
        <f t="shared" si="166"/>
        <v>0</v>
      </c>
    </row>
    <row r="2339" spans="1:11" x14ac:dyDescent="0.2">
      <c r="A2339" t="s">
        <v>2953</v>
      </c>
      <c r="B2339" t="s">
        <v>5991</v>
      </c>
      <c r="G2339" s="5" t="str">
        <f t="shared" si="165"/>
        <v/>
      </c>
      <c r="I2339" s="6" t="str">
        <f t="shared" si="166"/>
        <v>0</v>
      </c>
      <c r="K2339" s="19" t="s">
        <v>5992</v>
      </c>
    </row>
    <row r="2340" spans="1:11" x14ac:dyDescent="0.2">
      <c r="A2340" t="s">
        <v>2954</v>
      </c>
      <c r="B2340" t="s">
        <v>5993</v>
      </c>
      <c r="G2340" s="5" t="str">
        <f t="shared" si="165"/>
        <v/>
      </c>
      <c r="I2340" s="6" t="str">
        <f t="shared" si="166"/>
        <v>0</v>
      </c>
      <c r="K2340" s="19" t="s">
        <v>5994</v>
      </c>
    </row>
    <row r="2341" spans="1:11" x14ac:dyDescent="0.2">
      <c r="A2341" t="s">
        <v>2956</v>
      </c>
      <c r="B2341" t="s">
        <v>3266</v>
      </c>
      <c r="E2341" t="str">
        <f t="shared" si="168"/>
        <v/>
      </c>
      <c r="G2341" s="5" t="str">
        <f t="shared" si="165"/>
        <v/>
      </c>
      <c r="H2341" s="5">
        <f>16*8*4</f>
        <v>512</v>
      </c>
      <c r="I2341" s="6" t="str">
        <f t="shared" si="166"/>
        <v>200</v>
      </c>
    </row>
    <row r="2342" spans="1:11" x14ac:dyDescent="0.2">
      <c r="A2342" t="s">
        <v>2957</v>
      </c>
      <c r="B2342" t="s">
        <v>2957</v>
      </c>
      <c r="E2342" t="str">
        <f t="shared" si="168"/>
        <v/>
      </c>
      <c r="G2342" s="5" t="str">
        <f t="shared" si="165"/>
        <v/>
      </c>
      <c r="I2342" s="6" t="str">
        <f t="shared" si="166"/>
        <v>0</v>
      </c>
    </row>
    <row r="2343" spans="1:11" x14ac:dyDescent="0.2">
      <c r="A2343" t="s">
        <v>2961</v>
      </c>
      <c r="B2343" t="s">
        <v>5995</v>
      </c>
      <c r="G2343" s="5" t="str">
        <f t="shared" si="165"/>
        <v/>
      </c>
      <c r="I2343" s="6" t="str">
        <f t="shared" si="166"/>
        <v>0</v>
      </c>
      <c r="K2343" s="19" t="s">
        <v>5996</v>
      </c>
    </row>
    <row r="2344" spans="1:11" x14ac:dyDescent="0.2">
      <c r="A2344" t="s">
        <v>2964</v>
      </c>
      <c r="B2344" t="s">
        <v>5997</v>
      </c>
      <c r="G2344" s="5" t="str">
        <f t="shared" si="165"/>
        <v/>
      </c>
      <c r="I2344" s="6" t="str">
        <f t="shared" si="166"/>
        <v>0</v>
      </c>
      <c r="K2344" s="19" t="s">
        <v>5998</v>
      </c>
    </row>
    <row r="2345" spans="1:11" x14ac:dyDescent="0.2">
      <c r="A2345" t="s">
        <v>2965</v>
      </c>
      <c r="B2345" t="s">
        <v>5999</v>
      </c>
      <c r="G2345" s="5" t="str">
        <f t="shared" si="165"/>
        <v/>
      </c>
      <c r="I2345" s="6" t="str">
        <f t="shared" si="166"/>
        <v>0</v>
      </c>
      <c r="K2345" s="19" t="s">
        <v>6000</v>
      </c>
    </row>
    <row r="2346" spans="1:11" x14ac:dyDescent="0.2">
      <c r="A2346" t="s">
        <v>2966</v>
      </c>
      <c r="B2346" t="s">
        <v>6001</v>
      </c>
      <c r="G2346" s="5" t="str">
        <f t="shared" si="165"/>
        <v/>
      </c>
      <c r="I2346" s="6" t="str">
        <f t="shared" si="166"/>
        <v>0</v>
      </c>
      <c r="K2346" s="19" t="s">
        <v>6002</v>
      </c>
    </row>
    <row r="2347" spans="1:11" x14ac:dyDescent="0.2">
      <c r="A2347" t="s">
        <v>2970</v>
      </c>
      <c r="B2347" t="s">
        <v>2971</v>
      </c>
      <c r="E2347" t="str">
        <f t="shared" si="168"/>
        <v/>
      </c>
      <c r="G2347" s="5" t="str">
        <f t="shared" si="165"/>
        <v/>
      </c>
      <c r="I2347" s="6" t="str">
        <f t="shared" si="166"/>
        <v>0</v>
      </c>
    </row>
    <row r="2348" spans="1:11" x14ac:dyDescent="0.2">
      <c r="A2348" t="s">
        <v>2972</v>
      </c>
      <c r="B2348" t="s">
        <v>3136</v>
      </c>
      <c r="E2348" t="str">
        <f t="shared" si="168"/>
        <v/>
      </c>
      <c r="G2348" s="5" t="str">
        <f t="shared" si="165"/>
        <v/>
      </c>
      <c r="I2348" s="6" t="str">
        <f t="shared" si="166"/>
        <v>0</v>
      </c>
    </row>
    <row r="2349" spans="1:11" x14ac:dyDescent="0.2">
      <c r="A2349" t="s">
        <v>2973</v>
      </c>
      <c r="B2349" t="s">
        <v>3548</v>
      </c>
      <c r="C2349" s="5" t="s">
        <v>48</v>
      </c>
      <c r="D2349" t="s">
        <v>3549</v>
      </c>
      <c r="E2349" t="str">
        <f t="shared" si="168"/>
        <v>data/characters-standard-render.layout</v>
      </c>
      <c r="F2349" s="5" t="s">
        <v>3550</v>
      </c>
      <c r="G2349" s="5">
        <f t="shared" si="165"/>
        <v>99456</v>
      </c>
      <c r="H2349" s="5">
        <v>304</v>
      </c>
      <c r="I2349" s="6" t="str">
        <f t="shared" si="166"/>
        <v>130</v>
      </c>
    </row>
    <row r="2350" spans="1:11" x14ac:dyDescent="0.2">
      <c r="A2350" t="s">
        <v>2974</v>
      </c>
      <c r="B2350" t="s">
        <v>3551</v>
      </c>
      <c r="C2350" s="5" t="s">
        <v>48</v>
      </c>
      <c r="D2350" t="s">
        <v>3552</v>
      </c>
      <c r="E2350" t="str">
        <f t="shared" si="168"/>
        <v>data/characters-standard-distant-4.positions</v>
      </c>
      <c r="F2350" s="5" t="s">
        <v>3553</v>
      </c>
      <c r="G2350" s="5">
        <f t="shared" si="165"/>
        <v>99760</v>
      </c>
      <c r="H2350" s="5">
        <v>8</v>
      </c>
      <c r="I2350" s="6" t="str">
        <f t="shared" si="166"/>
        <v>8</v>
      </c>
      <c r="K2350" s="19" t="s">
        <v>3568</v>
      </c>
    </row>
    <row r="2351" spans="1:11" x14ac:dyDescent="0.2">
      <c r="A2351" t="s">
        <v>2975</v>
      </c>
      <c r="B2351" t="s">
        <v>3554</v>
      </c>
      <c r="C2351" s="5" t="s">
        <v>48</v>
      </c>
      <c r="D2351" t="s">
        <v>3555</v>
      </c>
      <c r="E2351" t="str">
        <f t="shared" si="168"/>
        <v>data/characters-standard-distant-5.positions</v>
      </c>
      <c r="F2351" s="5" t="s">
        <v>3556</v>
      </c>
      <c r="G2351" s="5">
        <f t="shared" si="165"/>
        <v>99768</v>
      </c>
      <c r="H2351" s="5">
        <v>8</v>
      </c>
      <c r="I2351" s="6" t="str">
        <f t="shared" si="166"/>
        <v>8</v>
      </c>
      <c r="K2351" s="19" t="s">
        <v>3568</v>
      </c>
    </row>
    <row r="2352" spans="1:11" x14ac:dyDescent="0.2">
      <c r="A2352" t="s">
        <v>2976</v>
      </c>
      <c r="B2352" t="s">
        <v>3557</v>
      </c>
      <c r="C2352" s="5" t="s">
        <v>48</v>
      </c>
      <c r="D2352" t="s">
        <v>3558</v>
      </c>
      <c r="E2352" t="str">
        <f t="shared" si="168"/>
        <v>data/characters-alternate-render.layout</v>
      </c>
      <c r="F2352" s="5" t="s">
        <v>3559</v>
      </c>
      <c r="G2352" s="5">
        <f t="shared" si="165"/>
        <v>99776</v>
      </c>
      <c r="H2352" s="5">
        <v>304</v>
      </c>
      <c r="I2352" s="6" t="str">
        <f t="shared" si="166"/>
        <v>130</v>
      </c>
    </row>
    <row r="2353" spans="1:11" x14ac:dyDescent="0.2">
      <c r="A2353" t="s">
        <v>2977</v>
      </c>
      <c r="B2353" t="s">
        <v>3560</v>
      </c>
      <c r="C2353" s="5" t="s">
        <v>48</v>
      </c>
      <c r="D2353" t="s">
        <v>3561</v>
      </c>
      <c r="E2353" t="str">
        <f t="shared" si="168"/>
        <v>data/characters-alternate-distant-4.positions</v>
      </c>
      <c r="F2353" s="5" t="s">
        <v>3562</v>
      </c>
      <c r="G2353" s="5">
        <f t="shared" si="165"/>
        <v>100080</v>
      </c>
      <c r="H2353" s="5">
        <v>8</v>
      </c>
      <c r="I2353" s="6" t="str">
        <f t="shared" si="166"/>
        <v>8</v>
      </c>
      <c r="K2353" s="19" t="s">
        <v>3568</v>
      </c>
    </row>
    <row r="2354" spans="1:11" x14ac:dyDescent="0.2">
      <c r="A2354" t="s">
        <v>2978</v>
      </c>
      <c r="B2354" t="s">
        <v>3563</v>
      </c>
      <c r="C2354" s="5" t="s">
        <v>48</v>
      </c>
      <c r="D2354" t="s">
        <v>3564</v>
      </c>
      <c r="E2354" t="str">
        <f t="shared" si="168"/>
        <v>data/characters-alternate-distant-5.positions</v>
      </c>
      <c r="F2354" s="5" t="s">
        <v>3565</v>
      </c>
      <c r="G2354" s="5">
        <f t="shared" si="165"/>
        <v>100088</v>
      </c>
      <c r="H2354" s="5">
        <v>8</v>
      </c>
      <c r="I2354" s="6" t="str">
        <f t="shared" si="166"/>
        <v>8</v>
      </c>
      <c r="K2354" s="19" t="s">
        <v>3568</v>
      </c>
    </row>
    <row r="2355" spans="1:11" x14ac:dyDescent="0.2">
      <c r="A2355" t="s">
        <v>2980</v>
      </c>
      <c r="B2355" t="s">
        <v>3105</v>
      </c>
      <c r="E2355" t="str">
        <f t="shared" si="168"/>
        <v/>
      </c>
      <c r="G2355" s="5" t="str">
        <f t="shared" si="165"/>
        <v/>
      </c>
      <c r="I2355" s="6" t="str">
        <f t="shared" si="166"/>
        <v>0</v>
      </c>
    </row>
    <row r="2356" spans="1:11" x14ac:dyDescent="0.2">
      <c r="A2356" t="s">
        <v>2987</v>
      </c>
      <c r="B2356" t="s">
        <v>2988</v>
      </c>
      <c r="E2356" t="str">
        <f t="shared" si="168"/>
        <v/>
      </c>
      <c r="F2356" s="5" t="s">
        <v>4315</v>
      </c>
      <c r="G2356" s="5">
        <f t="shared" si="165"/>
        <v>105226</v>
      </c>
      <c r="I2356" s="6" t="str">
        <f t="shared" si="166"/>
        <v>0</v>
      </c>
    </row>
    <row r="2357" spans="1:11" x14ac:dyDescent="0.2">
      <c r="A2357" t="s">
        <v>2989</v>
      </c>
      <c r="B2357" t="s">
        <v>2990</v>
      </c>
      <c r="E2357" t="str">
        <f t="shared" si="168"/>
        <v/>
      </c>
      <c r="F2357" s="5" t="s">
        <v>4316</v>
      </c>
      <c r="G2357" s="5">
        <f t="shared" si="165"/>
        <v>105483</v>
      </c>
      <c r="I2357" s="6" t="str">
        <f t="shared" si="166"/>
        <v>0</v>
      </c>
    </row>
    <row r="2358" spans="1:11" x14ac:dyDescent="0.2">
      <c r="A2358" t="s">
        <v>3798</v>
      </c>
      <c r="B2358" t="s">
        <v>3799</v>
      </c>
      <c r="C2358" s="5" t="s">
        <v>48</v>
      </c>
      <c r="D2358" t="s">
        <v>7383</v>
      </c>
      <c r="E2358" t="str">
        <f t="shared" si="168"/>
        <v>data/Shield_ArmourBonuses.stats</v>
      </c>
      <c r="F2358" s="5" t="s">
        <v>3800</v>
      </c>
      <c r="G2358" s="5">
        <f t="shared" si="165"/>
        <v>24566</v>
      </c>
      <c r="H2358" s="5">
        <v>8</v>
      </c>
      <c r="I2358" s="6" t="str">
        <f t="shared" si="166"/>
        <v>8</v>
      </c>
      <c r="K2358" s="19" t="s">
        <v>3801</v>
      </c>
    </row>
    <row r="2359" spans="1:11" x14ac:dyDescent="0.2">
      <c r="A2359" t="s">
        <v>1632</v>
      </c>
      <c r="B2359" t="s">
        <v>3298</v>
      </c>
      <c r="G2359" s="5" t="str">
        <f t="shared" si="165"/>
        <v/>
      </c>
      <c r="I2359" s="6" t="str">
        <f t="shared" si="166"/>
        <v>0</v>
      </c>
      <c r="K2359" s="19" t="s">
        <v>4249</v>
      </c>
    </row>
    <row r="2360" spans="1:11" x14ac:dyDescent="0.2">
      <c r="A2360" t="s">
        <v>1638</v>
      </c>
      <c r="B2360" t="s">
        <v>4247</v>
      </c>
      <c r="G2360" s="5" t="str">
        <f t="shared" si="165"/>
        <v/>
      </c>
      <c r="I2360" s="6" t="str">
        <f t="shared" si="166"/>
        <v>0</v>
      </c>
      <c r="K2360" s="19" t="s">
        <v>4250</v>
      </c>
    </row>
    <row r="2361" spans="1:11" x14ac:dyDescent="0.2">
      <c r="A2361" t="s">
        <v>1649</v>
      </c>
      <c r="B2361" t="s">
        <v>4251</v>
      </c>
      <c r="G2361" s="5" t="str">
        <f t="shared" si="165"/>
        <v/>
      </c>
      <c r="I2361" s="6" t="str">
        <f t="shared" si="166"/>
        <v>0</v>
      </c>
      <c r="K2361" s="19" t="s">
        <v>4252</v>
      </c>
    </row>
    <row r="2362" spans="1:11" x14ac:dyDescent="0.2">
      <c r="A2362" t="s">
        <v>1653</v>
      </c>
      <c r="B2362" t="s">
        <v>4248</v>
      </c>
      <c r="G2362" s="5" t="str">
        <f t="shared" si="165"/>
        <v/>
      </c>
      <c r="I2362" s="6" t="str">
        <f t="shared" si="166"/>
        <v>0</v>
      </c>
      <c r="K2362" s="19" t="s">
        <v>4253</v>
      </c>
    </row>
    <row r="2363" spans="1:11" x14ac:dyDescent="0.2">
      <c r="A2363" t="s">
        <v>353</v>
      </c>
      <c r="B2363" t="s">
        <v>4254</v>
      </c>
      <c r="G2363" s="5" t="str">
        <f t="shared" si="165"/>
        <v/>
      </c>
      <c r="I2363" s="6" t="str">
        <f t="shared" si="166"/>
        <v>0</v>
      </c>
      <c r="K2363" s="19" t="s">
        <v>4255</v>
      </c>
    </row>
    <row r="2364" spans="1:11" x14ac:dyDescent="0.2">
      <c r="A2364" t="s">
        <v>354</v>
      </c>
      <c r="B2364" t="s">
        <v>4256</v>
      </c>
      <c r="G2364" s="5" t="str">
        <f t="shared" si="165"/>
        <v/>
      </c>
      <c r="I2364" s="6" t="str">
        <f t="shared" si="166"/>
        <v>0</v>
      </c>
    </row>
    <row r="2365" spans="1:11" x14ac:dyDescent="0.2">
      <c r="A2365" t="s">
        <v>355</v>
      </c>
      <c r="B2365" t="s">
        <v>4257</v>
      </c>
      <c r="G2365" s="5" t="str">
        <f t="shared" si="165"/>
        <v/>
      </c>
      <c r="I2365" s="6" t="str">
        <f t="shared" si="166"/>
        <v>0</v>
      </c>
      <c r="K2365" s="19" t="s">
        <v>4258</v>
      </c>
    </row>
    <row r="2366" spans="1:11" x14ac:dyDescent="0.2">
      <c r="A2366" t="s">
        <v>356</v>
      </c>
      <c r="B2366" t="s">
        <v>4259</v>
      </c>
      <c r="G2366" s="5" t="str">
        <f t="shared" si="165"/>
        <v/>
      </c>
      <c r="I2366" s="6" t="str">
        <f t="shared" si="166"/>
        <v>0</v>
      </c>
      <c r="K2366" s="19" t="s">
        <v>4260</v>
      </c>
    </row>
    <row r="2367" spans="1:11" x14ac:dyDescent="0.2">
      <c r="A2367" t="s">
        <v>357</v>
      </c>
      <c r="B2367" t="s">
        <v>4261</v>
      </c>
      <c r="G2367" s="5" t="str">
        <f t="shared" ref="G2367:G2430" si="169">IF(F2367&lt;&gt;"",HEX2DEC(SUBSTITUTE(SUBSTITUTE(F2367,"adrEA",""),"$","")),"")</f>
        <v/>
      </c>
      <c r="I2367" s="6" t="str">
        <f t="shared" ref="I2367:I2430" si="170">IFERROR(DEC2HEX(H2367),"")</f>
        <v>0</v>
      </c>
      <c r="K2367" s="19" t="s">
        <v>4262</v>
      </c>
    </row>
    <row r="2368" spans="1:11" x14ac:dyDescent="0.2">
      <c r="A2368" t="s">
        <v>358</v>
      </c>
      <c r="B2368" t="s">
        <v>4263</v>
      </c>
      <c r="G2368" s="5" t="str">
        <f t="shared" si="169"/>
        <v/>
      </c>
      <c r="I2368" s="6" t="str">
        <f t="shared" si="170"/>
        <v>0</v>
      </c>
      <c r="K2368" s="19" t="s">
        <v>4264</v>
      </c>
    </row>
    <row r="2369" spans="1:11" x14ac:dyDescent="0.2">
      <c r="A2369" t="s">
        <v>359</v>
      </c>
      <c r="B2369" t="s">
        <v>4265</v>
      </c>
      <c r="G2369" s="5" t="str">
        <f t="shared" si="169"/>
        <v/>
      </c>
      <c r="I2369" s="6" t="str">
        <f t="shared" si="170"/>
        <v>0</v>
      </c>
      <c r="K2369" s="19" t="s">
        <v>4266</v>
      </c>
    </row>
    <row r="2370" spans="1:11" x14ac:dyDescent="0.2">
      <c r="A2370" t="s">
        <v>360</v>
      </c>
      <c r="B2370" t="s">
        <v>4267</v>
      </c>
      <c r="G2370" s="5" t="str">
        <f t="shared" si="169"/>
        <v/>
      </c>
      <c r="I2370" s="6" t="str">
        <f t="shared" si="170"/>
        <v>0</v>
      </c>
      <c r="K2370" s="19" t="s">
        <v>4268</v>
      </c>
    </row>
    <row r="2371" spans="1:11" x14ac:dyDescent="0.2">
      <c r="A2371" t="s">
        <v>361</v>
      </c>
      <c r="B2371" t="s">
        <v>4269</v>
      </c>
      <c r="G2371" s="5" t="str">
        <f t="shared" si="169"/>
        <v/>
      </c>
      <c r="I2371" s="6" t="str">
        <f t="shared" si="170"/>
        <v>0</v>
      </c>
      <c r="K2371" s="19" t="s">
        <v>4270</v>
      </c>
    </row>
    <row r="2372" spans="1:11" x14ac:dyDescent="0.2">
      <c r="A2372" t="s">
        <v>362</v>
      </c>
      <c r="B2372" t="s">
        <v>4271</v>
      </c>
      <c r="G2372" s="5" t="str">
        <f t="shared" si="169"/>
        <v/>
      </c>
      <c r="I2372" s="6" t="str">
        <f t="shared" si="170"/>
        <v>0</v>
      </c>
      <c r="K2372" s="19" t="s">
        <v>4272</v>
      </c>
    </row>
    <row r="2373" spans="1:11" x14ac:dyDescent="0.2">
      <c r="A2373" t="s">
        <v>363</v>
      </c>
      <c r="B2373" t="s">
        <v>4273</v>
      </c>
      <c r="G2373" s="5" t="str">
        <f t="shared" si="169"/>
        <v/>
      </c>
      <c r="I2373" s="6" t="str">
        <f t="shared" si="170"/>
        <v>0</v>
      </c>
      <c r="K2373" s="19" t="s">
        <v>4274</v>
      </c>
    </row>
    <row r="2374" spans="1:11" x14ac:dyDescent="0.2">
      <c r="A2374" t="s">
        <v>1513</v>
      </c>
      <c r="B2374" t="s">
        <v>4275</v>
      </c>
      <c r="G2374" s="5" t="str">
        <f t="shared" si="169"/>
        <v/>
      </c>
      <c r="I2374" s="6" t="str">
        <f t="shared" si="170"/>
        <v>0</v>
      </c>
      <c r="K2374" s="19" t="s">
        <v>4276</v>
      </c>
    </row>
    <row r="2375" spans="1:11" x14ac:dyDescent="0.2">
      <c r="A2375" t="s">
        <v>1514</v>
      </c>
      <c r="B2375" t="s">
        <v>4277</v>
      </c>
      <c r="G2375" s="5" t="str">
        <f t="shared" si="169"/>
        <v/>
      </c>
      <c r="I2375" s="6" t="str">
        <f t="shared" si="170"/>
        <v>0</v>
      </c>
      <c r="K2375" s="19" t="s">
        <v>4278</v>
      </c>
    </row>
    <row r="2376" spans="1:11" x14ac:dyDescent="0.2">
      <c r="A2376" t="s">
        <v>1516</v>
      </c>
      <c r="B2376" t="s">
        <v>4279</v>
      </c>
      <c r="G2376" s="5" t="str">
        <f t="shared" si="169"/>
        <v/>
      </c>
      <c r="I2376" s="6" t="str">
        <f t="shared" si="170"/>
        <v>0</v>
      </c>
      <c r="K2376" s="19" t="s">
        <v>6366</v>
      </c>
    </row>
    <row r="2377" spans="1:11" x14ac:dyDescent="0.2">
      <c r="A2377" t="s">
        <v>1517</v>
      </c>
      <c r="B2377" t="s">
        <v>4280</v>
      </c>
      <c r="G2377" s="5" t="str">
        <f t="shared" si="169"/>
        <v/>
      </c>
      <c r="I2377" s="6" t="str">
        <f t="shared" si="170"/>
        <v>0</v>
      </c>
      <c r="K2377" s="19" t="s">
        <v>6367</v>
      </c>
    </row>
    <row r="2378" spans="1:11" x14ac:dyDescent="0.2">
      <c r="A2378" t="s">
        <v>1518</v>
      </c>
      <c r="B2378" t="s">
        <v>4281</v>
      </c>
      <c r="G2378" s="5" t="str">
        <f t="shared" si="169"/>
        <v/>
      </c>
      <c r="I2378" s="6" t="str">
        <f t="shared" si="170"/>
        <v>0</v>
      </c>
      <c r="K2378" s="19" t="s">
        <v>4282</v>
      </c>
    </row>
    <row r="2379" spans="1:11" x14ac:dyDescent="0.2">
      <c r="A2379" t="s">
        <v>1519</v>
      </c>
      <c r="B2379" t="s">
        <v>4283</v>
      </c>
      <c r="G2379" s="5" t="str">
        <f t="shared" si="169"/>
        <v/>
      </c>
      <c r="I2379" s="6" t="str">
        <f t="shared" si="170"/>
        <v>0</v>
      </c>
      <c r="K2379" s="19" t="s">
        <v>4284</v>
      </c>
    </row>
    <row r="2380" spans="1:11" x14ac:dyDescent="0.2">
      <c r="A2380" t="s">
        <v>1520</v>
      </c>
      <c r="B2380" t="s">
        <v>4285</v>
      </c>
      <c r="G2380" s="5" t="str">
        <f t="shared" si="169"/>
        <v/>
      </c>
      <c r="I2380" s="6" t="str">
        <f t="shared" si="170"/>
        <v>0</v>
      </c>
    </row>
    <row r="2381" spans="1:11" x14ac:dyDescent="0.2">
      <c r="A2381" t="s">
        <v>1521</v>
      </c>
      <c r="B2381" t="s">
        <v>4286</v>
      </c>
      <c r="G2381" s="5" t="str">
        <f t="shared" si="169"/>
        <v/>
      </c>
      <c r="I2381" s="6" t="str">
        <f t="shared" si="170"/>
        <v>0</v>
      </c>
      <c r="K2381" s="19" t="s">
        <v>4287</v>
      </c>
    </row>
    <row r="2382" spans="1:11" x14ac:dyDescent="0.2">
      <c r="A2382" t="s">
        <v>1522</v>
      </c>
      <c r="B2382" t="s">
        <v>4288</v>
      </c>
      <c r="G2382" s="5" t="str">
        <f t="shared" si="169"/>
        <v/>
      </c>
      <c r="I2382" s="6" t="str">
        <f t="shared" si="170"/>
        <v>0</v>
      </c>
      <c r="K2382" s="19" t="s">
        <v>4289</v>
      </c>
    </row>
    <row r="2383" spans="1:11" x14ac:dyDescent="0.2">
      <c r="A2383" t="s">
        <v>1523</v>
      </c>
      <c r="B2383" t="s">
        <v>4290</v>
      </c>
      <c r="G2383" s="5" t="str">
        <f t="shared" si="169"/>
        <v/>
      </c>
      <c r="I2383" s="6" t="str">
        <f t="shared" si="170"/>
        <v>0</v>
      </c>
    </row>
    <row r="2384" spans="1:11" x14ac:dyDescent="0.2">
      <c r="A2384" t="s">
        <v>1531</v>
      </c>
      <c r="B2384" t="s">
        <v>4291</v>
      </c>
      <c r="G2384" s="5" t="str">
        <f t="shared" si="169"/>
        <v/>
      </c>
      <c r="I2384" s="6" t="str">
        <f t="shared" si="170"/>
        <v>0</v>
      </c>
      <c r="K2384" s="19" t="s">
        <v>4292</v>
      </c>
    </row>
    <row r="2385" spans="1:11" x14ac:dyDescent="0.2">
      <c r="A2385" t="s">
        <v>1532</v>
      </c>
      <c r="B2385" t="s">
        <v>4293</v>
      </c>
      <c r="G2385" s="5" t="str">
        <f t="shared" si="169"/>
        <v/>
      </c>
      <c r="I2385" s="6" t="str">
        <f t="shared" si="170"/>
        <v>0</v>
      </c>
      <c r="K2385" s="19" t="s">
        <v>7302</v>
      </c>
    </row>
    <row r="2386" spans="1:11" x14ac:dyDescent="0.2">
      <c r="A2386" t="s">
        <v>1533</v>
      </c>
      <c r="B2386" t="s">
        <v>4294</v>
      </c>
      <c r="G2386" s="5" t="str">
        <f t="shared" si="169"/>
        <v/>
      </c>
      <c r="I2386" s="6" t="str">
        <f t="shared" si="170"/>
        <v>0</v>
      </c>
      <c r="K2386" s="19" t="s">
        <v>7303</v>
      </c>
    </row>
    <row r="2387" spans="1:11" x14ac:dyDescent="0.2">
      <c r="A2387" t="s">
        <v>1534</v>
      </c>
      <c r="B2387" t="s">
        <v>4295</v>
      </c>
      <c r="G2387" s="5" t="str">
        <f t="shared" si="169"/>
        <v/>
      </c>
      <c r="I2387" s="6" t="str">
        <f t="shared" si="170"/>
        <v>0</v>
      </c>
      <c r="K2387" s="19" t="s">
        <v>7304</v>
      </c>
    </row>
    <row r="2388" spans="1:11" x14ac:dyDescent="0.2">
      <c r="A2388" t="s">
        <v>1535</v>
      </c>
      <c r="B2388" t="s">
        <v>4296</v>
      </c>
      <c r="G2388" s="5" t="str">
        <f t="shared" si="169"/>
        <v/>
      </c>
      <c r="I2388" s="6" t="str">
        <f t="shared" si="170"/>
        <v>0</v>
      </c>
    </row>
    <row r="2389" spans="1:11" x14ac:dyDescent="0.2">
      <c r="A2389" t="s">
        <v>1537</v>
      </c>
      <c r="B2389" t="s">
        <v>4297</v>
      </c>
      <c r="G2389" s="5" t="str">
        <f t="shared" si="169"/>
        <v/>
      </c>
      <c r="I2389" s="6" t="str">
        <f t="shared" si="170"/>
        <v>0</v>
      </c>
      <c r="K2389" s="19" t="s">
        <v>7305</v>
      </c>
    </row>
    <row r="2390" spans="1:11" x14ac:dyDescent="0.2">
      <c r="A2390" t="s">
        <v>1538</v>
      </c>
      <c r="B2390" t="s">
        <v>4298</v>
      </c>
      <c r="G2390" s="5" t="str">
        <f t="shared" si="169"/>
        <v/>
      </c>
      <c r="I2390" s="6" t="str">
        <f t="shared" si="170"/>
        <v>0</v>
      </c>
      <c r="K2390" s="19" t="s">
        <v>4299</v>
      </c>
    </row>
    <row r="2391" spans="1:11" x14ac:dyDescent="0.2">
      <c r="A2391" t="s">
        <v>1539</v>
      </c>
      <c r="B2391" t="s">
        <v>4300</v>
      </c>
      <c r="G2391" s="5" t="str">
        <f t="shared" si="169"/>
        <v/>
      </c>
      <c r="I2391" s="6" t="str">
        <f t="shared" si="170"/>
        <v>0</v>
      </c>
      <c r="K2391" s="19" t="s">
        <v>7306</v>
      </c>
    </row>
    <row r="2392" spans="1:11" x14ac:dyDescent="0.2">
      <c r="A2392" t="s">
        <v>1540</v>
      </c>
      <c r="B2392" t="s">
        <v>4301</v>
      </c>
      <c r="G2392" s="5" t="str">
        <f t="shared" si="169"/>
        <v/>
      </c>
      <c r="I2392" s="6" t="str">
        <f t="shared" si="170"/>
        <v>0</v>
      </c>
    </row>
    <row r="2393" spans="1:11" x14ac:dyDescent="0.2">
      <c r="A2393" t="s">
        <v>1543</v>
      </c>
      <c r="B2393" t="s">
        <v>4302</v>
      </c>
      <c r="G2393" s="5" t="str">
        <f t="shared" si="169"/>
        <v/>
      </c>
      <c r="I2393" s="6" t="str">
        <f t="shared" si="170"/>
        <v>0</v>
      </c>
      <c r="K2393" s="19" t="s">
        <v>4303</v>
      </c>
    </row>
    <row r="2394" spans="1:11" x14ac:dyDescent="0.2">
      <c r="A2394" t="s">
        <v>1546</v>
      </c>
      <c r="B2394" t="s">
        <v>4304</v>
      </c>
      <c r="G2394" s="5" t="str">
        <f t="shared" si="169"/>
        <v/>
      </c>
      <c r="I2394" s="6" t="str">
        <f t="shared" si="170"/>
        <v>0</v>
      </c>
      <c r="K2394" s="19" t="s">
        <v>4305</v>
      </c>
    </row>
    <row r="2395" spans="1:11" x14ac:dyDescent="0.2">
      <c r="A2395" t="s">
        <v>1547</v>
      </c>
      <c r="B2395" t="s">
        <v>4306</v>
      </c>
      <c r="G2395" s="5" t="str">
        <f t="shared" si="169"/>
        <v/>
      </c>
      <c r="I2395" s="6" t="str">
        <f t="shared" si="170"/>
        <v>0</v>
      </c>
      <c r="K2395" s="19" t="s">
        <v>4307</v>
      </c>
    </row>
    <row r="2396" spans="1:11" x14ac:dyDescent="0.2">
      <c r="A2396" t="s">
        <v>1548</v>
      </c>
      <c r="B2396" t="s">
        <v>4308</v>
      </c>
      <c r="G2396" s="5" t="str">
        <f t="shared" si="169"/>
        <v/>
      </c>
      <c r="I2396" s="6" t="str">
        <f t="shared" si="170"/>
        <v>0</v>
      </c>
      <c r="K2396" s="19" t="s">
        <v>4309</v>
      </c>
    </row>
    <row r="2397" spans="1:11" x14ac:dyDescent="0.2">
      <c r="A2397" t="s">
        <v>1570</v>
      </c>
      <c r="B2397" t="s">
        <v>4310</v>
      </c>
      <c r="G2397" s="5" t="str">
        <f t="shared" si="169"/>
        <v/>
      </c>
      <c r="I2397" s="6" t="str">
        <f t="shared" si="170"/>
        <v>0</v>
      </c>
      <c r="K2397" s="19" t="s">
        <v>4311</v>
      </c>
    </row>
    <row r="2398" spans="1:11" x14ac:dyDescent="0.2">
      <c r="A2398" t="s">
        <v>1571</v>
      </c>
      <c r="B2398" t="s">
        <v>4312</v>
      </c>
      <c r="G2398" s="5" t="str">
        <f t="shared" si="169"/>
        <v/>
      </c>
      <c r="I2398" s="6" t="str">
        <f t="shared" si="170"/>
        <v>0</v>
      </c>
      <c r="K2398" s="19" t="s">
        <v>4313</v>
      </c>
    </row>
    <row r="2399" spans="1:11" x14ac:dyDescent="0.2">
      <c r="A2399" t="s">
        <v>2959</v>
      </c>
      <c r="B2399" t="s">
        <v>4314</v>
      </c>
      <c r="G2399" s="5" t="str">
        <f t="shared" si="169"/>
        <v/>
      </c>
      <c r="I2399" s="6" t="str">
        <f t="shared" si="170"/>
        <v>0</v>
      </c>
      <c r="K2399" s="19" t="s">
        <v>7307</v>
      </c>
    </row>
    <row r="2400" spans="1:11" x14ac:dyDescent="0.2">
      <c r="A2400" t="s">
        <v>2922</v>
      </c>
      <c r="B2400" t="s">
        <v>4323</v>
      </c>
      <c r="C2400" s="5" t="s">
        <v>7</v>
      </c>
      <c r="F2400" s="5" t="s">
        <v>4324</v>
      </c>
      <c r="G2400" s="5">
        <f t="shared" si="169"/>
        <v>61138</v>
      </c>
      <c r="H2400" s="5">
        <v>1</v>
      </c>
      <c r="I2400" s="6" t="str">
        <f t="shared" si="170"/>
        <v>1</v>
      </c>
      <c r="K2400" s="19" t="s">
        <v>4325</v>
      </c>
    </row>
    <row r="2401" spans="1:11" x14ac:dyDescent="0.2">
      <c r="A2401" t="s">
        <v>2937</v>
      </c>
      <c r="B2401" t="s">
        <v>4326</v>
      </c>
      <c r="C2401" s="5" t="s">
        <v>7</v>
      </c>
      <c r="F2401" s="5" t="s">
        <v>4327</v>
      </c>
      <c r="G2401" s="5">
        <f t="shared" si="169"/>
        <v>61236</v>
      </c>
      <c r="H2401" s="5">
        <v>1</v>
      </c>
      <c r="I2401" s="6" t="str">
        <f t="shared" si="170"/>
        <v>1</v>
      </c>
      <c r="K2401" s="19" t="s">
        <v>4328</v>
      </c>
    </row>
    <row r="2402" spans="1:11" x14ac:dyDescent="0.2">
      <c r="A2402" t="s">
        <v>1053</v>
      </c>
      <c r="B2402" t="s">
        <v>4329</v>
      </c>
      <c r="C2402" s="5" t="s">
        <v>7</v>
      </c>
      <c r="F2402" s="5" t="s">
        <v>4330</v>
      </c>
      <c r="G2402" s="5">
        <f t="shared" si="169"/>
        <v>16790</v>
      </c>
      <c r="I2402" s="6" t="str">
        <f t="shared" si="170"/>
        <v>0</v>
      </c>
      <c r="K2402" s="19" t="s">
        <v>4331</v>
      </c>
    </row>
    <row r="2403" spans="1:11" x14ac:dyDescent="0.2">
      <c r="A2403" t="s">
        <v>1079</v>
      </c>
      <c r="B2403" t="s">
        <v>4332</v>
      </c>
      <c r="C2403" s="5" t="s">
        <v>7</v>
      </c>
      <c r="F2403" s="5" t="s">
        <v>4333</v>
      </c>
      <c r="G2403" s="5">
        <f t="shared" si="169"/>
        <v>17162</v>
      </c>
      <c r="I2403" s="6" t="str">
        <f t="shared" si="170"/>
        <v>0</v>
      </c>
      <c r="K2403" s="19" t="s">
        <v>4334</v>
      </c>
    </row>
    <row r="2404" spans="1:11" x14ac:dyDescent="0.2">
      <c r="A2404" t="s">
        <v>1171</v>
      </c>
      <c r="B2404" t="s">
        <v>4335</v>
      </c>
      <c r="C2404" s="5" t="s">
        <v>7</v>
      </c>
      <c r="F2404" s="5" t="s">
        <v>4336</v>
      </c>
      <c r="G2404" s="5">
        <f t="shared" si="169"/>
        <v>19600</v>
      </c>
      <c r="I2404" s="6" t="str">
        <f t="shared" si="170"/>
        <v>0</v>
      </c>
      <c r="K2404" s="19" t="s">
        <v>4337</v>
      </c>
    </row>
    <row r="2405" spans="1:11" x14ac:dyDescent="0.2">
      <c r="A2405" t="s">
        <v>1175</v>
      </c>
      <c r="B2405" t="s">
        <v>4338</v>
      </c>
      <c r="C2405" s="5" t="s">
        <v>7</v>
      </c>
      <c r="F2405" s="5" t="s">
        <v>4339</v>
      </c>
      <c r="G2405" s="5">
        <f t="shared" si="169"/>
        <v>19762</v>
      </c>
      <c r="I2405" s="6" t="str">
        <f t="shared" si="170"/>
        <v>0</v>
      </c>
      <c r="K2405" s="19" t="s">
        <v>4340</v>
      </c>
    </row>
    <row r="2406" spans="1:11" x14ac:dyDescent="0.2">
      <c r="A2406" t="s">
        <v>1181</v>
      </c>
      <c r="B2406" t="s">
        <v>4341</v>
      </c>
      <c r="C2406" s="5" t="s">
        <v>7</v>
      </c>
      <c r="F2406" s="5" t="s">
        <v>4342</v>
      </c>
      <c r="G2406" s="5">
        <f t="shared" si="169"/>
        <v>19892</v>
      </c>
      <c r="I2406" s="6" t="str">
        <f t="shared" si="170"/>
        <v>0</v>
      </c>
      <c r="K2406" s="19" t="s">
        <v>7308</v>
      </c>
    </row>
    <row r="2407" spans="1:11" x14ac:dyDescent="0.2">
      <c r="A2407" t="s">
        <v>1184</v>
      </c>
      <c r="B2407" t="s">
        <v>4343</v>
      </c>
      <c r="C2407" s="5" t="s">
        <v>7</v>
      </c>
      <c r="F2407" s="5" t="s">
        <v>4344</v>
      </c>
      <c r="G2407" s="5">
        <f t="shared" si="169"/>
        <v>19928</v>
      </c>
      <c r="I2407" s="6" t="str">
        <f t="shared" si="170"/>
        <v>0</v>
      </c>
      <c r="K2407" s="19" t="s">
        <v>4345</v>
      </c>
    </row>
    <row r="2408" spans="1:11" x14ac:dyDescent="0.2">
      <c r="A2408" t="s">
        <v>1187</v>
      </c>
      <c r="B2408" t="s">
        <v>4346</v>
      </c>
      <c r="C2408" s="5" t="s">
        <v>7</v>
      </c>
      <c r="F2408" s="5" t="s">
        <v>4347</v>
      </c>
      <c r="G2408" s="5">
        <f t="shared" si="169"/>
        <v>19946</v>
      </c>
      <c r="I2408" s="6" t="str">
        <f t="shared" si="170"/>
        <v>0</v>
      </c>
      <c r="K2408" s="19" t="s">
        <v>4348</v>
      </c>
    </row>
    <row r="2409" spans="1:11" x14ac:dyDescent="0.2">
      <c r="A2409" t="s">
        <v>1198</v>
      </c>
      <c r="B2409" t="s">
        <v>4668</v>
      </c>
      <c r="C2409" s="5" t="s">
        <v>7</v>
      </c>
      <c r="F2409" s="5" t="s">
        <v>4349</v>
      </c>
      <c r="G2409" s="5">
        <f t="shared" si="169"/>
        <v>20110</v>
      </c>
      <c r="I2409" s="6" t="str">
        <f t="shared" si="170"/>
        <v>0</v>
      </c>
      <c r="K2409" s="19" t="s">
        <v>4669</v>
      </c>
    </row>
    <row r="2410" spans="1:11" x14ac:dyDescent="0.2">
      <c r="A2410" t="s">
        <v>1381</v>
      </c>
      <c r="B2410" t="s">
        <v>4350</v>
      </c>
      <c r="C2410" s="5" t="s">
        <v>7</v>
      </c>
      <c r="F2410" s="5" t="s">
        <v>4351</v>
      </c>
      <c r="G2410" s="5">
        <f t="shared" si="169"/>
        <v>22418</v>
      </c>
      <c r="I2410" s="6" t="str">
        <f t="shared" si="170"/>
        <v>0</v>
      </c>
      <c r="K2410" s="19" t="s">
        <v>4352</v>
      </c>
    </row>
    <row r="2411" spans="1:11" x14ac:dyDescent="0.2">
      <c r="A2411" t="s">
        <v>1384</v>
      </c>
      <c r="B2411" t="s">
        <v>4353</v>
      </c>
      <c r="C2411" s="5" t="s">
        <v>7</v>
      </c>
      <c r="F2411" s="5" t="s">
        <v>4354</v>
      </c>
      <c r="G2411" s="5">
        <f t="shared" si="169"/>
        <v>22444</v>
      </c>
      <c r="I2411" s="6" t="str">
        <f t="shared" si="170"/>
        <v>0</v>
      </c>
      <c r="K2411" s="19" t="s">
        <v>4355</v>
      </c>
    </row>
    <row r="2412" spans="1:11" x14ac:dyDescent="0.2">
      <c r="A2412" t="s">
        <v>1385</v>
      </c>
      <c r="B2412" t="s">
        <v>4356</v>
      </c>
      <c r="C2412" s="5" t="s">
        <v>7</v>
      </c>
      <c r="F2412" s="5" t="s">
        <v>4357</v>
      </c>
      <c r="G2412" s="5">
        <f t="shared" si="169"/>
        <v>22458</v>
      </c>
      <c r="I2412" s="6" t="str">
        <f t="shared" si="170"/>
        <v>0</v>
      </c>
      <c r="K2412" s="19" t="s">
        <v>4358</v>
      </c>
    </row>
    <row r="2413" spans="1:11" x14ac:dyDescent="0.2">
      <c r="A2413" t="s">
        <v>1389</v>
      </c>
      <c r="B2413" t="s">
        <v>4359</v>
      </c>
      <c r="C2413" s="5" t="s">
        <v>5119</v>
      </c>
      <c r="G2413" s="5" t="str">
        <f t="shared" si="169"/>
        <v/>
      </c>
      <c r="I2413" s="6" t="str">
        <f t="shared" si="170"/>
        <v>0</v>
      </c>
      <c r="K2413" s="19" t="s">
        <v>7309</v>
      </c>
    </row>
    <row r="2414" spans="1:11" x14ac:dyDescent="0.2">
      <c r="A2414" t="s">
        <v>1392</v>
      </c>
      <c r="B2414" t="s">
        <v>4360</v>
      </c>
      <c r="C2414" s="5" t="s">
        <v>5119</v>
      </c>
      <c r="G2414" s="5" t="str">
        <f t="shared" si="169"/>
        <v/>
      </c>
      <c r="I2414" s="6" t="str">
        <f t="shared" si="170"/>
        <v>0</v>
      </c>
      <c r="K2414" s="19" t="s">
        <v>5133</v>
      </c>
    </row>
    <row r="2415" spans="1:11" x14ac:dyDescent="0.2">
      <c r="A2415" t="s">
        <v>1480</v>
      </c>
      <c r="B2415" t="s">
        <v>4361</v>
      </c>
      <c r="C2415" s="5" t="s">
        <v>7</v>
      </c>
      <c r="F2415" s="5" t="s">
        <v>4362</v>
      </c>
      <c r="G2415" s="5">
        <f t="shared" si="169"/>
        <v>24478</v>
      </c>
      <c r="I2415" s="6" t="str">
        <f t="shared" si="170"/>
        <v>0</v>
      </c>
      <c r="K2415" s="19" t="s">
        <v>4363</v>
      </c>
    </row>
    <row r="2416" spans="1:11" x14ac:dyDescent="0.2">
      <c r="A2416" t="s">
        <v>1481</v>
      </c>
      <c r="B2416" t="s">
        <v>4364</v>
      </c>
      <c r="C2416" s="5" t="s">
        <v>7</v>
      </c>
      <c r="F2416" s="5" t="s">
        <v>4365</v>
      </c>
      <c r="G2416" s="5">
        <f t="shared" si="169"/>
        <v>24486</v>
      </c>
      <c r="I2416" s="6" t="str">
        <f t="shared" si="170"/>
        <v>0</v>
      </c>
      <c r="K2416" s="19" t="s">
        <v>4366</v>
      </c>
    </row>
    <row r="2417" spans="1:11" x14ac:dyDescent="0.2">
      <c r="A2417" t="s">
        <v>1551</v>
      </c>
      <c r="B2417" t="s">
        <v>4367</v>
      </c>
      <c r="C2417" s="5" t="s">
        <v>7</v>
      </c>
      <c r="F2417" s="5" t="s">
        <v>4368</v>
      </c>
      <c r="G2417" s="5">
        <f t="shared" si="169"/>
        <v>25794</v>
      </c>
      <c r="I2417" s="6" t="str">
        <f t="shared" si="170"/>
        <v>0</v>
      </c>
      <c r="K2417" s="19" t="s">
        <v>4369</v>
      </c>
    </row>
    <row r="2418" spans="1:11" x14ac:dyDescent="0.2">
      <c r="A2418" t="s">
        <v>1557</v>
      </c>
      <c r="B2418" t="s">
        <v>4370</v>
      </c>
      <c r="C2418" s="5" t="s">
        <v>7</v>
      </c>
      <c r="F2418" s="5" t="s">
        <v>4371</v>
      </c>
      <c r="G2418" s="5">
        <f t="shared" si="169"/>
        <v>25938</v>
      </c>
      <c r="I2418" s="6" t="str">
        <f t="shared" si="170"/>
        <v>0</v>
      </c>
      <c r="K2418" s="19" t="s">
        <v>6368</v>
      </c>
    </row>
    <row r="2419" spans="1:11" x14ac:dyDescent="0.2">
      <c r="A2419" t="s">
        <v>1560</v>
      </c>
      <c r="B2419" t="s">
        <v>4372</v>
      </c>
      <c r="C2419" s="5" t="s">
        <v>5119</v>
      </c>
      <c r="G2419" s="5" t="str">
        <f t="shared" si="169"/>
        <v/>
      </c>
      <c r="I2419" s="6" t="str">
        <f t="shared" si="170"/>
        <v>0</v>
      </c>
      <c r="K2419" s="19" t="s">
        <v>6369</v>
      </c>
    </row>
    <row r="2420" spans="1:11" x14ac:dyDescent="0.2">
      <c r="A2420" t="s">
        <v>2560</v>
      </c>
      <c r="B2420" t="s">
        <v>4373</v>
      </c>
      <c r="C2420" s="5" t="s">
        <v>7</v>
      </c>
      <c r="F2420" s="5" t="s">
        <v>4374</v>
      </c>
      <c r="G2420" s="5">
        <f t="shared" si="169"/>
        <v>49714</v>
      </c>
      <c r="I2420" s="6" t="str">
        <f t="shared" si="170"/>
        <v>0</v>
      </c>
      <c r="K2420" s="19" t="s">
        <v>4375</v>
      </c>
    </row>
    <row r="2421" spans="1:11" x14ac:dyDescent="0.2">
      <c r="A2421" t="s">
        <v>2562</v>
      </c>
      <c r="B2421" t="s">
        <v>4376</v>
      </c>
      <c r="C2421" s="5" t="s">
        <v>7</v>
      </c>
      <c r="F2421" s="5" t="s">
        <v>4377</v>
      </c>
      <c r="G2421" s="5">
        <f t="shared" si="169"/>
        <v>49746</v>
      </c>
      <c r="I2421" s="6" t="str">
        <f t="shared" si="170"/>
        <v>0</v>
      </c>
      <c r="K2421" s="19" t="s">
        <v>4378</v>
      </c>
    </row>
    <row r="2422" spans="1:11" x14ac:dyDescent="0.2">
      <c r="A2422" t="s">
        <v>2563</v>
      </c>
      <c r="B2422" t="s">
        <v>4379</v>
      </c>
      <c r="C2422" s="5" t="s">
        <v>7</v>
      </c>
      <c r="F2422" s="5" t="s">
        <v>4380</v>
      </c>
      <c r="G2422" s="5">
        <f t="shared" si="169"/>
        <v>49762</v>
      </c>
      <c r="I2422" s="6" t="str">
        <f t="shared" si="170"/>
        <v>0</v>
      </c>
      <c r="K2422" s="19" t="s">
        <v>4381</v>
      </c>
    </row>
    <row r="2423" spans="1:11" x14ac:dyDescent="0.2">
      <c r="A2423" t="s">
        <v>1386</v>
      </c>
      <c r="B2423" t="s">
        <v>4382</v>
      </c>
      <c r="C2423" s="5" t="s">
        <v>7</v>
      </c>
      <c r="F2423" s="5" t="s">
        <v>4383</v>
      </c>
      <c r="G2423" s="5">
        <f t="shared" si="169"/>
        <v>22478</v>
      </c>
      <c r="I2423" s="6" t="str">
        <f t="shared" si="170"/>
        <v>0</v>
      </c>
      <c r="K2423" s="19" t="s">
        <v>4384</v>
      </c>
    </row>
    <row r="2424" spans="1:11" x14ac:dyDescent="0.2">
      <c r="A2424" t="s">
        <v>781</v>
      </c>
      <c r="B2424" t="s">
        <v>3982</v>
      </c>
      <c r="G2424" s="5" t="str">
        <f t="shared" si="169"/>
        <v/>
      </c>
      <c r="I2424" s="6" t="str">
        <f t="shared" si="170"/>
        <v>0</v>
      </c>
      <c r="K2424" s="19" t="s">
        <v>3983</v>
      </c>
    </row>
    <row r="2425" spans="1:11" x14ac:dyDescent="0.2">
      <c r="A2425" t="s">
        <v>782</v>
      </c>
      <c r="B2425" t="s">
        <v>3984</v>
      </c>
      <c r="G2425" s="5" t="str">
        <f t="shared" si="169"/>
        <v/>
      </c>
      <c r="I2425" s="6" t="str">
        <f t="shared" si="170"/>
        <v>0</v>
      </c>
      <c r="K2425" s="19" t="s">
        <v>3985</v>
      </c>
    </row>
    <row r="2426" spans="1:11" x14ac:dyDescent="0.2">
      <c r="A2426" t="s">
        <v>3055</v>
      </c>
      <c r="B2426" t="s">
        <v>3986</v>
      </c>
      <c r="G2426" s="5" t="str">
        <f t="shared" si="169"/>
        <v/>
      </c>
      <c r="I2426" s="6" t="str">
        <f t="shared" si="170"/>
        <v>0</v>
      </c>
      <c r="K2426" s="19" t="s">
        <v>3987</v>
      </c>
    </row>
    <row r="2427" spans="1:11" x14ac:dyDescent="0.2">
      <c r="A2427" t="s">
        <v>792</v>
      </c>
      <c r="B2427" t="s">
        <v>3988</v>
      </c>
      <c r="G2427" s="5" t="str">
        <f t="shared" si="169"/>
        <v/>
      </c>
      <c r="I2427" s="6" t="str">
        <f t="shared" si="170"/>
        <v>0</v>
      </c>
      <c r="K2427" s="19" t="s">
        <v>3989</v>
      </c>
    </row>
    <row r="2428" spans="1:11" x14ac:dyDescent="0.2">
      <c r="A2428" t="s">
        <v>793</v>
      </c>
      <c r="B2428" t="s">
        <v>3990</v>
      </c>
      <c r="G2428" s="5" t="str">
        <f t="shared" si="169"/>
        <v/>
      </c>
      <c r="I2428" s="6" t="str">
        <f t="shared" si="170"/>
        <v>0</v>
      </c>
      <c r="K2428" s="19" t="s">
        <v>3991</v>
      </c>
    </row>
    <row r="2429" spans="1:11" x14ac:dyDescent="0.2">
      <c r="A2429" t="s">
        <v>796</v>
      </c>
      <c r="B2429" t="s">
        <v>3992</v>
      </c>
      <c r="G2429" s="5" t="str">
        <f t="shared" si="169"/>
        <v/>
      </c>
      <c r="I2429" s="6" t="str">
        <f t="shared" si="170"/>
        <v>0</v>
      </c>
      <c r="K2429" s="19" t="s">
        <v>3993</v>
      </c>
    </row>
    <row r="2430" spans="1:11" x14ac:dyDescent="0.2">
      <c r="A2430" t="s">
        <v>797</v>
      </c>
      <c r="B2430" t="s">
        <v>3994</v>
      </c>
      <c r="G2430" s="5" t="str">
        <f t="shared" si="169"/>
        <v/>
      </c>
      <c r="I2430" s="6" t="str">
        <f t="shared" si="170"/>
        <v>0</v>
      </c>
      <c r="K2430" s="19" t="s">
        <v>3995</v>
      </c>
    </row>
    <row r="2431" spans="1:11" x14ac:dyDescent="0.2">
      <c r="A2431" t="s">
        <v>799</v>
      </c>
      <c r="B2431" t="s">
        <v>3996</v>
      </c>
      <c r="G2431" s="5" t="str">
        <f t="shared" ref="G2431:G2494" si="171">IF(F2431&lt;&gt;"",HEX2DEC(SUBSTITUTE(SUBSTITUTE(F2431,"adrEA",""),"$","")),"")</f>
        <v/>
      </c>
      <c r="I2431" s="6" t="str">
        <f t="shared" ref="I2431:I2494" si="172">IFERROR(DEC2HEX(H2431),"")</f>
        <v>0</v>
      </c>
      <c r="K2431" s="19" t="s">
        <v>3997</v>
      </c>
    </row>
    <row r="2432" spans="1:11" x14ac:dyDescent="0.2">
      <c r="A2432" t="s">
        <v>801</v>
      </c>
      <c r="B2432" t="s">
        <v>3998</v>
      </c>
      <c r="G2432" s="5" t="str">
        <f t="shared" si="171"/>
        <v/>
      </c>
      <c r="I2432" s="6" t="str">
        <f t="shared" si="172"/>
        <v>0</v>
      </c>
      <c r="K2432" s="19" t="s">
        <v>3999</v>
      </c>
    </row>
    <row r="2433" spans="1:11" x14ac:dyDescent="0.2">
      <c r="A2433" t="s">
        <v>803</v>
      </c>
      <c r="B2433" t="s">
        <v>4000</v>
      </c>
      <c r="G2433" s="5" t="str">
        <f t="shared" si="171"/>
        <v/>
      </c>
      <c r="I2433" s="6" t="str">
        <f t="shared" si="172"/>
        <v>0</v>
      </c>
      <c r="K2433" s="19" t="s">
        <v>4001</v>
      </c>
    </row>
    <row r="2434" spans="1:11" x14ac:dyDescent="0.2">
      <c r="A2434" t="s">
        <v>806</v>
      </c>
      <c r="B2434" t="s">
        <v>4002</v>
      </c>
      <c r="G2434" s="5" t="str">
        <f t="shared" si="171"/>
        <v/>
      </c>
      <c r="I2434" s="6" t="str">
        <f t="shared" si="172"/>
        <v>0</v>
      </c>
      <c r="K2434" s="19" t="s">
        <v>4003</v>
      </c>
    </row>
    <row r="2435" spans="1:11" x14ac:dyDescent="0.2">
      <c r="A2435" t="s">
        <v>812</v>
      </c>
      <c r="B2435" t="s">
        <v>4004</v>
      </c>
      <c r="G2435" s="5" t="str">
        <f t="shared" si="171"/>
        <v/>
      </c>
      <c r="I2435" s="6" t="str">
        <f t="shared" si="172"/>
        <v>0</v>
      </c>
      <c r="K2435" s="19" t="s">
        <v>4005</v>
      </c>
    </row>
    <row r="2436" spans="1:11" x14ac:dyDescent="0.2">
      <c r="A2436" t="s">
        <v>3293</v>
      </c>
      <c r="B2436" t="s">
        <v>4006</v>
      </c>
      <c r="G2436" s="5" t="str">
        <f t="shared" si="171"/>
        <v/>
      </c>
      <c r="I2436" s="6" t="str">
        <f t="shared" si="172"/>
        <v>0</v>
      </c>
      <c r="K2436" s="19" t="s">
        <v>4007</v>
      </c>
    </row>
    <row r="2437" spans="1:11" x14ac:dyDescent="0.2">
      <c r="A2437" t="s">
        <v>816</v>
      </c>
      <c r="B2437" t="s">
        <v>4008</v>
      </c>
      <c r="G2437" s="5" t="str">
        <f t="shared" si="171"/>
        <v/>
      </c>
      <c r="I2437" s="6" t="str">
        <f t="shared" si="172"/>
        <v>0</v>
      </c>
      <c r="K2437" s="19" t="s">
        <v>4009</v>
      </c>
    </row>
    <row r="2438" spans="1:11" x14ac:dyDescent="0.2">
      <c r="A2438" t="s">
        <v>293</v>
      </c>
      <c r="B2438" t="s">
        <v>4010</v>
      </c>
      <c r="G2438" s="5" t="str">
        <f t="shared" si="171"/>
        <v/>
      </c>
      <c r="I2438" s="6" t="str">
        <f t="shared" si="172"/>
        <v>0</v>
      </c>
      <c r="K2438" s="19" t="s">
        <v>4011</v>
      </c>
    </row>
    <row r="2439" spans="1:11" x14ac:dyDescent="0.2">
      <c r="A2439" t="s">
        <v>297</v>
      </c>
      <c r="B2439" t="s">
        <v>4012</v>
      </c>
      <c r="G2439" s="5" t="str">
        <f t="shared" si="171"/>
        <v/>
      </c>
      <c r="I2439" s="6" t="str">
        <f t="shared" si="172"/>
        <v>0</v>
      </c>
      <c r="K2439" s="19" t="s">
        <v>4013</v>
      </c>
    </row>
    <row r="2440" spans="1:11" x14ac:dyDescent="0.2">
      <c r="A2440" t="s">
        <v>300</v>
      </c>
      <c r="B2440" t="s">
        <v>4014</v>
      </c>
      <c r="G2440" s="5" t="str">
        <f t="shared" si="171"/>
        <v/>
      </c>
      <c r="I2440" s="6" t="str">
        <f t="shared" si="172"/>
        <v>0</v>
      </c>
      <c r="K2440" s="19" t="s">
        <v>4015</v>
      </c>
    </row>
    <row r="2441" spans="1:11" x14ac:dyDescent="0.2">
      <c r="A2441" t="s">
        <v>821</v>
      </c>
      <c r="B2441" t="s">
        <v>4016</v>
      </c>
      <c r="G2441" s="5" t="str">
        <f t="shared" si="171"/>
        <v/>
      </c>
      <c r="I2441" s="6" t="str">
        <f t="shared" si="172"/>
        <v>0</v>
      </c>
      <c r="K2441" s="19" t="s">
        <v>4017</v>
      </c>
    </row>
    <row r="2442" spans="1:11" x14ac:dyDescent="0.2">
      <c r="A2442" t="s">
        <v>831</v>
      </c>
      <c r="B2442" t="s">
        <v>4018</v>
      </c>
      <c r="G2442" s="5" t="str">
        <f t="shared" si="171"/>
        <v/>
      </c>
      <c r="I2442" s="6" t="str">
        <f t="shared" si="172"/>
        <v>0</v>
      </c>
      <c r="K2442" s="19" t="s">
        <v>4019</v>
      </c>
    </row>
    <row r="2443" spans="1:11" x14ac:dyDescent="0.2">
      <c r="A2443" t="s">
        <v>832</v>
      </c>
      <c r="B2443" t="s">
        <v>4020</v>
      </c>
      <c r="G2443" s="5" t="str">
        <f t="shared" si="171"/>
        <v/>
      </c>
      <c r="I2443" s="6" t="str">
        <f t="shared" si="172"/>
        <v>0</v>
      </c>
      <c r="K2443" s="19" t="s">
        <v>4021</v>
      </c>
    </row>
    <row r="2444" spans="1:11" x14ac:dyDescent="0.2">
      <c r="A2444" t="s">
        <v>834</v>
      </c>
      <c r="B2444" t="s">
        <v>4022</v>
      </c>
      <c r="G2444" s="5" t="str">
        <f t="shared" si="171"/>
        <v/>
      </c>
      <c r="I2444" s="6" t="str">
        <f t="shared" si="172"/>
        <v>0</v>
      </c>
      <c r="K2444" s="19" t="s">
        <v>4023</v>
      </c>
    </row>
    <row r="2445" spans="1:11" x14ac:dyDescent="0.2">
      <c r="A2445" t="s">
        <v>835</v>
      </c>
      <c r="B2445" t="s">
        <v>4024</v>
      </c>
      <c r="G2445" s="5" t="str">
        <f t="shared" si="171"/>
        <v/>
      </c>
      <c r="I2445" s="6" t="str">
        <f t="shared" si="172"/>
        <v>0</v>
      </c>
      <c r="K2445" s="19" t="s">
        <v>4025</v>
      </c>
    </row>
    <row r="2446" spans="1:11" x14ac:dyDescent="0.2">
      <c r="A2446" t="s">
        <v>836</v>
      </c>
      <c r="B2446" t="s">
        <v>4026</v>
      </c>
      <c r="G2446" s="5" t="str">
        <f t="shared" si="171"/>
        <v/>
      </c>
      <c r="I2446" s="6" t="str">
        <f t="shared" si="172"/>
        <v>0</v>
      </c>
      <c r="K2446" s="19" t="s">
        <v>4027</v>
      </c>
    </row>
    <row r="2447" spans="1:11" x14ac:dyDescent="0.2">
      <c r="A2447" t="s">
        <v>837</v>
      </c>
      <c r="B2447" t="s">
        <v>4028</v>
      </c>
      <c r="G2447" s="5" t="str">
        <f t="shared" si="171"/>
        <v/>
      </c>
      <c r="I2447" s="6" t="str">
        <f t="shared" si="172"/>
        <v>0</v>
      </c>
      <c r="K2447" s="19" t="s">
        <v>4029</v>
      </c>
    </row>
    <row r="2448" spans="1:11" x14ac:dyDescent="0.2">
      <c r="A2448" t="s">
        <v>838</v>
      </c>
      <c r="B2448" t="s">
        <v>4030</v>
      </c>
      <c r="G2448" s="5" t="str">
        <f t="shared" si="171"/>
        <v/>
      </c>
      <c r="I2448" s="6" t="str">
        <f t="shared" si="172"/>
        <v>0</v>
      </c>
      <c r="K2448" s="19" t="s">
        <v>4031</v>
      </c>
    </row>
    <row r="2449" spans="1:11" x14ac:dyDescent="0.2">
      <c r="A2449" t="s">
        <v>4032</v>
      </c>
      <c r="B2449" t="s">
        <v>4033</v>
      </c>
      <c r="G2449" s="5" t="str">
        <f t="shared" si="171"/>
        <v/>
      </c>
      <c r="I2449" s="6" t="str">
        <f t="shared" si="172"/>
        <v>0</v>
      </c>
      <c r="K2449" s="19" t="s">
        <v>4034</v>
      </c>
    </row>
    <row r="2450" spans="1:11" x14ac:dyDescent="0.2">
      <c r="A2450" t="s">
        <v>839</v>
      </c>
      <c r="B2450" t="s">
        <v>4035</v>
      </c>
      <c r="G2450" s="5" t="str">
        <f t="shared" si="171"/>
        <v/>
      </c>
      <c r="I2450" s="6" t="str">
        <f t="shared" si="172"/>
        <v>0</v>
      </c>
      <c r="K2450" s="19" t="s">
        <v>4036</v>
      </c>
    </row>
    <row r="2451" spans="1:11" x14ac:dyDescent="0.2">
      <c r="A2451" t="s">
        <v>840</v>
      </c>
      <c r="B2451" t="s">
        <v>4037</v>
      </c>
      <c r="G2451" s="5" t="str">
        <f t="shared" si="171"/>
        <v/>
      </c>
      <c r="I2451" s="6" t="str">
        <f t="shared" si="172"/>
        <v>0</v>
      </c>
      <c r="K2451" s="19" t="s">
        <v>4038</v>
      </c>
    </row>
    <row r="2452" spans="1:11" x14ac:dyDescent="0.2">
      <c r="A2452" t="s">
        <v>841</v>
      </c>
      <c r="B2452" t="s">
        <v>4039</v>
      </c>
      <c r="G2452" s="5" t="str">
        <f t="shared" si="171"/>
        <v/>
      </c>
      <c r="I2452" s="6" t="str">
        <f t="shared" si="172"/>
        <v>0</v>
      </c>
      <c r="K2452" s="19" t="s">
        <v>4040</v>
      </c>
    </row>
    <row r="2453" spans="1:11" x14ac:dyDescent="0.2">
      <c r="A2453" t="s">
        <v>842</v>
      </c>
      <c r="B2453" t="s">
        <v>4041</v>
      </c>
      <c r="G2453" s="5" t="str">
        <f t="shared" si="171"/>
        <v/>
      </c>
      <c r="I2453" s="6" t="str">
        <f t="shared" si="172"/>
        <v>0</v>
      </c>
      <c r="K2453" s="19" t="s">
        <v>4042</v>
      </c>
    </row>
    <row r="2454" spans="1:11" x14ac:dyDescent="0.2">
      <c r="A2454" t="s">
        <v>843</v>
      </c>
      <c r="B2454" t="s">
        <v>4043</v>
      </c>
      <c r="G2454" s="5" t="str">
        <f t="shared" si="171"/>
        <v/>
      </c>
      <c r="I2454" s="6" t="str">
        <f t="shared" si="172"/>
        <v>0</v>
      </c>
      <c r="K2454" s="19" t="s">
        <v>4044</v>
      </c>
    </row>
    <row r="2455" spans="1:11" x14ac:dyDescent="0.2">
      <c r="A2455" t="s">
        <v>844</v>
      </c>
      <c r="B2455" t="s">
        <v>4045</v>
      </c>
      <c r="G2455" s="5" t="str">
        <f t="shared" si="171"/>
        <v/>
      </c>
      <c r="I2455" s="6" t="str">
        <f t="shared" si="172"/>
        <v>0</v>
      </c>
      <c r="K2455" s="19" t="s">
        <v>4046</v>
      </c>
    </row>
    <row r="2456" spans="1:11" x14ac:dyDescent="0.2">
      <c r="A2456" t="s">
        <v>845</v>
      </c>
      <c r="B2456" t="s">
        <v>4047</v>
      </c>
      <c r="G2456" s="5" t="str">
        <f t="shared" si="171"/>
        <v/>
      </c>
      <c r="I2456" s="6" t="str">
        <f t="shared" si="172"/>
        <v>0</v>
      </c>
      <c r="K2456" s="19" t="s">
        <v>4048</v>
      </c>
    </row>
    <row r="2457" spans="1:11" x14ac:dyDescent="0.2">
      <c r="A2457" t="s">
        <v>846</v>
      </c>
      <c r="B2457" t="s">
        <v>4049</v>
      </c>
      <c r="G2457" s="5" t="str">
        <f t="shared" si="171"/>
        <v/>
      </c>
      <c r="I2457" s="6" t="str">
        <f t="shared" si="172"/>
        <v>0</v>
      </c>
      <c r="K2457" s="19" t="s">
        <v>4050</v>
      </c>
    </row>
    <row r="2458" spans="1:11" x14ac:dyDescent="0.2">
      <c r="A2458" t="s">
        <v>3292</v>
      </c>
      <c r="B2458" t="s">
        <v>4051</v>
      </c>
      <c r="G2458" s="5" t="str">
        <f t="shared" si="171"/>
        <v/>
      </c>
      <c r="I2458" s="6" t="str">
        <f t="shared" si="172"/>
        <v>0</v>
      </c>
      <c r="K2458" s="19" t="s">
        <v>4052</v>
      </c>
    </row>
    <row r="2459" spans="1:11" x14ac:dyDescent="0.2">
      <c r="A2459" t="s">
        <v>848</v>
      </c>
      <c r="B2459" t="s">
        <v>4053</v>
      </c>
      <c r="G2459" s="5" t="str">
        <f t="shared" si="171"/>
        <v/>
      </c>
      <c r="I2459" s="6" t="str">
        <f t="shared" si="172"/>
        <v>0</v>
      </c>
      <c r="K2459" s="19" t="s">
        <v>4054</v>
      </c>
    </row>
    <row r="2460" spans="1:11" x14ac:dyDescent="0.2">
      <c r="A2460" t="s">
        <v>3294</v>
      </c>
      <c r="B2460" t="s">
        <v>4055</v>
      </c>
      <c r="G2460" s="5" t="str">
        <f t="shared" si="171"/>
        <v/>
      </c>
      <c r="I2460" s="6" t="str">
        <f t="shared" si="172"/>
        <v>0</v>
      </c>
      <c r="K2460" s="19" t="s">
        <v>4056</v>
      </c>
    </row>
    <row r="2461" spans="1:11" x14ac:dyDescent="0.2">
      <c r="A2461" t="s">
        <v>296</v>
      </c>
      <c r="B2461" t="s">
        <v>4057</v>
      </c>
      <c r="G2461" s="5" t="str">
        <f t="shared" si="171"/>
        <v/>
      </c>
      <c r="I2461" s="6" t="str">
        <f t="shared" si="172"/>
        <v>0</v>
      </c>
      <c r="K2461" s="19" t="s">
        <v>4058</v>
      </c>
    </row>
    <row r="2462" spans="1:11" x14ac:dyDescent="0.2">
      <c r="A2462" t="s">
        <v>874</v>
      </c>
      <c r="B2462" t="s">
        <v>4059</v>
      </c>
      <c r="G2462" s="5" t="str">
        <f t="shared" si="171"/>
        <v/>
      </c>
      <c r="I2462" s="6" t="str">
        <f t="shared" si="172"/>
        <v>0</v>
      </c>
      <c r="K2462" s="19" t="s">
        <v>4060</v>
      </c>
    </row>
    <row r="2463" spans="1:11" x14ac:dyDescent="0.2">
      <c r="A2463" t="s">
        <v>880</v>
      </c>
      <c r="B2463" t="s">
        <v>4061</v>
      </c>
      <c r="G2463" s="5" t="str">
        <f t="shared" si="171"/>
        <v/>
      </c>
      <c r="I2463" s="6" t="str">
        <f t="shared" si="172"/>
        <v>0</v>
      </c>
      <c r="K2463" s="19" t="s">
        <v>4062</v>
      </c>
    </row>
    <row r="2464" spans="1:11" x14ac:dyDescent="0.2">
      <c r="A2464" t="s">
        <v>884</v>
      </c>
      <c r="B2464" t="s">
        <v>4063</v>
      </c>
      <c r="G2464" s="5" t="str">
        <f t="shared" si="171"/>
        <v/>
      </c>
      <c r="I2464" s="6" t="str">
        <f t="shared" si="172"/>
        <v>0</v>
      </c>
      <c r="K2464" s="19" t="s">
        <v>4064</v>
      </c>
    </row>
    <row r="2465" spans="1:11" x14ac:dyDescent="0.2">
      <c r="A2465" t="s">
        <v>885</v>
      </c>
      <c r="B2465" t="s">
        <v>4065</v>
      </c>
      <c r="G2465" s="5" t="str">
        <f t="shared" si="171"/>
        <v/>
      </c>
      <c r="I2465" s="6" t="str">
        <f t="shared" si="172"/>
        <v>0</v>
      </c>
      <c r="K2465" s="19" t="s">
        <v>4066</v>
      </c>
    </row>
    <row r="2466" spans="1:11" x14ac:dyDescent="0.2">
      <c r="A2466" t="s">
        <v>886</v>
      </c>
      <c r="B2466" t="s">
        <v>4067</v>
      </c>
      <c r="G2466" s="5" t="str">
        <f t="shared" si="171"/>
        <v/>
      </c>
      <c r="I2466" s="6" t="str">
        <f t="shared" si="172"/>
        <v>0</v>
      </c>
      <c r="K2466" s="19" t="s">
        <v>4068</v>
      </c>
    </row>
    <row r="2467" spans="1:11" x14ac:dyDescent="0.2">
      <c r="A2467" t="s">
        <v>887</v>
      </c>
      <c r="B2467" t="s">
        <v>4069</v>
      </c>
      <c r="G2467" s="5" t="str">
        <f t="shared" si="171"/>
        <v/>
      </c>
      <c r="I2467" s="6" t="str">
        <f t="shared" si="172"/>
        <v>0</v>
      </c>
      <c r="K2467" s="19" t="s">
        <v>4070</v>
      </c>
    </row>
    <row r="2468" spans="1:11" x14ac:dyDescent="0.2">
      <c r="A2468" t="s">
        <v>888</v>
      </c>
      <c r="B2468" t="s">
        <v>4071</v>
      </c>
      <c r="G2468" s="5" t="str">
        <f t="shared" si="171"/>
        <v/>
      </c>
      <c r="I2468" s="6" t="str">
        <f t="shared" si="172"/>
        <v>0</v>
      </c>
      <c r="K2468" s="19" t="s">
        <v>4072</v>
      </c>
    </row>
    <row r="2469" spans="1:11" x14ac:dyDescent="0.2">
      <c r="A2469" t="s">
        <v>889</v>
      </c>
      <c r="B2469" t="s">
        <v>4073</v>
      </c>
      <c r="G2469" s="5" t="str">
        <f t="shared" si="171"/>
        <v/>
      </c>
      <c r="I2469" s="6" t="str">
        <f t="shared" si="172"/>
        <v>0</v>
      </c>
      <c r="K2469" s="19" t="s">
        <v>4074</v>
      </c>
    </row>
    <row r="2470" spans="1:11" x14ac:dyDescent="0.2">
      <c r="A2470" t="s">
        <v>890</v>
      </c>
      <c r="B2470" t="s">
        <v>4075</v>
      </c>
      <c r="G2470" s="5" t="str">
        <f t="shared" si="171"/>
        <v/>
      </c>
      <c r="I2470" s="6" t="str">
        <f t="shared" si="172"/>
        <v>0</v>
      </c>
      <c r="K2470" s="19" t="s">
        <v>4076</v>
      </c>
    </row>
    <row r="2471" spans="1:11" x14ac:dyDescent="0.2">
      <c r="A2471" t="s">
        <v>891</v>
      </c>
      <c r="B2471" t="s">
        <v>4077</v>
      </c>
      <c r="G2471" s="5" t="str">
        <f t="shared" si="171"/>
        <v/>
      </c>
      <c r="I2471" s="6" t="str">
        <f t="shared" si="172"/>
        <v>0</v>
      </c>
      <c r="K2471" s="19" t="s">
        <v>4078</v>
      </c>
    </row>
    <row r="2472" spans="1:11" x14ac:dyDescent="0.2">
      <c r="A2472" t="s">
        <v>892</v>
      </c>
      <c r="B2472" t="s">
        <v>4079</v>
      </c>
      <c r="G2472" s="5" t="str">
        <f t="shared" si="171"/>
        <v/>
      </c>
      <c r="I2472" s="6" t="str">
        <f t="shared" si="172"/>
        <v>0</v>
      </c>
      <c r="K2472" s="19" t="s">
        <v>4080</v>
      </c>
    </row>
    <row r="2473" spans="1:11" x14ac:dyDescent="0.2">
      <c r="A2473" t="s">
        <v>893</v>
      </c>
      <c r="B2473" t="s">
        <v>4081</v>
      </c>
      <c r="G2473" s="5" t="str">
        <f t="shared" si="171"/>
        <v/>
      </c>
      <c r="I2473" s="6" t="str">
        <f t="shared" si="172"/>
        <v>0</v>
      </c>
      <c r="K2473" s="19" t="s">
        <v>4082</v>
      </c>
    </row>
    <row r="2474" spans="1:11" x14ac:dyDescent="0.2">
      <c r="A2474" t="s">
        <v>898</v>
      </c>
      <c r="B2474" t="s">
        <v>4083</v>
      </c>
      <c r="G2474" s="5" t="str">
        <f t="shared" si="171"/>
        <v/>
      </c>
      <c r="I2474" s="6" t="str">
        <f t="shared" si="172"/>
        <v>0</v>
      </c>
      <c r="K2474" s="19" t="s">
        <v>4084</v>
      </c>
    </row>
    <row r="2475" spans="1:11" x14ac:dyDescent="0.2">
      <c r="A2475" t="s">
        <v>901</v>
      </c>
      <c r="B2475" t="s">
        <v>4085</v>
      </c>
      <c r="G2475" s="5" t="str">
        <f t="shared" si="171"/>
        <v/>
      </c>
      <c r="I2475" s="6" t="str">
        <f t="shared" si="172"/>
        <v>0</v>
      </c>
      <c r="K2475" s="19" t="s">
        <v>4086</v>
      </c>
    </row>
    <row r="2476" spans="1:11" x14ac:dyDescent="0.2">
      <c r="A2476" t="s">
        <v>902</v>
      </c>
      <c r="B2476" t="s">
        <v>4087</v>
      </c>
      <c r="G2476" s="5" t="str">
        <f t="shared" si="171"/>
        <v/>
      </c>
      <c r="I2476" s="6" t="str">
        <f t="shared" si="172"/>
        <v>0</v>
      </c>
      <c r="K2476" s="19" t="s">
        <v>4088</v>
      </c>
    </row>
    <row r="2477" spans="1:11" x14ac:dyDescent="0.2">
      <c r="A2477" t="s">
        <v>909</v>
      </c>
      <c r="B2477" t="s">
        <v>4089</v>
      </c>
      <c r="G2477" s="5" t="str">
        <f t="shared" si="171"/>
        <v/>
      </c>
      <c r="I2477" s="6" t="str">
        <f t="shared" si="172"/>
        <v>0</v>
      </c>
      <c r="K2477" s="19" t="s">
        <v>4090</v>
      </c>
    </row>
    <row r="2478" spans="1:11" x14ac:dyDescent="0.2">
      <c r="A2478" t="s">
        <v>911</v>
      </c>
      <c r="B2478" t="s">
        <v>4091</v>
      </c>
      <c r="G2478" s="5" t="str">
        <f t="shared" si="171"/>
        <v/>
      </c>
      <c r="I2478" s="6" t="str">
        <f t="shared" si="172"/>
        <v>0</v>
      </c>
      <c r="K2478" s="19" t="s">
        <v>4092</v>
      </c>
    </row>
    <row r="2479" spans="1:11" x14ac:dyDescent="0.2">
      <c r="A2479" t="s">
        <v>912</v>
      </c>
      <c r="B2479" t="s">
        <v>4093</v>
      </c>
      <c r="G2479" s="5" t="str">
        <f t="shared" si="171"/>
        <v/>
      </c>
      <c r="I2479" s="6" t="str">
        <f t="shared" si="172"/>
        <v>0</v>
      </c>
      <c r="K2479" s="19" t="s">
        <v>4094</v>
      </c>
    </row>
    <row r="2480" spans="1:11" x14ac:dyDescent="0.2">
      <c r="A2480" t="s">
        <v>913</v>
      </c>
      <c r="B2480" t="s">
        <v>4095</v>
      </c>
      <c r="G2480" s="5" t="str">
        <f t="shared" si="171"/>
        <v/>
      </c>
      <c r="I2480" s="6" t="str">
        <f t="shared" si="172"/>
        <v>0</v>
      </c>
      <c r="K2480" s="19" t="s">
        <v>4096</v>
      </c>
    </row>
    <row r="2481" spans="1:11" x14ac:dyDescent="0.2">
      <c r="A2481" t="s">
        <v>914</v>
      </c>
      <c r="B2481" t="s">
        <v>4097</v>
      </c>
      <c r="G2481" s="5" t="str">
        <f t="shared" si="171"/>
        <v/>
      </c>
      <c r="I2481" s="6" t="str">
        <f t="shared" si="172"/>
        <v>0</v>
      </c>
      <c r="K2481" s="19" t="s">
        <v>4098</v>
      </c>
    </row>
    <row r="2482" spans="1:11" x14ac:dyDescent="0.2">
      <c r="A2482" t="s">
        <v>915</v>
      </c>
      <c r="B2482" t="s">
        <v>4099</v>
      </c>
      <c r="G2482" s="5" t="str">
        <f t="shared" si="171"/>
        <v/>
      </c>
      <c r="I2482" s="6" t="str">
        <f t="shared" si="172"/>
        <v>0</v>
      </c>
      <c r="K2482" s="19" t="s">
        <v>4100</v>
      </c>
    </row>
    <row r="2483" spans="1:11" x14ac:dyDescent="0.2">
      <c r="A2483" t="s">
        <v>917</v>
      </c>
      <c r="B2483" t="s">
        <v>4101</v>
      </c>
      <c r="G2483" s="5" t="str">
        <f t="shared" si="171"/>
        <v/>
      </c>
      <c r="I2483" s="6" t="str">
        <f t="shared" si="172"/>
        <v>0</v>
      </c>
      <c r="K2483" s="19" t="s">
        <v>4102</v>
      </c>
    </row>
    <row r="2484" spans="1:11" x14ac:dyDescent="0.2">
      <c r="A2484" t="s">
        <v>918</v>
      </c>
      <c r="B2484" t="s">
        <v>4103</v>
      </c>
      <c r="G2484" s="5" t="str">
        <f t="shared" si="171"/>
        <v/>
      </c>
      <c r="I2484" s="6" t="str">
        <f t="shared" si="172"/>
        <v>0</v>
      </c>
      <c r="K2484" s="19" t="s">
        <v>4104</v>
      </c>
    </row>
    <row r="2485" spans="1:11" x14ac:dyDescent="0.2">
      <c r="A2485" t="s">
        <v>919</v>
      </c>
      <c r="B2485" t="s">
        <v>4105</v>
      </c>
      <c r="G2485" s="5" t="str">
        <f t="shared" si="171"/>
        <v/>
      </c>
      <c r="I2485" s="6" t="str">
        <f t="shared" si="172"/>
        <v>0</v>
      </c>
      <c r="K2485" s="19" t="s">
        <v>4106</v>
      </c>
    </row>
    <row r="2486" spans="1:11" x14ac:dyDescent="0.2">
      <c r="A2486" t="s">
        <v>920</v>
      </c>
      <c r="B2486" t="s">
        <v>4107</v>
      </c>
      <c r="G2486" s="5" t="str">
        <f t="shared" si="171"/>
        <v/>
      </c>
      <c r="I2486" s="6" t="str">
        <f t="shared" si="172"/>
        <v>0</v>
      </c>
      <c r="K2486" s="19" t="s">
        <v>4108</v>
      </c>
    </row>
    <row r="2487" spans="1:11" x14ac:dyDescent="0.2">
      <c r="A2487" t="s">
        <v>921</v>
      </c>
      <c r="B2487" t="s">
        <v>4109</v>
      </c>
      <c r="G2487" s="5" t="str">
        <f t="shared" si="171"/>
        <v/>
      </c>
      <c r="I2487" s="6" t="str">
        <f t="shared" si="172"/>
        <v>0</v>
      </c>
      <c r="K2487" s="19" t="s">
        <v>4110</v>
      </c>
    </row>
    <row r="2488" spans="1:11" x14ac:dyDescent="0.2">
      <c r="A2488" t="s">
        <v>922</v>
      </c>
      <c r="B2488" t="s">
        <v>4111</v>
      </c>
      <c r="G2488" s="5" t="str">
        <f t="shared" si="171"/>
        <v/>
      </c>
      <c r="I2488" s="6" t="str">
        <f t="shared" si="172"/>
        <v>0</v>
      </c>
      <c r="K2488" s="19" t="s">
        <v>4112</v>
      </c>
    </row>
    <row r="2489" spans="1:11" x14ac:dyDescent="0.2">
      <c r="A2489" t="s">
        <v>923</v>
      </c>
      <c r="B2489" t="s">
        <v>4113</v>
      </c>
      <c r="G2489" s="5" t="str">
        <f t="shared" si="171"/>
        <v/>
      </c>
      <c r="I2489" s="6" t="str">
        <f t="shared" si="172"/>
        <v>0</v>
      </c>
      <c r="K2489" s="19" t="s">
        <v>4114</v>
      </c>
    </row>
    <row r="2490" spans="1:11" x14ac:dyDescent="0.2">
      <c r="A2490" t="s">
        <v>924</v>
      </c>
      <c r="B2490" t="s">
        <v>4115</v>
      </c>
      <c r="G2490" s="5" t="str">
        <f t="shared" si="171"/>
        <v/>
      </c>
      <c r="I2490" s="6" t="str">
        <f t="shared" si="172"/>
        <v>0</v>
      </c>
      <c r="K2490" s="19" t="s">
        <v>4116</v>
      </c>
    </row>
    <row r="2491" spans="1:11" x14ac:dyDescent="0.2">
      <c r="A2491" t="s">
        <v>925</v>
      </c>
      <c r="B2491" t="s">
        <v>4117</v>
      </c>
      <c r="G2491" s="5" t="str">
        <f t="shared" si="171"/>
        <v/>
      </c>
      <c r="I2491" s="6" t="str">
        <f t="shared" si="172"/>
        <v>0</v>
      </c>
      <c r="K2491" s="19" t="s">
        <v>4118</v>
      </c>
    </row>
    <row r="2492" spans="1:11" x14ac:dyDescent="0.2">
      <c r="A2492" t="s">
        <v>929</v>
      </c>
      <c r="B2492" t="s">
        <v>4119</v>
      </c>
      <c r="G2492" s="5" t="str">
        <f t="shared" si="171"/>
        <v/>
      </c>
      <c r="I2492" s="6" t="str">
        <f t="shared" si="172"/>
        <v>0</v>
      </c>
      <c r="K2492" s="19" t="s">
        <v>4120</v>
      </c>
    </row>
    <row r="2493" spans="1:11" x14ac:dyDescent="0.2">
      <c r="A2493" t="s">
        <v>932</v>
      </c>
      <c r="B2493" t="s">
        <v>4121</v>
      </c>
      <c r="G2493" s="5" t="str">
        <f t="shared" si="171"/>
        <v/>
      </c>
      <c r="I2493" s="6" t="str">
        <f t="shared" si="172"/>
        <v>0</v>
      </c>
      <c r="K2493" s="19" t="s">
        <v>4122</v>
      </c>
    </row>
    <row r="2494" spans="1:11" x14ac:dyDescent="0.2">
      <c r="A2494" t="s">
        <v>933</v>
      </c>
      <c r="B2494" t="s">
        <v>4123</v>
      </c>
      <c r="G2494" s="5" t="str">
        <f t="shared" si="171"/>
        <v/>
      </c>
      <c r="I2494" s="6" t="str">
        <f t="shared" si="172"/>
        <v>0</v>
      </c>
      <c r="K2494" s="19" t="s">
        <v>4124</v>
      </c>
    </row>
    <row r="2495" spans="1:11" x14ac:dyDescent="0.2">
      <c r="A2495" t="s">
        <v>937</v>
      </c>
      <c r="B2495" t="s">
        <v>4125</v>
      </c>
      <c r="G2495" s="5" t="str">
        <f t="shared" ref="G2495:G2558" si="173">IF(F2495&lt;&gt;"",HEX2DEC(SUBSTITUTE(SUBSTITUTE(F2495,"adrEA",""),"$","")),"")</f>
        <v/>
      </c>
      <c r="I2495" s="6" t="str">
        <f t="shared" ref="I2495:I2558" si="174">IFERROR(DEC2HEX(H2495),"")</f>
        <v>0</v>
      </c>
      <c r="K2495" s="19" t="s">
        <v>4126</v>
      </c>
    </row>
    <row r="2496" spans="1:11" x14ac:dyDescent="0.2">
      <c r="A2496" t="s">
        <v>939</v>
      </c>
      <c r="B2496" t="s">
        <v>4127</v>
      </c>
      <c r="G2496" s="5" t="str">
        <f t="shared" si="173"/>
        <v/>
      </c>
      <c r="I2496" s="6" t="str">
        <f t="shared" si="174"/>
        <v>0</v>
      </c>
      <c r="K2496" s="19" t="s">
        <v>4128</v>
      </c>
    </row>
    <row r="2497" spans="1:11" x14ac:dyDescent="0.2">
      <c r="A2497" t="s">
        <v>940</v>
      </c>
      <c r="B2497" t="s">
        <v>4129</v>
      </c>
      <c r="G2497" s="5" t="str">
        <f t="shared" si="173"/>
        <v/>
      </c>
      <c r="I2497" s="6" t="str">
        <f t="shared" si="174"/>
        <v>0</v>
      </c>
      <c r="K2497" s="19" t="s">
        <v>4130</v>
      </c>
    </row>
    <row r="2498" spans="1:11" x14ac:dyDescent="0.2">
      <c r="A2498" t="s">
        <v>945</v>
      </c>
      <c r="B2498" t="s">
        <v>4131</v>
      </c>
      <c r="G2498" s="5" t="str">
        <f t="shared" si="173"/>
        <v/>
      </c>
      <c r="I2498" s="6" t="str">
        <f t="shared" si="174"/>
        <v>0</v>
      </c>
      <c r="K2498" s="19" t="s">
        <v>4132</v>
      </c>
    </row>
    <row r="2499" spans="1:11" x14ac:dyDescent="0.2">
      <c r="A2499" t="s">
        <v>948</v>
      </c>
      <c r="B2499" t="s">
        <v>4133</v>
      </c>
      <c r="G2499" s="5" t="str">
        <f t="shared" si="173"/>
        <v/>
      </c>
      <c r="I2499" s="6" t="str">
        <f t="shared" si="174"/>
        <v>0</v>
      </c>
      <c r="K2499" s="19" t="s">
        <v>4134</v>
      </c>
    </row>
    <row r="2500" spans="1:11" x14ac:dyDescent="0.2">
      <c r="A2500" t="s">
        <v>956</v>
      </c>
      <c r="B2500" t="s">
        <v>4135</v>
      </c>
      <c r="G2500" s="5" t="str">
        <f t="shared" si="173"/>
        <v/>
      </c>
      <c r="I2500" s="6" t="str">
        <f t="shared" si="174"/>
        <v>0</v>
      </c>
      <c r="K2500" s="19" t="s">
        <v>4136</v>
      </c>
    </row>
    <row r="2501" spans="1:11" x14ac:dyDescent="0.2">
      <c r="A2501" t="s">
        <v>958</v>
      </c>
      <c r="B2501" t="s">
        <v>4137</v>
      </c>
      <c r="G2501" s="5" t="str">
        <f t="shared" si="173"/>
        <v/>
      </c>
      <c r="I2501" s="6" t="str">
        <f t="shared" si="174"/>
        <v>0</v>
      </c>
      <c r="K2501" s="19" t="s">
        <v>4138</v>
      </c>
    </row>
    <row r="2502" spans="1:11" x14ac:dyDescent="0.2">
      <c r="A2502" t="s">
        <v>959</v>
      </c>
      <c r="B2502" t="s">
        <v>4139</v>
      </c>
      <c r="G2502" s="5" t="str">
        <f t="shared" si="173"/>
        <v/>
      </c>
      <c r="I2502" s="6" t="str">
        <f t="shared" si="174"/>
        <v>0</v>
      </c>
      <c r="K2502" s="19" t="s">
        <v>4140</v>
      </c>
    </row>
    <row r="2503" spans="1:11" x14ac:dyDescent="0.2">
      <c r="A2503" t="s">
        <v>960</v>
      </c>
      <c r="B2503" t="s">
        <v>4141</v>
      </c>
      <c r="G2503" s="5" t="str">
        <f t="shared" si="173"/>
        <v/>
      </c>
      <c r="I2503" s="6" t="str">
        <f t="shared" si="174"/>
        <v>0</v>
      </c>
      <c r="K2503" s="19" t="s">
        <v>4142</v>
      </c>
    </row>
    <row r="2504" spans="1:11" x14ac:dyDescent="0.2">
      <c r="A2504" t="s">
        <v>961</v>
      </c>
      <c r="B2504" t="s">
        <v>4143</v>
      </c>
      <c r="G2504" s="5" t="str">
        <f t="shared" si="173"/>
        <v/>
      </c>
      <c r="I2504" s="6" t="str">
        <f t="shared" si="174"/>
        <v>0</v>
      </c>
      <c r="K2504" s="19" t="s">
        <v>4144</v>
      </c>
    </row>
    <row r="2505" spans="1:11" x14ac:dyDescent="0.2">
      <c r="A2505" t="s">
        <v>962</v>
      </c>
      <c r="B2505" t="s">
        <v>4145</v>
      </c>
      <c r="G2505" s="5" t="str">
        <f t="shared" si="173"/>
        <v/>
      </c>
      <c r="I2505" s="6" t="str">
        <f t="shared" si="174"/>
        <v>0</v>
      </c>
      <c r="K2505" s="19" t="s">
        <v>4146</v>
      </c>
    </row>
    <row r="2506" spans="1:11" x14ac:dyDescent="0.2">
      <c r="A2506" t="s">
        <v>963</v>
      </c>
      <c r="B2506" t="s">
        <v>4147</v>
      </c>
      <c r="G2506" s="5" t="str">
        <f t="shared" si="173"/>
        <v/>
      </c>
      <c r="I2506" s="6" t="str">
        <f t="shared" si="174"/>
        <v>0</v>
      </c>
      <c r="K2506" s="19" t="s">
        <v>4148</v>
      </c>
    </row>
    <row r="2507" spans="1:11" x14ac:dyDescent="0.2">
      <c r="A2507" t="s">
        <v>4149</v>
      </c>
      <c r="B2507" t="s">
        <v>4150</v>
      </c>
      <c r="G2507" s="5" t="str">
        <f t="shared" si="173"/>
        <v/>
      </c>
      <c r="I2507" s="6" t="str">
        <f t="shared" si="174"/>
        <v>0</v>
      </c>
      <c r="K2507" s="19" t="s">
        <v>4151</v>
      </c>
    </row>
    <row r="2508" spans="1:11" x14ac:dyDescent="0.2">
      <c r="A2508" t="s">
        <v>964</v>
      </c>
      <c r="B2508" t="s">
        <v>4152</v>
      </c>
      <c r="G2508" s="5" t="str">
        <f t="shared" si="173"/>
        <v/>
      </c>
      <c r="I2508" s="6" t="str">
        <f t="shared" si="174"/>
        <v>0</v>
      </c>
      <c r="K2508" s="19" t="s">
        <v>4153</v>
      </c>
    </row>
    <row r="2509" spans="1:11" x14ac:dyDescent="0.2">
      <c r="A2509" t="s">
        <v>965</v>
      </c>
      <c r="B2509" t="s">
        <v>4154</v>
      </c>
      <c r="G2509" s="5" t="str">
        <f t="shared" si="173"/>
        <v/>
      </c>
      <c r="I2509" s="6" t="str">
        <f t="shared" si="174"/>
        <v>0</v>
      </c>
      <c r="K2509" s="19" t="s">
        <v>4155</v>
      </c>
    </row>
    <row r="2510" spans="1:11" x14ac:dyDescent="0.2">
      <c r="A2510" t="s">
        <v>966</v>
      </c>
      <c r="B2510" t="s">
        <v>4156</v>
      </c>
      <c r="G2510" s="5" t="str">
        <f t="shared" si="173"/>
        <v/>
      </c>
      <c r="I2510" s="6" t="str">
        <f t="shared" si="174"/>
        <v>0</v>
      </c>
      <c r="K2510" s="19" t="s">
        <v>4157</v>
      </c>
    </row>
    <row r="2511" spans="1:11" x14ac:dyDescent="0.2">
      <c r="A2511" t="s">
        <v>967</v>
      </c>
      <c r="B2511" t="s">
        <v>4158</v>
      </c>
      <c r="G2511" s="5" t="str">
        <f t="shared" si="173"/>
        <v/>
      </c>
      <c r="I2511" s="6" t="str">
        <f t="shared" si="174"/>
        <v>0</v>
      </c>
      <c r="K2511" s="19" t="s">
        <v>4159</v>
      </c>
    </row>
    <row r="2512" spans="1:11" x14ac:dyDescent="0.2">
      <c r="A2512" t="s">
        <v>968</v>
      </c>
      <c r="B2512" t="s">
        <v>4160</v>
      </c>
      <c r="G2512" s="5" t="str">
        <f t="shared" si="173"/>
        <v/>
      </c>
      <c r="I2512" s="6" t="str">
        <f t="shared" si="174"/>
        <v>0</v>
      </c>
      <c r="K2512" s="19" t="s">
        <v>4161</v>
      </c>
    </row>
    <row r="2513" spans="1:11" x14ac:dyDescent="0.2">
      <c r="A2513" t="s">
        <v>969</v>
      </c>
      <c r="B2513" t="s">
        <v>4162</v>
      </c>
      <c r="G2513" s="5" t="str">
        <f t="shared" si="173"/>
        <v/>
      </c>
      <c r="I2513" s="6" t="str">
        <f t="shared" si="174"/>
        <v>0</v>
      </c>
      <c r="K2513" s="19" t="s">
        <v>4163</v>
      </c>
    </row>
    <row r="2514" spans="1:11" x14ac:dyDescent="0.2">
      <c r="A2514" t="s">
        <v>970</v>
      </c>
      <c r="B2514" t="s">
        <v>4164</v>
      </c>
      <c r="G2514" s="5" t="str">
        <f t="shared" si="173"/>
        <v/>
      </c>
      <c r="I2514" s="6" t="str">
        <f t="shared" si="174"/>
        <v>0</v>
      </c>
      <c r="K2514" s="19" t="s">
        <v>4165</v>
      </c>
    </row>
    <row r="2515" spans="1:11" x14ac:dyDescent="0.2">
      <c r="A2515" t="s">
        <v>971</v>
      </c>
      <c r="B2515" t="s">
        <v>4166</v>
      </c>
      <c r="G2515" s="5" t="str">
        <f t="shared" si="173"/>
        <v/>
      </c>
      <c r="I2515" s="6" t="str">
        <f t="shared" si="174"/>
        <v>0</v>
      </c>
      <c r="K2515" s="19" t="s">
        <v>4167</v>
      </c>
    </row>
    <row r="2516" spans="1:11" x14ac:dyDescent="0.2">
      <c r="A2516" t="s">
        <v>972</v>
      </c>
      <c r="B2516" t="s">
        <v>4168</v>
      </c>
      <c r="G2516" s="5" t="str">
        <f t="shared" si="173"/>
        <v/>
      </c>
      <c r="I2516" s="6" t="str">
        <f t="shared" si="174"/>
        <v>0</v>
      </c>
      <c r="K2516" s="19" t="s">
        <v>4169</v>
      </c>
    </row>
    <row r="2517" spans="1:11" x14ac:dyDescent="0.2">
      <c r="A2517" t="s">
        <v>973</v>
      </c>
      <c r="B2517" t="s">
        <v>4170</v>
      </c>
      <c r="G2517" s="5" t="str">
        <f t="shared" si="173"/>
        <v/>
      </c>
      <c r="I2517" s="6" t="str">
        <f t="shared" si="174"/>
        <v>0</v>
      </c>
      <c r="K2517" s="19" t="s">
        <v>4171</v>
      </c>
    </row>
    <row r="2518" spans="1:11" x14ac:dyDescent="0.2">
      <c r="A2518" t="s">
        <v>974</v>
      </c>
      <c r="B2518" t="s">
        <v>4172</v>
      </c>
      <c r="G2518" s="5" t="str">
        <f t="shared" si="173"/>
        <v/>
      </c>
      <c r="I2518" s="6" t="str">
        <f t="shared" si="174"/>
        <v>0</v>
      </c>
      <c r="K2518" s="19" t="s">
        <v>4173</v>
      </c>
    </row>
    <row r="2519" spans="1:11" x14ac:dyDescent="0.2">
      <c r="A2519" t="s">
        <v>975</v>
      </c>
      <c r="B2519" t="s">
        <v>4174</v>
      </c>
      <c r="G2519" s="5" t="str">
        <f t="shared" si="173"/>
        <v/>
      </c>
      <c r="I2519" s="6" t="str">
        <f t="shared" si="174"/>
        <v>0</v>
      </c>
      <c r="K2519" s="19" t="s">
        <v>4175</v>
      </c>
    </row>
    <row r="2520" spans="1:11" x14ac:dyDescent="0.2">
      <c r="A2520" t="s">
        <v>976</v>
      </c>
      <c r="B2520" t="s">
        <v>4176</v>
      </c>
      <c r="G2520" s="5" t="str">
        <f t="shared" si="173"/>
        <v/>
      </c>
      <c r="I2520" s="6" t="str">
        <f t="shared" si="174"/>
        <v>0</v>
      </c>
      <c r="K2520" s="19" t="s">
        <v>4177</v>
      </c>
    </row>
    <row r="2521" spans="1:11" x14ac:dyDescent="0.2">
      <c r="A2521" t="s">
        <v>977</v>
      </c>
      <c r="B2521" t="s">
        <v>4178</v>
      </c>
      <c r="G2521" s="5" t="str">
        <f t="shared" si="173"/>
        <v/>
      </c>
      <c r="I2521" s="6" t="str">
        <f t="shared" si="174"/>
        <v>0</v>
      </c>
      <c r="K2521" s="19" t="s">
        <v>4179</v>
      </c>
    </row>
    <row r="2522" spans="1:11" x14ac:dyDescent="0.2">
      <c r="A2522" t="s">
        <v>978</v>
      </c>
      <c r="B2522" t="s">
        <v>4180</v>
      </c>
      <c r="G2522" s="5" t="str">
        <f t="shared" si="173"/>
        <v/>
      </c>
      <c r="I2522" s="6" t="str">
        <f t="shared" si="174"/>
        <v>0</v>
      </c>
      <c r="K2522" s="19" t="s">
        <v>4181</v>
      </c>
    </row>
    <row r="2523" spans="1:11" x14ac:dyDescent="0.2">
      <c r="A2523" t="s">
        <v>979</v>
      </c>
      <c r="B2523" t="s">
        <v>4182</v>
      </c>
      <c r="G2523" s="5" t="str">
        <f t="shared" si="173"/>
        <v/>
      </c>
      <c r="I2523" s="6" t="str">
        <f t="shared" si="174"/>
        <v>0</v>
      </c>
      <c r="K2523" s="19" t="s">
        <v>4183</v>
      </c>
    </row>
    <row r="2524" spans="1:11" x14ac:dyDescent="0.2">
      <c r="A2524" t="s">
        <v>980</v>
      </c>
      <c r="B2524" t="s">
        <v>4184</v>
      </c>
      <c r="G2524" s="5" t="str">
        <f t="shared" si="173"/>
        <v/>
      </c>
      <c r="I2524" s="6" t="str">
        <f t="shared" si="174"/>
        <v>0</v>
      </c>
      <c r="K2524" s="19" t="s">
        <v>4185</v>
      </c>
    </row>
    <row r="2525" spans="1:11" x14ac:dyDescent="0.2">
      <c r="A2525" t="s">
        <v>981</v>
      </c>
      <c r="B2525" t="s">
        <v>4186</v>
      </c>
      <c r="G2525" s="5" t="str">
        <f t="shared" si="173"/>
        <v/>
      </c>
      <c r="I2525" s="6" t="str">
        <f t="shared" si="174"/>
        <v>0</v>
      </c>
      <c r="K2525" s="19" t="s">
        <v>4187</v>
      </c>
    </row>
    <row r="2526" spans="1:11" x14ac:dyDescent="0.2">
      <c r="A2526" t="s">
        <v>982</v>
      </c>
      <c r="B2526" t="s">
        <v>4188</v>
      </c>
      <c r="G2526" s="5" t="str">
        <f t="shared" si="173"/>
        <v/>
      </c>
      <c r="I2526" s="6" t="str">
        <f t="shared" si="174"/>
        <v>0</v>
      </c>
      <c r="K2526" s="19" t="s">
        <v>4189</v>
      </c>
    </row>
    <row r="2527" spans="1:11" x14ac:dyDescent="0.2">
      <c r="A2527" t="s">
        <v>983</v>
      </c>
      <c r="B2527" t="s">
        <v>4190</v>
      </c>
      <c r="G2527" s="5" t="str">
        <f t="shared" si="173"/>
        <v/>
      </c>
      <c r="I2527" s="6" t="str">
        <f t="shared" si="174"/>
        <v>0</v>
      </c>
      <c r="K2527" s="19" t="s">
        <v>4191</v>
      </c>
    </row>
    <row r="2528" spans="1:11" x14ac:dyDescent="0.2">
      <c r="A2528" t="s">
        <v>984</v>
      </c>
      <c r="B2528" t="s">
        <v>4192</v>
      </c>
      <c r="G2528" s="5" t="str">
        <f t="shared" si="173"/>
        <v/>
      </c>
      <c r="I2528" s="6" t="str">
        <f t="shared" si="174"/>
        <v>0</v>
      </c>
      <c r="K2528" s="19" t="s">
        <v>4193</v>
      </c>
    </row>
    <row r="2529" spans="1:11" x14ac:dyDescent="0.2">
      <c r="A2529" t="s">
        <v>985</v>
      </c>
      <c r="B2529" t="s">
        <v>4194</v>
      </c>
      <c r="G2529" s="5" t="str">
        <f t="shared" si="173"/>
        <v/>
      </c>
      <c r="I2529" s="6" t="str">
        <f t="shared" si="174"/>
        <v>0</v>
      </c>
      <c r="K2529" s="19" t="s">
        <v>4195</v>
      </c>
    </row>
    <row r="2530" spans="1:11" x14ac:dyDescent="0.2">
      <c r="A2530" t="s">
        <v>986</v>
      </c>
      <c r="B2530" t="s">
        <v>4196</v>
      </c>
      <c r="G2530" s="5" t="str">
        <f t="shared" si="173"/>
        <v/>
      </c>
      <c r="I2530" s="6" t="str">
        <f t="shared" si="174"/>
        <v>0</v>
      </c>
      <c r="K2530" s="19" t="s">
        <v>4197</v>
      </c>
    </row>
    <row r="2531" spans="1:11" x14ac:dyDescent="0.2">
      <c r="A2531" t="s">
        <v>987</v>
      </c>
      <c r="B2531" t="s">
        <v>4198</v>
      </c>
      <c r="G2531" s="5" t="str">
        <f t="shared" si="173"/>
        <v/>
      </c>
      <c r="I2531" s="6" t="str">
        <f t="shared" si="174"/>
        <v>0</v>
      </c>
      <c r="K2531" s="19" t="s">
        <v>4199</v>
      </c>
    </row>
    <row r="2532" spans="1:11" x14ac:dyDescent="0.2">
      <c r="A2532" t="s">
        <v>988</v>
      </c>
      <c r="B2532" t="s">
        <v>4200</v>
      </c>
      <c r="G2532" s="5" t="str">
        <f t="shared" si="173"/>
        <v/>
      </c>
      <c r="I2532" s="6" t="str">
        <f t="shared" si="174"/>
        <v>0</v>
      </c>
      <c r="K2532" s="19" t="s">
        <v>4201</v>
      </c>
    </row>
    <row r="2533" spans="1:11" x14ac:dyDescent="0.2">
      <c r="A2533" t="s">
        <v>989</v>
      </c>
      <c r="B2533" t="s">
        <v>4202</v>
      </c>
      <c r="G2533" s="5" t="str">
        <f t="shared" si="173"/>
        <v/>
      </c>
      <c r="I2533" s="6" t="str">
        <f t="shared" si="174"/>
        <v>0</v>
      </c>
      <c r="K2533" s="19" t="s">
        <v>4203</v>
      </c>
    </row>
    <row r="2534" spans="1:11" x14ac:dyDescent="0.2">
      <c r="A2534" t="s">
        <v>990</v>
      </c>
      <c r="B2534" t="s">
        <v>4204</v>
      </c>
      <c r="G2534" s="5" t="str">
        <f t="shared" si="173"/>
        <v/>
      </c>
      <c r="I2534" s="6" t="str">
        <f t="shared" si="174"/>
        <v>0</v>
      </c>
      <c r="K2534" s="19" t="s">
        <v>4205</v>
      </c>
    </row>
    <row r="2535" spans="1:11" x14ac:dyDescent="0.2">
      <c r="A2535" t="s">
        <v>991</v>
      </c>
      <c r="B2535" t="s">
        <v>4206</v>
      </c>
      <c r="G2535" s="5" t="str">
        <f t="shared" si="173"/>
        <v/>
      </c>
      <c r="I2535" s="6" t="str">
        <f t="shared" si="174"/>
        <v>0</v>
      </c>
      <c r="K2535" s="19" t="s">
        <v>4207</v>
      </c>
    </row>
    <row r="2536" spans="1:11" x14ac:dyDescent="0.2">
      <c r="A2536" t="s">
        <v>995</v>
      </c>
      <c r="B2536" t="s">
        <v>4208</v>
      </c>
      <c r="G2536" s="5" t="str">
        <f t="shared" si="173"/>
        <v/>
      </c>
      <c r="I2536" s="6" t="str">
        <f t="shared" si="174"/>
        <v>0</v>
      </c>
      <c r="K2536" s="19" t="s">
        <v>4209</v>
      </c>
    </row>
    <row r="2537" spans="1:11" x14ac:dyDescent="0.2">
      <c r="A2537" t="s">
        <v>996</v>
      </c>
      <c r="B2537" t="s">
        <v>4210</v>
      </c>
      <c r="G2537" s="5" t="str">
        <f t="shared" si="173"/>
        <v/>
      </c>
      <c r="I2537" s="6" t="str">
        <f t="shared" si="174"/>
        <v>0</v>
      </c>
      <c r="K2537" s="19" t="s">
        <v>4211</v>
      </c>
    </row>
    <row r="2538" spans="1:11" x14ac:dyDescent="0.2">
      <c r="A2538" t="s">
        <v>997</v>
      </c>
      <c r="B2538" t="s">
        <v>4212</v>
      </c>
      <c r="G2538" s="5" t="str">
        <f t="shared" si="173"/>
        <v/>
      </c>
      <c r="I2538" s="6" t="str">
        <f t="shared" si="174"/>
        <v>0</v>
      </c>
      <c r="K2538" s="19" t="s">
        <v>4213</v>
      </c>
    </row>
    <row r="2539" spans="1:11" x14ac:dyDescent="0.2">
      <c r="A2539" t="s">
        <v>998</v>
      </c>
      <c r="B2539" t="s">
        <v>4214</v>
      </c>
      <c r="G2539" s="5" t="str">
        <f t="shared" si="173"/>
        <v/>
      </c>
      <c r="I2539" s="6" t="str">
        <f t="shared" si="174"/>
        <v>0</v>
      </c>
      <c r="K2539" s="19" t="s">
        <v>4215</v>
      </c>
    </row>
    <row r="2540" spans="1:11" x14ac:dyDescent="0.2">
      <c r="A2540" t="s">
        <v>999</v>
      </c>
      <c r="B2540" t="s">
        <v>4216</v>
      </c>
      <c r="G2540" s="5" t="str">
        <f t="shared" si="173"/>
        <v/>
      </c>
      <c r="I2540" s="6" t="str">
        <f t="shared" si="174"/>
        <v>0</v>
      </c>
      <c r="K2540" s="19" t="s">
        <v>4217</v>
      </c>
    </row>
    <row r="2541" spans="1:11" x14ac:dyDescent="0.2">
      <c r="A2541" t="s">
        <v>1000</v>
      </c>
      <c r="B2541" t="s">
        <v>4218</v>
      </c>
      <c r="G2541" s="5" t="str">
        <f t="shared" si="173"/>
        <v/>
      </c>
      <c r="I2541" s="6" t="str">
        <f t="shared" si="174"/>
        <v>0</v>
      </c>
      <c r="K2541" s="19" t="s">
        <v>4219</v>
      </c>
    </row>
    <row r="2542" spans="1:11" x14ac:dyDescent="0.2">
      <c r="A2542" t="s">
        <v>1001</v>
      </c>
      <c r="B2542" t="s">
        <v>4220</v>
      </c>
      <c r="G2542" s="5" t="str">
        <f t="shared" si="173"/>
        <v/>
      </c>
      <c r="I2542" s="6" t="str">
        <f t="shared" si="174"/>
        <v>0</v>
      </c>
      <c r="K2542" s="19" t="s">
        <v>4221</v>
      </c>
    </row>
    <row r="2543" spans="1:11" x14ac:dyDescent="0.2">
      <c r="A2543" t="s">
        <v>1002</v>
      </c>
      <c r="B2543" t="s">
        <v>4222</v>
      </c>
      <c r="G2543" s="5" t="str">
        <f t="shared" si="173"/>
        <v/>
      </c>
      <c r="I2543" s="6" t="str">
        <f t="shared" si="174"/>
        <v>0</v>
      </c>
      <c r="K2543" s="19" t="s">
        <v>4223</v>
      </c>
    </row>
    <row r="2544" spans="1:11" x14ac:dyDescent="0.2">
      <c r="A2544" t="s">
        <v>1003</v>
      </c>
      <c r="B2544" t="s">
        <v>4224</v>
      </c>
      <c r="G2544" s="5" t="str">
        <f t="shared" si="173"/>
        <v/>
      </c>
      <c r="I2544" s="6" t="str">
        <f t="shared" si="174"/>
        <v>0</v>
      </c>
      <c r="K2544" s="19" t="s">
        <v>4225</v>
      </c>
    </row>
    <row r="2545" spans="1:11" x14ac:dyDescent="0.2">
      <c r="A2545" t="s">
        <v>1004</v>
      </c>
      <c r="B2545" t="s">
        <v>4226</v>
      </c>
      <c r="G2545" s="5" t="str">
        <f t="shared" si="173"/>
        <v/>
      </c>
      <c r="I2545" s="6" t="str">
        <f t="shared" si="174"/>
        <v>0</v>
      </c>
      <c r="K2545" s="19" t="s">
        <v>4227</v>
      </c>
    </row>
    <row r="2546" spans="1:11" x14ac:dyDescent="0.2">
      <c r="A2546" t="s">
        <v>1005</v>
      </c>
      <c r="B2546" t="s">
        <v>4228</v>
      </c>
      <c r="G2546" s="5" t="str">
        <f t="shared" si="173"/>
        <v/>
      </c>
      <c r="I2546" s="6" t="str">
        <f t="shared" si="174"/>
        <v>0</v>
      </c>
      <c r="K2546" s="19" t="s">
        <v>4229</v>
      </c>
    </row>
    <row r="2547" spans="1:11" x14ac:dyDescent="0.2">
      <c r="A2547" t="s">
        <v>1006</v>
      </c>
      <c r="B2547" t="s">
        <v>4230</v>
      </c>
      <c r="G2547" s="5" t="str">
        <f t="shared" si="173"/>
        <v/>
      </c>
      <c r="I2547" s="6" t="str">
        <f t="shared" si="174"/>
        <v>0</v>
      </c>
      <c r="K2547" s="19" t="s">
        <v>4231</v>
      </c>
    </row>
    <row r="2548" spans="1:11" x14ac:dyDescent="0.2">
      <c r="A2548" t="s">
        <v>1007</v>
      </c>
      <c r="B2548" t="s">
        <v>4232</v>
      </c>
      <c r="G2548" s="5" t="str">
        <f t="shared" si="173"/>
        <v/>
      </c>
      <c r="I2548" s="6" t="str">
        <f t="shared" si="174"/>
        <v>0</v>
      </c>
      <c r="K2548" s="19" t="s">
        <v>4233</v>
      </c>
    </row>
    <row r="2549" spans="1:11" x14ac:dyDescent="0.2">
      <c r="A2549" t="s">
        <v>1008</v>
      </c>
      <c r="B2549" t="s">
        <v>4234</v>
      </c>
      <c r="G2549" s="5" t="str">
        <f t="shared" si="173"/>
        <v/>
      </c>
      <c r="I2549" s="6" t="str">
        <f t="shared" si="174"/>
        <v>0</v>
      </c>
      <c r="K2549" s="19" t="s">
        <v>4235</v>
      </c>
    </row>
    <row r="2550" spans="1:11" x14ac:dyDescent="0.2">
      <c r="A2550" t="s">
        <v>1009</v>
      </c>
      <c r="B2550" t="s">
        <v>4236</v>
      </c>
      <c r="G2550" s="5" t="str">
        <f t="shared" si="173"/>
        <v/>
      </c>
      <c r="I2550" s="6" t="str">
        <f t="shared" si="174"/>
        <v>0</v>
      </c>
      <c r="K2550" s="19" t="s">
        <v>4237</v>
      </c>
    </row>
    <row r="2551" spans="1:11" x14ac:dyDescent="0.2">
      <c r="A2551" t="s">
        <v>1010</v>
      </c>
      <c r="B2551" t="s">
        <v>4238</v>
      </c>
      <c r="G2551" s="5" t="str">
        <f t="shared" si="173"/>
        <v/>
      </c>
      <c r="I2551" s="6" t="str">
        <f t="shared" si="174"/>
        <v>0</v>
      </c>
      <c r="K2551" s="19" t="s">
        <v>4239</v>
      </c>
    </row>
    <row r="2552" spans="1:11" x14ac:dyDescent="0.2">
      <c r="A2552" t="s">
        <v>1011</v>
      </c>
      <c r="B2552" t="s">
        <v>3898</v>
      </c>
      <c r="G2552" s="5" t="str">
        <f t="shared" si="173"/>
        <v/>
      </c>
      <c r="I2552" s="6" t="str">
        <f t="shared" si="174"/>
        <v>0</v>
      </c>
      <c r="K2552" s="19" t="s">
        <v>4240</v>
      </c>
    </row>
    <row r="2553" spans="1:11" x14ac:dyDescent="0.2">
      <c r="A2553" t="s">
        <v>1067</v>
      </c>
      <c r="B2553" t="s">
        <v>4241</v>
      </c>
      <c r="G2553" s="5" t="str">
        <f t="shared" si="173"/>
        <v/>
      </c>
      <c r="I2553" s="6" t="str">
        <f t="shared" si="174"/>
        <v>0</v>
      </c>
      <c r="K2553" s="19" t="s">
        <v>4242</v>
      </c>
    </row>
    <row r="2554" spans="1:11" x14ac:dyDescent="0.2">
      <c r="A2554" t="s">
        <v>1227</v>
      </c>
      <c r="B2554" t="s">
        <v>4243</v>
      </c>
      <c r="G2554" s="5" t="str">
        <f t="shared" si="173"/>
        <v/>
      </c>
      <c r="I2554" s="6" t="str">
        <f t="shared" si="174"/>
        <v>0</v>
      </c>
      <c r="K2554" s="19" t="s">
        <v>4244</v>
      </c>
    </row>
    <row r="2555" spans="1:11" x14ac:dyDescent="0.2">
      <c r="A2555" t="s">
        <v>2958</v>
      </c>
      <c r="B2555" t="s">
        <v>4245</v>
      </c>
      <c r="G2555" s="5" t="str">
        <f t="shared" si="173"/>
        <v/>
      </c>
      <c r="I2555" s="6" t="str">
        <f t="shared" si="174"/>
        <v>0</v>
      </c>
      <c r="K2555" s="19" t="s">
        <v>4246</v>
      </c>
    </row>
    <row r="2556" spans="1:11" x14ac:dyDescent="0.2">
      <c r="A2556" t="s">
        <v>367</v>
      </c>
      <c r="B2556" t="s">
        <v>367</v>
      </c>
      <c r="G2556" s="5" t="str">
        <f t="shared" si="173"/>
        <v/>
      </c>
      <c r="I2556" s="6" t="str">
        <f t="shared" si="174"/>
        <v>0</v>
      </c>
      <c r="K2556" s="19" t="s">
        <v>4386</v>
      </c>
    </row>
    <row r="2557" spans="1:11" x14ac:dyDescent="0.2">
      <c r="A2557" t="s">
        <v>368</v>
      </c>
      <c r="B2557" t="s">
        <v>4387</v>
      </c>
      <c r="G2557" s="5" t="str">
        <f t="shared" si="173"/>
        <v/>
      </c>
      <c r="I2557" s="6" t="str">
        <f t="shared" si="174"/>
        <v>0</v>
      </c>
      <c r="K2557" s="19" t="s">
        <v>4388</v>
      </c>
    </row>
    <row r="2558" spans="1:11" x14ac:dyDescent="0.2">
      <c r="A2558" t="s">
        <v>369</v>
      </c>
      <c r="B2558" t="s">
        <v>4389</v>
      </c>
      <c r="G2558" s="5" t="str">
        <f t="shared" si="173"/>
        <v/>
      </c>
      <c r="I2558" s="6" t="str">
        <f t="shared" si="174"/>
        <v>0</v>
      </c>
      <c r="K2558" s="19" t="s">
        <v>4390</v>
      </c>
    </row>
    <row r="2559" spans="1:11" x14ac:dyDescent="0.2">
      <c r="A2559" t="s">
        <v>370</v>
      </c>
      <c r="B2559" t="s">
        <v>4385</v>
      </c>
      <c r="G2559" s="5" t="str">
        <f t="shared" ref="G2559:G2622" si="175">IF(F2559&lt;&gt;"",HEX2DEC(SUBSTITUTE(SUBSTITUTE(F2559,"adrEA",""),"$","")),"")</f>
        <v/>
      </c>
      <c r="I2559" s="6" t="str">
        <f t="shared" ref="I2559:I2622" si="176">IFERROR(DEC2HEX(H2559),"")</f>
        <v>0</v>
      </c>
      <c r="K2559" s="19" t="s">
        <v>4391</v>
      </c>
    </row>
    <row r="2560" spans="1:11" x14ac:dyDescent="0.2">
      <c r="A2560" t="s">
        <v>371</v>
      </c>
      <c r="B2560" t="s">
        <v>4392</v>
      </c>
      <c r="G2560" s="5" t="str">
        <f t="shared" si="175"/>
        <v/>
      </c>
      <c r="I2560" s="6" t="str">
        <f t="shared" si="176"/>
        <v>0</v>
      </c>
      <c r="K2560" s="19" t="s">
        <v>4393</v>
      </c>
    </row>
    <row r="2561" spans="1:11" x14ac:dyDescent="0.2">
      <c r="A2561" t="s">
        <v>372</v>
      </c>
      <c r="B2561" t="s">
        <v>4394</v>
      </c>
      <c r="G2561" s="5" t="str">
        <f t="shared" si="175"/>
        <v/>
      </c>
      <c r="I2561" s="6" t="str">
        <f t="shared" si="176"/>
        <v>0</v>
      </c>
      <c r="K2561" s="19" t="s">
        <v>4395</v>
      </c>
    </row>
    <row r="2562" spans="1:11" x14ac:dyDescent="0.2">
      <c r="A2562" t="s">
        <v>373</v>
      </c>
      <c r="B2562" t="s">
        <v>5012</v>
      </c>
      <c r="G2562" s="5" t="str">
        <f t="shared" si="175"/>
        <v/>
      </c>
      <c r="I2562" s="6" t="str">
        <f t="shared" si="176"/>
        <v>0</v>
      </c>
      <c r="K2562" s="19" t="s">
        <v>4396</v>
      </c>
    </row>
    <row r="2563" spans="1:11" x14ac:dyDescent="0.2">
      <c r="A2563" t="s">
        <v>374</v>
      </c>
      <c r="B2563" t="s">
        <v>4397</v>
      </c>
      <c r="G2563" s="5" t="str">
        <f t="shared" si="175"/>
        <v/>
      </c>
      <c r="I2563" s="6" t="str">
        <f t="shared" si="176"/>
        <v>0</v>
      </c>
      <c r="K2563" s="19" t="s">
        <v>4398</v>
      </c>
    </row>
    <row r="2564" spans="1:11" x14ac:dyDescent="0.2">
      <c r="A2564" t="s">
        <v>375</v>
      </c>
      <c r="B2564" t="s">
        <v>4399</v>
      </c>
      <c r="G2564" s="5" t="str">
        <f t="shared" si="175"/>
        <v/>
      </c>
      <c r="I2564" s="6" t="str">
        <f t="shared" si="176"/>
        <v>0</v>
      </c>
      <c r="K2564" s="19" t="s">
        <v>4400</v>
      </c>
    </row>
    <row r="2565" spans="1:11" x14ac:dyDescent="0.2">
      <c r="A2565" t="s">
        <v>376</v>
      </c>
      <c r="B2565" t="s">
        <v>4401</v>
      </c>
      <c r="G2565" s="5" t="str">
        <f t="shared" si="175"/>
        <v/>
      </c>
      <c r="I2565" s="6" t="str">
        <f t="shared" si="176"/>
        <v>0</v>
      </c>
      <c r="K2565" s="19" t="s">
        <v>4402</v>
      </c>
    </row>
    <row r="2566" spans="1:11" x14ac:dyDescent="0.2">
      <c r="A2566" t="s">
        <v>377</v>
      </c>
      <c r="B2566" t="s">
        <v>4403</v>
      </c>
      <c r="G2566" s="5" t="str">
        <f t="shared" si="175"/>
        <v/>
      </c>
      <c r="I2566" s="6" t="str">
        <f t="shared" si="176"/>
        <v>0</v>
      </c>
      <c r="K2566" s="19" t="s">
        <v>4404</v>
      </c>
    </row>
    <row r="2567" spans="1:11" x14ac:dyDescent="0.2">
      <c r="A2567" t="s">
        <v>378</v>
      </c>
      <c r="B2567" t="s">
        <v>4664</v>
      </c>
      <c r="G2567" s="5" t="str">
        <f t="shared" si="175"/>
        <v/>
      </c>
      <c r="I2567" s="6" t="str">
        <f t="shared" si="176"/>
        <v>0</v>
      </c>
      <c r="K2567" s="19" t="s">
        <v>4665</v>
      </c>
    </row>
    <row r="2568" spans="1:11" x14ac:dyDescent="0.2">
      <c r="A2568" t="s">
        <v>379</v>
      </c>
      <c r="B2568" t="s">
        <v>5011</v>
      </c>
      <c r="G2568" s="5" t="str">
        <f t="shared" si="175"/>
        <v/>
      </c>
      <c r="I2568" s="6" t="str">
        <f t="shared" si="176"/>
        <v>0</v>
      </c>
      <c r="K2568" s="19" t="s">
        <v>4405</v>
      </c>
    </row>
    <row r="2569" spans="1:11" x14ac:dyDescent="0.2">
      <c r="A2569" t="s">
        <v>380</v>
      </c>
      <c r="B2569" t="s">
        <v>4406</v>
      </c>
      <c r="G2569" s="5" t="str">
        <f t="shared" si="175"/>
        <v/>
      </c>
      <c r="I2569" s="6" t="str">
        <f t="shared" si="176"/>
        <v>0</v>
      </c>
      <c r="K2569" s="19" t="s">
        <v>4407</v>
      </c>
    </row>
    <row r="2570" spans="1:11" x14ac:dyDescent="0.2">
      <c r="A2570" t="s">
        <v>381</v>
      </c>
      <c r="B2570" t="s">
        <v>4408</v>
      </c>
      <c r="G2570" s="5" t="str">
        <f t="shared" si="175"/>
        <v/>
      </c>
      <c r="I2570" s="6" t="str">
        <f t="shared" si="176"/>
        <v>0</v>
      </c>
      <c r="K2570" s="19" t="s">
        <v>4409</v>
      </c>
    </row>
    <row r="2571" spans="1:11" x14ac:dyDescent="0.2">
      <c r="A2571" t="s">
        <v>382</v>
      </c>
      <c r="B2571" t="s">
        <v>4410</v>
      </c>
      <c r="G2571" s="5" t="str">
        <f t="shared" si="175"/>
        <v/>
      </c>
      <c r="I2571" s="6" t="str">
        <f t="shared" si="176"/>
        <v>0</v>
      </c>
      <c r="K2571" s="19" t="s">
        <v>6370</v>
      </c>
    </row>
    <row r="2572" spans="1:11" x14ac:dyDescent="0.2">
      <c r="A2572" t="s">
        <v>383</v>
      </c>
      <c r="B2572" t="s">
        <v>4411</v>
      </c>
      <c r="G2572" s="5" t="str">
        <f t="shared" si="175"/>
        <v/>
      </c>
      <c r="I2572" s="6" t="str">
        <f t="shared" si="176"/>
        <v>0</v>
      </c>
      <c r="K2572" s="19" t="s">
        <v>4412</v>
      </c>
    </row>
    <row r="2573" spans="1:11" x14ac:dyDescent="0.2">
      <c r="A2573" t="s">
        <v>384</v>
      </c>
      <c r="B2573" t="s">
        <v>4319</v>
      </c>
      <c r="C2573" s="5" t="s">
        <v>3110</v>
      </c>
      <c r="G2573" s="5" t="str">
        <f t="shared" si="175"/>
        <v/>
      </c>
      <c r="I2573" s="6" t="str">
        <f t="shared" si="176"/>
        <v>0</v>
      </c>
      <c r="K2573" s="19" t="s">
        <v>4413</v>
      </c>
    </row>
    <row r="2574" spans="1:11" x14ac:dyDescent="0.2">
      <c r="A2574" t="s">
        <v>385</v>
      </c>
      <c r="B2574" t="s">
        <v>4414</v>
      </c>
      <c r="G2574" s="5" t="str">
        <f t="shared" si="175"/>
        <v/>
      </c>
      <c r="I2574" s="6" t="str">
        <f t="shared" si="176"/>
        <v>0</v>
      </c>
      <c r="K2574" s="19" t="s">
        <v>4415</v>
      </c>
    </row>
    <row r="2575" spans="1:11" x14ac:dyDescent="0.2">
      <c r="A2575" t="s">
        <v>2960</v>
      </c>
      <c r="B2575" t="s">
        <v>2960</v>
      </c>
      <c r="G2575" s="5" t="str">
        <f t="shared" si="175"/>
        <v/>
      </c>
      <c r="I2575" s="6" t="str">
        <f t="shared" si="176"/>
        <v>0</v>
      </c>
      <c r="K2575" s="19" t="s">
        <v>4416</v>
      </c>
    </row>
    <row r="2576" spans="1:11" x14ac:dyDescent="0.2">
      <c r="A2576" t="s">
        <v>2962</v>
      </c>
      <c r="B2576" t="s">
        <v>4417</v>
      </c>
      <c r="G2576" s="5" t="str">
        <f t="shared" si="175"/>
        <v/>
      </c>
      <c r="I2576" s="6" t="str">
        <f t="shared" si="176"/>
        <v>0</v>
      </c>
      <c r="K2576" s="19" t="s">
        <v>4418</v>
      </c>
    </row>
    <row r="2577" spans="1:11" x14ac:dyDescent="0.2">
      <c r="A2577" t="s">
        <v>2963</v>
      </c>
      <c r="B2577" t="s">
        <v>4419</v>
      </c>
      <c r="G2577" s="5" t="str">
        <f t="shared" si="175"/>
        <v/>
      </c>
      <c r="I2577" s="6" t="str">
        <f t="shared" si="176"/>
        <v>0</v>
      </c>
      <c r="K2577" s="19" t="s">
        <v>4420</v>
      </c>
    </row>
    <row r="2578" spans="1:11" x14ac:dyDescent="0.2">
      <c r="A2578" t="s">
        <v>873</v>
      </c>
      <c r="B2578" t="s">
        <v>4423</v>
      </c>
      <c r="G2578" s="5" t="str">
        <f t="shared" si="175"/>
        <v/>
      </c>
      <c r="I2578" s="6" t="str">
        <f t="shared" si="176"/>
        <v>0</v>
      </c>
      <c r="K2578" s="19" t="s">
        <v>4424</v>
      </c>
    </row>
    <row r="2579" spans="1:11" x14ac:dyDescent="0.2">
      <c r="A2579" t="s">
        <v>1021</v>
      </c>
      <c r="B2579" t="s">
        <v>4425</v>
      </c>
      <c r="G2579" s="5" t="str">
        <f t="shared" si="175"/>
        <v/>
      </c>
      <c r="I2579" s="6" t="str">
        <f t="shared" si="176"/>
        <v>0</v>
      </c>
      <c r="K2579" s="19" t="s">
        <v>4426</v>
      </c>
    </row>
    <row r="2580" spans="1:11" x14ac:dyDescent="0.2">
      <c r="A2580" t="s">
        <v>1022</v>
      </c>
      <c r="B2580" t="s">
        <v>4427</v>
      </c>
      <c r="G2580" s="5" t="str">
        <f t="shared" si="175"/>
        <v/>
      </c>
      <c r="I2580" s="6" t="str">
        <f t="shared" si="176"/>
        <v>0</v>
      </c>
      <c r="K2580" s="19" t="s">
        <v>4428</v>
      </c>
    </row>
    <row r="2581" spans="1:11" x14ac:dyDescent="0.2">
      <c r="A2581" t="s">
        <v>1024</v>
      </c>
      <c r="B2581" t="s">
        <v>4429</v>
      </c>
      <c r="G2581" s="5" t="str">
        <f t="shared" si="175"/>
        <v/>
      </c>
      <c r="I2581" s="6" t="str">
        <f t="shared" si="176"/>
        <v>0</v>
      </c>
      <c r="K2581" s="19" t="s">
        <v>4430</v>
      </c>
    </row>
    <row r="2582" spans="1:11" x14ac:dyDescent="0.2">
      <c r="A2582" t="s">
        <v>1040</v>
      </c>
      <c r="B2582" t="s">
        <v>4431</v>
      </c>
      <c r="G2582" s="5" t="str">
        <f t="shared" si="175"/>
        <v/>
      </c>
      <c r="I2582" s="6" t="str">
        <f t="shared" si="176"/>
        <v>0</v>
      </c>
      <c r="K2582" s="19" t="s">
        <v>4432</v>
      </c>
    </row>
    <row r="2583" spans="1:11" x14ac:dyDescent="0.2">
      <c r="A2583" t="s">
        <v>1041</v>
      </c>
      <c r="B2583" t="s">
        <v>4433</v>
      </c>
      <c r="G2583" s="5" t="str">
        <f t="shared" si="175"/>
        <v/>
      </c>
      <c r="I2583" s="6" t="str">
        <f t="shared" si="176"/>
        <v>0</v>
      </c>
      <c r="K2583" s="19" t="s">
        <v>4434</v>
      </c>
    </row>
    <row r="2584" spans="1:11" x14ac:dyDescent="0.2">
      <c r="A2584" t="s">
        <v>1043</v>
      </c>
      <c r="B2584" t="s">
        <v>4435</v>
      </c>
      <c r="G2584" s="5" t="str">
        <f t="shared" si="175"/>
        <v/>
      </c>
      <c r="I2584" s="6" t="str">
        <f t="shared" si="176"/>
        <v>0</v>
      </c>
      <c r="K2584" s="19" t="s">
        <v>4436</v>
      </c>
    </row>
    <row r="2585" spans="1:11" x14ac:dyDescent="0.2">
      <c r="A2585" t="s">
        <v>1044</v>
      </c>
      <c r="B2585" t="s">
        <v>4437</v>
      </c>
      <c r="G2585" s="5" t="str">
        <f t="shared" si="175"/>
        <v/>
      </c>
      <c r="I2585" s="6" t="str">
        <f t="shared" si="176"/>
        <v>0</v>
      </c>
      <c r="K2585" s="19" t="s">
        <v>4438</v>
      </c>
    </row>
    <row r="2586" spans="1:11" x14ac:dyDescent="0.2">
      <c r="A2586" t="s">
        <v>1048</v>
      </c>
      <c r="B2586" t="s">
        <v>4439</v>
      </c>
      <c r="G2586" s="5" t="str">
        <f t="shared" si="175"/>
        <v/>
      </c>
      <c r="I2586" s="6" t="str">
        <f t="shared" si="176"/>
        <v>0</v>
      </c>
      <c r="K2586" s="19" t="s">
        <v>4440</v>
      </c>
    </row>
    <row r="2587" spans="1:11" x14ac:dyDescent="0.2">
      <c r="A2587" t="s">
        <v>1051</v>
      </c>
      <c r="B2587" t="s">
        <v>4441</v>
      </c>
      <c r="G2587" s="5" t="str">
        <f t="shared" si="175"/>
        <v/>
      </c>
      <c r="I2587" s="6" t="str">
        <f t="shared" si="176"/>
        <v>0</v>
      </c>
      <c r="K2587" s="19" t="s">
        <v>4442</v>
      </c>
    </row>
    <row r="2588" spans="1:11" x14ac:dyDescent="0.2">
      <c r="A2588" t="s">
        <v>1052</v>
      </c>
      <c r="B2588" t="s">
        <v>4443</v>
      </c>
      <c r="G2588" s="5" t="str">
        <f t="shared" si="175"/>
        <v/>
      </c>
      <c r="I2588" s="6" t="str">
        <f t="shared" si="176"/>
        <v>0</v>
      </c>
      <c r="K2588" s="19" t="s">
        <v>4444</v>
      </c>
    </row>
    <row r="2589" spans="1:11" x14ac:dyDescent="0.2">
      <c r="A2589" t="s">
        <v>1820</v>
      </c>
      <c r="B2589" t="s">
        <v>4445</v>
      </c>
      <c r="G2589" s="5" t="str">
        <f t="shared" si="175"/>
        <v/>
      </c>
      <c r="I2589" s="6" t="str">
        <f t="shared" si="176"/>
        <v>0</v>
      </c>
      <c r="K2589" s="19" t="s">
        <v>4446</v>
      </c>
    </row>
    <row r="2590" spans="1:11" x14ac:dyDescent="0.2">
      <c r="A2590" t="s">
        <v>1821</v>
      </c>
      <c r="B2590" t="s">
        <v>4447</v>
      </c>
      <c r="G2590" s="5" t="str">
        <f t="shared" si="175"/>
        <v/>
      </c>
      <c r="I2590" s="6" t="str">
        <f t="shared" si="176"/>
        <v>0</v>
      </c>
      <c r="K2590" s="19" t="s">
        <v>4448</v>
      </c>
    </row>
    <row r="2591" spans="1:11" x14ac:dyDescent="0.2">
      <c r="A2591" t="s">
        <v>2109</v>
      </c>
      <c r="B2591" t="s">
        <v>4515</v>
      </c>
      <c r="G2591" s="5" t="str">
        <f t="shared" si="175"/>
        <v/>
      </c>
      <c r="I2591" s="6" t="str">
        <f t="shared" si="176"/>
        <v>0</v>
      </c>
      <c r="K2591" s="19" t="s">
        <v>4516</v>
      </c>
    </row>
    <row r="2592" spans="1:11" x14ac:dyDescent="0.2">
      <c r="A2592" t="s">
        <v>2111</v>
      </c>
      <c r="B2592" t="s">
        <v>4517</v>
      </c>
      <c r="G2592" s="5" t="str">
        <f t="shared" si="175"/>
        <v/>
      </c>
      <c r="I2592" s="6" t="str">
        <f t="shared" si="176"/>
        <v>0</v>
      </c>
      <c r="K2592" s="19" t="s">
        <v>4518</v>
      </c>
    </row>
    <row r="2593" spans="1:11" x14ac:dyDescent="0.2">
      <c r="A2593" t="s">
        <v>2112</v>
      </c>
      <c r="B2593" t="s">
        <v>4519</v>
      </c>
      <c r="G2593" s="5" t="str">
        <f t="shared" si="175"/>
        <v/>
      </c>
      <c r="I2593" s="6" t="str">
        <f t="shared" si="176"/>
        <v>0</v>
      </c>
      <c r="K2593" s="19" t="s">
        <v>4520</v>
      </c>
    </row>
    <row r="2594" spans="1:11" x14ac:dyDescent="0.2">
      <c r="A2594" t="s">
        <v>2115</v>
      </c>
      <c r="B2594" t="s">
        <v>4521</v>
      </c>
      <c r="G2594" s="5" t="str">
        <f t="shared" si="175"/>
        <v/>
      </c>
      <c r="I2594" s="6" t="str">
        <f t="shared" si="176"/>
        <v>0</v>
      </c>
      <c r="K2594" s="19" t="s">
        <v>4522</v>
      </c>
    </row>
    <row r="2595" spans="1:11" x14ac:dyDescent="0.2">
      <c r="A2595" t="s">
        <v>2118</v>
      </c>
      <c r="B2595" t="s">
        <v>4523</v>
      </c>
      <c r="G2595" s="5" t="str">
        <f t="shared" si="175"/>
        <v/>
      </c>
      <c r="I2595" s="6" t="str">
        <f t="shared" si="176"/>
        <v>0</v>
      </c>
      <c r="K2595" s="19" t="s">
        <v>4524</v>
      </c>
    </row>
    <row r="2596" spans="1:11" x14ac:dyDescent="0.2">
      <c r="A2596" t="s">
        <v>2119</v>
      </c>
      <c r="B2596" t="s">
        <v>4525</v>
      </c>
      <c r="G2596" s="5" t="str">
        <f t="shared" si="175"/>
        <v/>
      </c>
      <c r="I2596" s="6" t="str">
        <f t="shared" si="176"/>
        <v>0</v>
      </c>
      <c r="K2596" s="19" t="s">
        <v>4526</v>
      </c>
    </row>
    <row r="2597" spans="1:11" x14ac:dyDescent="0.2">
      <c r="A2597" t="s">
        <v>2120</v>
      </c>
      <c r="B2597" t="s">
        <v>4527</v>
      </c>
      <c r="G2597" s="5" t="str">
        <f t="shared" si="175"/>
        <v/>
      </c>
      <c r="I2597" s="6" t="str">
        <f t="shared" si="176"/>
        <v>0</v>
      </c>
      <c r="K2597" s="19" t="s">
        <v>4528</v>
      </c>
    </row>
    <row r="2598" spans="1:11" x14ac:dyDescent="0.2">
      <c r="A2598" t="s">
        <v>2124</v>
      </c>
      <c r="B2598" t="s">
        <v>4529</v>
      </c>
      <c r="G2598" s="5" t="str">
        <f t="shared" si="175"/>
        <v/>
      </c>
      <c r="I2598" s="6" t="str">
        <f t="shared" si="176"/>
        <v>0</v>
      </c>
      <c r="K2598" s="19" t="s">
        <v>4530</v>
      </c>
    </row>
    <row r="2599" spans="1:11" x14ac:dyDescent="0.2">
      <c r="A2599" t="s">
        <v>2128</v>
      </c>
      <c r="B2599" t="s">
        <v>4531</v>
      </c>
      <c r="G2599" s="5" t="str">
        <f t="shared" si="175"/>
        <v/>
      </c>
      <c r="I2599" s="6" t="str">
        <f t="shared" si="176"/>
        <v>0</v>
      </c>
      <c r="K2599" s="19" t="s">
        <v>4532</v>
      </c>
    </row>
    <row r="2600" spans="1:11" x14ac:dyDescent="0.2">
      <c r="A2600" t="s">
        <v>2134</v>
      </c>
      <c r="B2600" t="s">
        <v>4533</v>
      </c>
      <c r="G2600" s="5" t="str">
        <f t="shared" si="175"/>
        <v/>
      </c>
      <c r="I2600" s="6" t="str">
        <f t="shared" si="176"/>
        <v>0</v>
      </c>
      <c r="K2600" s="19" t="s">
        <v>4534</v>
      </c>
    </row>
    <row r="2601" spans="1:11" x14ac:dyDescent="0.2">
      <c r="A2601" t="s">
        <v>2138</v>
      </c>
      <c r="B2601" t="s">
        <v>4535</v>
      </c>
      <c r="G2601" s="5" t="str">
        <f t="shared" si="175"/>
        <v/>
      </c>
      <c r="I2601" s="6" t="str">
        <f t="shared" si="176"/>
        <v>0</v>
      </c>
      <c r="K2601" s="19" t="s">
        <v>4536</v>
      </c>
    </row>
    <row r="2602" spans="1:11" x14ac:dyDescent="0.2">
      <c r="A2602" t="s">
        <v>2139</v>
      </c>
      <c r="B2602" t="s">
        <v>4537</v>
      </c>
      <c r="G2602" s="5" t="str">
        <f t="shared" si="175"/>
        <v/>
      </c>
      <c r="I2602" s="6" t="str">
        <f t="shared" si="176"/>
        <v>0</v>
      </c>
      <c r="K2602" s="19" t="s">
        <v>4538</v>
      </c>
    </row>
    <row r="2603" spans="1:11" x14ac:dyDescent="0.2">
      <c r="A2603" t="s">
        <v>2157</v>
      </c>
      <c r="B2603" t="s">
        <v>4539</v>
      </c>
      <c r="G2603" s="5" t="str">
        <f t="shared" si="175"/>
        <v/>
      </c>
      <c r="I2603" s="6" t="str">
        <f t="shared" si="176"/>
        <v>0</v>
      </c>
      <c r="K2603" s="19" t="s">
        <v>6371</v>
      </c>
    </row>
    <row r="2604" spans="1:11" x14ac:dyDescent="0.2">
      <c r="A2604" t="s">
        <v>2178</v>
      </c>
      <c r="B2604" t="s">
        <v>4540</v>
      </c>
      <c r="G2604" s="5" t="str">
        <f t="shared" si="175"/>
        <v/>
      </c>
      <c r="I2604" s="6" t="str">
        <f t="shared" si="176"/>
        <v>0</v>
      </c>
      <c r="K2604" s="19" t="s">
        <v>4541</v>
      </c>
    </row>
    <row r="2605" spans="1:11" x14ac:dyDescent="0.2">
      <c r="A2605" t="s">
        <v>2180</v>
      </c>
      <c r="B2605" t="s">
        <v>4542</v>
      </c>
      <c r="G2605" s="5" t="str">
        <f t="shared" si="175"/>
        <v/>
      </c>
      <c r="I2605" s="6" t="str">
        <f t="shared" si="176"/>
        <v>0</v>
      </c>
      <c r="K2605" s="19" t="s">
        <v>4543</v>
      </c>
    </row>
    <row r="2606" spans="1:11" x14ac:dyDescent="0.2">
      <c r="A2606" t="s">
        <v>2425</v>
      </c>
      <c r="B2606" t="s">
        <v>4544</v>
      </c>
      <c r="G2606" s="5" t="str">
        <f t="shared" si="175"/>
        <v/>
      </c>
      <c r="I2606" s="6" t="str">
        <f t="shared" si="176"/>
        <v>0</v>
      </c>
      <c r="K2606" s="19" t="s">
        <v>4545</v>
      </c>
    </row>
    <row r="2607" spans="1:11" x14ac:dyDescent="0.2">
      <c r="A2607" t="s">
        <v>2426</v>
      </c>
      <c r="B2607" t="s">
        <v>4546</v>
      </c>
      <c r="G2607" s="5" t="str">
        <f t="shared" si="175"/>
        <v/>
      </c>
      <c r="I2607" s="6" t="str">
        <f t="shared" si="176"/>
        <v>0</v>
      </c>
      <c r="K2607" s="19" t="s">
        <v>4547</v>
      </c>
    </row>
    <row r="2608" spans="1:11" x14ac:dyDescent="0.2">
      <c r="A2608" t="s">
        <v>2427</v>
      </c>
      <c r="B2608" t="s">
        <v>4548</v>
      </c>
      <c r="G2608" s="5" t="str">
        <f t="shared" si="175"/>
        <v/>
      </c>
      <c r="I2608" s="6" t="str">
        <f t="shared" si="176"/>
        <v>0</v>
      </c>
      <c r="K2608" s="19" t="s">
        <v>4549</v>
      </c>
    </row>
    <row r="2609" spans="1:11" x14ac:dyDescent="0.2">
      <c r="A2609" t="s">
        <v>2428</v>
      </c>
      <c r="B2609" t="s">
        <v>4550</v>
      </c>
      <c r="G2609" s="5" t="str">
        <f t="shared" si="175"/>
        <v/>
      </c>
      <c r="I2609" s="6" t="str">
        <f t="shared" si="176"/>
        <v>0</v>
      </c>
      <c r="K2609" s="19" t="s">
        <v>4551</v>
      </c>
    </row>
    <row r="2610" spans="1:11" x14ac:dyDescent="0.2">
      <c r="A2610" t="s">
        <v>2434</v>
      </c>
      <c r="B2610" t="s">
        <v>4552</v>
      </c>
      <c r="G2610" s="5" t="str">
        <f t="shared" si="175"/>
        <v/>
      </c>
      <c r="I2610" s="6" t="str">
        <f t="shared" si="176"/>
        <v>0</v>
      </c>
      <c r="K2610" s="19" t="s">
        <v>4553</v>
      </c>
    </row>
    <row r="2611" spans="1:11" x14ac:dyDescent="0.2">
      <c r="A2611" t="s">
        <v>2435</v>
      </c>
      <c r="B2611" t="s">
        <v>4554</v>
      </c>
      <c r="G2611" s="5" t="str">
        <f t="shared" si="175"/>
        <v/>
      </c>
      <c r="I2611" s="6" t="str">
        <f t="shared" si="176"/>
        <v>0</v>
      </c>
      <c r="K2611" s="19" t="s">
        <v>4555</v>
      </c>
    </row>
    <row r="2612" spans="1:11" x14ac:dyDescent="0.2">
      <c r="A2612" t="s">
        <v>2438</v>
      </c>
      <c r="B2612" t="s">
        <v>4556</v>
      </c>
      <c r="G2612" s="5" t="str">
        <f t="shared" si="175"/>
        <v/>
      </c>
      <c r="I2612" s="6" t="str">
        <f t="shared" si="176"/>
        <v>0</v>
      </c>
      <c r="K2612" s="19" t="s">
        <v>4557</v>
      </c>
    </row>
    <row r="2613" spans="1:11" x14ac:dyDescent="0.2">
      <c r="A2613" t="s">
        <v>2440</v>
      </c>
      <c r="B2613" t="s">
        <v>4558</v>
      </c>
      <c r="G2613" s="5" t="str">
        <f t="shared" si="175"/>
        <v/>
      </c>
      <c r="I2613" s="6" t="str">
        <f t="shared" si="176"/>
        <v>0</v>
      </c>
      <c r="K2613" s="19" t="s">
        <v>4559</v>
      </c>
    </row>
    <row r="2614" spans="1:11" x14ac:dyDescent="0.2">
      <c r="A2614" t="s">
        <v>2447</v>
      </c>
      <c r="B2614" t="s">
        <v>4560</v>
      </c>
      <c r="G2614" s="5" t="str">
        <f t="shared" si="175"/>
        <v/>
      </c>
      <c r="I2614" s="6" t="str">
        <f t="shared" si="176"/>
        <v>0</v>
      </c>
      <c r="K2614" s="19" t="s">
        <v>4561</v>
      </c>
    </row>
    <row r="2615" spans="1:11" x14ac:dyDescent="0.2">
      <c r="A2615" t="s">
        <v>2452</v>
      </c>
      <c r="B2615" t="s">
        <v>4562</v>
      </c>
      <c r="G2615" s="5" t="str">
        <f t="shared" si="175"/>
        <v/>
      </c>
      <c r="I2615" s="6" t="str">
        <f t="shared" si="176"/>
        <v>0</v>
      </c>
      <c r="K2615" s="19" t="s">
        <v>4563</v>
      </c>
    </row>
    <row r="2616" spans="1:11" x14ac:dyDescent="0.2">
      <c r="A2616" t="s">
        <v>2458</v>
      </c>
      <c r="B2616" t="s">
        <v>4459</v>
      </c>
      <c r="G2616" s="5" t="str">
        <f t="shared" si="175"/>
        <v/>
      </c>
      <c r="I2616" s="6" t="str">
        <f t="shared" si="176"/>
        <v>0</v>
      </c>
      <c r="K2616" s="19" t="s">
        <v>4564</v>
      </c>
    </row>
    <row r="2617" spans="1:11" x14ac:dyDescent="0.2">
      <c r="A2617" t="s">
        <v>2463</v>
      </c>
      <c r="B2617" t="s">
        <v>4565</v>
      </c>
      <c r="G2617" s="5" t="str">
        <f t="shared" si="175"/>
        <v/>
      </c>
      <c r="I2617" s="6" t="str">
        <f t="shared" si="176"/>
        <v>0</v>
      </c>
      <c r="K2617" s="19" t="s">
        <v>4566</v>
      </c>
    </row>
    <row r="2618" spans="1:11" x14ac:dyDescent="0.2">
      <c r="A2618" t="s">
        <v>2465</v>
      </c>
      <c r="B2618" t="s">
        <v>4567</v>
      </c>
      <c r="G2618" s="5" t="str">
        <f t="shared" si="175"/>
        <v/>
      </c>
      <c r="I2618" s="6" t="str">
        <f t="shared" si="176"/>
        <v>0</v>
      </c>
      <c r="K2618" s="19" t="s">
        <v>4568</v>
      </c>
    </row>
    <row r="2619" spans="1:11" x14ac:dyDescent="0.2">
      <c r="A2619" t="s">
        <v>2467</v>
      </c>
      <c r="B2619" t="s">
        <v>4569</v>
      </c>
      <c r="G2619" s="5" t="str">
        <f t="shared" si="175"/>
        <v/>
      </c>
      <c r="I2619" s="6" t="str">
        <f t="shared" si="176"/>
        <v>0</v>
      </c>
      <c r="K2619" s="19" t="s">
        <v>4570</v>
      </c>
    </row>
    <row r="2620" spans="1:11" x14ac:dyDescent="0.2">
      <c r="A2620" t="s">
        <v>2468</v>
      </c>
      <c r="B2620" t="s">
        <v>4571</v>
      </c>
      <c r="G2620" s="5" t="str">
        <f t="shared" si="175"/>
        <v/>
      </c>
      <c r="I2620" s="6" t="str">
        <f t="shared" si="176"/>
        <v>0</v>
      </c>
      <c r="K2620" s="19" t="s">
        <v>4572</v>
      </c>
    </row>
    <row r="2621" spans="1:11" x14ac:dyDescent="0.2">
      <c r="A2621" t="s">
        <v>2469</v>
      </c>
      <c r="B2621" t="s">
        <v>4573</v>
      </c>
      <c r="G2621" s="5" t="str">
        <f t="shared" si="175"/>
        <v/>
      </c>
      <c r="I2621" s="6" t="str">
        <f t="shared" si="176"/>
        <v>0</v>
      </c>
      <c r="K2621" s="19" t="s">
        <v>4574</v>
      </c>
    </row>
    <row r="2622" spans="1:11" x14ac:dyDescent="0.2">
      <c r="A2622" t="s">
        <v>2470</v>
      </c>
      <c r="B2622" t="s">
        <v>4575</v>
      </c>
      <c r="G2622" s="5" t="str">
        <f t="shared" si="175"/>
        <v/>
      </c>
      <c r="I2622" s="6" t="str">
        <f t="shared" si="176"/>
        <v>0</v>
      </c>
      <c r="K2622" s="19" t="s">
        <v>4576</v>
      </c>
    </row>
    <row r="2623" spans="1:11" x14ac:dyDescent="0.2">
      <c r="A2623" t="s">
        <v>2476</v>
      </c>
      <c r="B2623" t="s">
        <v>4577</v>
      </c>
      <c r="G2623" s="5" t="str">
        <f t="shared" ref="G2623:G2668" si="177">IF(F2623&lt;&gt;"",HEX2DEC(SUBSTITUTE(SUBSTITUTE(F2623,"adrEA",""),"$","")),"")</f>
        <v/>
      </c>
      <c r="I2623" s="6" t="str">
        <f t="shared" ref="I2623:I2668" si="178">IFERROR(DEC2HEX(H2623),"")</f>
        <v>0</v>
      </c>
      <c r="K2623" s="19" t="s">
        <v>4578</v>
      </c>
    </row>
    <row r="2624" spans="1:11" x14ac:dyDescent="0.2">
      <c r="A2624" t="s">
        <v>2482</v>
      </c>
      <c r="B2624" t="s">
        <v>4579</v>
      </c>
      <c r="G2624" s="5" t="str">
        <f t="shared" si="177"/>
        <v/>
      </c>
      <c r="I2624" s="6" t="str">
        <f t="shared" si="178"/>
        <v>0</v>
      </c>
      <c r="K2624" s="19" t="s">
        <v>4580</v>
      </c>
    </row>
    <row r="2625" spans="1:11" x14ac:dyDescent="0.2">
      <c r="A2625" t="s">
        <v>2483</v>
      </c>
      <c r="B2625" t="s">
        <v>4581</v>
      </c>
      <c r="G2625" s="5" t="str">
        <f t="shared" si="177"/>
        <v/>
      </c>
      <c r="I2625" s="6" t="str">
        <f t="shared" si="178"/>
        <v>0</v>
      </c>
      <c r="K2625" s="19" t="s">
        <v>4582</v>
      </c>
    </row>
    <row r="2626" spans="1:11" x14ac:dyDescent="0.2">
      <c r="A2626" t="s">
        <v>2484</v>
      </c>
      <c r="B2626" t="s">
        <v>4583</v>
      </c>
      <c r="G2626" s="5" t="str">
        <f t="shared" si="177"/>
        <v/>
      </c>
      <c r="I2626" s="6" t="str">
        <f t="shared" si="178"/>
        <v>0</v>
      </c>
      <c r="K2626" s="19" t="s">
        <v>4584</v>
      </c>
    </row>
    <row r="2627" spans="1:11" x14ac:dyDescent="0.2">
      <c r="A2627" t="s">
        <v>2485</v>
      </c>
      <c r="B2627" t="s">
        <v>4585</v>
      </c>
      <c r="G2627" s="5" t="str">
        <f t="shared" si="177"/>
        <v/>
      </c>
      <c r="I2627" s="6" t="str">
        <f t="shared" si="178"/>
        <v>0</v>
      </c>
      <c r="K2627" s="19" t="s">
        <v>4586</v>
      </c>
    </row>
    <row r="2628" spans="1:11" x14ac:dyDescent="0.2">
      <c r="A2628" t="s">
        <v>2487</v>
      </c>
      <c r="B2628" t="s">
        <v>4587</v>
      </c>
      <c r="G2628" s="5" t="str">
        <f t="shared" si="177"/>
        <v/>
      </c>
      <c r="I2628" s="6" t="str">
        <f t="shared" si="178"/>
        <v>0</v>
      </c>
      <c r="K2628" s="19" t="s">
        <v>4588</v>
      </c>
    </row>
    <row r="2629" spans="1:11" x14ac:dyDescent="0.2">
      <c r="A2629" t="s">
        <v>2488</v>
      </c>
      <c r="B2629" t="s">
        <v>4589</v>
      </c>
      <c r="G2629" s="5" t="str">
        <f t="shared" si="177"/>
        <v/>
      </c>
      <c r="I2629" s="6" t="str">
        <f t="shared" si="178"/>
        <v>0</v>
      </c>
      <c r="K2629" s="19" t="s">
        <v>4590</v>
      </c>
    </row>
    <row r="2630" spans="1:11" x14ac:dyDescent="0.2">
      <c r="A2630" t="s">
        <v>2489</v>
      </c>
      <c r="B2630" t="s">
        <v>4591</v>
      </c>
      <c r="G2630" s="5" t="str">
        <f t="shared" si="177"/>
        <v/>
      </c>
      <c r="I2630" s="6" t="str">
        <f t="shared" si="178"/>
        <v>0</v>
      </c>
      <c r="K2630" s="19" t="s">
        <v>4592</v>
      </c>
    </row>
    <row r="2631" spans="1:11" x14ac:dyDescent="0.2">
      <c r="A2631" t="s">
        <v>2492</v>
      </c>
      <c r="B2631" t="s">
        <v>4593</v>
      </c>
      <c r="G2631" s="5" t="str">
        <f t="shared" si="177"/>
        <v/>
      </c>
      <c r="I2631" s="6" t="str">
        <f t="shared" si="178"/>
        <v>0</v>
      </c>
      <c r="K2631" s="19" t="s">
        <v>4594</v>
      </c>
    </row>
    <row r="2632" spans="1:11" x14ac:dyDescent="0.2">
      <c r="A2632" t="s">
        <v>2512</v>
      </c>
      <c r="B2632" t="s">
        <v>4595</v>
      </c>
      <c r="G2632" s="5" t="str">
        <f t="shared" si="177"/>
        <v/>
      </c>
      <c r="I2632" s="6" t="str">
        <f t="shared" si="178"/>
        <v>0</v>
      </c>
      <c r="K2632" s="19" t="s">
        <v>4596</v>
      </c>
    </row>
    <row r="2633" spans="1:11" x14ac:dyDescent="0.2">
      <c r="A2633" t="s">
        <v>2513</v>
      </c>
      <c r="B2633" t="s">
        <v>4597</v>
      </c>
      <c r="G2633" s="5" t="str">
        <f t="shared" si="177"/>
        <v/>
      </c>
      <c r="I2633" s="6" t="str">
        <f t="shared" si="178"/>
        <v>0</v>
      </c>
      <c r="K2633" s="19" t="s">
        <v>4598</v>
      </c>
    </row>
    <row r="2634" spans="1:11" x14ac:dyDescent="0.2">
      <c r="A2634" t="s">
        <v>2515</v>
      </c>
      <c r="B2634" t="s">
        <v>4599</v>
      </c>
      <c r="G2634" s="5" t="str">
        <f t="shared" si="177"/>
        <v/>
      </c>
      <c r="I2634" s="6" t="str">
        <f t="shared" si="178"/>
        <v>0</v>
      </c>
      <c r="K2634" s="19" t="s">
        <v>4600</v>
      </c>
    </row>
    <row r="2635" spans="1:11" x14ac:dyDescent="0.2">
      <c r="A2635" t="s">
        <v>2528</v>
      </c>
      <c r="B2635" t="s">
        <v>4601</v>
      </c>
      <c r="G2635" s="5" t="str">
        <f t="shared" si="177"/>
        <v/>
      </c>
      <c r="I2635" s="6" t="str">
        <f t="shared" si="178"/>
        <v>0</v>
      </c>
      <c r="K2635" s="19" t="s">
        <v>4602</v>
      </c>
    </row>
    <row r="2636" spans="1:11" x14ac:dyDescent="0.2">
      <c r="A2636" t="s">
        <v>2529</v>
      </c>
      <c r="B2636" t="s">
        <v>4603</v>
      </c>
      <c r="G2636" s="5" t="str">
        <f t="shared" si="177"/>
        <v/>
      </c>
      <c r="I2636" s="6" t="str">
        <f t="shared" si="178"/>
        <v>0</v>
      </c>
      <c r="K2636" s="19" t="s">
        <v>4604</v>
      </c>
    </row>
    <row r="2637" spans="1:11" x14ac:dyDescent="0.2">
      <c r="A2637" t="s">
        <v>863</v>
      </c>
      <c r="B2637" t="s">
        <v>4617</v>
      </c>
      <c r="G2637" s="5" t="str">
        <f t="shared" si="177"/>
        <v/>
      </c>
      <c r="I2637" s="6" t="str">
        <f t="shared" si="178"/>
        <v>0</v>
      </c>
      <c r="K2637" s="19" t="s">
        <v>4618</v>
      </c>
    </row>
    <row r="2638" spans="1:11" x14ac:dyDescent="0.2">
      <c r="A2638" t="s">
        <v>867</v>
      </c>
      <c r="B2638" t="s">
        <v>4619</v>
      </c>
      <c r="G2638" s="5" t="str">
        <f t="shared" si="177"/>
        <v/>
      </c>
      <c r="I2638" s="6" t="str">
        <f t="shared" si="178"/>
        <v>0</v>
      </c>
      <c r="K2638" s="19" t="s">
        <v>4620</v>
      </c>
    </row>
    <row r="2639" spans="1:11" x14ac:dyDescent="0.2">
      <c r="A2639" t="s">
        <v>868</v>
      </c>
      <c r="B2639" t="s">
        <v>4621</v>
      </c>
      <c r="G2639" s="5" t="str">
        <f t="shared" si="177"/>
        <v/>
      </c>
      <c r="I2639" s="6" t="str">
        <f t="shared" si="178"/>
        <v>0</v>
      </c>
      <c r="K2639" s="19" t="s">
        <v>4622</v>
      </c>
    </row>
    <row r="2640" spans="1:11" x14ac:dyDescent="0.2">
      <c r="A2640" t="s">
        <v>869</v>
      </c>
      <c r="B2640" t="s">
        <v>4623</v>
      </c>
      <c r="G2640" s="5" t="str">
        <f t="shared" si="177"/>
        <v/>
      </c>
      <c r="I2640" s="6" t="str">
        <f t="shared" si="178"/>
        <v>0</v>
      </c>
      <c r="K2640" s="19" t="s">
        <v>4624</v>
      </c>
    </row>
    <row r="2641" spans="1:11" x14ac:dyDescent="0.2">
      <c r="A2641" t="s">
        <v>870</v>
      </c>
      <c r="B2641" t="s">
        <v>4422</v>
      </c>
      <c r="G2641" s="5" t="str">
        <f t="shared" si="177"/>
        <v/>
      </c>
      <c r="I2641" s="6" t="str">
        <f t="shared" si="178"/>
        <v>0</v>
      </c>
      <c r="K2641" s="19" t="s">
        <v>4625</v>
      </c>
    </row>
    <row r="2642" spans="1:11" x14ac:dyDescent="0.2">
      <c r="A2642" t="s">
        <v>872</v>
      </c>
      <c r="B2642" t="s">
        <v>4626</v>
      </c>
      <c r="G2642" s="5" t="str">
        <f t="shared" si="177"/>
        <v/>
      </c>
      <c r="I2642" s="6" t="str">
        <f t="shared" si="178"/>
        <v>0</v>
      </c>
      <c r="K2642" s="19" t="s">
        <v>4627</v>
      </c>
    </row>
    <row r="2643" spans="1:11" x14ac:dyDescent="0.2">
      <c r="A2643" t="s">
        <v>1012</v>
      </c>
      <c r="B2643" t="s">
        <v>4628</v>
      </c>
      <c r="G2643" s="5" t="str">
        <f t="shared" si="177"/>
        <v/>
      </c>
      <c r="I2643" s="6" t="str">
        <f t="shared" si="178"/>
        <v>0</v>
      </c>
      <c r="K2643" s="19" t="s">
        <v>4629</v>
      </c>
    </row>
    <row r="2644" spans="1:11" x14ac:dyDescent="0.2">
      <c r="A2644" t="s">
        <v>1019</v>
      </c>
      <c r="B2644" t="s">
        <v>4630</v>
      </c>
      <c r="G2644" s="5" t="str">
        <f t="shared" si="177"/>
        <v/>
      </c>
      <c r="I2644" s="6" t="str">
        <f t="shared" si="178"/>
        <v>0</v>
      </c>
      <c r="K2644" s="19" t="s">
        <v>4631</v>
      </c>
    </row>
    <row r="2645" spans="1:11" x14ac:dyDescent="0.2">
      <c r="A2645" t="s">
        <v>1020</v>
      </c>
      <c r="B2645" t="s">
        <v>4632</v>
      </c>
      <c r="G2645" s="5" t="str">
        <f t="shared" si="177"/>
        <v/>
      </c>
      <c r="I2645" s="6" t="str">
        <f t="shared" si="178"/>
        <v>0</v>
      </c>
      <c r="K2645" s="19" t="s">
        <v>4633</v>
      </c>
    </row>
    <row r="2646" spans="1:11" x14ac:dyDescent="0.2">
      <c r="A2646" t="s">
        <v>1045</v>
      </c>
      <c r="B2646" t="s">
        <v>4634</v>
      </c>
      <c r="G2646" s="5" t="str">
        <f t="shared" si="177"/>
        <v/>
      </c>
      <c r="I2646" s="6" t="str">
        <f t="shared" si="178"/>
        <v>0</v>
      </c>
      <c r="K2646" s="19" t="s">
        <v>4635</v>
      </c>
    </row>
    <row r="2647" spans="1:11" x14ac:dyDescent="0.2">
      <c r="A2647" t="s">
        <v>1049</v>
      </c>
      <c r="B2647" t="s">
        <v>4636</v>
      </c>
      <c r="G2647" s="5" t="str">
        <f t="shared" si="177"/>
        <v/>
      </c>
      <c r="I2647" s="6" t="str">
        <f t="shared" si="178"/>
        <v>0</v>
      </c>
      <c r="K2647" s="19" t="s">
        <v>4637</v>
      </c>
    </row>
    <row r="2648" spans="1:11" x14ac:dyDescent="0.2">
      <c r="A2648" t="s">
        <v>1050</v>
      </c>
      <c r="B2648" t="s">
        <v>4638</v>
      </c>
      <c r="G2648" s="5" t="str">
        <f t="shared" si="177"/>
        <v/>
      </c>
      <c r="I2648" s="6" t="str">
        <f t="shared" si="178"/>
        <v>0</v>
      </c>
      <c r="K2648" s="19" t="s">
        <v>4639</v>
      </c>
    </row>
    <row r="2649" spans="1:11" x14ac:dyDescent="0.2">
      <c r="A2649" t="s">
        <v>1054</v>
      </c>
      <c r="B2649" t="s">
        <v>4450</v>
      </c>
      <c r="G2649" s="5" t="str">
        <f t="shared" si="177"/>
        <v/>
      </c>
      <c r="I2649" s="6" t="str">
        <f t="shared" si="178"/>
        <v>0</v>
      </c>
      <c r="K2649" s="19" t="s">
        <v>4451</v>
      </c>
    </row>
    <row r="2650" spans="1:11" x14ac:dyDescent="0.2">
      <c r="A2650" t="s">
        <v>1055</v>
      </c>
      <c r="B2650" t="s">
        <v>4640</v>
      </c>
      <c r="G2650" s="5" t="str">
        <f t="shared" si="177"/>
        <v/>
      </c>
      <c r="I2650" s="6" t="str">
        <f t="shared" si="178"/>
        <v>0</v>
      </c>
      <c r="K2650" s="19" t="s">
        <v>4452</v>
      </c>
    </row>
    <row r="2651" spans="1:11" x14ac:dyDescent="0.2">
      <c r="A2651" t="s">
        <v>1056</v>
      </c>
      <c r="B2651" t="s">
        <v>4641</v>
      </c>
      <c r="G2651" s="5" t="str">
        <f t="shared" si="177"/>
        <v/>
      </c>
      <c r="I2651" s="6" t="str">
        <f t="shared" si="178"/>
        <v>0</v>
      </c>
      <c r="K2651" s="19" t="s">
        <v>4453</v>
      </c>
    </row>
    <row r="2652" spans="1:11" x14ac:dyDescent="0.2">
      <c r="A2652" t="s">
        <v>1057</v>
      </c>
      <c r="B2652" t="s">
        <v>4642</v>
      </c>
      <c r="G2652" s="5" t="str">
        <f t="shared" si="177"/>
        <v/>
      </c>
      <c r="I2652" s="6" t="str">
        <f t="shared" si="178"/>
        <v>0</v>
      </c>
      <c r="K2652" s="19" t="s">
        <v>4643</v>
      </c>
    </row>
    <row r="2653" spans="1:11" x14ac:dyDescent="0.2">
      <c r="A2653" t="s">
        <v>1058</v>
      </c>
      <c r="B2653" t="s">
        <v>4644</v>
      </c>
      <c r="G2653" s="5" t="str">
        <f t="shared" si="177"/>
        <v/>
      </c>
      <c r="I2653" s="6" t="str">
        <f t="shared" si="178"/>
        <v>0</v>
      </c>
      <c r="K2653" s="19" t="s">
        <v>4454</v>
      </c>
    </row>
    <row r="2654" spans="1:11" x14ac:dyDescent="0.2">
      <c r="A2654" t="s">
        <v>1059</v>
      </c>
      <c r="B2654" t="s">
        <v>4645</v>
      </c>
      <c r="G2654" s="5" t="str">
        <f t="shared" si="177"/>
        <v/>
      </c>
      <c r="I2654" s="6" t="str">
        <f t="shared" si="178"/>
        <v>0</v>
      </c>
      <c r="K2654" s="19" t="s">
        <v>4455</v>
      </c>
    </row>
    <row r="2655" spans="1:11" x14ac:dyDescent="0.2">
      <c r="A2655" t="s">
        <v>1060</v>
      </c>
      <c r="B2655" t="s">
        <v>4646</v>
      </c>
      <c r="G2655" s="5" t="str">
        <f t="shared" si="177"/>
        <v/>
      </c>
      <c r="I2655" s="6" t="str">
        <f t="shared" si="178"/>
        <v>0</v>
      </c>
      <c r="K2655" s="19" t="s">
        <v>4456</v>
      </c>
    </row>
    <row r="2656" spans="1:11" x14ac:dyDescent="0.2">
      <c r="A2656" t="s">
        <v>1061</v>
      </c>
      <c r="B2656" t="s">
        <v>4647</v>
      </c>
      <c r="G2656" s="5" t="str">
        <f t="shared" si="177"/>
        <v/>
      </c>
      <c r="I2656" s="6" t="str">
        <f t="shared" si="178"/>
        <v>0</v>
      </c>
      <c r="K2656" s="19" t="s">
        <v>4457</v>
      </c>
    </row>
    <row r="2657" spans="1:11" x14ac:dyDescent="0.2">
      <c r="A2657" t="s">
        <v>1062</v>
      </c>
      <c r="B2657" t="s">
        <v>4449</v>
      </c>
      <c r="G2657" s="5" t="str">
        <f t="shared" si="177"/>
        <v/>
      </c>
      <c r="I2657" s="6" t="str">
        <f t="shared" si="178"/>
        <v>0</v>
      </c>
      <c r="K2657" s="19" t="s">
        <v>4648</v>
      </c>
    </row>
    <row r="2658" spans="1:11" x14ac:dyDescent="0.2">
      <c r="A2658" t="s">
        <v>1063</v>
      </c>
      <c r="B2658" t="s">
        <v>4649</v>
      </c>
      <c r="G2658" s="5" t="str">
        <f t="shared" si="177"/>
        <v/>
      </c>
      <c r="I2658" s="6" t="str">
        <f t="shared" si="178"/>
        <v>0</v>
      </c>
      <c r="K2658" s="19" t="s">
        <v>4650</v>
      </c>
    </row>
    <row r="2659" spans="1:11" x14ac:dyDescent="0.2">
      <c r="A2659" t="s">
        <v>1064</v>
      </c>
      <c r="B2659" t="s">
        <v>4651</v>
      </c>
      <c r="G2659" s="5" t="str">
        <f t="shared" si="177"/>
        <v/>
      </c>
      <c r="I2659" s="6" t="str">
        <f t="shared" si="178"/>
        <v>0</v>
      </c>
      <c r="K2659" s="19" t="s">
        <v>4652</v>
      </c>
    </row>
    <row r="2660" spans="1:11" x14ac:dyDescent="0.2">
      <c r="A2660" t="s">
        <v>1065</v>
      </c>
      <c r="B2660" t="s">
        <v>4653</v>
      </c>
      <c r="G2660" s="5" t="str">
        <f t="shared" si="177"/>
        <v/>
      </c>
      <c r="I2660" s="6" t="str">
        <f t="shared" si="178"/>
        <v>0</v>
      </c>
      <c r="K2660" s="19" t="s">
        <v>4458</v>
      </c>
    </row>
    <row r="2661" spans="1:11" x14ac:dyDescent="0.2">
      <c r="A2661" t="s">
        <v>1066</v>
      </c>
      <c r="B2661" t="s">
        <v>4654</v>
      </c>
      <c r="G2661" s="5" t="str">
        <f t="shared" si="177"/>
        <v/>
      </c>
      <c r="I2661" s="6" t="str">
        <f t="shared" si="178"/>
        <v>0</v>
      </c>
      <c r="K2661" s="19" t="s">
        <v>4655</v>
      </c>
    </row>
    <row r="2662" spans="1:11" x14ac:dyDescent="0.2">
      <c r="A2662" t="s">
        <v>4876</v>
      </c>
      <c r="B2662" t="s">
        <v>4876</v>
      </c>
      <c r="C2662" s="5" t="s">
        <v>3109</v>
      </c>
      <c r="D2662" t="s">
        <v>4877</v>
      </c>
      <c r="E2662" t="str">
        <f t="shared" ref="E2662" si="179">IF(D2662&lt;&gt;"",C2662&amp;"/"&amp;D2662,"")</f>
        <v>gfx-data/PlayerColourRamps.colours</v>
      </c>
      <c r="F2662" s="5" t="s">
        <v>4878</v>
      </c>
      <c r="G2662" s="5">
        <f t="shared" si="177"/>
        <v>34918</v>
      </c>
      <c r="H2662" s="5">
        <v>48</v>
      </c>
      <c r="I2662" s="6" t="str">
        <f t="shared" si="178"/>
        <v>30</v>
      </c>
      <c r="J2662" s="6" t="s">
        <v>3409</v>
      </c>
      <c r="K2662" s="19" t="s">
        <v>4948</v>
      </c>
    </row>
    <row r="2663" spans="1:11" x14ac:dyDescent="0.2">
      <c r="A2663" t="s">
        <v>5773</v>
      </c>
      <c r="B2663" t="s">
        <v>5774</v>
      </c>
      <c r="G2663" s="5" t="str">
        <f t="shared" si="177"/>
        <v/>
      </c>
      <c r="I2663" s="6" t="str">
        <f t="shared" si="178"/>
        <v>0</v>
      </c>
      <c r="K2663" s="19" t="s">
        <v>5775</v>
      </c>
    </row>
    <row r="2664" spans="1:11" x14ac:dyDescent="0.2">
      <c r="A2664" t="s">
        <v>7312</v>
      </c>
      <c r="B2664" t="s">
        <v>7312</v>
      </c>
      <c r="C2664" s="5" t="s">
        <v>7</v>
      </c>
      <c r="F2664" s="5" t="s">
        <v>7313</v>
      </c>
      <c r="G2664" s="5">
        <f t="shared" si="177"/>
        <v>52668</v>
      </c>
      <c r="I2664" s="6" t="str">
        <f t="shared" si="178"/>
        <v>0</v>
      </c>
      <c r="K2664" s="19" t="s">
        <v>7314</v>
      </c>
    </row>
    <row r="2665" spans="1:11" x14ac:dyDescent="0.2">
      <c r="A2665" t="s">
        <v>7326</v>
      </c>
      <c r="B2665" t="s">
        <v>7326</v>
      </c>
      <c r="C2665" s="5" t="s">
        <v>48</v>
      </c>
      <c r="D2665" t="s">
        <v>7327</v>
      </c>
      <c r="E2665" t="str">
        <f t="shared" ref="E2665:E2668" si="180">IF(D2665&lt;&gt;"",C2665&amp;"/"&amp;D2665,"")</f>
        <v>data/CopyProtection_TraceCipherBootstrap.block</v>
      </c>
      <c r="F2665" s="5" t="s">
        <v>7328</v>
      </c>
      <c r="G2665" s="5">
        <f t="shared" si="177"/>
        <v>52892</v>
      </c>
      <c r="H2665" s="5">
        <v>178</v>
      </c>
      <c r="I2665" s="6" t="str">
        <f t="shared" si="178"/>
        <v>B2</v>
      </c>
      <c r="J2665" s="6" t="s">
        <v>3409</v>
      </c>
      <c r="K2665" s="19" t="s">
        <v>7329</v>
      </c>
    </row>
    <row r="2666" spans="1:11" x14ac:dyDescent="0.2">
      <c r="A2666" t="s">
        <v>7348</v>
      </c>
      <c r="B2666" t="s">
        <v>7348</v>
      </c>
      <c r="C2666" s="5" t="s">
        <v>48</v>
      </c>
      <c r="D2666" t="s">
        <v>7349</v>
      </c>
      <c r="E2666" t="str">
        <f t="shared" si="180"/>
        <v>data/CopyProtection_EncryptedDiskCheck.block</v>
      </c>
      <c r="F2666" s="5" t="s">
        <v>7350</v>
      </c>
      <c r="G2666" s="5">
        <f t="shared" si="177"/>
        <v>53172</v>
      </c>
      <c r="H2666" s="5">
        <v>486</v>
      </c>
      <c r="I2666" s="6" t="str">
        <f t="shared" si="178"/>
        <v>1E6</v>
      </c>
      <c r="J2666" s="6" t="s">
        <v>3409</v>
      </c>
      <c r="K2666" s="19" t="s">
        <v>7351</v>
      </c>
    </row>
    <row r="2667" spans="1:11" x14ac:dyDescent="0.2">
      <c r="A2667" t="s">
        <v>7367</v>
      </c>
      <c r="B2667" t="s">
        <v>7367</v>
      </c>
      <c r="C2667" s="5" t="s">
        <v>48</v>
      </c>
      <c r="D2667" t="s">
        <v>7368</v>
      </c>
      <c r="E2667" t="str">
        <f t="shared" si="180"/>
        <v>data/CopyProtection_DiskSyncWords.lookup</v>
      </c>
      <c r="F2667" s="5" t="s">
        <v>7369</v>
      </c>
      <c r="G2667" s="5">
        <f t="shared" si="177"/>
        <v>53760</v>
      </c>
      <c r="H2667" s="5">
        <v>22</v>
      </c>
      <c r="I2667" s="6" t="str">
        <f t="shared" si="178"/>
        <v>16</v>
      </c>
      <c r="J2667" s="6" t="s">
        <v>3409</v>
      </c>
      <c r="K2667" s="19" t="s">
        <v>7370</v>
      </c>
    </row>
    <row r="2668" spans="1:11" x14ac:dyDescent="0.2">
      <c r="A2668" t="s">
        <v>7374</v>
      </c>
      <c r="B2668" t="s">
        <v>7374</v>
      </c>
      <c r="C2668" s="5" t="s">
        <v>48</v>
      </c>
      <c r="D2668" t="s">
        <v>7375</v>
      </c>
      <c r="E2668" t="str">
        <f t="shared" si="180"/>
        <v>data/CopyProtection_EncryptedDriveAndExitCode.block</v>
      </c>
      <c r="F2668" s="5" t="s">
        <v>7376</v>
      </c>
      <c r="G2668" s="5">
        <f t="shared" si="177"/>
        <v>53786</v>
      </c>
      <c r="H2668" s="5">
        <v>416</v>
      </c>
      <c r="I2668" s="6" t="str">
        <f t="shared" si="178"/>
        <v>1A0</v>
      </c>
      <c r="J2668" s="6" t="s">
        <v>3409</v>
      </c>
      <c r="K2668" s="19" t="s">
        <v>7384</v>
      </c>
    </row>
    <row r="2669" spans="1:11" x14ac:dyDescent="0.2">
      <c r="A2669" t="s">
        <v>7396</v>
      </c>
      <c r="B2669" t="s">
        <v>7397</v>
      </c>
      <c r="I2669" s="6">
        <v>0</v>
      </c>
      <c r="K2669" s="19" t="s">
        <v>7398</v>
      </c>
    </row>
    <row r="2670" spans="1:11" x14ac:dyDescent="0.2">
      <c r="A2670" t="s">
        <v>2969</v>
      </c>
      <c r="B2670" t="s">
        <v>3105</v>
      </c>
      <c r="I2670" s="6">
        <v>0</v>
      </c>
      <c r="K2670" s="19" t="s">
        <v>7401</v>
      </c>
    </row>
    <row r="2672" spans="1:11" x14ac:dyDescent="0.2">
      <c r="A2672" s="32" t="s">
        <v>7</v>
      </c>
      <c r="B2672" s="32" t="s">
        <v>291</v>
      </c>
      <c r="C2672" s="32" t="s">
        <v>0</v>
      </c>
      <c r="D2672" s="32" t="s">
        <v>1</v>
      </c>
      <c r="E2672" s="32" t="s">
        <v>2</v>
      </c>
      <c r="F2672" s="32" t="s">
        <v>3</v>
      </c>
      <c r="G2672" s="32" t="s">
        <v>4</v>
      </c>
      <c r="H2672" s="32" t="s">
        <v>5</v>
      </c>
      <c r="I2672" s="32" t="s">
        <v>6</v>
      </c>
      <c r="J2672" s="32" t="s">
        <v>3410</v>
      </c>
      <c r="K2672" s="32" t="s">
        <v>3500</v>
      </c>
    </row>
  </sheetData>
  <autoFilter ref="A1:M2670" xr:uid="{00000000-0001-0000-0000-000000000000}"/>
  <phoneticPr fontId="4" type="noConversion"/>
  <conditionalFormatting sqref="A2:A2670">
    <cfRule type="expression" dxfId="50" priority="181">
      <formula>AND($B2="",FIND("adr",$A2)&gt;0)</formula>
    </cfRule>
    <cfRule type="expression" dxfId="49" priority="182">
      <formula>AND(MATCH(A2,A:A,0)&lt;&gt;ROW(A2),J2="data_append")</formula>
    </cfRule>
    <cfRule type="expression" dxfId="48" priority="185">
      <formula>AND(MATCH(A2,A:A,0)=ROW(A2),COUNTIF(A:A,A2)=1)</formula>
    </cfRule>
    <cfRule type="expression" dxfId="47" priority="186">
      <formula>AND(MATCH(A2,A:A,0)=ROW(A2),COUNTIF(A:A,A2)&gt;1)</formula>
    </cfRule>
    <cfRule type="expression" dxfId="46" priority="187">
      <formula>AND(MATCH(A2,A:A,0)&lt;&gt;ROW(A2),J2&lt;&gt;"data_append")</formula>
    </cfRule>
  </conditionalFormatting>
  <conditionalFormatting sqref="A2743:A8883">
    <cfRule type="expression" dxfId="45" priority="376">
      <formula>AND(MATCH(A2743,A:A,0)&lt;&gt;ROW(A2743),J2743&lt;&gt;"data_append")</formula>
    </cfRule>
  </conditionalFormatting>
  <conditionalFormatting sqref="A2743:A8884">
    <cfRule type="expression" dxfId="44" priority="330">
      <formula>AND($B2743="",FIND("adr",$A2743)&gt;0)</formula>
    </cfRule>
    <cfRule type="expression" dxfId="43" priority="332">
      <formula>AND(MATCH(A2743,A:A,0)&lt;&gt;ROW(A2743),J2743="data_append")</formula>
    </cfRule>
    <cfRule type="expression" dxfId="42" priority="345">
      <formula>AND(MATCH(A2743,A:A,0)=ROW(A2743),COUNTIF(A:A,A2743)=1)</formula>
    </cfRule>
    <cfRule type="expression" dxfId="41" priority="346">
      <formula>AND(MATCH(A2743,A:A,0)=ROW(A2743),COUNTIF(A:A,A2743)&gt;1)</formula>
    </cfRule>
  </conditionalFormatting>
  <conditionalFormatting sqref="B2:B2670">
    <cfRule type="expression" dxfId="40" priority="155">
      <formula>AND(B2&lt;&gt;"",_xlfn.ISFORMULA(B2)=TRUE)</formula>
    </cfRule>
  </conditionalFormatting>
  <conditionalFormatting sqref="B2743:B8883">
    <cfRule type="expression" dxfId="39" priority="188">
      <formula>AND(B2743&lt;&gt;"",_xlfn.ISFORMULA(B2743)=TRUE)</formula>
    </cfRule>
  </conditionalFormatting>
  <conditionalFormatting sqref="J238:V244 H239:H244 B245:K245 B246:V250 B254:F254 H254 J254:V254 B263:K263 B264:V265 B266:K266 B267:V270 B271:K271 B278:K278 B295:K296 J297:V300 B297:I301 B304:M305 B306:K312 B313:M315 B316:K316 B317:I318 B319:M319 B320:K320 B321:M321 B322:K324 B325:M325 B326:K326 B328:M328 B329:K329 B331:K331 B333:K333 B336:K340 B341:I343 J343:V343 B344:K346 B347:I347 B348:K359 B360:V360 B361:K364 B365:V365 B366:K368 B369:V369 B370:K371 B372:V372 B373:K381 B382:V382 B383:K387 B388:I388 B389:K391 B392:I395 J395:V395 B396:K404 B405:I405 B406:K407 B408:I408 B409:K409 B410:I410 B411:K426 B427:I427 B428:K438 B439:I441 B442:K445 B446:I446 B447:K459 B460:I460 B461:K476 B477:I477 B478:K478 B479:I479 B480:K481 B485:K488 B489:I490 J490:V490 B491:K499 B500:V500 B501:K510 B511:V511 B512:K519 B520:V520 B521:K527 B528:V528 B529:K529 B530:V530 B531:K532 B533:V533 B534:K538 B539:V539 B540:K541 B542:V542 B543:K544 B545:V545 B546:K560 B561:I562 J562:V562 B563:K566 B567:V567 B568:K571 B572:V573 B574:K577 B578:V578 B579:K585 B591:K591 B597:V597 B598:K598 B600:M600 B601:K601 B603:M604 B605:K606 B607:M608 B609:K609 B610:V611 B612:K613 B614:V614 B615:K617 B618:I619 J619:V619 B620:K623 B624:V624 B625:K625 B626:V626 B627:K627 B628:V628 B629:K635 B636:V636 B637:K645 M641:V641 M643:V644 B647:K647 B650:K651 B653:K653 B654:M654 M658:V659 B658:K660 J661:K662 M661:V662 B661:I663 J663:V663 B668:V668 B669:K671 B672:V672 B673:K686 B687:V689 B690:K702 B703:V703 B704:K716 B717:V718 B719:K719 B720:V721 B722:K725 J726:V726 B726:I728 B729:K729 B730:V730 B731:K744 B745:V745 B746:K746 B747:V747 B748:K778 B779:M779 B780:K811 B812:I814 J814:V814 B815:K818 B819:V822 B823:K823 B824:V825 B826:K830 J831:V831 B831:I837 J833:V836 B838:K841 B842:V842 B843:K851 B852:I852 B853:K858 B859:I859 B860:K863 B864:V865 B866:K868 B869:I873 J870:V873 B874:K876 B877:I879 J879:V879 B880:K888 B889:I890 B891:K898 B899:V899 B900:K901 B902:M902 B903:K915 B916:V916 B917:K918 B919:V921 B922:K922 B945:K945 B946:V950 B951:K951 B952:V960 B961:K961 B962:V1021 B1022:K1033 B1034:V1034 B1035:K1037 B1038:I1039 J1039:V1039 B1040:K1047 B1048:M1048 B1049:K1062 B1063:V1063 B1064:K1065 B1078:K1078 B1079:I1084 B1085:K1086 B1087:V1089 B1090:K1091 B1094:K1095 B1097:K1097 B1099:K1100 B1101:V1101 B1102:K1102 B1104:K1109 B1110:V1111 B1112:K1116 B1117:V1117 B1118:K1121 B1122:V1122 B1123:K1130 B1132:K1139 B1143:K1148 B1149:V1149 B1150:K1150 B1151:M1152 B1153:K1157 B1158:I1167 J1159:V1167 B1168:K1170 B1172:I1173 B1174:K1177 B1182:K1182 B1184:K1185 B1187:K1191 B1192:V1193 B1194:K1197 B1198:V1198 B1199:K1199 B1200:V1200 B1201:K1208 J1209:V1209 B1209:I1210 B1211:K1217 B1218:I1219 J1219:V1219 B1220:K1232 B1233:F1233 H1233 J1233:V1233 B1275:K1275 B1280:F1283 H1280:H1283 J1280:V1283 B1284:K1286 B1287:V1290 B1291:K1291 B1296:K1296 B1315:K1315 B1320:K1320 B1322:K1322 B1326:K1326 B1333:K1334 B1335:V1336 B1337:K1338 B1342:K1342 B1345:K1345 B1347:K1350 B1352:K1356 B1358:K1364 B1378:K1378 B1379:I1384 B1385:K1394 B1395:V1407 B1408:K1408 B1409:V1409 B1410:K1410 B1411:V1412 B1413:K1425 B1426:V1426 B1427:K1431 B1432:V1432 B1433:K1439 B1440:I1441 B1450:K1450 B1451:V1451 B1452:K1453 J1454:V1454 B1454:I1460 J1457:V1460 B1461:K1463 B1464:I1484 B1485:K1486 B1487:M1487 B1490:I1490 B1491:K1491 J1492:V1493 B1492:I1495 J1495:V1495 B1496:K1496 B1497:V1498 B1499:K1499 B1500:I1501 J1501:V1501 B1502:K1507 J1508:V1513 B1508:F1514 H1508:H1514 B1520:K1520 B1522:K1522 B1525:K1526 B1527:I1529 J1528:V1529 B1530:K1536 B1537:V1537 B1538:K1538 B1539:V1539 B1540:K1540 B1541:V1541 B1542:K1542 B1543:I1543 B1544:K1545 B1546:V1546 B1547:K1548 B1549:V1549 B1550:K1556 B1557:V1557 B1558:K1560 B1561:I1562 J1562:V1562 B1563:K1564 B1565:M1565 B1567:I1573 J1573:V1573 B1574:K1580 B1581:V1581 B1582:K1585 B1586:I1587 J1587:V1587 B1588:K1592 J1593:V1593 B1593:I1595 B1596:K1600 B1601:V1601 B1602:K1606 J1607:V1610 B1607:I1615 J1613:V1615 B1625:V1625 B1626:K1627 J1628:V1629 B1628:I1630 B1631:K1631 B1633:K1637 B1638:V1638 B1639:K1639 J1640:V1643 B1640:I1650 B1651:K1655 B1656:I1658 J1657:V1658 B1659:K1664 B1665:V1665 B1666:K1666 B1667:V1667 B1668:K1668 B1669:I1669 B1670:K1675 J1676:V1681 B1676:I1691 J1687:V1691 B1692:K1694 B1695:V1696 B1697:K1699 B1700:V1701 B1702:K1702 J1703:V1703 B1703:I1704 B1705:K1712 J1713:V1726 B1713:I1727 B1728:K1736 B1737:V1737 B1738:K1740 B1741:V1746 B1747:I1747 B1748:V1749 B1750:I1750 B1751:V1755 B1756:K1756 B1757:I1766 J1763:V1766 B1767:K1768 B1769:V1769 B1770:K1775 B1786:M1787 B1790:V1790 B1791:K1791 B1808:M1808 B1811:V1811 B1812:K1812 B1822:K1825 B1826:V1826 B1827:K1831 B1832:V1835 B1836:K1838 B1839:V1840 B1841:K1843 B1844:I1849 J1849:V1849 B1850:K1851 B1852:M1852 B1853:K1857 B1858:V1858 B1859:K1863 B1864:V1865 B1866:K1870 B1871:V1871 B1872:K1872 B1874:K1879 B1880:V1884 B1885:K1898 B1899:V1900 B1901:K1906 B1907:V1907 B1908:K1908 B1909:M1909 B1910:K1910 B1911:M1912 B1913:K1921 B1922:V1923 B1924:K1948 B1949:I1953 J1950:V1953 B1954:K1954 J1955:V1959 B1955:I1963 J1961:V1963 B1964:K1965 B1966:I1967 B1968:K1968 J1969:V1970 B1969:I1978 B1979:K1982 J1983:V1983 B1983:I1984 B1985:K1988 J1989:V1989 B1989:I1990 B1991:K1994 J1995:V1995 B1995:I1996 B1997:K1997 B1998:I1998 B1999:K2003 B2004:F2005 G2004:I2012 B2013:K2013 G2014:V2014 B2015:K2016 B2017:V2017 B2018:K2022 B2023:V2023 B2025:K2025 B2026:V2027 B2028:K2032 B2033:V2033 B2034:K2044 B2045:V2045 B2046:K2046 B2047:M2047 B2048:K2051 B2052:I2054 J2053:V2054 B2055:K2057 B2058:I2059 J2059:V2059 B2061:K2061 B2063:K2063 B2065:K2069 B2070:V2070 B2072:K2073 B2075:K2081 B2082:I2085 B2086:K2086 B2088:K2093 B2094:I2094 B2095:K2095 B2096:I2098 B2099:K2099 B2101:K2101 B2104:K2108 B2110:V2110 B2112:K2112 B2113:I2116 B2117:K2118 B2119:I2121 B2122:K2123 B2126:I2130 B2131:K2131 B2132:I2135 B2136:K2136 B2139:K2139 B2142:F2143 H2142:H2143 B2144:K2146 B2147:I2151 B2152:K2152 B2153:I2155 B2156:K2156 B2157:I2158 B2159:K2163 B2164:I2166 B2167:K2167 B2168:I2168 B2169:K2174 B2176:K2176 B2205:K2205 B2208:K2208 B2210:K2211 B2212:I2218 B2219:K2221 B2223:K2223 B2224:I2224 B2225:K2226 B2227:I2227 B2228:K2234 B2235:I2241 B2242:K2242 B2245:K2245 B2247:K2249 B2252:K2252 B2253:I2254 B2255:K2261 B2262:I2264 J2276:V2282 B2284:M2284 B2295:I2302 B2303:K2303 B2304:I2346 B2376:K2377 B2378:V2384 B2388:V2388 B2390:V2390 B2392:V2398 B2403:F2405 H2403:H2405 J2403:V2405 B2407:V2412 J2414:K2414 B2414:F2417 H2414:H2417 B2418:K2419 B2571:K2571 B2603:K2603 B1180:K1180 B2347:V2348 B2358:D2358 B2359:V2375 B664:K667 B2200:K2200 B2199:J2199 B1449:V1449 B1442:K1448 G1449:G1487 I1449:I1487 B1488:K1489 G1489:G1565 I1489:I1565 B1566:K1566 G1567:G1621 I1567:I1621 B1616:K1624 B2283:K2283 G1623:G2184 I1623:I2184 B2182:K2182 B2664:K2664 B59:I59 J3:V158 G2284:G2668 I2284:I2668 G2186:G2282 I2186:I2282 B3:D58 F3:I58 B104:I116 B60:D103 F60:I103 B149:I150 B117:D148 F117:I148 B175:I183 B151:D174 F151:I174 B192:I198 B184:D191 F184:I191 B199:D215 F199:I215 B217:D217 F217:I217 B220:D220 F220:I220 B230:G233 B229:D229 F229:G229 B240:G244 B234:D239 F234:G239 B2124:D2125 F2124:I2125 B2184:K2198 B2183:D2183 F2183:K2183 B2266:I2269 B2265:D2265 F2265:I2265 B2271:I2276 B2270:D2270 F2270:I2270 B2279:I2282 B2277:D2278 F2277:I2278 B2355:V2357 B2349:D2354 F2349:V2354 F2358:K2358 B2669:K2669 B2665:D2668 F2665:K2668 F1783:M1785 F1779:K1782 B1779:E1785 F1789:K1789 F1788:M1788 B1788:E1789 F1804:K1807 F1803:V1803 F1802:K1802 F1801:V1801 F1792:K1800 B1792:E1807 F1810:K1810 F1809:M1809 B1809:E1810 F1821:M1821 F1820:K1820 F1815:M1819 F1813:K1814 B1813:E1821 B216:K216 B218:K219 G229:G1447 I229:I1447 B221:K228">
    <cfRule type="expression" dxfId="38" priority="191">
      <formula>LEFT(LOWER($B3),7)="_offset"</formula>
    </cfRule>
  </conditionalFormatting>
  <conditionalFormatting sqref="B2199:J2199 B2200:K2264 B335:K1778 B2112:K2123 B2111:D2111 F2111:K2111 B2126:K2182 B2124:D2125 F2124:K2125 B2184:K2198 B2183:D2183 F2183:K2183 B2266:K2269 B2265:D2265 F2265:K2265 B2271:K2276 B2270:D2270 F2270:K2270 B2279:K2348 B2277:D2278 F2277:K2278 B2355:K2357 B2349:D2354 F2349:K2354 B2359:K2661 B2358:D2358 F2358:K2358 B2663:K2664 B2662:D2662 F2662:K2662 B2669:K2669 B2665:D2668 F2665:K2668 B1786:K1787 B1779:D1785 F1779:K1785 B1790:K1791 B1788:D1789 F1788:K1789 B1808:K1808 B1792:D1807 F1792:K1807 B1811:K1812 B1809:D1810 F1809:K1810 B1822:K2110 B1813:D1821 F1813:K1821 B216:D216 F216:K216 B218:D219 F218:K219 B221:D222 F221:K222 B223:K223 B224:D228 F224:K228">
    <cfRule type="expression" dxfId="37" priority="146">
      <formula>LEFT(LOWER($B216),7)="_delete"</formula>
    </cfRule>
    <cfRule type="expression" dxfId="36" priority="147">
      <formula>LEFT(LOWER($B216),7)="_offset"</formula>
    </cfRule>
  </conditionalFormatting>
  <conditionalFormatting sqref="B251:K251 B252:V252 B253:K253 B255:K256 B257:V262 B272:V277 B279:V280 B281:K283 B284:I291 B292:K294 B302:K303 B327:K327 B330:K330 B332:K332 B334:K334 B482:M482 B483:K484 B586:K588 B589:M589 B590:K590 B592:K596 B599:K599 B602:K602 B646:K646 B648:K649 B652:K652 B655:K657 B923:V936 B937:K937 B938:V944 B1066:I1077 B1092:V1093 B1096:V1096 B1098:V1098 B1131:M1131 B1140:I1142 B1180:K1180 B1186:K1186 B1292:V1295 B1297:I1301 B1302:K1304 B1305:I1314 B1316:V1319 B1321:V1321 B1323:V1325 B1327:V1332 B1339:I1341 B1343:V1344 B1346:V1346 B1351:V1351 B1357:M1357 B1365:V1377 B1521:V1521 B1523:K1524 B1776:V1778 B1873:V1873 B2087:V2087 B2137:I2138 B2175:I2175 B2177:I2181 B2201:I2204 B2206:I2207 B2209:I2209 B2222:I2222 B2243:I2244 B2246:I2246 B2250:I2251 B2285:K2285 B2286:I2293 B2294:K2294 B2347:V2348 B2358:D2358 B2359:V2375 B2420:I2570 B2572:I2602 B2663:V2663 B2743:V7896 B2006:E2011 B2012:F2012 B2014:F2014 B2140:F2140 B1234:B1270 B1271:F1274 B1276:F1277 B1278:B1279 B1516:F1519 J342:M342 J392:M393 J561:M561 J728:V728 J812:K813 J832:M832 J869:M869 J877:M878 J889:M889 J890:K890 J1038:M1038 J1066:V1066 J1067:K1068 J1069:V1077 J1079:V1083 J1140:V1140 J1141:M1142 J1158:M1158 J1172:K1172 J1173:V1173 J1210:K1210 J1218:M1218 J1271:K1272 H1271:H1274 J1273:V1274 J1276:V1276 H1276:H1278 K1277:V1277 J1277:J1278 J1297:K1298 J1299:V1300 J1301:K1301 J1305:K1307 J1308:V1310 J1311:M1311 J1312:V1313 J1314:M1314 J1339:V1340 J1341:M1341 J1379:V1383 J1440:M1440 J1441:K1441 J1455:M1456 J1464:V1474 J1475:K1482 J1483:V1483 J1484:K1484 J1494:K1494 J1500:M1500 J1514:M1514 J1516:K1516 H1516:H1519 J1517:V1517 J1519:K1519 J1527:M1527 J1561:K1561 J1567:K1567 J1568:V1569 J1570:K1570 J1571:V1571 J1572:M1572 J1594:M1595 J1611:M1612 J1630:K1630 J1644:M1644 J1645:V1649 J1650:K1650 J1656:M1656 K1669:V1669 J1682:K1682 K1683:V1683 J1684:V1684 J1685:K1686 K1704:V1704 J1727:K1727 J1757:V1761 K1762:V1762 J1844:M1848 J1949:K1949 K1960:V1960 K1966:V1967 K1971:V1973 J1974:V1977 K1978:V1978 K1984:V1984 K1990:V1990 K1996:V1996 K1998:V1998 J2004:K2005 J2006:V2011 F2008:F2011 J2012:K2012 J2052:M2052 J2058:K2058 J2082:K2084 J2085:V2085 J2096:M2096 J2097:K2098 J2113:M2113 J2114:V2115 J2116:K2116 J2135:V2135 H2140 J2142:K2142 J2153:K2153 J2154:V2154 J2157:K2157 J2158:V2158 J2165:V2165 J2202:K2203 J2204:V2204 J2235:M2238 K2267:V2267 J2268:M2268 J2269:V2270 J2271:M2275 J2286:V2289 J2290:M2293 J2295:M2295 J2296:K2296 J2297:M2302 J2304:K2304 J2305:V2305 J2306:M2310 J2311:V2312 J2313:M2314 J2315:V2315 J2316:M2322 J2323:V2323 J2324:M2326 J2327:V2327 J2328:M2328 J2329:V2329 J2330:M2336 J2337:V2338 J2339:M2340 J2341:V2342 J2343:M2346 J2415:V2417 J2420:V2555 K2556:V2566 J2567:V2567 K2568:V2570 K2572:V2577 J2578:V2590 J2591:K2602 B2604:K2661 J159:M170 O159:V170 J171:V215 K229:V229 J230:V233 K234:V237 J284:V286 J287:K287 M287:V287 J288:V291 J301:M301 M887:V887 M1172:V1172 M1175:V1177 M1182:V1182 M1222:V1222 M1271:V1272 L1307:V1307 M1477:V1477 M1479:V1482 M1484:V1484 M1494:V1494 M1567:V1567 M1570:V1570 V1632 M2296:V2296 M2304:V2304 B665:K666 B2200:K2200 B2199:J2199 B1449:V1449 B1448:K1448 I1449:I1487 G1449:G1487 B1488:K1489 I1489:I1565 G1489:G1565 B1566:K1566 I1567:I1621 G1567:G1621 B1616:K1624 B2283:K2283 I1623:I2184 G1623:G2184 B2182:K2182 B2664:K2664 J3:V158 B59:I59 I2284:I2668 G2284:G2668 I2186:I2282 G2186:G2282 B2:D58 F3:I58 F2:V2 B104:I116 B60:D103 F60:I103 B149:I150 B117:D148 F117:I148 B175:I183 B151:D174 F151:I174 B192:I198 B184:D191 F184:I191 B199:D215 F199:I215 B217:D217 F217:V217 B220:D220 F220:V220 B230:H233 B229:D229 F229:G229 B240:G244 B234:D239 F234:G239 B2184:K2198 B2183:D2183 F2183:K2183 B2355:V2357 B2349:D2354 F2349:V2354 F2358:K2358 B2662:D2662 F2662:V2662 B2669:K2669 B2665:D2668 F2665:K2668 B216:K216 B218:K219 I229:I1447 G229:G1447 B221:K228">
    <cfRule type="expression" dxfId="35" priority="338">
      <formula>LEFT(LOWER($B2),7)="_delete"</formula>
    </cfRule>
  </conditionalFormatting>
  <conditionalFormatting sqref="B2:D2 J159:M170 O159:V170 J171:V215 J217:V217 J220:V220 K229:V229 H230:H233 J230:V233 K234:V237 B251:K251 B252:V252 B253:K253 I254 B255:K256 B257:V262 B272:V277 B279:V280 B281:K283 J284:V286 B284:I291 J287:K287 M287:V287 J288:V291 B292:K294 J301:M301 B302:K303 B327:K327 B330:K330 B332:K332 B334:K334 J342:M342 J392:M393 B482:M482 B483:K484 J561:M561 B586:K588 B589:M589 B590:K590 B592:K596 B599:K599 B602:K602 B646:K646 B648:K649 B652:K652 B655:K657 J728:V728 J812:K813 J832:M832 J869:M869 J877:M878 M887:V887 J889:M889 J890:K890 B923:V936 B937:K937 B938:V944 J1038:M1038 J1066:V1066 B1066:I1077 J1067:K1068 J1069:V1077 J1079:V1083 B1092:V1093 B1096:V1096 B1098:V1098 B1131:M1131 J1140:V1140 B1140:I1142 J1141:M1142 J1158:M1158 J1172:K1172 M1172:V1172 J1173:V1173 M1175:V1177 M1182:V1182 B1186:K1186 J1210:K1210 J1218:M1218 M1222:V1222 B1234:B1270 J1271:K1272 M1271:V1272 B1271:F1274 H1271:H1274 J1273:V1274 J1276:V1276 B1276:F1277 H1276:H1278 K1277:V1277 J1277:J1278 B1278:B1279 B1292:V1295 J1297:K1298 B1297:I1301 J1299:V1300 J1301:K1301 B1302:K1304 J1305:K1307 B1305:I1314 L1307:V1307 J1308:V1310 J1311:M1311 J1312:V1313 J1314:M1314 B1316:V1319 B1321:V1321 B1323:V1325 B1327:V1332 J1339:V1340 B1339:I1341 J1341:M1341 B1343:V1344 B1346:V1346 B1351:V1351 B1357:M1357 B1365:V1377 J1379:V1383 J1440:M1440 J1441:K1441 J1455:M1456 J1464:V1474 J1475:K1482 M1477:V1477 M1479:V1482 J1483:V1483 J1484:K1484 M1484:V1484 J1494:K1494 M1494:V1494 J1500:M1500 J1514:M1514 J1516:K1516 B1516:F1519 H1516:H1519 J1517:V1517 J1519:K1519 B1521:V1521 B1523:K1524 J1527:M1527 J1561:K1561 J1567:K1567 M1567:V1567 J1568:V1569 J1570:K1570 M1570:V1570 J1571:V1571 J1572:M1572 J1594:M1595 J1611:M1612 J1630:K1630 V1632 J1644:M1644 J1645:V1649 J1650:K1650 J1656:M1656 K1669:V1669 J1682:K1682 K1683:V1683 J1684:V1684 J1685:K1686 K1704:V1704 J1727:K1727 J1757:V1761 K1762:V1762 B1776:V1778 J1844:M1848 B1873:V1873 J1949:K1949 K1960:V1960 K1966:V1967 K1971:V1973 J1974:V1977 K1978:V1978 K1984:V1984 K1990:V1990 K1996:V1996 K1998:V1998 J2004:K2005 B2006:E2011 J2006:V2011 F2008:F2011 B2012:F2012 J2012:K2012 B2014:F2014 J2052:M2052 J2058:K2058 J2082:K2084 J2085:V2085 B2087:V2087 J2096:M2096 J2097:K2098 J2113:M2113 J2114:V2115 J2116:K2116 J2135:V2135 B2137:I2138 B2140:F2140 H2140 J2142:K2142 J2153:K2153 J2154:V2154 J2157:K2157 J2158:V2158 J2165:V2165 B2175:I2175 B2177:I2181 B2201:I2204 J2202:K2203 J2204:V2204 B2206:I2207 B2209:I2209 B2222:I2222 J2235:M2238 B2243:I2244 B2246:I2246 B2250:I2251 K2267:V2267 J2268:M2268 J2269:V2270 J2271:M2275 B2285:K2285 J2286:V2289 B2286:I2293 J2290:M2293 B2294:K2294 J2295:M2295 J2296:K2296 M2296:V2296 J2297:M2302 J2304:K2304 M2304:V2304 J2305:V2305 J2306:M2310 J2311:V2312 J2313:M2314 J2315:V2315 J2316:M2322 J2323:V2323 J2324:M2326 J2327:V2327 J2328:M2328 J2329:V2329 J2330:M2336 J2337:V2338 J2339:M2340 J2341:V2342 J2343:M2346 J2415:V2417 J2420:V2555 B2420:I2570 K2556:V2566 J2567:V2567 K2568:V2570 K2572:V2577 B2572:I2602 J2578:V2590 J2591:K2602 B2604:K2661 B2663:V2663 B2743:V7896 G2663:G2668 F2:V2 B2662:D2662 F2662:V2662">
    <cfRule type="expression" dxfId="34" priority="344">
      <formula>LEFT(LOWER($B2),7)="_offset"</formula>
    </cfRule>
  </conditionalFormatting>
  <conditionalFormatting sqref="B1748:V1749 B245:K245 B246:V250 B254:F254 B263:K263 B264:V265 B266:K266 B267:V270 B271:K271 B278:K278 B295:K296 B297:I301 B304:M305 B306:K312 B313:M315 B316:K316 B317:I318 B319:M319 B320:K320 B321:M321 B322:K324 B325:M325 B326:K326 B328:M328 B329:K329 B331:K331 B333:K333 B336:K340 B341:I343 B344:K346 B347:I347 B348:K359 B360:V360 B361:K364 B365:V365 B366:K368 B369:V369 B370:K371 B372:V372 B373:K381 B382:V382 B383:K387 B388:I388 B389:K391 B392:I395 B396:K404 B405:I405 B406:K407 B408:I408 B409:K409 B410:I410 B411:K426 B427:I427 B428:K438 B439:I441 B442:K445 B446:I446 B447:K459 B460:I460 B461:K476 B477:I477 B478:K478 B479:I479 B480:K481 B485:K488 B489:I490 B491:K499 B500:V500 B501:K510 B511:V511 B512:K519 B520:V520 B521:K527 B528:V528 B529:K529 B530:V530 B531:K532 B533:V533 B534:K538 B539:V539 B540:K541 B542:V542 B543:K544 B545:V545 B546:K560 B561:I562 B563:K566 B567:V567 B568:K571 B572:V573 B574:K577 B578:V578 B579:K585 B591:K591 B597:V597 B598:K598 B600:M600 B601:K601 B603:M604 B605:K606 B607:M608 B609:K609 B610:V611 B612:K613 B614:V614 B615:K617 B618:I619 B620:K623 B624:V624 B625:K625 B626:V626 B627:K627 B628:V628 B629:K635 B636:V636 B637:K645 B647:K647 B650:K651 B653:K653 B654:M654 B658:K660 B661:I663 B664:K664 B667:K667 B668:V668 B669:K671 B672:V672 B673:K686 B687:V689 B690:K702 B703:V703 B704:K716 B717:V718 B719:K719 B720:V721 B722:K725 B726:I728 B729:K729 B730:V730 B731:K744 B745:V745 B746:K746 B747:V747 B748:K778 B779:M779 B780:K811 B812:I814 B815:K818 B819:V822 B823:K823 B824:V825 B826:K830 B831:I837 B838:K841 B842:V842 B843:K851 B852:I852 B853:K858 B859:I859 B860:K863 B864:V865 B866:K868 B869:I873 B874:K876 B877:I879 B880:K888 B889:I890 B891:K898 B899:V899 B900:K901 B902:M902 B903:K915 B916:V916 B917:K918 B919:V921 B922:K922 B945:K945 B946:V950 B951:K951 B952:V960 B961:K961 B962:V1021 B1022:K1033 B1034:V1034 B1035:K1037 B1038:I1039 B1040:K1047 B1048:M1048 B1049:K1062 B1063:V1063 B1064:K1065 B1078:K1078 B1079:I1084 B1085:K1086 B1087:V1089 B1090:K1091 B1094:K1095 B1097:K1097 B1099:K1100 B1101:V1101 B1102:K1102 B1104:K1109 B1110:V1111 B1112:K1116 B1117:V1117 B1118:K1121 B1122:V1122 B1123:K1130 B1132:K1139 B1143:K1148 B1149:V1149 B1150:K1150 B1151:M1152 B1153:K1157 B1158:I1167 B1168:K1170 B1172:I1173 B1174:K1177 B1182:K1182 B1184:K1185 B1187:K1191 B1192:V1193 B1194:K1197 B1198:V1198 B1199:K1199 B1200:V1200 B1201:K1208 B1209:I1210 B1211:K1217 B1218:I1219 B1220:K1232 B1233:F1233 B1275:K1275 B1280:F1283 B1284:K1286 B1287:V1290 B1291:K1291 B1296:K1296 B1315:K1315 B1320:K1320 B1322:K1322 B1326:K1326 B1333:K1334 B1335:V1336 B1337:K1338 B1342:K1342 B1345:K1345 B1347:K1350 B1352:K1356 B1358:K1364 B1378:K1378 B1379:I1384 B1385:K1394 B1395:V1407 B1408:K1408 B1409:V1409 B1410:K1410 B1411:V1412 B1413:K1425 B1426:V1426 B1427:K1431 B1432:V1432 B1433:K1439 B1440:I1441 B1442:K1447 B1450:K1450 B1451:V1451 B1452:K1453 B1454:I1460 B1461:K1463 B1464:I1484 B1485:K1486 B1487:M1487 B1490:I1490 B1491:K1491 B1492:I1495 B1496:K1496 B1497:V1498 B1499:K1499 B1500:I1501 B1502:K1507 B1508:F1514 B1520:K1520 B1522:K1522 B1525:K1526 B1527:I1529 B1530:K1536 B1537:V1537 B1538:K1538 B1539:V1539 B1540:K1540 B1541:V1541 B1542:K1542 B1543:I1543 B1544:K1545 B1546:V1546 B1547:K1548 B1549:V1549 B1550:K1556 B1557:V1557 B1558:K1560 B1561:I1562 B1563:K1564 B1565:M1565 B1567:I1573 B1574:K1580 B1581:V1581 B1582:K1585 B1586:I1587 B1588:K1592 B1593:I1595 B1596:K1600 B1601:V1601 B1602:K1606 B1607:I1615 B1625:V1625 B1626:K1627 B1628:I1630 B1631:K1631 B1633:K1637 B1638:V1638 B1639:K1639 B1640:I1650 B1651:K1655 B1656:I1658 B1659:K1664 B1665:V1665 B1666:K1666 B1667:V1667 B1668:K1668 B1669:I1669 B1670:K1675 B1676:I1691 B1692:K1694 B1695:V1696 B1697:K1699 B1700:V1701 B1702:K1702 B1703:I1704 B1705:K1712 B1713:I1727 B1728:K1736 B1737:V1737 B1738:K1740 B1741:V1746 B1747:I1747 B1750:I1750 B1751:V1755 B1756:K1756 B1757:I1766 B1767:K1768 B1769:V1769 B1770:K1775 B1786:M1787 B1790:V1790 B1791:K1791 B1808:M1808 B1811:V1811 B1812:K1812 B1822:K1825 B1826:V1826 B1827:K1831 B1832:V1835 B1836:K1838 B1839:V1840 B1841:K1843 B1844:I1849 B1850:K1851 B1852:M1852 B1853:K1857 B1858:V1858 B1859:K1863 B1864:V1865 B1866:K1870 B1871:V1871 B1872:K1872 B1874:K1879 B1880:V1884 B1885:K1898 B1899:V1900 B1901:K1906 B1907:V1907 B1908:K1908 B1909:M1909 B1910:K1910 B1911:M1912 B1913:K1921 B1922:V1923 B1924:K1948 B1949:I1953 B1954:K1954 B1955:I1963 B1964:K1965 B1966:I1967 B1968:K1968 B1969:I1978 B1979:K1982 B1983:I1984 B1985:K1988 B1989:I1990 B1991:K1994 B1995:I1996 B1997:K1997 B1998:I1998 B1999:K2003 B2004:F2005 B2013:K2013 B2015:K2016 B2017:V2017 B2018:K2022 B2023:V2023 B2025:K2025 B2026:V2027 B2028:K2032 B2033:V2033 B2034:K2044 B2045:V2045 B2046:K2046 B2047:M2047 B2048:K2051 B2052:I2054 B2055:K2057 B2058:I2059 B2061:K2061 B2063:K2063 B2065:K2069 B2070:V2070 B2072:K2073 B2075:K2081 B2082:I2085 B2086:K2086 B2088:K2093 B2094:I2094 B2095:K2095 B2096:I2098 B2099:K2099 B2101:K2101 B2104:K2108 B2110:V2110 B2112:K2112 B2113:I2116 B2117:K2118 B2119:I2121 B2122:K2123 B2126:I2130 B2131:K2131 B2132:I2135 B2136:K2136 B2139:K2139 B2142:F2143 B2144:K2146 B2147:I2151 B2152:K2152 B2153:I2155 B2156:K2156 B2157:I2158 B2159:K2163 B2164:I2166 B2167:K2167 B2168:I2168 B2169:K2174 B2176:K2176 B2205:K2205 B2208:K2208 B2210:K2211 B2212:I2218 B2219:K2221 B2223:K2223 B2224:I2224 B2225:K2226 B2227:I2227 B2228:K2234 B2235:I2241 B2242:K2242 B2245:K2245 B2247:K2249 B2252:K2252 B2253:I2254 B2255:K2261 B2262:I2264 B2284:M2284 B2295:I2302 B2303:K2303 B2304:I2346 B2376:K2377 B2378:V2384 B2388:V2388 B2390:V2390 B2392:V2398 B2403:F2405 B2407:V2412 B2414:F2417 B2418:K2419 B2571:K2571 B2603:K2603 J343:V343 J395:V395 J490:V490 J562:V562 J619:V619 J661:K662 J663:V663 J726:V726 J814:V814 J831:V831 J833:V836 J870:V873 J879:V879 J1039:V1039 J1159:V1167 J1209:V1209 J1219:V1219 H1233 J1233:V1233 H1280:H1283 J1280:V1283 J1454:V1454 J1457:V1460 J1492:V1493 J1495:V1495 J1501:V1501 J1508:V1513 H1508:H1514 J1528:V1529 J1562:V1562 J1573:V1573 J1587:V1587 J1593:V1593 J1607:V1610 J1613:V1615 J1628:V1629 J1640:V1643 J1657:V1658 J1676:V1681 J1687:V1691 J1703:V1703 J1713:V1726 J1763:V1766 J1849:V1849 J1950:V1953 J1955:V1959 J1961:V1963 J1969:V1970 J1983:V1983 J1989:V1989 J1995:V1995 G2004:I2012 G2014:V2014 J2053:V2054 J2059:V2059 H2142:H2143 J2276:V2282 H2403:H2405 J2403:V2405 J2414:K2414 H2414:H2417 J238:V244 H239:H244 H254 J254:V254 J297:V300 M641:V641 M643:V644 M658:V659 M661:V662 B2124:D2125 F2124:I2125 B2266:I2269 B2265:D2265 F2265:I2265 B2271:I2276 B2270:D2270 F2270:I2270 B2279:I2282 B2277:D2278 F2277:I2278 B1779:D1785 F1783:M1785 F1779:K1782 F1789:K1789 B1788:D1789 F1788:M1788 F1804:K1807 F1803:V1803 F1802:K1802 F1801:V1801 B1792:D1807 F1792:K1800 F1810:K1810 B1809:D1810 F1809:M1809 F1821:M1821 F1820:K1820 F1815:M1819 B1813:D1821 F1813:K1814">
    <cfRule type="expression" dxfId="33" priority="190">
      <formula>LEFT(LOWER($B238),7)="_delete"</formula>
    </cfRule>
  </conditionalFormatting>
  <conditionalFormatting sqref="G2743:G1048576 I2743:I1048576 G1:G2670 I1:I2670">
    <cfRule type="expression" dxfId="32" priority="329">
      <formula>_xlfn.ISFORMULA(G1)=FALSE</formula>
    </cfRule>
  </conditionalFormatting>
  <conditionalFormatting sqref="G1748 I1748">
    <cfRule type="expression" dxfId="31" priority="156">
      <formula>_xlfn.ISFORMULA(G1748)=FALSE</formula>
    </cfRule>
  </conditionalFormatting>
  <conditionalFormatting sqref="G2385:G2387">
    <cfRule type="expression" dxfId="30" priority="166">
      <formula>LEFT(LOWER($B2385),7)="_delete"</formula>
    </cfRule>
    <cfRule type="expression" dxfId="29" priority="167">
      <formula>LEFT(LOWER($B2385),7)="_offset"</formula>
    </cfRule>
    <cfRule type="expression" dxfId="28" priority="168">
      <formula>_xlfn.ISFORMULA(G2385)=FALSE</formula>
    </cfRule>
  </conditionalFormatting>
  <conditionalFormatting sqref="N216:V216 N218:V219 N221:V222 N224:V228 N251:V251 N253:V253 N255:V256 N281:V283 N292:V296 N301:V2682">
    <cfRule type="expression" dxfId="27" priority="410">
      <formula>LEFT(LOWER(#REF!),7)="_offset"</formula>
    </cfRule>
  </conditionalFormatting>
  <conditionalFormatting sqref="N245:V245 N266:V266 N344:V359 N366:V368 N370:V371 N491:V492 N494:V499 N501:V510 N512:V519 N521:V527 N529:V529 N531:V532 N540:V541 N543:V544 N563:V566 N612:V613 N615:V617 N620:V623 N625:V625 N627:V627 N629:V635 N637:V640 N642:V642 N660:V660 N664:V667 N669:V671 N690:V702 N704:V716 N719:V719 N731:V744 N746:V746 N795:V796 N799:V801 N803:V807 N860:V863 N880:V886 N891:V898 N906:V915 N917:V918 N951:V951 N961:V961 N1062:V1062 N1085:V1086 N1112:V1116 N1118:V1121 N1168:V1171 N1194:V1197 N1199:V1199 N1201:V1201 N1211:V1212 N1220:V1221 N1223:V1223 N1284:V1286 N1385:V1394 N1408:V1408 N1410:V1410 N1413:V1414 N1425:V1425 N1427:V1431 N1442:V1447 N1450:V1450 N1452:V1453 N1491:V1491 N1496:V1496 N1502:V1507 N1530:V1534 N1536:V1536 N1538:V1538 N1540:V1540 N1542:V1542 N1544:V1545 N1547:V1548 N1550:V1556 N1558:V1558 N1560:V1560 N1574:V1580 N1588:V1592 N1602:V1606 N1616:V1622 N1624:V1624 N1626:V1627 N1631:V1631 N1633:V1633 N1636:V1637 N1639:V1639 N1659:V1664 N1666:V1666 N1668:V1668 N1670:V1671 N1692:V1694 N1697:V1699 N1702:V1702 N1705:V1708 N1710:V1712 N1728:V1736 N1738:V1740 N1802:V1802 N1836:V1838 N1859:V1863 N1866:V1870 N1901:V1906 N1954:V1954 N1964:V1965 N1968:V1968 N1979:V1982 N1985:V1988 N1991:V1994 N1997:V1997 N1999:V2003 N2013:V2013 N2024:V2025 N2028:V2028 N2031:V2032 N2034:V2035 N2041:V2041 N2055:V2057 N2060:V2063 N2065:V2069 N2071:V2081 N2089:V2093 N2099:V2099">
    <cfRule type="expression" dxfId="26" priority="473">
      <formula>LEFT(LOWER(#REF!),7)="_offset"</formula>
    </cfRule>
  </conditionalFormatting>
  <conditionalFormatting sqref="N263:V263 N271:V271 N278:V278 N361:V364 N373:V381 N383:V387 N396:V404 N534:V538 N568:V571 N574:V577 N673:V686 N722:V725 N729:V729 N811:V811 N815:V818 N823:V823 N826:V830 N837:V841 N843:V858 N922:V922 N945:V945 N1022:V1033 N1064:V1064 N1078:V1078 N1090:V1091 N1094:V1095 N1097:V1097 N1099:V1100 N1102:V1109 N1174:V1174 N1183:V1184 N1204:V1208 N1228:V1232 N1275:V1275 N1291:V1291 N1320:V1320 N1322:V1322 N1326:V1326 N1333:V1334 N1337:V1338 N1345:V1345 N1347:V1350 N1352:V1356 N1358:V1364 N1378:V1378 N1417:V1417 N1461:V1463 N1520:V1520 N1522:V1522 N1582:V1585 N1674:V1675 N1756:V1756 N1767:V1768 N1770:V1775 N1791:V1800 N1827:V1831 N1872:V1872 N1874:V1879 N1885:V1898 N1924:V1948 N2015:V2016 N2018:V2022 N2037:V2039 N2043:V2044 N2086:V2086 N2102:V2109 N2376:V2377 N2418:V2418 N2571:V2571">
    <cfRule type="expression" dxfId="25" priority="445">
      <formula>LEFT(LOWER(#REF!),7)="_offset"</formula>
    </cfRule>
  </conditionalFormatting>
  <conditionalFormatting sqref="N216:V216 N218:V219 N221:V222 N224:V228 N251:V251 N253:V253 N255:V256 N281:V283 N292:V296 N301:V2682">
    <cfRule type="expression" dxfId="24" priority="405">
      <formula>LEFT(LOWER(#REF!),7)="_delete"</formula>
    </cfRule>
  </conditionalFormatting>
  <conditionalFormatting sqref="N344:V359 N366:V368 N370:V371 N491:V492 N494:V499 N501:V510 N512:V519 N521:V527 N529:V529 N531:V532 N540:V541 N543:V544 N563:V566 N612:V613 N615:V617 N620:V623 N625:V625 N627:V627 N629:V635 N637:V640 N642:V642 N660:V660 N664:V664 N667:V667 N669:V671 N690:V702 N704:V716 N719:V719 N731:V744 N746:V746 N795:V796 N799:V801 N803:V807 N860:V863 N880:V886 N891:V898 N906:V915 N917:V918 N951:V951 N961:V961 N1062:V1062 N1085:V1086 N1112:V1116 N1118:V1121 N1168:V1171 N1194:V1197 N1199:V1199 N1201:V1201 N1211:V1212 N1220:V1221 N1223:V1223 N1284:V1286 N1385:V1394 N1408:V1408 N1410:V1410 N1413:V1414 N1425:V1425 N1427:V1431 N1442:V1447 N1450:V1450 N1452:V1453 N1491:V1491 N1496:V1496 N1502:V1507 N1530:V1534 N1536:V1536 N1538:V1538 N1540:V1540 N1542:V1542 N1544:V1545 N1547:V1548 N1550:V1556 N1558:V1558 N1560:V1560 N1574:V1580 N1588:V1592 N1602:V1606 N1616:V1622 N1624:V1624 N1626:V1627 N1631:V1631 N1633:V1633 N1636:V1637 N1639:V1639 N1659:V1664 N1666:V1666 N1668:V1668 N1670:V1671 N1692:V1694 N1697:V1699 N1702:V1702 N1705:V1708 N1710:V1712 N1728:V1736 N1738:V1740 N1802:V1802 N1836:V1838 N1859:V1863 N1866:V1870 N1901:V1906 N1954:V1954 N1964:V1965 N1968:V1968 N1979:V1982 N1985:V1988 N1991:V1994 N1997:V1997 N1999:V2003 N2013:V2013 N2024:V2025 N2028:V2028 N2031:V2032 N2034:V2035 N2041:V2041 N2055:V2057 N2060:V2063 N2065:V2069 N2071:V2081 N2089:V2093 N2099:V2099 N245:V245 N266:V266">
    <cfRule type="expression" dxfId="23" priority="466">
      <formula>LEFT(LOWER(#REF!),7)="_delete"</formula>
    </cfRule>
  </conditionalFormatting>
  <conditionalFormatting sqref="N361:V364 N373:V381 N383:V387 N396:V404 N534:V538 N568:V571 N574:V577 N673:V686 N722:V725 N729:V729 N811:V811 N815:V818 N823:V823 N826:V830 N837:V841 N843:V858 N922:V922 N945:V945 N1022:V1033 N1064:V1064 N1078:V1078 N1090:V1091 N1094:V1095 N1097:V1097 N1099:V1100 N1102:V1109 N1174:V1174 N1183:V1184 N1204:V1208 N1228:V1232 N1275:V1275 N1291:V1291 N1320:V1320 N1322:V1322 N1326:V1326 N1333:V1334 N1337:V1338 N1345:V1345 N1347:V1350 N1352:V1356 N1358:V1364 N1378:V1378 N1417:V1417 N1461:V1463 N1520:V1520 N1522:V1522 N1582:V1585 N1674:V1675 N1756:V1756 N1767:V1768 N1770:V1775 N1791:V1800 N1827:V1831 N1872:V1872 N1874:V1879 N1885:V1898 N1924:V1948 N2015:V2016 N2018:V2022 N2037:V2039 N2043:V2044 N2086:V2086 N2102:V2109 N2376:V2377 N2418:V2418 N2571:V2571 N263:V263 N271:V271 N278:V278">
    <cfRule type="expression" dxfId="22" priority="443">
      <formula>LEFT(LOWER(#REF!),7)="_delete"</formula>
    </cfRule>
  </conditionalFormatting>
  <conditionalFormatting sqref="N1178:V1179 N1181:V1181 N2111:V2111 N2385:V2387 N2389:V2389 N2391:V2391 N2399:V2399 N2406:V2406">
    <cfRule type="expression" dxfId="21" priority="525">
      <formula>LEFT(LOWER(#REF!),7)="_delete"</formula>
    </cfRule>
  </conditionalFormatting>
  <conditionalFormatting sqref="N1178:V1181 N2111:V2111 N2385:V2387 N2389:V2389 N2391:V2391 N2399:V2399 N2406:V2406">
    <cfRule type="expression" dxfId="20" priority="528">
      <formula>LEFT(LOWER(#REF!),7)="_offset"</formula>
    </cfRule>
  </conditionalFormatting>
  <conditionalFormatting sqref="N1180:V1180 N665:V666 N2358:V2358">
    <cfRule type="expression" dxfId="19" priority="583">
      <formula>LEFT(LOWER(#REF!),7)="_delete"</formula>
    </cfRule>
  </conditionalFormatting>
  <conditionalFormatting sqref="N1747:V1747 N1750:V1750">
    <cfRule type="expression" dxfId="18" priority="501">
      <formula>LEFT(LOWER(#REF!),7)="_delete"</formula>
    </cfRule>
    <cfRule type="expression" dxfId="17" priority="504">
      <formula>LEFT(LOWER(#REF!),7)="_offset"</formula>
    </cfRule>
  </conditionalFormatting>
  <conditionalFormatting sqref="I2668">
    <cfRule type="expression" dxfId="16" priority="47">
      <formula>LEFT(LOWER($B2668),7)="_offset"</formula>
    </cfRule>
  </conditionalFormatting>
  <conditionalFormatting sqref="N1448:V1448 N223:V223">
    <cfRule type="expression" dxfId="15" priority="595">
      <formula>LEFT(LOWER(#REF!),7)="_offset"</formula>
    </cfRule>
  </conditionalFormatting>
  <conditionalFormatting sqref="N1448:V1448 N223:V223">
    <cfRule type="expression" dxfId="14" priority="603">
      <formula>LEFT(LOWER(#REF!),7)="_delete"</formula>
    </cfRule>
  </conditionalFormatting>
  <conditionalFormatting sqref="B2670:K2670">
    <cfRule type="expression" dxfId="13" priority="29">
      <formula>LEFT(LOWER($B2670),7)="_offset"</formula>
    </cfRule>
  </conditionalFormatting>
  <conditionalFormatting sqref="B2670:K2670">
    <cfRule type="expression" dxfId="12" priority="27">
      <formula>LEFT(LOWER($B2670),7)="_delete"</formula>
    </cfRule>
    <cfRule type="expression" dxfId="11" priority="28">
      <formula>LEFT(LOWER($B2670),7)="_offset"</formula>
    </cfRule>
  </conditionalFormatting>
  <conditionalFormatting sqref="B2670:K2670">
    <cfRule type="expression" dxfId="10" priority="30">
      <formula>LEFT(LOWER($B2670),7)="_delete"</formula>
    </cfRule>
  </conditionalFormatting>
  <conditionalFormatting sqref="G2670">
    <cfRule type="expression" dxfId="9" priority="31">
      <formula>LEFT(LOWER($B2670),7)="_offset"</formula>
    </cfRule>
  </conditionalFormatting>
  <conditionalFormatting sqref="E2:E58 E60:E103 E117:E148 E151:E174 E184:E191 E199:E215 E217 E220 E229 E234:E239">
    <cfRule type="expression" dxfId="8" priority="23">
      <formula>LEFT(LOWER($B2),7)="_delete"</formula>
    </cfRule>
    <cfRule type="expression" dxfId="7" priority="24">
      <formula>LEFT(LOWER($B2),7)="_offset"</formula>
    </cfRule>
  </conditionalFormatting>
  <conditionalFormatting sqref="E2:E58 E60:E103 E117:E148 E151:E174 E184:E191 E199:E215 E217 E220 E229 E234:E239 E414 E665:E666 E1066 E1069 E1180 E1213 E1219 E1224:E1226 E1401 E1483 E1515 E1640 E1676:E1678 E1695 E1703 E1713 E1723:E1726 E1741:E1742 E1759 E1763:E1765 E1873 E1880:E1881 E1883 E1899 E1907 E1949 E1959 E1961:E1962 E1970 E1977 E1983 E1989 E1995 E2005:E2007 E2010:E2011">
    <cfRule type="expression" dxfId="6" priority="21">
      <formula>LEFT(LOWER($B2),7)="_delete"</formula>
    </cfRule>
  </conditionalFormatting>
  <conditionalFormatting sqref="E2:E58 E60:E103 E117:E148 E151:E174 E184:E191 E199:E215 E217 E220 E229 E234:E239 E414 E665:E666 E1066 E1069 E1180 E1213 E1219 E1224:E1226 E1401 E1483 E1515 E1640 E1676:E1678 E1695 E1703 E1713 E1723:E1726 E1741:E1742 E1759 E1763:E1765 E1873 E1880:E1881 E1883 E1899 E1907 E1949 E1959 E1961:E1962 E1970 E1977 E1983 E1989 E1995 E2005:E2007 E2010:E2011">
    <cfRule type="expression" dxfId="5" priority="22">
      <formula>LEFT(LOWER($B2),7)="_offset"</formula>
    </cfRule>
  </conditionalFormatting>
  <conditionalFormatting sqref="E2665:E2668 E2662 E2358 E2349:E2354 E2277:E2278 E2270 E2265 E2183 E2124:E2125 E2111 E2010:E2011 E2005:E2007 E1995 E1989 E1983 E1977 E1970 E1961:E1962 E1959 E1949 E1907 E1899 E1883 E1880:E1881 E1873 E1763:E1765 E1759 E1741:E1742 E1723:E1726 E1713 E1703 E1695 E1676:E1678 E1640 E1515 E1483 E1401 E1224:E1226 E1219 E1213 E1180 E1069 E1066 E665:E666 E414">
    <cfRule type="expression" dxfId="4" priority="19">
      <formula>LEFT(LOWER($B414),7)="_delete"</formula>
    </cfRule>
    <cfRule type="expression" dxfId="3" priority="20">
      <formula>LEFT(LOWER($B414),7)="_offset"</formula>
    </cfRule>
  </conditionalFormatting>
  <conditionalFormatting sqref="E2665:E2668 E2662 E2358 E2349:E2354 E2277:E2278 E2270 E2265 E2183 E2124:E2125 E2111">
    <cfRule type="expression" dxfId="2" priority="17">
      <formula>LEFT(LOWER($B2111),7)="_delete"</formula>
    </cfRule>
  </conditionalFormatting>
  <conditionalFormatting sqref="E2665:E2668 E2662 E2358 E2349:E2354 E2277:E2278 E2270 E2265 E2183 E2124:E2125 E2111">
    <cfRule type="expression" dxfId="1" priority="18">
      <formula>LEFT(LOWER($B2111),7)="_offset"</formula>
    </cfRule>
  </conditionalFormatting>
  <conditionalFormatting sqref="E1813:E1821 E1809:E1810 E1792:E1807 E1788:E1789 E1779:E1785">
    <cfRule type="expression" dxfId="0" priority="14">
      <formula>LEFT(LOWER($B1779),7)="_delete"</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94FBC-DC8F-934A-A222-53854F6D7A70}">
  <sheetPr codeName="Sheet2"/>
  <dimension ref="B7:E17"/>
  <sheetViews>
    <sheetView workbookViewId="0">
      <selection activeCell="C15" sqref="C15"/>
    </sheetView>
  </sheetViews>
  <sheetFormatPr baseColWidth="10" defaultRowHeight="16" x14ac:dyDescent="0.2"/>
  <cols>
    <col min="2" max="2" width="20.1640625" customWidth="1"/>
    <col min="3" max="3" width="16.83203125" customWidth="1"/>
    <col min="4" max="4" width="11.5" bestFit="1" customWidth="1"/>
  </cols>
  <sheetData>
    <row r="7" spans="2:5" ht="27" x14ac:dyDescent="0.35">
      <c r="B7" s="30"/>
      <c r="C7" s="30"/>
      <c r="D7" s="30"/>
      <c r="E7" s="30"/>
    </row>
    <row r="8" spans="2:5" ht="27" x14ac:dyDescent="0.35">
      <c r="B8" s="30"/>
      <c r="C8" s="30"/>
      <c r="D8" s="30"/>
      <c r="E8" s="30"/>
    </row>
    <row r="9" spans="2:5" ht="27" x14ac:dyDescent="0.35">
      <c r="B9" s="30" t="s">
        <v>5368</v>
      </c>
      <c r="C9" s="30">
        <f>COUNTA(BLOODWYCH439!A2:A2662)</f>
        <v>2661</v>
      </c>
      <c r="D9" s="30"/>
      <c r="E9" s="30"/>
    </row>
    <row r="10" spans="2:5" ht="27" x14ac:dyDescent="0.35">
      <c r="B10" s="30" t="s">
        <v>5369</v>
      </c>
      <c r="C10" s="30">
        <f>COUNTBLANK(BLOODWYCH439!B2:B2662)</f>
        <v>15</v>
      </c>
      <c r="D10" s="31">
        <f>C10/C9</f>
        <v>5.6369785794813977E-3</v>
      </c>
      <c r="E10" s="30"/>
    </row>
    <row r="11" spans="2:5" ht="27" x14ac:dyDescent="0.35">
      <c r="B11" s="30" t="s">
        <v>5370</v>
      </c>
      <c r="C11" s="30">
        <f>C9-COUNTBLANK(BLOODWYCH439!B2:B2662)</f>
        <v>2646</v>
      </c>
      <c r="D11" s="31">
        <f>C11/C9</f>
        <v>0.99436302142051858</v>
      </c>
      <c r="E11" s="30"/>
    </row>
    <row r="12" spans="2:5" ht="27" x14ac:dyDescent="0.35">
      <c r="B12" s="30"/>
      <c r="C12" s="30"/>
      <c r="D12" s="30"/>
      <c r="E12" s="30"/>
    </row>
    <row r="13" spans="2:5" ht="27" x14ac:dyDescent="0.35">
      <c r="B13" s="30"/>
      <c r="C13" s="30"/>
      <c r="D13" s="30"/>
      <c r="E13" s="30"/>
    </row>
    <row r="14" spans="2:5" ht="27" x14ac:dyDescent="0.35">
      <c r="B14" s="30"/>
      <c r="C14" s="30"/>
      <c r="D14" s="30"/>
      <c r="E14" s="30"/>
    </row>
    <row r="15" spans="2:5" ht="27" x14ac:dyDescent="0.35">
      <c r="B15" s="30"/>
      <c r="C15" s="30"/>
      <c r="D15" s="30"/>
      <c r="E15" s="30"/>
    </row>
    <row r="16" spans="2:5" ht="27" x14ac:dyDescent="0.35">
      <c r="B16" s="30"/>
      <c r="C16" s="30"/>
      <c r="D16" s="30"/>
      <c r="E16" s="30"/>
    </row>
    <row r="17" spans="2:5" ht="27" x14ac:dyDescent="0.35">
      <c r="B17" s="30"/>
      <c r="C17" s="30"/>
      <c r="D17" s="30"/>
      <c r="E17" s="3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BLOODWYCH439</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Cresswell, Dominic - CS LASER</dc:creator>
  <cp:lastModifiedBy>Cresswell, Dominic - CS LASER</cp:lastModifiedBy>
  <dcterms:created xsi:type="dcterms:W3CDTF">2025-05-22T16:28:50Z</dcterms:created>
  <dcterms:modified xsi:type="dcterms:W3CDTF">2026-09-14T08:21:58Z</dcterms:modified>
</cp:coreProperties>
</file>