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22A47ED4-0911-6B4F-923C-F42BF0C19818}" xr6:coauthVersionLast="47" xr6:coauthVersionMax="47" xr10:uidLastSave="{00000000-0000-0000-0000-000000000000}"/>
  <bookViews>
    <workbookView xWindow="11180" yWindow="880" windowWidth="23760" windowHeight="2162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BLOODWYCH439!$A$1:$R$2669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39" i="1" l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248" i="1"/>
  <c r="E2247" i="1"/>
  <c r="E2246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3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1953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09" i="1"/>
  <c r="E1898" i="1"/>
  <c r="E1899" i="1"/>
  <c r="E1900" i="1"/>
  <c r="E1901" i="1"/>
  <c r="E1902" i="1"/>
  <c r="E1903" i="1"/>
  <c r="E1904" i="1"/>
  <c r="E1905" i="1"/>
  <c r="E1906" i="1"/>
  <c r="E1907" i="1"/>
  <c r="E1908" i="1"/>
  <c r="E1897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61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G61" i="1"/>
  <c r="I61" i="1"/>
  <c r="G2292" i="1"/>
  <c r="G2291" i="1"/>
  <c r="G2290" i="1"/>
  <c r="I2292" i="1"/>
  <c r="I2291" i="1"/>
  <c r="I2290" i="1"/>
  <c r="G2293" i="1"/>
  <c r="G2294" i="1"/>
  <c r="I2282" i="1"/>
  <c r="G2282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3" i="1"/>
  <c r="I2284" i="1"/>
  <c r="I2285" i="1"/>
  <c r="I2286" i="1"/>
  <c r="I2287" i="1"/>
  <c r="I2288" i="1"/>
  <c r="I2289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246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33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89" i="1"/>
  <c r="G2288" i="1"/>
  <c r="G2287" i="1"/>
  <c r="G2286" i="1"/>
  <c r="G2285" i="1"/>
  <c r="G2284" i="1"/>
  <c r="G2283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P20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B300" i="1" l="1"/>
  <c r="P300" i="1" s="1"/>
  <c r="B301" i="1"/>
  <c r="P301" i="1" s="1"/>
  <c r="B303" i="1"/>
  <c r="B305" i="1"/>
  <c r="B306" i="1"/>
  <c r="B307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308" i="1"/>
  <c r="B309" i="1"/>
  <c r="B310" i="1"/>
  <c r="B311" i="1"/>
  <c r="B312" i="1"/>
  <c r="B313" i="1"/>
  <c r="B319" i="1"/>
  <c r="B330" i="1"/>
  <c r="B331" i="1"/>
  <c r="B444" i="1"/>
  <c r="B445" i="1"/>
  <c r="B446" i="1"/>
  <c r="B447" i="1"/>
  <c r="B452" i="1"/>
  <c r="B453" i="1"/>
  <c r="B461" i="1"/>
  <c r="B469" i="1"/>
  <c r="B605" i="1"/>
  <c r="B642" i="1"/>
  <c r="B724" i="1"/>
  <c r="B725" i="1"/>
  <c r="B747" i="1"/>
  <c r="B761" i="1"/>
  <c r="B767" i="1"/>
  <c r="B768" i="1"/>
  <c r="B769" i="1"/>
  <c r="B770" i="1"/>
  <c r="B771" i="1"/>
  <c r="B772" i="1"/>
  <c r="B773" i="1"/>
  <c r="B777" i="1"/>
  <c r="B779" i="1"/>
  <c r="B781" i="1"/>
  <c r="B782" i="1"/>
  <c r="B784" i="1"/>
  <c r="B842" i="1"/>
  <c r="B850" i="1"/>
  <c r="B851" i="1"/>
  <c r="B852" i="1"/>
  <c r="B853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35" i="1"/>
  <c r="B940" i="1"/>
  <c r="B998" i="1"/>
  <c r="B1001" i="1"/>
  <c r="B1002" i="1"/>
  <c r="B1003" i="1"/>
  <c r="B1008" i="1"/>
  <c r="B1009" i="1"/>
  <c r="B1010" i="1"/>
  <c r="B1012" i="1"/>
  <c r="B1013" i="1"/>
  <c r="B1014" i="1"/>
  <c r="B1015" i="1"/>
  <c r="B1017" i="1"/>
  <c r="B1018" i="1"/>
  <c r="B1019" i="1"/>
  <c r="B1025" i="1"/>
  <c r="B1026" i="1"/>
  <c r="B1027" i="1"/>
  <c r="B1028" i="1"/>
  <c r="B1033" i="1"/>
  <c r="B1061" i="1"/>
  <c r="B1062" i="1"/>
  <c r="B1063" i="1"/>
  <c r="B1064" i="1"/>
  <c r="B1112" i="1"/>
  <c r="B1130" i="1"/>
  <c r="B1131" i="1"/>
  <c r="B1132" i="1"/>
  <c r="B1135" i="1"/>
  <c r="B1138" i="1"/>
  <c r="B1139" i="1"/>
  <c r="B1140" i="1"/>
  <c r="B1142" i="1"/>
  <c r="B1143" i="1"/>
  <c r="B1148" i="1"/>
  <c r="B1150" i="1"/>
  <c r="B1151" i="1"/>
  <c r="B1152" i="1"/>
  <c r="B1153" i="1"/>
  <c r="B1154" i="1"/>
  <c r="B243" i="1"/>
  <c r="P243" i="1" s="1"/>
  <c r="B244" i="1"/>
  <c r="P244" i="1" s="1"/>
  <c r="B245" i="1"/>
  <c r="P245" i="1" s="1"/>
  <c r="B246" i="1"/>
  <c r="P246" i="1" s="1"/>
  <c r="B248" i="1"/>
  <c r="B249" i="1"/>
  <c r="B250" i="1"/>
  <c r="B251" i="1"/>
  <c r="B252" i="1"/>
  <c r="B254" i="1"/>
  <c r="B262" i="1"/>
  <c r="B263" i="1"/>
  <c r="B1" i="2"/>
  <c r="C1" i="2"/>
  <c r="B282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2" i="1"/>
  <c r="P242" i="1" s="1"/>
  <c r="P2030" i="1"/>
  <c r="P2025" i="1"/>
  <c r="P2020" i="1"/>
  <c r="P2019" i="1"/>
  <c r="P2018" i="1"/>
  <c r="P1978" i="1"/>
  <c r="P1536" i="1"/>
  <c r="P446" i="1"/>
  <c r="H2631" i="1"/>
  <c r="I2631" i="1" s="1"/>
  <c r="N177" i="1" l="1"/>
  <c r="B508" i="1"/>
  <c r="B317" i="1"/>
  <c r="D8" i="2"/>
  <c r="B255" i="1"/>
  <c r="B324" i="1"/>
  <c r="B684" i="1"/>
  <c r="B326" i="1"/>
  <c r="B329" i="1"/>
  <c r="B367" i="1"/>
  <c r="B628" i="1"/>
  <c r="B621" i="1"/>
  <c r="B689" i="1"/>
  <c r="B512" i="1"/>
  <c r="B292" i="1"/>
  <c r="B257" i="1"/>
  <c r="B687" i="1"/>
  <c r="B631" i="1"/>
  <c r="B619" i="1"/>
  <c r="B510" i="1"/>
  <c r="B351" i="1"/>
  <c r="B634" i="1"/>
  <c r="B357" i="1"/>
  <c r="D2" i="2"/>
  <c r="B256" i="1"/>
  <c r="B686" i="1"/>
  <c r="B629" i="1"/>
  <c r="B618" i="1"/>
  <c r="B509" i="1"/>
  <c r="B347" i="1"/>
  <c r="B627" i="1"/>
  <c r="B507" i="1"/>
  <c r="B366" i="1"/>
  <c r="B345" i="1"/>
  <c r="D1" i="2"/>
  <c r="B253" i="1"/>
  <c r="B680" i="1"/>
  <c r="B626" i="1"/>
  <c r="B516" i="1"/>
  <c r="B364" i="1"/>
  <c r="B337" i="1"/>
  <c r="B325" i="1"/>
  <c r="B681" i="1"/>
  <c r="B678" i="1"/>
  <c r="B515" i="1"/>
  <c r="B336" i="1"/>
  <c r="B691" i="1"/>
  <c r="B624" i="1"/>
  <c r="B514" i="1"/>
  <c r="B360" i="1"/>
  <c r="B335" i="1"/>
  <c r="B320" i="1"/>
  <c r="B346" i="1"/>
  <c r="B693" i="1"/>
  <c r="B625" i="1"/>
  <c r="B362" i="1"/>
  <c r="B690" i="1"/>
  <c r="B636" i="1"/>
  <c r="B622" i="1"/>
  <c r="B513" i="1"/>
  <c r="B359" i="1"/>
  <c r="B334" i="1"/>
  <c r="B333" i="1"/>
  <c r="B258" i="1"/>
  <c r="B688" i="1"/>
  <c r="B632" i="1"/>
  <c r="B620" i="1"/>
  <c r="B511" i="1"/>
  <c r="B353" i="1"/>
  <c r="B332" i="1"/>
  <c r="B299" i="1"/>
  <c r="B283" i="1"/>
  <c r="D102" i="2"/>
  <c r="B286" i="1"/>
  <c r="B288" i="1"/>
  <c r="B289" i="1"/>
  <c r="B290" i="1"/>
  <c r="B293" i="1"/>
  <c r="B1128" i="1"/>
  <c r="B291" i="1"/>
  <c r="B298" i="1"/>
  <c r="B297" i="1"/>
  <c r="B287" i="1"/>
  <c r="B296" i="1"/>
  <c r="B295" i="1"/>
  <c r="B285" i="1"/>
  <c r="B1038" i="1"/>
  <c r="B304" i="1"/>
  <c r="B294" i="1"/>
  <c r="B284" i="1"/>
  <c r="B302" i="1"/>
  <c r="B1070" i="1"/>
  <c r="B1141" i="1"/>
  <c r="B1118" i="1"/>
  <c r="B1121" i="1"/>
  <c r="B950" i="1"/>
  <c r="B1120" i="1"/>
  <c r="B870" i="1"/>
  <c r="B1108" i="1"/>
  <c r="B1078" i="1"/>
  <c r="B1160" i="1"/>
  <c r="B1068" i="1"/>
  <c r="B1158" i="1"/>
  <c r="B1110" i="1"/>
  <c r="B558" i="1"/>
  <c r="B1100" i="1"/>
  <c r="B1058" i="1"/>
  <c r="B960" i="1"/>
  <c r="B1088" i="1"/>
  <c r="B1040" i="1"/>
  <c r="B1000" i="1"/>
  <c r="D99" i="2"/>
  <c r="B259" i="1" s="1"/>
  <c r="B1080" i="1"/>
  <c r="B958" i="1"/>
  <c r="B878" i="1"/>
  <c r="B798" i="1"/>
  <c r="B750" i="1"/>
  <c r="B718" i="1"/>
  <c r="B650" i="1"/>
  <c r="B578" i="1"/>
  <c r="B500" i="1"/>
  <c r="B840" i="1"/>
  <c r="B790" i="1"/>
  <c r="B748" i="1"/>
  <c r="B710" i="1"/>
  <c r="B648" i="1"/>
  <c r="B610" i="1"/>
  <c r="B570" i="1"/>
  <c r="B490" i="1"/>
  <c r="B1030" i="1"/>
  <c r="B948" i="1"/>
  <c r="B868" i="1"/>
  <c r="B838" i="1"/>
  <c r="B788" i="1"/>
  <c r="B708" i="1"/>
  <c r="B608" i="1"/>
  <c r="B568" i="1"/>
  <c r="B480" i="1"/>
  <c r="B990" i="1"/>
  <c r="B860" i="1"/>
  <c r="B830" i="1"/>
  <c r="B740" i="1"/>
  <c r="B700" i="1"/>
  <c r="B640" i="1"/>
  <c r="B560" i="1"/>
  <c r="B470" i="1"/>
  <c r="B1098" i="1"/>
  <c r="B938" i="1"/>
  <c r="B858" i="1"/>
  <c r="B828" i="1"/>
  <c r="B738" i="1"/>
  <c r="B698" i="1"/>
  <c r="B638" i="1"/>
  <c r="P294" i="1"/>
  <c r="B314" i="1"/>
  <c r="B344" i="1"/>
  <c r="B354" i="1"/>
  <c r="B374" i="1"/>
  <c r="B384" i="1"/>
  <c r="B394" i="1"/>
  <c r="B404" i="1"/>
  <c r="B414" i="1"/>
  <c r="B424" i="1"/>
  <c r="B434" i="1"/>
  <c r="B454" i="1"/>
  <c r="B464" i="1"/>
  <c r="B474" i="1"/>
  <c r="B484" i="1"/>
  <c r="B494" i="1"/>
  <c r="B504" i="1"/>
  <c r="B524" i="1"/>
  <c r="B534" i="1"/>
  <c r="B544" i="1"/>
  <c r="B554" i="1"/>
  <c r="B564" i="1"/>
  <c r="B574" i="1"/>
  <c r="B584" i="1"/>
  <c r="B594" i="1"/>
  <c r="B614" i="1"/>
  <c r="B644" i="1"/>
  <c r="B654" i="1"/>
  <c r="B664" i="1"/>
  <c r="B674" i="1"/>
  <c r="B694" i="1"/>
  <c r="B704" i="1"/>
  <c r="B714" i="1"/>
  <c r="B734" i="1"/>
  <c r="B744" i="1"/>
  <c r="B754" i="1"/>
  <c r="B764" i="1"/>
  <c r="B774" i="1"/>
  <c r="B794" i="1"/>
  <c r="B804" i="1"/>
  <c r="B814" i="1"/>
  <c r="B824" i="1"/>
  <c r="B834" i="1"/>
  <c r="B844" i="1"/>
  <c r="B854" i="1"/>
  <c r="B864" i="1"/>
  <c r="B874" i="1"/>
  <c r="B884" i="1"/>
  <c r="B924" i="1"/>
  <c r="B934" i="1"/>
  <c r="B944" i="1"/>
  <c r="B954" i="1"/>
  <c r="B964" i="1"/>
  <c r="B974" i="1"/>
  <c r="B984" i="1"/>
  <c r="B994" i="1"/>
  <c r="B1004" i="1"/>
  <c r="B1024" i="1"/>
  <c r="B1034" i="1"/>
  <c r="B1074" i="1"/>
  <c r="B1104" i="1"/>
  <c r="B1134" i="1"/>
  <c r="B1065" i="1"/>
  <c r="B1105" i="1"/>
  <c r="B1155" i="1"/>
  <c r="B538" i="1"/>
  <c r="B315" i="1"/>
  <c r="B355" i="1"/>
  <c r="B365" i="1"/>
  <c r="B375" i="1"/>
  <c r="B385" i="1"/>
  <c r="B395" i="1"/>
  <c r="B405" i="1"/>
  <c r="B415" i="1"/>
  <c r="B425" i="1"/>
  <c r="B435" i="1"/>
  <c r="B455" i="1"/>
  <c r="B465" i="1"/>
  <c r="B475" i="1"/>
  <c r="B485" i="1"/>
  <c r="B495" i="1"/>
  <c r="B505" i="1"/>
  <c r="B525" i="1"/>
  <c r="B535" i="1"/>
  <c r="B545" i="1"/>
  <c r="B555" i="1"/>
  <c r="B565" i="1"/>
  <c r="B575" i="1"/>
  <c r="B585" i="1"/>
  <c r="B595" i="1"/>
  <c r="B615" i="1"/>
  <c r="B635" i="1"/>
  <c r="B645" i="1"/>
  <c r="B655" i="1"/>
  <c r="B665" i="1"/>
  <c r="B675" i="1"/>
  <c r="B685" i="1"/>
  <c r="B695" i="1"/>
  <c r="B705" i="1"/>
  <c r="B715" i="1"/>
  <c r="B735" i="1"/>
  <c r="B745" i="1"/>
  <c r="B755" i="1"/>
  <c r="B765" i="1"/>
  <c r="B775" i="1"/>
  <c r="B785" i="1"/>
  <c r="B795" i="1"/>
  <c r="B805" i="1"/>
  <c r="B815" i="1"/>
  <c r="B825" i="1"/>
  <c r="B835" i="1"/>
  <c r="B845" i="1"/>
  <c r="B855" i="1"/>
  <c r="B865" i="1"/>
  <c r="B875" i="1"/>
  <c r="B885" i="1"/>
  <c r="B925" i="1"/>
  <c r="B945" i="1"/>
  <c r="B955" i="1"/>
  <c r="B965" i="1"/>
  <c r="B975" i="1"/>
  <c r="B985" i="1"/>
  <c r="B995" i="1"/>
  <c r="B1005" i="1"/>
  <c r="B1035" i="1"/>
  <c r="B1045" i="1"/>
  <c r="B1055" i="1"/>
  <c r="B1075" i="1"/>
  <c r="B1115" i="1"/>
  <c r="B247" i="1"/>
  <c r="B316" i="1"/>
  <c r="B356" i="1"/>
  <c r="B376" i="1"/>
  <c r="B386" i="1"/>
  <c r="B396" i="1"/>
  <c r="B406" i="1"/>
  <c r="B416" i="1"/>
  <c r="B426" i="1"/>
  <c r="B436" i="1"/>
  <c r="B456" i="1"/>
  <c r="B466" i="1"/>
  <c r="B476" i="1"/>
  <c r="B486" i="1"/>
  <c r="B496" i="1"/>
  <c r="B506" i="1"/>
  <c r="B526" i="1"/>
  <c r="B536" i="1"/>
  <c r="B546" i="1"/>
  <c r="B556" i="1"/>
  <c r="B566" i="1"/>
  <c r="B576" i="1"/>
  <c r="B586" i="1"/>
  <c r="B596" i="1"/>
  <c r="B606" i="1"/>
  <c r="B616" i="1"/>
  <c r="B646" i="1"/>
  <c r="B656" i="1"/>
  <c r="B666" i="1"/>
  <c r="B676" i="1"/>
  <c r="B696" i="1"/>
  <c r="B706" i="1"/>
  <c r="B716" i="1"/>
  <c r="B726" i="1"/>
  <c r="B736" i="1"/>
  <c r="B746" i="1"/>
  <c r="B756" i="1"/>
  <c r="B766" i="1"/>
  <c r="B776" i="1"/>
  <c r="B786" i="1"/>
  <c r="B796" i="1"/>
  <c r="B806" i="1"/>
  <c r="B816" i="1"/>
  <c r="B826" i="1"/>
  <c r="B836" i="1"/>
  <c r="B846" i="1"/>
  <c r="B856" i="1"/>
  <c r="B866" i="1"/>
  <c r="B876" i="1"/>
  <c r="B886" i="1"/>
  <c r="B926" i="1"/>
  <c r="B936" i="1"/>
  <c r="B946" i="1"/>
  <c r="B956" i="1"/>
  <c r="B966" i="1"/>
  <c r="B976" i="1"/>
  <c r="B986" i="1"/>
  <c r="B996" i="1"/>
  <c r="B1006" i="1"/>
  <c r="B1016" i="1"/>
  <c r="B1036" i="1"/>
  <c r="B1046" i="1"/>
  <c r="B1056" i="1"/>
  <c r="B1066" i="1"/>
  <c r="B1076" i="1"/>
  <c r="B1086" i="1"/>
  <c r="B1096" i="1"/>
  <c r="B1106" i="1"/>
  <c r="B1116" i="1"/>
  <c r="B1126" i="1"/>
  <c r="B1136" i="1"/>
  <c r="B1146" i="1"/>
  <c r="B1156" i="1"/>
  <c r="B348" i="1"/>
  <c r="B368" i="1"/>
  <c r="B388" i="1"/>
  <c r="B408" i="1"/>
  <c r="B428" i="1"/>
  <c r="B458" i="1"/>
  <c r="B478" i="1"/>
  <c r="B498" i="1"/>
  <c r="B528" i="1"/>
  <c r="B327" i="1"/>
  <c r="B377" i="1"/>
  <c r="B387" i="1"/>
  <c r="B397" i="1"/>
  <c r="B407" i="1"/>
  <c r="B417" i="1"/>
  <c r="B427" i="1"/>
  <c r="B437" i="1"/>
  <c r="B457" i="1"/>
  <c r="B467" i="1"/>
  <c r="B477" i="1"/>
  <c r="B487" i="1"/>
  <c r="B497" i="1"/>
  <c r="B517" i="1"/>
  <c r="B527" i="1"/>
  <c r="B537" i="1"/>
  <c r="B547" i="1"/>
  <c r="B557" i="1"/>
  <c r="B567" i="1"/>
  <c r="B577" i="1"/>
  <c r="B587" i="1"/>
  <c r="B597" i="1"/>
  <c r="B607" i="1"/>
  <c r="B617" i="1"/>
  <c r="B637" i="1"/>
  <c r="B647" i="1"/>
  <c r="B657" i="1"/>
  <c r="B667" i="1"/>
  <c r="B677" i="1"/>
  <c r="B697" i="1"/>
  <c r="B707" i="1"/>
  <c r="B717" i="1"/>
  <c r="B727" i="1"/>
  <c r="B737" i="1"/>
  <c r="B757" i="1"/>
  <c r="B787" i="1"/>
  <c r="B797" i="1"/>
  <c r="B807" i="1"/>
  <c r="B817" i="1"/>
  <c r="B827" i="1"/>
  <c r="B837" i="1"/>
  <c r="B847" i="1"/>
  <c r="B857" i="1"/>
  <c r="B867" i="1"/>
  <c r="B877" i="1"/>
  <c r="B887" i="1"/>
  <c r="B927" i="1"/>
  <c r="B937" i="1"/>
  <c r="B947" i="1"/>
  <c r="B957" i="1"/>
  <c r="B967" i="1"/>
  <c r="B977" i="1"/>
  <c r="B987" i="1"/>
  <c r="B997" i="1"/>
  <c r="B1007" i="1"/>
  <c r="B1037" i="1"/>
  <c r="B1047" i="1"/>
  <c r="B1057" i="1"/>
  <c r="B1067" i="1"/>
  <c r="B1077" i="1"/>
  <c r="B1087" i="1"/>
  <c r="B1097" i="1"/>
  <c r="B1107" i="1"/>
  <c r="B1117" i="1"/>
  <c r="B1127" i="1"/>
  <c r="B1137" i="1"/>
  <c r="B1147" i="1"/>
  <c r="B1157" i="1"/>
  <c r="B318" i="1"/>
  <c r="B328" i="1"/>
  <c r="B338" i="1"/>
  <c r="B358" i="1"/>
  <c r="B378" i="1"/>
  <c r="B398" i="1"/>
  <c r="B418" i="1"/>
  <c r="B438" i="1"/>
  <c r="B448" i="1"/>
  <c r="B468" i="1"/>
  <c r="B488" i="1"/>
  <c r="B518" i="1"/>
  <c r="P289" i="1"/>
  <c r="B339" i="1"/>
  <c r="B349" i="1"/>
  <c r="B369" i="1"/>
  <c r="B379" i="1"/>
  <c r="B389" i="1"/>
  <c r="B399" i="1"/>
  <c r="B409" i="1"/>
  <c r="B419" i="1"/>
  <c r="B429" i="1"/>
  <c r="B439" i="1"/>
  <c r="B449" i="1"/>
  <c r="B459" i="1"/>
  <c r="B479" i="1"/>
  <c r="B489" i="1"/>
  <c r="B499" i="1"/>
  <c r="B519" i="1"/>
  <c r="B529" i="1"/>
  <c r="B539" i="1"/>
  <c r="B549" i="1"/>
  <c r="B559" i="1"/>
  <c r="B569" i="1"/>
  <c r="B579" i="1"/>
  <c r="B589" i="1"/>
  <c r="B599" i="1"/>
  <c r="B609" i="1"/>
  <c r="B639" i="1"/>
  <c r="B649" i="1"/>
  <c r="B659" i="1"/>
  <c r="B669" i="1"/>
  <c r="B679" i="1"/>
  <c r="B699" i="1"/>
  <c r="B709" i="1"/>
  <c r="B719" i="1"/>
  <c r="B729" i="1"/>
  <c r="B739" i="1"/>
  <c r="B749" i="1"/>
  <c r="B759" i="1"/>
  <c r="B789" i="1"/>
  <c r="B799" i="1"/>
  <c r="B809" i="1"/>
  <c r="B819" i="1"/>
  <c r="B829" i="1"/>
  <c r="B839" i="1"/>
  <c r="B849" i="1"/>
  <c r="B859" i="1"/>
  <c r="B869" i="1"/>
  <c r="B879" i="1"/>
  <c r="B889" i="1"/>
  <c r="B929" i="1"/>
  <c r="B939" i="1"/>
  <c r="B949" i="1"/>
  <c r="B959" i="1"/>
  <c r="B969" i="1"/>
  <c r="B979" i="1"/>
  <c r="B989" i="1"/>
  <c r="B999" i="1"/>
  <c r="B1029" i="1"/>
  <c r="B1039" i="1"/>
  <c r="B1049" i="1"/>
  <c r="B1059" i="1"/>
  <c r="B1069" i="1"/>
  <c r="B1079" i="1"/>
  <c r="B1089" i="1"/>
  <c r="B1099" i="1"/>
  <c r="B1109" i="1"/>
  <c r="B1119" i="1"/>
  <c r="B1129" i="1"/>
  <c r="B1149" i="1"/>
  <c r="B1159" i="1"/>
  <c r="B261" i="1"/>
  <c r="D100" i="2"/>
  <c r="B260" i="1" s="1"/>
  <c r="B340" i="1"/>
  <c r="B350" i="1"/>
  <c r="B370" i="1"/>
  <c r="B380" i="1"/>
  <c r="B390" i="1"/>
  <c r="B400" i="1"/>
  <c r="B410" i="1"/>
  <c r="B420" i="1"/>
  <c r="B430" i="1"/>
  <c r="B440" i="1"/>
  <c r="B450" i="1"/>
  <c r="B460" i="1"/>
  <c r="B321" i="1"/>
  <c r="B341" i="1"/>
  <c r="B361" i="1"/>
  <c r="B371" i="1"/>
  <c r="B381" i="1"/>
  <c r="B391" i="1"/>
  <c r="B401" i="1"/>
  <c r="B411" i="1"/>
  <c r="B421" i="1"/>
  <c r="B431" i="1"/>
  <c r="B441" i="1"/>
  <c r="B451" i="1"/>
  <c r="B471" i="1"/>
  <c r="B481" i="1"/>
  <c r="B491" i="1"/>
  <c r="B501" i="1"/>
  <c r="B521" i="1"/>
  <c r="B531" i="1"/>
  <c r="B541" i="1"/>
  <c r="B551" i="1"/>
  <c r="B561" i="1"/>
  <c r="B571" i="1"/>
  <c r="B581" i="1"/>
  <c r="B591" i="1"/>
  <c r="B601" i="1"/>
  <c r="B611" i="1"/>
  <c r="B641" i="1"/>
  <c r="B651" i="1"/>
  <c r="B661" i="1"/>
  <c r="B671" i="1"/>
  <c r="B701" i="1"/>
  <c r="B711" i="1"/>
  <c r="B721" i="1"/>
  <c r="B731" i="1"/>
  <c r="B741" i="1"/>
  <c r="B751" i="1"/>
  <c r="B791" i="1"/>
  <c r="B801" i="1"/>
  <c r="B811" i="1"/>
  <c r="B821" i="1"/>
  <c r="B831" i="1"/>
  <c r="B841" i="1"/>
  <c r="B861" i="1"/>
  <c r="B871" i="1"/>
  <c r="B881" i="1"/>
  <c r="B891" i="1"/>
  <c r="B921" i="1"/>
  <c r="B931" i="1"/>
  <c r="B941" i="1"/>
  <c r="B951" i="1"/>
  <c r="B961" i="1"/>
  <c r="B971" i="1"/>
  <c r="B981" i="1"/>
  <c r="B991" i="1"/>
  <c r="B1011" i="1"/>
  <c r="B1021" i="1"/>
  <c r="B1031" i="1"/>
  <c r="B1041" i="1"/>
  <c r="B1051" i="1"/>
  <c r="B1071" i="1"/>
  <c r="B1081" i="1"/>
  <c r="B1091" i="1"/>
  <c r="B1101" i="1"/>
  <c r="B1111" i="1"/>
  <c r="C302" i="1"/>
  <c r="B322" i="1"/>
  <c r="B342" i="1"/>
  <c r="B352" i="1"/>
  <c r="B372" i="1"/>
  <c r="B382" i="1"/>
  <c r="B392" i="1"/>
  <c r="B402" i="1"/>
  <c r="B412" i="1"/>
  <c r="B422" i="1"/>
  <c r="B432" i="1"/>
  <c r="B442" i="1"/>
  <c r="B462" i="1"/>
  <c r="B472" i="1"/>
  <c r="B482" i="1"/>
  <c r="B492" i="1"/>
  <c r="B502" i="1"/>
  <c r="B522" i="1"/>
  <c r="B532" i="1"/>
  <c r="B542" i="1"/>
  <c r="B552" i="1"/>
  <c r="B562" i="1"/>
  <c r="B572" i="1"/>
  <c r="B582" i="1"/>
  <c r="B592" i="1"/>
  <c r="B602" i="1"/>
  <c r="B612" i="1"/>
  <c r="B652" i="1"/>
  <c r="B662" i="1"/>
  <c r="B672" i="1"/>
  <c r="B682" i="1"/>
  <c r="B692" i="1"/>
  <c r="B702" i="1"/>
  <c r="B712" i="1"/>
  <c r="B722" i="1"/>
  <c r="B732" i="1"/>
  <c r="B742" i="1"/>
  <c r="B752" i="1"/>
  <c r="B762" i="1"/>
  <c r="B792" i="1"/>
  <c r="B802" i="1"/>
  <c r="B812" i="1"/>
  <c r="B822" i="1"/>
  <c r="B832" i="1"/>
  <c r="B862" i="1"/>
  <c r="B872" i="1"/>
  <c r="B882" i="1"/>
  <c r="B922" i="1"/>
  <c r="B932" i="1"/>
  <c r="B942" i="1"/>
  <c r="B952" i="1"/>
  <c r="B962" i="1"/>
  <c r="B972" i="1"/>
  <c r="B982" i="1"/>
  <c r="B992" i="1"/>
  <c r="B1022" i="1"/>
  <c r="B1032" i="1"/>
  <c r="B1042" i="1"/>
  <c r="B1052" i="1"/>
  <c r="B1072" i="1"/>
  <c r="B1082" i="1"/>
  <c r="B1092" i="1"/>
  <c r="B1102" i="1"/>
  <c r="B1122" i="1"/>
  <c r="B843" i="1"/>
  <c r="B873" i="1"/>
  <c r="B923" i="1"/>
  <c r="B943" i="1"/>
  <c r="B963" i="1"/>
  <c r="B983" i="1"/>
  <c r="B1023" i="1"/>
  <c r="B1053" i="1"/>
  <c r="B1083" i="1"/>
  <c r="B1103" i="1"/>
  <c r="B1123" i="1"/>
  <c r="B1054" i="1"/>
  <c r="B1094" i="1"/>
  <c r="B1124" i="1"/>
  <c r="B1095" i="1"/>
  <c r="B1145" i="1"/>
  <c r="B323" i="1"/>
  <c r="B343" i="1"/>
  <c r="B363" i="1"/>
  <c r="B373" i="1"/>
  <c r="B383" i="1"/>
  <c r="B393" i="1"/>
  <c r="B403" i="1"/>
  <c r="B413" i="1"/>
  <c r="B423" i="1"/>
  <c r="B433" i="1"/>
  <c r="B443" i="1"/>
  <c r="B463" i="1"/>
  <c r="B473" i="1"/>
  <c r="B483" i="1"/>
  <c r="B493" i="1"/>
  <c r="B503" i="1"/>
  <c r="B523" i="1"/>
  <c r="B533" i="1"/>
  <c r="B543" i="1"/>
  <c r="B553" i="1"/>
  <c r="B563" i="1"/>
  <c r="B573" i="1"/>
  <c r="B583" i="1"/>
  <c r="B593" i="1"/>
  <c r="B603" i="1"/>
  <c r="B613" i="1"/>
  <c r="B623" i="1"/>
  <c r="B633" i="1"/>
  <c r="B643" i="1"/>
  <c r="B653" i="1"/>
  <c r="B663" i="1"/>
  <c r="B673" i="1"/>
  <c r="B683" i="1"/>
  <c r="B703" i="1"/>
  <c r="B713" i="1"/>
  <c r="B723" i="1"/>
  <c r="B733" i="1"/>
  <c r="B743" i="1"/>
  <c r="B753" i="1"/>
  <c r="B763" i="1"/>
  <c r="B783" i="1"/>
  <c r="B793" i="1"/>
  <c r="B803" i="1"/>
  <c r="B813" i="1"/>
  <c r="B823" i="1"/>
  <c r="B833" i="1"/>
  <c r="B863" i="1"/>
  <c r="B883" i="1"/>
  <c r="B933" i="1"/>
  <c r="B953" i="1"/>
  <c r="B973" i="1"/>
  <c r="B993" i="1"/>
  <c r="B1043" i="1"/>
  <c r="B1073" i="1"/>
  <c r="B1093" i="1"/>
  <c r="B1113" i="1"/>
  <c r="B1133" i="1"/>
  <c r="B1044" i="1"/>
  <c r="B1084" i="1"/>
  <c r="B1114" i="1"/>
  <c r="B1144" i="1"/>
  <c r="B1085" i="1"/>
  <c r="B1125" i="1"/>
  <c r="B988" i="1"/>
  <c r="B1090" i="1"/>
  <c r="B1060" i="1"/>
  <c r="B980" i="1"/>
  <c r="B820" i="1"/>
  <c r="B730" i="1"/>
  <c r="B600" i="1"/>
  <c r="B550" i="1"/>
  <c r="B978" i="1"/>
  <c r="B930" i="1"/>
  <c r="B818" i="1"/>
  <c r="B780" i="1"/>
  <c r="B728" i="1"/>
  <c r="B670" i="1"/>
  <c r="B598" i="1"/>
  <c r="B548" i="1"/>
  <c r="B1050" i="1"/>
  <c r="B1020" i="1"/>
  <c r="B970" i="1"/>
  <c r="B928" i="1"/>
  <c r="B890" i="1"/>
  <c r="B810" i="1"/>
  <c r="B668" i="1"/>
  <c r="B590" i="1"/>
  <c r="B540" i="1"/>
  <c r="B1048" i="1"/>
  <c r="B968" i="1"/>
  <c r="B888" i="1"/>
  <c r="B808" i="1"/>
  <c r="B778" i="1"/>
  <c r="B760" i="1"/>
  <c r="B660" i="1"/>
  <c r="B588" i="1"/>
  <c r="B530" i="1"/>
  <c r="B880" i="1"/>
  <c r="B848" i="1"/>
  <c r="B800" i="1"/>
  <c r="B758" i="1"/>
  <c r="B720" i="1"/>
  <c r="B658" i="1"/>
  <c r="B630" i="1"/>
  <c r="B580" i="1"/>
  <c r="B520" i="1"/>
  <c r="P177" i="1"/>
  <c r="N178" i="1" l="1"/>
  <c r="N179" i="1" s="1"/>
  <c r="P299" i="1"/>
  <c r="P1581" i="1"/>
  <c r="P1562" i="1"/>
  <c r="P2021" i="1"/>
  <c r="P2078" i="1"/>
  <c r="P1288" i="1"/>
  <c r="P1029" i="1"/>
  <c r="P1016" i="1"/>
  <c r="P247" i="1"/>
  <c r="P1884" i="1"/>
  <c r="P1854" i="1"/>
  <c r="P2080" i="1"/>
  <c r="P2077" i="1"/>
  <c r="P2072" i="1"/>
  <c r="P2069" i="1"/>
  <c r="P2064" i="1"/>
  <c r="P2060" i="1"/>
  <c r="P2047" i="1"/>
  <c r="P2043" i="1"/>
  <c r="P2038" i="1"/>
  <c r="P2034" i="1"/>
  <c r="P2031" i="1"/>
  <c r="P2026" i="1"/>
  <c r="P2017" i="1"/>
  <c r="P2013" i="1"/>
  <c r="P2008" i="1"/>
  <c r="P2003" i="1"/>
  <c r="P1998" i="1"/>
  <c r="P1993" i="1"/>
  <c r="P1988" i="1"/>
  <c r="P1983" i="1"/>
  <c r="P1973" i="1"/>
  <c r="P1968" i="1"/>
  <c r="P1963" i="1"/>
  <c r="P1958" i="1"/>
  <c r="P1948" i="1"/>
  <c r="P1943" i="1"/>
  <c r="P1938" i="1"/>
  <c r="P1933" i="1"/>
  <c r="P1928" i="1"/>
  <c r="P2081" i="1"/>
  <c r="P2079" i="1"/>
  <c r="P2076" i="1"/>
  <c r="P2068" i="1"/>
  <c r="P2063" i="1"/>
  <c r="P2059" i="1"/>
  <c r="P2055" i="1"/>
  <c r="P2051" i="1"/>
  <c r="P2042" i="1"/>
  <c r="P2016" i="1"/>
  <c r="P2012" i="1"/>
  <c r="P2007" i="1"/>
  <c r="P2002" i="1"/>
  <c r="P1997" i="1"/>
  <c r="P1992" i="1"/>
  <c r="P1987" i="1"/>
  <c r="P1982" i="1"/>
  <c r="P1977" i="1"/>
  <c r="P1972" i="1"/>
  <c r="P1967" i="1"/>
  <c r="P1962" i="1"/>
  <c r="P1957" i="1"/>
  <c r="P1947" i="1"/>
  <c r="P1942" i="1"/>
  <c r="P1937" i="1"/>
  <c r="P1932" i="1"/>
  <c r="P1927" i="1"/>
  <c r="P1922" i="1"/>
  <c r="P1912" i="1"/>
  <c r="P1907" i="1"/>
  <c r="P1902" i="1"/>
  <c r="P2075" i="1"/>
  <c r="P2071" i="1"/>
  <c r="P2067" i="1"/>
  <c r="P2058" i="1"/>
  <c r="P2054" i="1"/>
  <c r="P2050" i="1"/>
  <c r="P2046" i="1"/>
  <c r="P2041" i="1"/>
  <c r="P2037" i="1"/>
  <c r="P2029" i="1"/>
  <c r="P2024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11" i="1"/>
  <c r="P1906" i="1"/>
  <c r="P1901" i="1"/>
  <c r="P1896" i="1"/>
  <c r="P1891" i="1"/>
  <c r="P1886" i="1"/>
  <c r="P1881" i="1"/>
  <c r="P1876" i="1"/>
  <c r="P1871" i="1"/>
  <c r="P1866" i="1"/>
  <c r="P1861" i="1"/>
  <c r="P1856" i="1"/>
  <c r="P1851" i="1"/>
  <c r="P1846" i="1"/>
  <c r="P1841" i="1"/>
  <c r="P1836" i="1"/>
  <c r="P1831" i="1"/>
  <c r="P1826" i="1"/>
  <c r="P1821" i="1"/>
  <c r="P1816" i="1"/>
  <c r="P1811" i="1"/>
  <c r="P1806" i="1"/>
  <c r="P1801" i="1"/>
  <c r="P1796" i="1"/>
  <c r="P1791" i="1"/>
  <c r="P1786" i="1"/>
  <c r="P1781" i="1"/>
  <c r="P1776" i="1"/>
  <c r="P1771" i="1"/>
  <c r="P1766" i="1"/>
  <c r="P1761" i="1"/>
  <c r="P1756" i="1"/>
  <c r="P1751" i="1"/>
  <c r="P1746" i="1"/>
  <c r="P1741" i="1"/>
  <c r="P1736" i="1"/>
  <c r="P1731" i="1"/>
  <c r="P1726" i="1"/>
  <c r="P1721" i="1"/>
  <c r="P1716" i="1"/>
  <c r="P1711" i="1"/>
  <c r="P1706" i="1"/>
  <c r="P1701" i="1"/>
  <c r="P1696" i="1"/>
  <c r="P1691" i="1"/>
  <c r="P1686" i="1"/>
  <c r="P1681" i="1"/>
  <c r="P1676" i="1"/>
  <c r="P2074" i="1"/>
  <c r="P2070" i="1"/>
  <c r="P2066" i="1"/>
  <c r="P2062" i="1"/>
  <c r="P2057" i="1"/>
  <c r="P2053" i="1"/>
  <c r="P2049" i="1"/>
  <c r="P2045" i="1"/>
  <c r="P2040" i="1"/>
  <c r="P2036" i="1"/>
  <c r="P2033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2073" i="1"/>
  <c r="P2065" i="1"/>
  <c r="P2061" i="1"/>
  <c r="P2056" i="1"/>
  <c r="P2052" i="1"/>
  <c r="P2048" i="1"/>
  <c r="P2044" i="1"/>
  <c r="P2039" i="1"/>
  <c r="P2035" i="1"/>
  <c r="P2032" i="1"/>
  <c r="P2027" i="1"/>
  <c r="P2022" i="1"/>
  <c r="P2014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1914" i="1"/>
  <c r="P1904" i="1"/>
  <c r="P1899" i="1"/>
  <c r="P1894" i="1"/>
  <c r="P1889" i="1"/>
  <c r="P1879" i="1"/>
  <c r="P1874" i="1"/>
  <c r="P1869" i="1"/>
  <c r="P1864" i="1"/>
  <c r="P1859" i="1"/>
  <c r="P1910" i="1"/>
  <c r="P1898" i="1"/>
  <c r="P1888" i="1"/>
  <c r="P1882" i="1"/>
  <c r="P1865" i="1"/>
  <c r="P1855" i="1"/>
  <c r="P1849" i="1"/>
  <c r="P1834" i="1"/>
  <c r="P1828" i="1"/>
  <c r="P1815" i="1"/>
  <c r="P1804" i="1"/>
  <c r="P1798" i="1"/>
  <c r="P1785" i="1"/>
  <c r="P1779" i="1"/>
  <c r="P1773" i="1"/>
  <c r="P1760" i="1"/>
  <c r="P1754" i="1"/>
  <c r="P1748" i="1"/>
  <c r="P1735" i="1"/>
  <c r="P1729" i="1"/>
  <c r="P1723" i="1"/>
  <c r="P1710" i="1"/>
  <c r="P1704" i="1"/>
  <c r="P1698" i="1"/>
  <c r="P1685" i="1"/>
  <c r="P1679" i="1"/>
  <c r="P1673" i="1"/>
  <c r="P1667" i="1"/>
  <c r="P1656" i="1"/>
  <c r="P1645" i="1"/>
  <c r="P1634" i="1"/>
  <c r="P1629" i="1"/>
  <c r="P1624" i="1"/>
  <c r="P1619" i="1"/>
  <c r="P1614" i="1"/>
  <c r="P1609" i="1"/>
  <c r="P1604" i="1"/>
  <c r="P1599" i="1"/>
  <c r="P1594" i="1"/>
  <c r="P1589" i="1"/>
  <c r="P1584" i="1"/>
  <c r="P1887" i="1"/>
  <c r="P1873" i="1"/>
  <c r="P1827" i="1"/>
  <c r="P1809" i="1"/>
  <c r="P1797" i="1"/>
  <c r="P1908" i="1"/>
  <c r="P1872" i="1"/>
  <c r="P1863" i="1"/>
  <c r="P1848" i="1"/>
  <c r="P1840" i="1"/>
  <c r="P1833" i="1"/>
  <c r="P1820" i="1"/>
  <c r="P1814" i="1"/>
  <c r="P1803" i="1"/>
  <c r="P1790" i="1"/>
  <c r="P1784" i="1"/>
  <c r="P1778" i="1"/>
  <c r="P1765" i="1"/>
  <c r="P1759" i="1"/>
  <c r="P1753" i="1"/>
  <c r="P1740" i="1"/>
  <c r="P1734" i="1"/>
  <c r="P1728" i="1"/>
  <c r="P1715" i="1"/>
  <c r="P1709" i="1"/>
  <c r="P1703" i="1"/>
  <c r="P1690" i="1"/>
  <c r="P1684" i="1"/>
  <c r="P1678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895" i="1"/>
  <c r="P1880" i="1"/>
  <c r="P1862" i="1"/>
  <c r="P1853" i="1"/>
  <c r="P1847" i="1"/>
  <c r="P1839" i="1"/>
  <c r="P1832" i="1"/>
  <c r="P1808" i="1"/>
  <c r="P1802" i="1"/>
  <c r="P1777" i="1"/>
  <c r="P1752" i="1"/>
  <c r="P1727" i="1"/>
  <c r="P1702" i="1"/>
  <c r="P1677" i="1"/>
  <c r="P1671" i="1"/>
  <c r="P1660" i="1"/>
  <c r="P1649" i="1"/>
  <c r="P1638" i="1"/>
  <c r="P1905" i="1"/>
  <c r="P1885" i="1"/>
  <c r="P1870" i="1"/>
  <c r="P1825" i="1"/>
  <c r="P1819" i="1"/>
  <c r="P1813" i="1"/>
  <c r="P1795" i="1"/>
  <c r="P1789" i="1"/>
  <c r="P1783" i="1"/>
  <c r="P1770" i="1"/>
  <c r="P1764" i="1"/>
  <c r="P1758" i="1"/>
  <c r="P1745" i="1"/>
  <c r="P1739" i="1"/>
  <c r="P1733" i="1"/>
  <c r="P1720" i="1"/>
  <c r="P1714" i="1"/>
  <c r="P1708" i="1"/>
  <c r="P1695" i="1"/>
  <c r="P1689" i="1"/>
  <c r="P1683" i="1"/>
  <c r="P1665" i="1"/>
  <c r="P1654" i="1"/>
  <c r="P1643" i="1"/>
  <c r="P1637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57" i="1"/>
  <c r="P1552" i="1"/>
  <c r="P1547" i="1"/>
  <c r="P1542" i="1"/>
  <c r="P1537" i="1"/>
  <c r="P1532" i="1"/>
  <c r="P1527" i="1"/>
  <c r="P1522" i="1"/>
  <c r="P1517" i="1"/>
  <c r="P1893" i="1"/>
  <c r="P1860" i="1"/>
  <c r="P1852" i="1"/>
  <c r="P1845" i="1"/>
  <c r="P1838" i="1"/>
  <c r="P1807" i="1"/>
  <c r="P1782" i="1"/>
  <c r="P1757" i="1"/>
  <c r="P1732" i="1"/>
  <c r="P1707" i="1"/>
  <c r="P1682" i="1"/>
  <c r="P1670" i="1"/>
  <c r="P1659" i="1"/>
  <c r="P1648" i="1"/>
  <c r="P1642" i="1"/>
  <c r="P1903" i="1"/>
  <c r="P1892" i="1"/>
  <c r="P1878" i="1"/>
  <c r="P1868" i="1"/>
  <c r="P1844" i="1"/>
  <c r="P1837" i="1"/>
  <c r="P1830" i="1"/>
  <c r="P1824" i="1"/>
  <c r="P1818" i="1"/>
  <c r="P1812" i="1"/>
  <c r="P1800" i="1"/>
  <c r="P1794" i="1"/>
  <c r="P1788" i="1"/>
  <c r="P1775" i="1"/>
  <c r="P1769" i="1"/>
  <c r="P1763" i="1"/>
  <c r="P1750" i="1"/>
  <c r="P1744" i="1"/>
  <c r="P1738" i="1"/>
  <c r="P1725" i="1"/>
  <c r="P1719" i="1"/>
  <c r="P1713" i="1"/>
  <c r="P1700" i="1"/>
  <c r="P1694" i="1"/>
  <c r="P1688" i="1"/>
  <c r="P1675" i="1"/>
  <c r="P1664" i="1"/>
  <c r="P1653" i="1"/>
  <c r="P1647" i="1"/>
  <c r="P1636" i="1"/>
  <c r="P1631" i="1"/>
  <c r="P1626" i="1"/>
  <c r="P1621" i="1"/>
  <c r="P1616" i="1"/>
  <c r="P1611" i="1"/>
  <c r="P1606" i="1"/>
  <c r="P1915" i="1"/>
  <c r="P1877" i="1"/>
  <c r="P1858" i="1"/>
  <c r="P1817" i="1"/>
  <c r="P1787" i="1"/>
  <c r="P1762" i="1"/>
  <c r="P1737" i="1"/>
  <c r="P1712" i="1"/>
  <c r="P1687" i="1"/>
  <c r="P1669" i="1"/>
  <c r="P1658" i="1"/>
  <c r="P1652" i="1"/>
  <c r="P1641" i="1"/>
  <c r="P1900" i="1"/>
  <c r="P1890" i="1"/>
  <c r="P1883" i="1"/>
  <c r="P1867" i="1"/>
  <c r="P1857" i="1"/>
  <c r="P1850" i="1"/>
  <c r="P1843" i="1"/>
  <c r="P1829" i="1"/>
  <c r="P1823" i="1"/>
  <c r="P1805" i="1"/>
  <c r="P1799" i="1"/>
  <c r="P1793" i="1"/>
  <c r="P1780" i="1"/>
  <c r="P1774" i="1"/>
  <c r="P1768" i="1"/>
  <c r="P1755" i="1"/>
  <c r="P1749" i="1"/>
  <c r="P1743" i="1"/>
  <c r="P1730" i="1"/>
  <c r="P1724" i="1"/>
  <c r="P1718" i="1"/>
  <c r="P1705" i="1"/>
  <c r="P1699" i="1"/>
  <c r="P1693" i="1"/>
  <c r="P1680" i="1"/>
  <c r="P1674" i="1"/>
  <c r="P1663" i="1"/>
  <c r="P1657" i="1"/>
  <c r="P1646" i="1"/>
  <c r="P1635" i="1"/>
  <c r="P1630" i="1"/>
  <c r="P1625" i="1"/>
  <c r="P1620" i="1"/>
  <c r="P1615" i="1"/>
  <c r="P1610" i="1"/>
  <c r="P1913" i="1"/>
  <c r="P1875" i="1"/>
  <c r="P1842" i="1"/>
  <c r="P1835" i="1"/>
  <c r="P1822" i="1"/>
  <c r="P1810" i="1"/>
  <c r="P1792" i="1"/>
  <c r="P1767" i="1"/>
  <c r="P1697" i="1"/>
  <c r="P1639" i="1"/>
  <c r="P1571" i="1"/>
  <c r="P1556" i="1"/>
  <c r="P1550" i="1"/>
  <c r="P1544" i="1"/>
  <c r="P1533" i="1"/>
  <c r="P1520" i="1"/>
  <c r="P1513" i="1"/>
  <c r="P1506" i="1"/>
  <c r="P1499" i="1"/>
  <c r="P1473" i="1"/>
  <c r="P1468" i="1"/>
  <c r="P1460" i="1"/>
  <c r="P1446" i="1"/>
  <c r="P1439" i="1"/>
  <c r="P1433" i="1"/>
  <c r="P1420" i="1"/>
  <c r="P1414" i="1"/>
  <c r="P1402" i="1"/>
  <c r="P1396" i="1"/>
  <c r="P1377" i="1"/>
  <c r="P1371" i="1"/>
  <c r="P1366" i="1"/>
  <c r="P1360" i="1"/>
  <c r="P1354" i="1"/>
  <c r="P1348" i="1"/>
  <c r="P1342" i="1"/>
  <c r="P1692" i="1"/>
  <c r="P1662" i="1"/>
  <c r="P1600" i="1"/>
  <c r="P1585" i="1"/>
  <c r="P1570" i="1"/>
  <c r="P1538" i="1"/>
  <c r="P1512" i="1"/>
  <c r="P1505" i="1"/>
  <c r="P1492" i="1"/>
  <c r="P1486" i="1"/>
  <c r="P1479" i="1"/>
  <c r="P1467" i="1"/>
  <c r="P1453" i="1"/>
  <c r="P1445" i="1"/>
  <c r="P1432" i="1"/>
  <c r="P1426" i="1"/>
  <c r="P1408" i="1"/>
  <c r="P1395" i="1"/>
  <c r="P1389" i="1"/>
  <c r="P1383" i="1"/>
  <c r="P1347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101" i="1"/>
  <c r="P1096" i="1"/>
  <c r="P1091" i="1"/>
  <c r="P1722" i="1"/>
  <c r="P1661" i="1"/>
  <c r="P1591" i="1"/>
  <c r="P1576" i="1"/>
  <c r="P1561" i="1"/>
  <c r="P1555" i="1"/>
  <c r="P1549" i="1"/>
  <c r="P1543" i="1"/>
  <c r="P1526" i="1"/>
  <c r="P1519" i="1"/>
  <c r="P1511" i="1"/>
  <c r="P1498" i="1"/>
  <c r="P1491" i="1"/>
  <c r="P1485" i="1"/>
  <c r="P1472" i="1"/>
  <c r="P1466" i="1"/>
  <c r="P1459" i="1"/>
  <c r="P1452" i="1"/>
  <c r="P1438" i="1"/>
  <c r="P1425" i="1"/>
  <c r="P1419" i="1"/>
  <c r="P1413" i="1"/>
  <c r="P1407" i="1"/>
  <c r="P1401" i="1"/>
  <c r="P1382" i="1"/>
  <c r="P1376" i="1"/>
  <c r="P1370" i="1"/>
  <c r="P1365" i="1"/>
  <c r="P1359" i="1"/>
  <c r="P1353" i="1"/>
  <c r="P1341" i="1"/>
  <c r="P1717" i="1"/>
  <c r="P1569" i="1"/>
  <c r="P1531" i="1"/>
  <c r="P1510" i="1"/>
  <c r="P1504" i="1"/>
  <c r="P1497" i="1"/>
  <c r="P1490" i="1"/>
  <c r="P1478" i="1"/>
  <c r="P1465" i="1"/>
  <c r="P1451" i="1"/>
  <c r="P1444" i="1"/>
  <c r="P1437" i="1"/>
  <c r="P1431" i="1"/>
  <c r="P1400" i="1"/>
  <c r="P1394" i="1"/>
  <c r="P1388" i="1"/>
  <c r="P1375" i="1"/>
  <c r="P135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085" i="1"/>
  <c r="P1080" i="1"/>
  <c r="P1075" i="1"/>
  <c r="P1070" i="1"/>
  <c r="P1747" i="1"/>
  <c r="P1590" i="1"/>
  <c r="P1575" i="1"/>
  <c r="P1560" i="1"/>
  <c r="P1554" i="1"/>
  <c r="P1525" i="1"/>
  <c r="P1518" i="1"/>
  <c r="P1496" i="1"/>
  <c r="P1484" i="1"/>
  <c r="P1477" i="1"/>
  <c r="P1471" i="1"/>
  <c r="P1458" i="1"/>
  <c r="P1450" i="1"/>
  <c r="P1430" i="1"/>
  <c r="P1424" i="1"/>
  <c r="P1418" i="1"/>
  <c r="P1412" i="1"/>
  <c r="P1406" i="1"/>
  <c r="P1387" i="1"/>
  <c r="P1381" i="1"/>
  <c r="P1369" i="1"/>
  <c r="P1364" i="1"/>
  <c r="P1358" i="1"/>
  <c r="P1345" i="1"/>
  <c r="P1340" i="1"/>
  <c r="P1742" i="1"/>
  <c r="P1651" i="1"/>
  <c r="P1605" i="1"/>
  <c r="P1566" i="1"/>
  <c r="P1541" i="1"/>
  <c r="P1530" i="1"/>
  <c r="P1516" i="1"/>
  <c r="P1509" i="1"/>
  <c r="P1503" i="1"/>
  <c r="P1495" i="1"/>
  <c r="P1489" i="1"/>
  <c r="P1476" i="1"/>
  <c r="P1464" i="1"/>
  <c r="P1457" i="1"/>
  <c r="P1443" i="1"/>
  <c r="P1436" i="1"/>
  <c r="P1417" i="1"/>
  <c r="P1405" i="1"/>
  <c r="P1399" i="1"/>
  <c r="P1393" i="1"/>
  <c r="P1380" i="1"/>
  <c r="P1374" i="1"/>
  <c r="P1357" i="1"/>
  <c r="P1351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650" i="1"/>
  <c r="P1596" i="1"/>
  <c r="P1580" i="1"/>
  <c r="P1574" i="1"/>
  <c r="P1559" i="1"/>
  <c r="P1546" i="1"/>
  <c r="P1535" i="1"/>
  <c r="P1524" i="1"/>
  <c r="P1515" i="1"/>
  <c r="P1502" i="1"/>
  <c r="P1483" i="1"/>
  <c r="P1475" i="1"/>
  <c r="P1470" i="1"/>
  <c r="P1456" i="1"/>
  <c r="P1449" i="1"/>
  <c r="P1442" i="1"/>
  <c r="P1435" i="1"/>
  <c r="P1429" i="1"/>
  <c r="P1423" i="1"/>
  <c r="P1411" i="1"/>
  <c r="P1392" i="1"/>
  <c r="P1386" i="1"/>
  <c r="P1368" i="1"/>
  <c r="P1363" i="1"/>
  <c r="P1350" i="1"/>
  <c r="P1344" i="1"/>
  <c r="P1339" i="1"/>
  <c r="P1772" i="1"/>
  <c r="P1565" i="1"/>
  <c r="P1540" i="1"/>
  <c r="P1529" i="1"/>
  <c r="P1508" i="1"/>
  <c r="P1501" i="1"/>
  <c r="P1494" i="1"/>
  <c r="P1488" i="1"/>
  <c r="P1482" i="1"/>
  <c r="P1463" i="1"/>
  <c r="P1455" i="1"/>
  <c r="P1441" i="1"/>
  <c r="P1422" i="1"/>
  <c r="P1416" i="1"/>
  <c r="P1410" i="1"/>
  <c r="P1404" i="1"/>
  <c r="P1398" i="1"/>
  <c r="P1385" i="1"/>
  <c r="P1379" i="1"/>
  <c r="P1373" i="1"/>
  <c r="P1362" i="1"/>
  <c r="P1356" i="1"/>
  <c r="P1333" i="1"/>
  <c r="P1328" i="1"/>
  <c r="P1323" i="1"/>
  <c r="P1318" i="1"/>
  <c r="P1313" i="1"/>
  <c r="P1308" i="1"/>
  <c r="P1303" i="1"/>
  <c r="P1298" i="1"/>
  <c r="P1293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672" i="1"/>
  <c r="P1595" i="1"/>
  <c r="P1579" i="1"/>
  <c r="P1551" i="1"/>
  <c r="P1545" i="1"/>
  <c r="P1534" i="1"/>
  <c r="P1523" i="1"/>
  <c r="P1514" i="1"/>
  <c r="P1500" i="1"/>
  <c r="P1481" i="1"/>
  <c r="P1474" i="1"/>
  <c r="P1469" i="1"/>
  <c r="P1462" i="1"/>
  <c r="P1448" i="1"/>
  <c r="P1440" i="1"/>
  <c r="P1434" i="1"/>
  <c r="P1428" i="1"/>
  <c r="P1415" i="1"/>
  <c r="P1397" i="1"/>
  <c r="P1391" i="1"/>
  <c r="P1372" i="1"/>
  <c r="P1367" i="1"/>
  <c r="P1355" i="1"/>
  <c r="P1349" i="1"/>
  <c r="P1343" i="1"/>
  <c r="P1338" i="1"/>
  <c r="P1668" i="1"/>
  <c r="P1640" i="1"/>
  <c r="P1601" i="1"/>
  <c r="P1586" i="1"/>
  <c r="P1564" i="1"/>
  <c r="P1539" i="1"/>
  <c r="P1528" i="1"/>
  <c r="P1521" i="1"/>
  <c r="P1507" i="1"/>
  <c r="P1493" i="1"/>
  <c r="P1487" i="1"/>
  <c r="P1480" i="1"/>
  <c r="P1461" i="1"/>
  <c r="P1454" i="1"/>
  <c r="P1447" i="1"/>
  <c r="P1427" i="1"/>
  <c r="P1421" i="1"/>
  <c r="P1409" i="1"/>
  <c r="P1403" i="1"/>
  <c r="P1390" i="1"/>
  <c r="P1384" i="1"/>
  <c r="P1378" i="1"/>
  <c r="P1361" i="1"/>
  <c r="P1337" i="1"/>
  <c r="P1332" i="1"/>
  <c r="P1327" i="1"/>
  <c r="P1322" i="1"/>
  <c r="P1317" i="1"/>
  <c r="P1312" i="1"/>
  <c r="P1307" i="1"/>
  <c r="P1302" i="1"/>
  <c r="P1297" i="1"/>
  <c r="P1292" i="1"/>
  <c r="P1287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088" i="1"/>
  <c r="P1076" i="1"/>
  <c r="P1064" i="1"/>
  <c r="P1051" i="1"/>
  <c r="P1044" i="1"/>
  <c r="P1038" i="1"/>
  <c r="P1027" i="1"/>
  <c r="P1022" i="1"/>
  <c r="P1006" i="1"/>
  <c r="P1001" i="1"/>
  <c r="P990" i="1"/>
  <c r="P1103" i="1"/>
  <c r="P1087" i="1"/>
  <c r="P1074" i="1"/>
  <c r="P1058" i="1"/>
  <c r="P1032" i="1"/>
  <c r="P1021" i="1"/>
  <c r="P1011" i="1"/>
  <c r="P995" i="1"/>
  <c r="P984" i="1"/>
  <c r="P979" i="1"/>
  <c r="P974" i="1"/>
  <c r="P969" i="1"/>
  <c r="P964" i="1"/>
  <c r="P959" i="1"/>
  <c r="P954" i="1"/>
  <c r="P949" i="1"/>
  <c r="P944" i="1"/>
  <c r="P939" i="1"/>
  <c r="P934" i="1"/>
  <c r="P929" i="1"/>
  <c r="P924" i="1"/>
  <c r="P919" i="1"/>
  <c r="P914" i="1"/>
  <c r="P909" i="1"/>
  <c r="P904" i="1"/>
  <c r="P899" i="1"/>
  <c r="P894" i="1"/>
  <c r="P889" i="1"/>
  <c r="P884" i="1"/>
  <c r="P879" i="1"/>
  <c r="P874" i="1"/>
  <c r="P869" i="1"/>
  <c r="P864" i="1"/>
  <c r="P859" i="1"/>
  <c r="P854" i="1"/>
  <c r="P849" i="1"/>
  <c r="P844" i="1"/>
  <c r="P839" i="1"/>
  <c r="P834" i="1"/>
  <c r="P829" i="1"/>
  <c r="P824" i="1"/>
  <c r="P819" i="1"/>
  <c r="P814" i="1"/>
  <c r="P809" i="1"/>
  <c r="P804" i="1"/>
  <c r="P799" i="1"/>
  <c r="P794" i="1"/>
  <c r="P789" i="1"/>
  <c r="P784" i="1"/>
  <c r="P779" i="1"/>
  <c r="P774" i="1"/>
  <c r="P769" i="1"/>
  <c r="P764" i="1"/>
  <c r="P759" i="1"/>
  <c r="P754" i="1"/>
  <c r="P749" i="1"/>
  <c r="P744" i="1"/>
  <c r="P739" i="1"/>
  <c r="P734" i="1"/>
  <c r="P729" i="1"/>
  <c r="P724" i="1"/>
  <c r="P719" i="1"/>
  <c r="P714" i="1"/>
  <c r="P709" i="1"/>
  <c r="P704" i="1"/>
  <c r="P699" i="1"/>
  <c r="P694" i="1"/>
  <c r="P689" i="1"/>
  <c r="P684" i="1"/>
  <c r="P679" i="1"/>
  <c r="P674" i="1"/>
  <c r="P669" i="1"/>
  <c r="P664" i="1"/>
  <c r="P659" i="1"/>
  <c r="P654" i="1"/>
  <c r="P649" i="1"/>
  <c r="P644" i="1"/>
  <c r="P639" i="1"/>
  <c r="P634" i="1"/>
  <c r="P629" i="1"/>
  <c r="P1102" i="1"/>
  <c r="P1086" i="1"/>
  <c r="P1073" i="1"/>
  <c r="P1063" i="1"/>
  <c r="P1057" i="1"/>
  <c r="P1050" i="1"/>
  <c r="P1043" i="1"/>
  <c r="P1037" i="1"/>
  <c r="P1031" i="1"/>
  <c r="P1026" i="1"/>
  <c r="P1005" i="1"/>
  <c r="P1000" i="1"/>
  <c r="P989" i="1"/>
  <c r="P1099" i="1"/>
  <c r="P1084" i="1"/>
  <c r="P1072" i="1"/>
  <c r="P1056" i="1"/>
  <c r="P1049" i="1"/>
  <c r="P1042" i="1"/>
  <c r="P1036" i="1"/>
  <c r="P1020" i="1"/>
  <c r="P1015" i="1"/>
  <c r="P1010" i="1"/>
  <c r="P994" i="1"/>
  <c r="P983" i="1"/>
  <c r="P978" i="1"/>
  <c r="P973" i="1"/>
  <c r="P968" i="1"/>
  <c r="P963" i="1"/>
  <c r="P958" i="1"/>
  <c r="P953" i="1"/>
  <c r="P948" i="1"/>
  <c r="P943" i="1"/>
  <c r="P938" i="1"/>
  <c r="P933" i="1"/>
  <c r="P928" i="1"/>
  <c r="P923" i="1"/>
  <c r="P918" i="1"/>
  <c r="P913" i="1"/>
  <c r="P908" i="1"/>
  <c r="P903" i="1"/>
  <c r="P898" i="1"/>
  <c r="P893" i="1"/>
  <c r="P888" i="1"/>
  <c r="P883" i="1"/>
  <c r="P878" i="1"/>
  <c r="P873" i="1"/>
  <c r="P868" i="1"/>
  <c r="P863" i="1"/>
  <c r="P858" i="1"/>
  <c r="P853" i="1"/>
  <c r="P848" i="1"/>
  <c r="P843" i="1"/>
  <c r="P838" i="1"/>
  <c r="P833" i="1"/>
  <c r="P828" i="1"/>
  <c r="P823" i="1"/>
  <c r="P818" i="1"/>
  <c r="P813" i="1"/>
  <c r="P808" i="1"/>
  <c r="P803" i="1"/>
  <c r="P798" i="1"/>
  <c r="P793" i="1"/>
  <c r="P788" i="1"/>
  <c r="P783" i="1"/>
  <c r="P778" i="1"/>
  <c r="P773" i="1"/>
  <c r="P768" i="1"/>
  <c r="P763" i="1"/>
  <c r="P758" i="1"/>
  <c r="P753" i="1"/>
  <c r="P748" i="1"/>
  <c r="P743" i="1"/>
  <c r="P738" i="1"/>
  <c r="P733" i="1"/>
  <c r="P728" i="1"/>
  <c r="P723" i="1"/>
  <c r="P718" i="1"/>
  <c r="P713" i="1"/>
  <c r="P708" i="1"/>
  <c r="P703" i="1"/>
  <c r="P698" i="1"/>
  <c r="P693" i="1"/>
  <c r="P688" i="1"/>
  <c r="P683" i="1"/>
  <c r="P678" i="1"/>
  <c r="P673" i="1"/>
  <c r="P668" i="1"/>
  <c r="P663" i="1"/>
  <c r="P658" i="1"/>
  <c r="P653" i="1"/>
  <c r="P648" i="1"/>
  <c r="P643" i="1"/>
  <c r="P638" i="1"/>
  <c r="P1098" i="1"/>
  <c r="P1083" i="1"/>
  <c r="P1071" i="1"/>
  <c r="P1062" i="1"/>
  <c r="P1041" i="1"/>
  <c r="P1030" i="1"/>
  <c r="P1025" i="1"/>
  <c r="P1004" i="1"/>
  <c r="P999" i="1"/>
  <c r="P988" i="1"/>
  <c r="P1097" i="1"/>
  <c r="P1082" i="1"/>
  <c r="P1069" i="1"/>
  <c r="P1055" i="1"/>
  <c r="P1048" i="1"/>
  <c r="P1035" i="1"/>
  <c r="P1019" i="1"/>
  <c r="P1014" i="1"/>
  <c r="P1009" i="1"/>
  <c r="P993" i="1"/>
  <c r="P982" i="1"/>
  <c r="P977" i="1"/>
  <c r="P972" i="1"/>
  <c r="P967" i="1"/>
  <c r="P962" i="1"/>
  <c r="P957" i="1"/>
  <c r="P952" i="1"/>
  <c r="P947" i="1"/>
  <c r="P942" i="1"/>
  <c r="P937" i="1"/>
  <c r="P932" i="1"/>
  <c r="P927" i="1"/>
  <c r="P922" i="1"/>
  <c r="P917" i="1"/>
  <c r="P912" i="1"/>
  <c r="P907" i="1"/>
  <c r="P902" i="1"/>
  <c r="P897" i="1"/>
  <c r="P892" i="1"/>
  <c r="P887" i="1"/>
  <c r="P882" i="1"/>
  <c r="P877" i="1"/>
  <c r="P872" i="1"/>
  <c r="P867" i="1"/>
  <c r="P862" i="1"/>
  <c r="P857" i="1"/>
  <c r="P852" i="1"/>
  <c r="P847" i="1"/>
  <c r="P842" i="1"/>
  <c r="P837" i="1"/>
  <c r="P832" i="1"/>
  <c r="P827" i="1"/>
  <c r="P822" i="1"/>
  <c r="P817" i="1"/>
  <c r="P812" i="1"/>
  <c r="P807" i="1"/>
  <c r="P802" i="1"/>
  <c r="P797" i="1"/>
  <c r="P792" i="1"/>
  <c r="P787" i="1"/>
  <c r="P782" i="1"/>
  <c r="P777" i="1"/>
  <c r="P772" i="1"/>
  <c r="P767" i="1"/>
  <c r="P762" i="1"/>
  <c r="P757" i="1"/>
  <c r="P752" i="1"/>
  <c r="P747" i="1"/>
  <c r="P742" i="1"/>
  <c r="P737" i="1"/>
  <c r="P732" i="1"/>
  <c r="P727" i="1"/>
  <c r="P722" i="1"/>
  <c r="P717" i="1"/>
  <c r="P712" i="1"/>
  <c r="P707" i="1"/>
  <c r="P702" i="1"/>
  <c r="P697" i="1"/>
  <c r="P692" i="1"/>
  <c r="P687" i="1"/>
  <c r="P682" i="1"/>
  <c r="P677" i="1"/>
  <c r="P672" i="1"/>
  <c r="P667" i="1"/>
  <c r="P662" i="1"/>
  <c r="P657" i="1"/>
  <c r="P652" i="1"/>
  <c r="P647" i="1"/>
  <c r="P642" i="1"/>
  <c r="P1094" i="1"/>
  <c r="P1081" i="1"/>
  <c r="P1068" i="1"/>
  <c r="P1061" i="1"/>
  <c r="P1054" i="1"/>
  <c r="P1047" i="1"/>
  <c r="P1040" i="1"/>
  <c r="P1024" i="1"/>
  <c r="P1003" i="1"/>
  <c r="P998" i="1"/>
  <c r="P987" i="1"/>
  <c r="P1093" i="1"/>
  <c r="P1079" i="1"/>
  <c r="P1067" i="1"/>
  <c r="P1046" i="1"/>
  <c r="P1034" i="1"/>
  <c r="P1018" i="1"/>
  <c r="P1013" i="1"/>
  <c r="P1008" i="1"/>
  <c r="P992" i="1"/>
  <c r="P986" i="1"/>
  <c r="P981" i="1"/>
  <c r="P976" i="1"/>
  <c r="P971" i="1"/>
  <c r="P966" i="1"/>
  <c r="P961" i="1"/>
  <c r="P956" i="1"/>
  <c r="P951" i="1"/>
  <c r="P946" i="1"/>
  <c r="P941" i="1"/>
  <c r="P936" i="1"/>
  <c r="P931" i="1"/>
  <c r="P926" i="1"/>
  <c r="P921" i="1"/>
  <c r="P916" i="1"/>
  <c r="P911" i="1"/>
  <c r="P906" i="1"/>
  <c r="P901" i="1"/>
  <c r="P896" i="1"/>
  <c r="P891" i="1"/>
  <c r="P886" i="1"/>
  <c r="P881" i="1"/>
  <c r="P876" i="1"/>
  <c r="P871" i="1"/>
  <c r="P866" i="1"/>
  <c r="P861" i="1"/>
  <c r="P856" i="1"/>
  <c r="P851" i="1"/>
  <c r="P846" i="1"/>
  <c r="P841" i="1"/>
  <c r="P836" i="1"/>
  <c r="P831" i="1"/>
  <c r="P826" i="1"/>
  <c r="P821" i="1"/>
  <c r="P816" i="1"/>
  <c r="P811" i="1"/>
  <c r="P806" i="1"/>
  <c r="P801" i="1"/>
  <c r="P796" i="1"/>
  <c r="P791" i="1"/>
  <c r="P786" i="1"/>
  <c r="P781" i="1"/>
  <c r="P776" i="1"/>
  <c r="P771" i="1"/>
  <c r="P766" i="1"/>
  <c r="P761" i="1"/>
  <c r="P756" i="1"/>
  <c r="P751" i="1"/>
  <c r="P746" i="1"/>
  <c r="P741" i="1"/>
  <c r="P736" i="1"/>
  <c r="P731" i="1"/>
  <c r="P726" i="1"/>
  <c r="P721" i="1"/>
  <c r="P716" i="1"/>
  <c r="P711" i="1"/>
  <c r="P706" i="1"/>
  <c r="P701" i="1"/>
  <c r="P696" i="1"/>
  <c r="P691" i="1"/>
  <c r="P686" i="1"/>
  <c r="P681" i="1"/>
  <c r="P676" i="1"/>
  <c r="P671" i="1"/>
  <c r="P666" i="1"/>
  <c r="P661" i="1"/>
  <c r="P656" i="1"/>
  <c r="P651" i="1"/>
  <c r="P646" i="1"/>
  <c r="P641" i="1"/>
  <c r="P636" i="1"/>
  <c r="P631" i="1"/>
  <c r="P1092" i="1"/>
  <c r="P1078" i="1"/>
  <c r="P1066" i="1"/>
  <c r="P1060" i="1"/>
  <c r="P1053" i="1"/>
  <c r="P1039" i="1"/>
  <c r="P1028" i="1"/>
  <c r="P1023" i="1"/>
  <c r="P1002" i="1"/>
  <c r="P997" i="1"/>
  <c r="P991" i="1"/>
  <c r="P1089" i="1"/>
  <c r="P1077" i="1"/>
  <c r="P1065" i="1"/>
  <c r="P1059" i="1"/>
  <c r="P1052" i="1"/>
  <c r="P1045" i="1"/>
  <c r="P1033" i="1"/>
  <c r="P1017" i="1"/>
  <c r="P1012" i="1"/>
  <c r="P1007" i="1"/>
  <c r="P996" i="1"/>
  <c r="P985" i="1"/>
  <c r="P980" i="1"/>
  <c r="P975" i="1"/>
  <c r="P970" i="1"/>
  <c r="P965" i="1"/>
  <c r="P960" i="1"/>
  <c r="P955" i="1"/>
  <c r="P950" i="1"/>
  <c r="P945" i="1"/>
  <c r="P940" i="1"/>
  <c r="P935" i="1"/>
  <c r="P930" i="1"/>
  <c r="P925" i="1"/>
  <c r="P920" i="1"/>
  <c r="P915" i="1"/>
  <c r="P910" i="1"/>
  <c r="P905" i="1"/>
  <c r="P900" i="1"/>
  <c r="P895" i="1"/>
  <c r="P890" i="1"/>
  <c r="P885" i="1"/>
  <c r="P880" i="1"/>
  <c r="P875" i="1"/>
  <c r="P870" i="1"/>
  <c r="P865" i="1"/>
  <c r="P860" i="1"/>
  <c r="P855" i="1"/>
  <c r="P850" i="1"/>
  <c r="P845" i="1"/>
  <c r="P840" i="1"/>
  <c r="P835" i="1"/>
  <c r="P830" i="1"/>
  <c r="P825" i="1"/>
  <c r="P820" i="1"/>
  <c r="P815" i="1"/>
  <c r="P810" i="1"/>
  <c r="P805" i="1"/>
  <c r="P800" i="1"/>
  <c r="P795" i="1"/>
  <c r="P790" i="1"/>
  <c r="P785" i="1"/>
  <c r="P780" i="1"/>
  <c r="P775" i="1"/>
  <c r="P770" i="1"/>
  <c r="P765" i="1"/>
  <c r="P760" i="1"/>
  <c r="P755" i="1"/>
  <c r="P750" i="1"/>
  <c r="P745" i="1"/>
  <c r="P740" i="1"/>
  <c r="P735" i="1"/>
  <c r="P730" i="1"/>
  <c r="P725" i="1"/>
  <c r="P720" i="1"/>
  <c r="P715" i="1"/>
  <c r="P710" i="1"/>
  <c r="P705" i="1"/>
  <c r="P700" i="1"/>
  <c r="P695" i="1"/>
  <c r="P690" i="1"/>
  <c r="P685" i="1"/>
  <c r="P680" i="1"/>
  <c r="P675" i="1"/>
  <c r="P670" i="1"/>
  <c r="P665" i="1"/>
  <c r="P660" i="1"/>
  <c r="P655" i="1"/>
  <c r="P650" i="1"/>
  <c r="P645" i="1"/>
  <c r="P640" i="1"/>
  <c r="P635" i="1"/>
  <c r="P633" i="1"/>
  <c r="P621" i="1"/>
  <c r="P611" i="1"/>
  <c r="P603" i="1"/>
  <c r="P593" i="1"/>
  <c r="P585" i="1"/>
  <c r="P566" i="1"/>
  <c r="P555" i="1"/>
  <c r="P314" i="1"/>
  <c r="P304" i="1"/>
  <c r="P279" i="1"/>
  <c r="P269" i="1"/>
  <c r="P259" i="1"/>
  <c r="P249" i="1"/>
  <c r="P258" i="1"/>
  <c r="P257" i="1"/>
  <c r="P632" i="1"/>
  <c r="P620" i="1"/>
  <c r="P610" i="1"/>
  <c r="P602" i="1"/>
  <c r="P592" i="1"/>
  <c r="P584" i="1"/>
  <c r="P578" i="1"/>
  <c r="P572" i="1"/>
  <c r="P560" i="1"/>
  <c r="P554" i="1"/>
  <c r="P549" i="1"/>
  <c r="P544" i="1"/>
  <c r="P539" i="1"/>
  <c r="P534" i="1"/>
  <c r="P529" i="1"/>
  <c r="P524" i="1"/>
  <c r="P519" i="1"/>
  <c r="P514" i="1"/>
  <c r="P509" i="1"/>
  <c r="P504" i="1"/>
  <c r="P499" i="1"/>
  <c r="P494" i="1"/>
  <c r="P489" i="1"/>
  <c r="P484" i="1"/>
  <c r="P479" i="1"/>
  <c r="P474" i="1"/>
  <c r="P469" i="1"/>
  <c r="P464" i="1"/>
  <c r="P459" i="1"/>
  <c r="P454" i="1"/>
  <c r="P449" i="1"/>
  <c r="P444" i="1"/>
  <c r="P439" i="1"/>
  <c r="P434" i="1"/>
  <c r="P429" i="1"/>
  <c r="P424" i="1"/>
  <c r="P419" i="1"/>
  <c r="P414" i="1"/>
  <c r="P409" i="1"/>
  <c r="P404" i="1"/>
  <c r="P399" i="1"/>
  <c r="P394" i="1"/>
  <c r="P389" i="1"/>
  <c r="P384" i="1"/>
  <c r="P379" i="1"/>
  <c r="P374" i="1"/>
  <c r="P369" i="1"/>
  <c r="P364" i="1"/>
  <c r="P359" i="1"/>
  <c r="P354" i="1"/>
  <c r="P349" i="1"/>
  <c r="P344" i="1"/>
  <c r="P339" i="1"/>
  <c r="P334" i="1"/>
  <c r="P329" i="1"/>
  <c r="P324" i="1"/>
  <c r="P319" i="1"/>
  <c r="P309" i="1"/>
  <c r="P284" i="1"/>
  <c r="P274" i="1"/>
  <c r="P264" i="1"/>
  <c r="P254" i="1"/>
  <c r="P263" i="1"/>
  <c r="P630" i="1"/>
  <c r="P619" i="1"/>
  <c r="P609" i="1"/>
  <c r="P601" i="1"/>
  <c r="P591" i="1"/>
  <c r="P571" i="1"/>
  <c r="P565" i="1"/>
  <c r="P559" i="1"/>
  <c r="P273" i="1"/>
  <c r="P253" i="1"/>
  <c r="P252" i="1"/>
  <c r="P628" i="1"/>
  <c r="P618" i="1"/>
  <c r="P608" i="1"/>
  <c r="P600" i="1"/>
  <c r="P590" i="1"/>
  <c r="P583" i="1"/>
  <c r="P577" i="1"/>
  <c r="P564" i="1"/>
  <c r="P553" i="1"/>
  <c r="P548" i="1"/>
  <c r="P543" i="1"/>
  <c r="P538" i="1"/>
  <c r="P533" i="1"/>
  <c r="P528" i="1"/>
  <c r="P523" i="1"/>
  <c r="P518" i="1"/>
  <c r="P513" i="1"/>
  <c r="P508" i="1"/>
  <c r="P503" i="1"/>
  <c r="P498" i="1"/>
  <c r="P493" i="1"/>
  <c r="P488" i="1"/>
  <c r="P483" i="1"/>
  <c r="P478" i="1"/>
  <c r="P473" i="1"/>
  <c r="P468" i="1"/>
  <c r="P463" i="1"/>
  <c r="P458" i="1"/>
  <c r="P453" i="1"/>
  <c r="P448" i="1"/>
  <c r="P443" i="1"/>
  <c r="P438" i="1"/>
  <c r="P433" i="1"/>
  <c r="P428" i="1"/>
  <c r="P423" i="1"/>
  <c r="P418" i="1"/>
  <c r="P413" i="1"/>
  <c r="P408" i="1"/>
  <c r="P403" i="1"/>
  <c r="P398" i="1"/>
  <c r="P393" i="1"/>
  <c r="P388" i="1"/>
  <c r="P383" i="1"/>
  <c r="P378" i="1"/>
  <c r="P373" i="1"/>
  <c r="P368" i="1"/>
  <c r="P363" i="1"/>
  <c r="P358" i="1"/>
  <c r="P353" i="1"/>
  <c r="P348" i="1"/>
  <c r="P343" i="1"/>
  <c r="P338" i="1"/>
  <c r="P333" i="1"/>
  <c r="P328" i="1"/>
  <c r="P323" i="1"/>
  <c r="P318" i="1"/>
  <c r="P313" i="1"/>
  <c r="P308" i="1"/>
  <c r="P303" i="1"/>
  <c r="P283" i="1"/>
  <c r="P278" i="1"/>
  <c r="P268" i="1"/>
  <c r="P248" i="1"/>
  <c r="P627" i="1"/>
  <c r="P617" i="1"/>
  <c r="P607" i="1"/>
  <c r="P599" i="1"/>
  <c r="P589" i="1"/>
  <c r="P576" i="1"/>
  <c r="P570" i="1"/>
  <c r="P558" i="1"/>
  <c r="P267" i="1"/>
  <c r="P626" i="1"/>
  <c r="P616" i="1"/>
  <c r="P606" i="1"/>
  <c r="P598" i="1"/>
  <c r="P582" i="1"/>
  <c r="P569" i="1"/>
  <c r="P563" i="1"/>
  <c r="P552" i="1"/>
  <c r="P547" i="1"/>
  <c r="P542" i="1"/>
  <c r="P537" i="1"/>
  <c r="P532" i="1"/>
  <c r="P527" i="1"/>
  <c r="P522" i="1"/>
  <c r="P517" i="1"/>
  <c r="P512" i="1"/>
  <c r="P507" i="1"/>
  <c r="P502" i="1"/>
  <c r="P497" i="1"/>
  <c r="P492" i="1"/>
  <c r="P487" i="1"/>
  <c r="P482" i="1"/>
  <c r="P477" i="1"/>
  <c r="P472" i="1"/>
  <c r="P467" i="1"/>
  <c r="P462" i="1"/>
  <c r="P457" i="1"/>
  <c r="P452" i="1"/>
  <c r="P447" i="1"/>
  <c r="P442" i="1"/>
  <c r="P437" i="1"/>
  <c r="P432" i="1"/>
  <c r="P427" i="1"/>
  <c r="P422" i="1"/>
  <c r="P417" i="1"/>
  <c r="P412" i="1"/>
  <c r="P407" i="1"/>
  <c r="P402" i="1"/>
  <c r="P397" i="1"/>
  <c r="P392" i="1"/>
  <c r="P387" i="1"/>
  <c r="P382" i="1"/>
  <c r="P377" i="1"/>
  <c r="P372" i="1"/>
  <c r="P367" i="1"/>
  <c r="P362" i="1"/>
  <c r="P357" i="1"/>
  <c r="P352" i="1"/>
  <c r="P347" i="1"/>
  <c r="P342" i="1"/>
  <c r="P337" i="1"/>
  <c r="P332" i="1"/>
  <c r="P327" i="1"/>
  <c r="P322" i="1"/>
  <c r="P317" i="1"/>
  <c r="P312" i="1"/>
  <c r="P307" i="1"/>
  <c r="P287" i="1"/>
  <c r="P282" i="1"/>
  <c r="P277" i="1"/>
  <c r="P272" i="1"/>
  <c r="P262" i="1"/>
  <c r="P625" i="1"/>
  <c r="P615" i="1"/>
  <c r="P605" i="1"/>
  <c r="P597" i="1"/>
  <c r="P588" i="1"/>
  <c r="P581" i="1"/>
  <c r="P575" i="1"/>
  <c r="P557" i="1"/>
  <c r="P624" i="1"/>
  <c r="P614" i="1"/>
  <c r="P596" i="1"/>
  <c r="P574" i="1"/>
  <c r="P568" i="1"/>
  <c r="P562" i="1"/>
  <c r="P551" i="1"/>
  <c r="P546" i="1"/>
  <c r="P541" i="1"/>
  <c r="P536" i="1"/>
  <c r="P531" i="1"/>
  <c r="P526" i="1"/>
  <c r="P521" i="1"/>
  <c r="P516" i="1"/>
  <c r="P511" i="1"/>
  <c r="P506" i="1"/>
  <c r="P501" i="1"/>
  <c r="P496" i="1"/>
  <c r="P491" i="1"/>
  <c r="P486" i="1"/>
  <c r="P481" i="1"/>
  <c r="P476" i="1"/>
  <c r="P471" i="1"/>
  <c r="P466" i="1"/>
  <c r="P461" i="1"/>
  <c r="P456" i="1"/>
  <c r="P451" i="1"/>
  <c r="P441" i="1"/>
  <c r="P436" i="1"/>
  <c r="P431" i="1"/>
  <c r="P426" i="1"/>
  <c r="P421" i="1"/>
  <c r="P416" i="1"/>
  <c r="P411" i="1"/>
  <c r="P406" i="1"/>
  <c r="P401" i="1"/>
  <c r="P396" i="1"/>
  <c r="P391" i="1"/>
  <c r="P386" i="1"/>
  <c r="P381" i="1"/>
  <c r="P376" i="1"/>
  <c r="P371" i="1"/>
  <c r="P366" i="1"/>
  <c r="P361" i="1"/>
  <c r="P356" i="1"/>
  <c r="P351" i="1"/>
  <c r="P346" i="1"/>
  <c r="P341" i="1"/>
  <c r="P336" i="1"/>
  <c r="P331" i="1"/>
  <c r="P326" i="1"/>
  <c r="P321" i="1"/>
  <c r="P316" i="1"/>
  <c r="P311" i="1"/>
  <c r="P306" i="1"/>
  <c r="P286" i="1"/>
  <c r="P281" i="1"/>
  <c r="P276" i="1"/>
  <c r="P271" i="1"/>
  <c r="P266" i="1"/>
  <c r="P261" i="1"/>
  <c r="P256" i="1"/>
  <c r="P251" i="1"/>
  <c r="P623" i="1"/>
  <c r="P613" i="1"/>
  <c r="P604" i="1"/>
  <c r="P595" i="1"/>
  <c r="P587" i="1"/>
  <c r="P580" i="1"/>
  <c r="P556" i="1"/>
  <c r="P270" i="1"/>
  <c r="P260" i="1"/>
  <c r="P250" i="1"/>
  <c r="P637" i="1"/>
  <c r="P622" i="1"/>
  <c r="P612" i="1"/>
  <c r="P594" i="1"/>
  <c r="P586" i="1"/>
  <c r="P579" i="1"/>
  <c r="P573" i="1"/>
  <c r="P567" i="1"/>
  <c r="P561" i="1"/>
  <c r="P550" i="1"/>
  <c r="P545" i="1"/>
  <c r="P540" i="1"/>
  <c r="P535" i="1"/>
  <c r="P530" i="1"/>
  <c r="P525" i="1"/>
  <c r="P520" i="1"/>
  <c r="P515" i="1"/>
  <c r="P510" i="1"/>
  <c r="P505" i="1"/>
  <c r="P500" i="1"/>
  <c r="P495" i="1"/>
  <c r="P490" i="1"/>
  <c r="P485" i="1"/>
  <c r="P480" i="1"/>
  <c r="P475" i="1"/>
  <c r="P470" i="1"/>
  <c r="P465" i="1"/>
  <c r="P460" i="1"/>
  <c r="P455" i="1"/>
  <c r="P450" i="1"/>
  <c r="P445" i="1"/>
  <c r="P440" i="1"/>
  <c r="P435" i="1"/>
  <c r="P430" i="1"/>
  <c r="P425" i="1"/>
  <c r="P420" i="1"/>
  <c r="P415" i="1"/>
  <c r="P410" i="1"/>
  <c r="P405" i="1"/>
  <c r="P400" i="1"/>
  <c r="P395" i="1"/>
  <c r="P390" i="1"/>
  <c r="P385" i="1"/>
  <c r="P380" i="1"/>
  <c r="P375" i="1"/>
  <c r="P370" i="1"/>
  <c r="P365" i="1"/>
  <c r="P360" i="1"/>
  <c r="P355" i="1"/>
  <c r="P350" i="1"/>
  <c r="P345" i="1"/>
  <c r="P340" i="1"/>
  <c r="P335" i="1"/>
  <c r="P330" i="1"/>
  <c r="P325" i="1"/>
  <c r="P320" i="1"/>
  <c r="P315" i="1"/>
  <c r="P310" i="1"/>
  <c r="P305" i="1"/>
  <c r="P285" i="1"/>
  <c r="P280" i="1"/>
  <c r="P275" i="1"/>
  <c r="P265" i="1"/>
  <c r="P255" i="1"/>
  <c r="P292" i="1"/>
  <c r="P302" i="1"/>
  <c r="P296" i="1"/>
  <c r="P293" i="1"/>
  <c r="P291" i="1"/>
  <c r="P298" i="1"/>
  <c r="P290" i="1"/>
  <c r="P288" i="1"/>
  <c r="P295" i="1"/>
  <c r="P297" i="1"/>
  <c r="P178" i="1" l="1"/>
  <c r="N180" i="1"/>
  <c r="P179" i="1"/>
  <c r="N181" i="1" l="1"/>
  <c r="P180" i="1"/>
  <c r="N182" i="1" l="1"/>
  <c r="P181" i="1"/>
  <c r="N183" i="1" l="1"/>
  <c r="P182" i="1"/>
  <c r="N184" i="1" l="1"/>
  <c r="P183" i="1"/>
  <c r="N185" i="1" l="1"/>
  <c r="P184" i="1"/>
  <c r="P185" i="1" l="1"/>
  <c r="N186" i="1"/>
  <c r="P186" i="1" s="1"/>
  <c r="N187" i="1" l="1"/>
  <c r="N188" i="1" s="1"/>
  <c r="N231" i="1" s="1"/>
  <c r="P231" i="1" s="1"/>
  <c r="P187" i="1" l="1"/>
  <c r="G91" i="1"/>
  <c r="G32" i="1"/>
  <c r="G31" i="1"/>
  <c r="Y107" i="1" l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18" i="1"/>
  <c r="B118" i="1" s="1"/>
  <c r="Y106" i="1"/>
  <c r="B106" i="1" s="1"/>
  <c r="R118" i="1" l="1"/>
  <c r="S118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P86" i="1"/>
  <c r="R86" i="1"/>
  <c r="R85" i="1"/>
  <c r="P74" i="1"/>
  <c r="P73" i="1"/>
  <c r="P72" i="1"/>
  <c r="N68" i="1"/>
  <c r="P68" i="1" s="1"/>
  <c r="G39" i="1"/>
  <c r="N75" i="1"/>
  <c r="P75" i="1" s="1"/>
  <c r="S86" i="1" l="1"/>
  <c r="G33" i="1"/>
  <c r="G93" i="1"/>
  <c r="G25" i="1"/>
  <c r="G24" i="1"/>
  <c r="G23" i="1"/>
  <c r="G41" i="1"/>
  <c r="G16" i="1"/>
  <c r="F106" i="1" l="1"/>
  <c r="P106" i="1" s="1"/>
  <c r="F107" i="1"/>
  <c r="G107" i="1" s="1"/>
  <c r="F108" i="1"/>
  <c r="P108" i="1" s="1"/>
  <c r="F109" i="1"/>
  <c r="P109" i="1" s="1"/>
  <c r="F110" i="1"/>
  <c r="P110" i="1" s="1"/>
  <c r="F111" i="1"/>
  <c r="P111" i="1" s="1"/>
  <c r="F112" i="1"/>
  <c r="G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P188" i="1"/>
  <c r="G69" i="1"/>
  <c r="N70" i="1" s="1"/>
  <c r="P70" i="1" s="1"/>
  <c r="G70" i="1"/>
  <c r="G75" i="1"/>
  <c r="G76" i="1"/>
  <c r="G77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2" i="1"/>
  <c r="G63" i="1"/>
  <c r="G64" i="1"/>
  <c r="G65" i="1"/>
  <c r="G66" i="1"/>
  <c r="G67" i="1"/>
  <c r="G68" i="1"/>
  <c r="N69" i="1" s="1"/>
  <c r="P69" i="1" s="1"/>
  <c r="Q68" i="1" s="1"/>
  <c r="S69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R2" i="1"/>
  <c r="Q251" i="1"/>
  <c r="Q2" i="1"/>
  <c r="G71" i="1" l="1"/>
  <c r="N71" i="1"/>
  <c r="P71" i="1" s="1"/>
  <c r="Q70" i="1" s="1"/>
  <c r="S71" i="1" s="1"/>
  <c r="Q69" i="1"/>
  <c r="S70" i="1" s="1"/>
  <c r="N116" i="1"/>
  <c r="G109" i="1"/>
  <c r="N113" i="1"/>
  <c r="G108" i="1"/>
  <c r="G113" i="1"/>
  <c r="P112" i="1"/>
  <c r="N112" i="1" s="1"/>
  <c r="G118" i="1"/>
  <c r="G114" i="1"/>
  <c r="P107" i="1"/>
  <c r="N107" i="1" s="1"/>
  <c r="G115" i="1"/>
  <c r="N114" i="1"/>
  <c r="G116" i="1"/>
  <c r="G117" i="1"/>
  <c r="N117" i="1"/>
  <c r="N115" i="1"/>
  <c r="N108" i="1"/>
  <c r="G106" i="1"/>
  <c r="N111" i="1"/>
  <c r="N110" i="1"/>
  <c r="G110" i="1"/>
  <c r="N109" i="1"/>
  <c r="G111" i="1"/>
  <c r="N118" i="1"/>
  <c r="N106" i="1"/>
  <c r="G72" i="1" l="1"/>
  <c r="G73" i="1" s="1"/>
  <c r="G74" i="1" s="1"/>
  <c r="N72" i="1"/>
  <c r="Q71" i="1" s="1"/>
  <c r="S72" i="1" s="1"/>
  <c r="G105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N157" i="1"/>
  <c r="N156" i="1"/>
  <c r="N155" i="1"/>
  <c r="N154" i="1"/>
  <c r="G104" i="1"/>
  <c r="G103" i="1"/>
  <c r="G94" i="1"/>
  <c r="G95" i="1" s="1"/>
  <c r="G96" i="1" s="1"/>
  <c r="G97" i="1" s="1"/>
  <c r="G98" i="1" s="1"/>
  <c r="G99" i="1" s="1"/>
  <c r="G100" i="1" s="1"/>
  <c r="G101" i="1" s="1"/>
  <c r="G102" i="1" s="1"/>
  <c r="G35" i="1"/>
  <c r="G34" i="1"/>
  <c r="G92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I2" i="1"/>
  <c r="N73" i="1" l="1"/>
  <c r="Q72" i="1" s="1"/>
  <c r="S73" i="1" s="1"/>
  <c r="N74" i="1" l="1"/>
  <c r="Q74" i="1" l="1"/>
  <c r="Q73" i="1"/>
  <c r="S74" i="1" s="1"/>
</calcChain>
</file>

<file path=xl/sharedStrings.xml><?xml version="1.0" encoding="utf-8"?>
<sst xmlns="http://schemas.openxmlformats.org/spreadsheetml/2006/main" count="7850" uniqueCount="3981">
  <si>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</si>
  <si>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</si>
  <si>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</si>
  <si>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</si>
  <si>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</si>
  <si>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</si>
  <si>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</si>
  <si>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</si>
  <si>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</si>
  <si>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</si>
  <si>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</si>
  <si>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</si>
  <si>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</si>
  <si>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</si>
  <si>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</si>
  <si>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</si>
  <si>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</si>
  <si>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</si>
  <si>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</si>
  <si>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</si>
  <si>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</si>
  <si>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</si>
  <si>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</si>
  <si>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</si>
  <si>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</si>
  <si>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</si>
  <si>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</si>
  <si>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</si>
  <si>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</si>
  <si>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</si>
  <si>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</si>
  <si>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</si>
  <si>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</si>
  <si>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</si>
  <si>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</si>
  <si>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</si>
  <si>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</si>
  <si>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</si>
  <si>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</si>
  <si>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</si>
  <si>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</si>
  <si>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</si>
  <si>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</si>
  <si>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</si>
  <si>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</si>
  <si>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</si>
  <si>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</si>
  <si>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</si>
  <si>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</si>
  <si>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</si>
  <si>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</si>
  <si>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</si>
  <si>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</si>
  <si>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</si>
  <si>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</si>
  <si>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</si>
  <si>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</si>
  <si>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</si>
  <si>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</si>
  <si>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</si>
  <si>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</si>
  <si>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</si>
  <si>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</si>
  <si>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</si>
  <si>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</si>
  <si>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</si>
  <si>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</si>
  <si>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</si>
  <si>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</si>
  <si>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</si>
  <si>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</si>
  <si>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</si>
  <si>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</si>
  <si>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</si>
  <si>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</si>
  <si>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</si>
  <si>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</si>
  <si>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</si>
  <si>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</si>
  <si>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</si>
  <si>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</si>
  <si>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</si>
  <si>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</si>
  <si>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</si>
  <si>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</si>
  <si>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</si>
  <si>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</si>
  <si>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</si>
  <si>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</si>
  <si>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</si>
  <si>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</si>
  <si>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</si>
  <si>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</si>
  <si>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</si>
  <si>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</si>
  <si>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</si>
  <si>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</si>
  <si>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</si>
  <si>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</si>
  <si>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</si>
  <si>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</si>
  <si>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</si>
  <si>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</si>
  <si>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</si>
  <si>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</si>
  <si>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</si>
  <si>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</si>
  <si>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</si>
  <si>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</si>
  <si>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</si>
  <si>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</si>
  <si>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</si>
  <si>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</si>
  <si>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</si>
  <si>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</si>
  <si>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</si>
  <si>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</si>
  <si>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</si>
  <si>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</si>
  <si>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</si>
  <si>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</si>
  <si>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</si>
  <si>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</si>
  <si>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</si>
  <si>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</si>
  <si>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</si>
  <si>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</si>
  <si>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</si>
  <si>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</si>
  <si>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</si>
  <si>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</si>
  <si>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</si>
  <si>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</si>
  <si>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</si>
  <si>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</si>
  <si>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</si>
  <si>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</si>
  <si>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</si>
  <si>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</si>
  <si>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</si>
  <si>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</si>
  <si>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</si>
  <si>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</si>
  <si>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</si>
  <si>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</si>
  <si>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</si>
  <si>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</si>
  <si>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</si>
  <si>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</si>
  <si>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</si>
  <si>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</si>
  <si>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</si>
  <si>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</si>
  <si>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</si>
  <si>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</si>
  <si>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</si>
  <si>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</si>
  <si>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</si>
  <si>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</si>
  <si>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</si>
  <si>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</si>
  <si>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</si>
  <si>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</si>
  <si>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</si>
  <si>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</si>
  <si>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</si>
  <si>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</si>
  <si>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</si>
  <si>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</si>
  <si>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</si>
  <si>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</si>
  <si>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</si>
  <si>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</si>
  <si>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</si>
  <si>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</si>
  <si>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</si>
  <si>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</si>
  <si>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</si>
  <si>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</si>
  <si>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</si>
  <si>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</si>
  <si>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</si>
  <si>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</si>
  <si>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</si>
  <si>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</si>
  <si>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</si>
  <si>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</si>
  <si>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</si>
  <si>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</si>
  <si>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</si>
  <si>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</si>
  <si>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</si>
  <si>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</si>
  <si>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</si>
  <si>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</si>
  <si>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</si>
  <si>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</si>
  <si>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</si>
  <si>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</si>
  <si>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</si>
  <si>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</si>
  <si>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</si>
  <si>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</si>
  <si>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</si>
  <si>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</si>
  <si>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</si>
  <si>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</si>
  <si>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</si>
  <si>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</si>
  <si>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</si>
  <si>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</si>
  <si>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</si>
  <si>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</si>
  <si>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</si>
  <si>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</si>
  <si>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</si>
  <si>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</si>
  <si>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</si>
  <si>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</si>
  <si>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</si>
  <si>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</si>
  <si>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</si>
  <si>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</si>
  <si>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</si>
  <si>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</si>
  <si>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</si>
  <si>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</si>
  <si>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</si>
  <si>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</si>
  <si>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</si>
  <si>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</si>
  <si>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</si>
  <si>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</si>
  <si>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</si>
  <si>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</si>
  <si>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</si>
  <si>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</si>
  <si>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</si>
  <si>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</si>
  <si>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</si>
  <si>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</si>
  <si>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</si>
  <si>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</si>
  <si>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</si>
  <si>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</si>
  <si>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</si>
  <si>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</si>
  <si>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</si>
  <si>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</si>
  <si>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</si>
  <si>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</si>
  <si>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</si>
  <si>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</si>
  <si>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</si>
  <si>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</si>
  <si>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</si>
  <si>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</si>
  <si>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</si>
  <si>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</si>
  <si>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</si>
  <si>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</si>
  <si>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</si>
  <si>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</si>
  <si>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</si>
  <si>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</si>
  <si>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</si>
  <si>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</si>
  <si>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</si>
  <si>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</si>
  <si>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</si>
  <si>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</si>
  <si>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</si>
  <si>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</si>
  <si>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</si>
  <si>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</si>
  <si>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</si>
  <si>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</si>
  <si>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</si>
  <si>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</si>
  <si>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</si>
  <si>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</si>
  <si>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</si>
  <si>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</si>
  <si>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</si>
  <si>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</si>
  <si>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</si>
  <si>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</si>
  <si>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</si>
  <si>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</si>
  <si>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</si>
  <si>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</si>
  <si>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</si>
  <si>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</si>
  <si>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</si>
  <si>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</si>
  <si>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</si>
  <si>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</si>
  <si>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</si>
  <si>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</si>
  <si>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</si>
  <si>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</si>
  <si>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</si>
  <si>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</si>
  <si>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</si>
  <si>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</si>
  <si>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</si>
  <si>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</si>
  <si>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</si>
  <si>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</si>
  <si>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</si>
  <si>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</si>
  <si>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</si>
  <si>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</si>
  <si>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</si>
  <si>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</si>
  <si>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</si>
  <si>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</si>
  <si>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</si>
  <si>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</si>
  <si>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</si>
  <si>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</si>
  <si>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</si>
  <si>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</si>
  <si>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</si>
  <si>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</si>
  <si>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</si>
  <si>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</si>
  <si>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</si>
  <si>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</si>
  <si>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</si>
  <si>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</si>
  <si>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</si>
  <si>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</si>
  <si>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</si>
  <si>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</si>
  <si>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</si>
  <si>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</si>
  <si>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</si>
  <si>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</si>
  <si>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</si>
  <si>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</si>
  <si>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</si>
  <si>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</si>
  <si>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</si>
  <si>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</si>
  <si>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</si>
  <si>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</si>
  <si>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</si>
  <si>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</si>
  <si>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</si>
  <si>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</si>
  <si>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</si>
  <si>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</si>
  <si>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</si>
  <si>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</si>
  <si>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</si>
  <si>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</si>
  <si>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</si>
  <si>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</si>
  <si>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</si>
  <si>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</si>
  <si>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</si>
  <si>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</si>
  <si>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</si>
  <si>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</si>
  <si>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</si>
  <si>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</si>
  <si>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</si>
  <si>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</si>
  <si>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</si>
  <si>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</si>
  <si>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</si>
  <si>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</si>
  <si>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</si>
  <si>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</si>
  <si>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</si>
  <si>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</si>
  <si>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</si>
  <si>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</si>
  <si>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</si>
  <si>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</si>
  <si>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</si>
  <si>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</si>
  <si>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</si>
  <si>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</si>
  <si>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</si>
  <si>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</si>
  <si>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</si>
  <si>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</si>
  <si>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</si>
  <si>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</si>
  <si>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</si>
  <si>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</si>
  <si>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</si>
  <si>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</si>
  <si>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</si>
  <si>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</si>
  <si>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</si>
  <si>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</si>
  <si>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</si>
  <si>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</si>
  <si>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</si>
  <si>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</si>
  <si>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</si>
  <si>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</si>
  <si>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</si>
  <si>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</si>
  <si>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</si>
  <si>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</si>
  <si>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</si>
  <si>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</si>
  <si>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</si>
  <si>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</si>
  <si>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</si>
  <si>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</si>
  <si>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</si>
  <si>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</si>
  <si>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</si>
  <si>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</si>
  <si>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</si>
  <si>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</si>
  <si>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</si>
  <si>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</si>
  <si>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</si>
  <si>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</si>
  <si>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</si>
  <si>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</si>
  <si>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</si>
  <si>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</si>
  <si>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</si>
  <si>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</si>
  <si>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</si>
  <si>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</si>
  <si>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</si>
  <si>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</si>
  <si>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</si>
  <si>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</si>
  <si>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</si>
  <si>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</si>
  <si>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</si>
  <si>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</si>
  <si>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</si>
  <si>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</si>
  <si>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</si>
  <si>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</si>
  <si>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</si>
  <si>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</si>
  <si>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</si>
  <si>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</si>
  <si>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</si>
  <si>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</si>
  <si>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</si>
  <si>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</si>
  <si>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</si>
  <si>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</si>
  <si>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</si>
  <si>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</si>
  <si>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</si>
  <si>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</si>
  <si>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</si>
  <si>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</si>
  <si>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</si>
  <si>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</si>
  <si>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</si>
  <si>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</si>
  <si>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</si>
  <si>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</si>
  <si>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</si>
  <si>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</si>
  <si>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</si>
  <si>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</si>
  <si>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</si>
  <si>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</si>
  <si>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</si>
  <si>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</si>
  <si>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</si>
  <si>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</si>
  <si>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</si>
  <si>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</si>
  <si>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</si>
  <si>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</si>
  <si>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</si>
  <si>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</si>
  <si>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</si>
  <si>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</si>
  <si>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</si>
  <si>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</si>
  <si>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</si>
  <si>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</si>
  <si>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</si>
  <si>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</si>
  <si>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</si>
  <si>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</si>
  <si>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</si>
  <si>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</si>
  <si>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</si>
  <si>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</si>
  <si>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</si>
  <si>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</si>
  <si>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</si>
  <si>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</si>
  <si>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</si>
  <si>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</si>
  <si>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</si>
  <si>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</si>
  <si>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</si>
  <si>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</si>
  <si>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</si>
  <si>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</si>
  <si>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</si>
  <si>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</si>
  <si>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</si>
  <si>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</si>
  <si>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</si>
  <si>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</si>
  <si>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</si>
  <si>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</si>
  <si>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</si>
  <si>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</si>
  <si>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</si>
  <si>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</si>
  <si>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</si>
  <si>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</si>
  <si>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</si>
  <si>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</si>
  <si>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</si>
  <si>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</si>
  <si>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</si>
  <si>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</si>
  <si>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</si>
  <si>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</si>
  <si>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</si>
  <si>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</si>
  <si>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</si>
  <si>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</si>
  <si>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</si>
  <si>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</si>
  <si>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</si>
  <si>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</si>
  <si>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</si>
  <si>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</si>
  <si>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</si>
  <si>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</si>
  <si>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</si>
  <si>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</si>
  <si>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</si>
  <si>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</si>
  <si>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</si>
  <si>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</si>
  <si>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</si>
  <si>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</si>
  <si>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</si>
  <si>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</si>
  <si>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</si>
  <si>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</si>
  <si>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</si>
  <si>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</si>
  <si>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</si>
  <si>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</si>
  <si>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</si>
  <si>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</si>
  <si>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</si>
  <si>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</si>
  <si>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</si>
  <si>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</si>
  <si>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</si>
  <si>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</si>
  <si>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</si>
  <si>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</si>
  <si>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</si>
  <si>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</si>
  <si>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</si>
  <si>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</si>
  <si>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</si>
  <si>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</si>
  <si>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</si>
  <si>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</si>
  <si>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</si>
  <si>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</si>
  <si>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</si>
  <si>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</si>
  <si>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</si>
  <si>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</si>
  <si>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</si>
  <si>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</si>
  <si>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</si>
  <si>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</si>
  <si>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</si>
  <si>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</si>
  <si>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</si>
  <si>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</si>
  <si>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</si>
  <si>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</si>
  <si>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</si>
  <si>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</si>
  <si>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</si>
  <si>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</si>
  <si>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</si>
  <si>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</si>
  <si>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</si>
  <si>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</si>
  <si>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</si>
  <si>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</si>
  <si>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</si>
  <si>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</si>
  <si>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</si>
  <si>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</si>
  <si>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</si>
  <si>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</si>
  <si>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</si>
  <si>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</si>
  <si>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</si>
  <si>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</si>
  <si>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</si>
  <si>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</si>
  <si>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</si>
  <si>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</si>
  <si>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</si>
  <si>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</si>
  <si>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</si>
  <si>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</si>
  <si>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</si>
  <si>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</si>
  <si>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</si>
  <si>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</si>
  <si>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</si>
  <si>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</si>
  <si>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</si>
  <si>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</si>
  <si>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</si>
  <si>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</si>
  <si>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</si>
  <si>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</si>
  <si>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</si>
  <si>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</si>
  <si>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</si>
  <si>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</si>
  <si>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</si>
  <si>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</si>
  <si>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</si>
  <si>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</si>
  <si>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</si>
  <si>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</si>
  <si>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</si>
  <si>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</si>
  <si>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</si>
  <si>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</si>
  <si>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</si>
  <si>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</si>
  <si>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</si>
  <si>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</si>
  <si>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</si>
  <si>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</si>
  <si>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</si>
  <si>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</si>
  <si>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</si>
  <si>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</si>
  <si>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</si>
  <si>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</si>
  <si>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</si>
  <si>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</si>
  <si>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</si>
  <si>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</si>
  <si>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</si>
  <si>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</si>
  <si>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</si>
  <si>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</si>
  <si>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</si>
  <si>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</si>
  <si>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</si>
  <si>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</si>
  <si>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</si>
  <si>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</si>
  <si>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</si>
  <si>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</si>
  <si>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</si>
  <si>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</si>
  <si>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</si>
  <si>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</si>
  <si>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</si>
  <si>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</si>
  <si>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</si>
  <si>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</si>
  <si>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</si>
  <si>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</si>
  <si>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</si>
  <si>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</si>
  <si>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</si>
  <si>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</si>
  <si>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</si>
  <si>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</si>
  <si>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</si>
  <si>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</si>
  <si>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</si>
  <si>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</si>
  <si>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</si>
  <si>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</si>
  <si>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</si>
  <si>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</si>
  <si>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</si>
  <si>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</si>
  <si>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</si>
  <si>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</si>
  <si>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</si>
  <si>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</si>
  <si>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</si>
  <si>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</si>
  <si>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</si>
  <si>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</si>
  <si>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</si>
  <si>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</si>
  <si>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</si>
  <si>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</si>
  <si>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</si>
  <si>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</si>
  <si>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</si>
  <si>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</si>
  <si>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</si>
  <si>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</si>
  <si>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</si>
  <si>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</si>
  <si>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</si>
  <si>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</si>
  <si>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</si>
  <si>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</si>
  <si>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</si>
  <si>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</si>
  <si>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</si>
  <si>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</si>
  <si>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</si>
  <si>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</si>
  <si>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</si>
  <si>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</si>
  <si>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</si>
  <si>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</si>
  <si>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</si>
  <si>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</si>
  <si>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</si>
  <si>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</si>
  <si>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</si>
  <si>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</si>
  <si>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</si>
  <si>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</si>
  <si>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</si>
  <si>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</si>
  <si>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</si>
  <si>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</si>
  <si>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</si>
  <si>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</si>
  <si>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</si>
  <si>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</si>
  <si>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</si>
  <si>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</si>
  <si>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</si>
  <si>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</si>
  <si>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</si>
  <si>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</si>
  <si>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</si>
  <si>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</si>
  <si>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</si>
  <si>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</si>
  <si>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</si>
  <si>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</si>
  <si>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</si>
  <si>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</si>
  <si>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</si>
  <si>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</si>
  <si>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</si>
  <si>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</si>
  <si>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</si>
  <si>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</si>
  <si>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</si>
  <si>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</si>
  <si>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</si>
  <si>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</si>
  <si>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</si>
  <si>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</si>
  <si>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</si>
  <si>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</si>
  <si>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</si>
  <si>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</si>
  <si>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</si>
  <si>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</si>
  <si>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</si>
  <si>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</si>
  <si>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</si>
  <si>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</si>
  <si>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</si>
  <si>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</si>
  <si>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</si>
  <si>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</si>
  <si>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</si>
  <si>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</si>
  <si>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</si>
  <si>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</si>
  <si>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</si>
  <si>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</si>
  <si>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</si>
  <si>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</si>
  <si>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</si>
  <si>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</si>
  <si>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</si>
  <si>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</si>
  <si>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</si>
  <si>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</si>
  <si>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</si>
  <si>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</si>
  <si>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</si>
  <si>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</si>
  <si>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</si>
  <si>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</si>
  <si>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</si>
  <si>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</si>
  <si>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</si>
  <si>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</si>
  <si>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</si>
  <si>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</si>
  <si>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</si>
  <si>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</si>
  <si>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</si>
  <si>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</si>
  <si>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</si>
  <si>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</si>
  <si>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</si>
  <si>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</si>
  <si>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</si>
  <si>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</si>
  <si>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</si>
  <si>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</si>
  <si>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</si>
  <si>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</si>
  <si>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</si>
  <si>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</si>
  <si>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</si>
  <si>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</si>
  <si>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</si>
  <si>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</si>
  <si>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</si>
  <si>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</si>
  <si>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</si>
  <si>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</si>
  <si>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</si>
  <si>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</si>
  <si>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</si>
  <si>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</si>
  <si>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</si>
  <si>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</si>
  <si>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</si>
  <si>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</si>
  <si>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</si>
  <si>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</si>
  <si>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</si>
  <si>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</si>
  <si>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</si>
  <si>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</si>
  <si>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</si>
  <si>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</si>
  <si>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</si>
  <si>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</si>
  <si>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</si>
  <si>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</si>
  <si>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</si>
  <si>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</si>
  <si>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</si>
  <si>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</si>
  <si>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</si>
  <si>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</si>
  <si>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</si>
  <si>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</si>
  <si>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</si>
  <si>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</si>
  <si>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</si>
  <si>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</si>
  <si>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</si>
  <si>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</si>
  <si>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</si>
  <si>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</si>
  <si>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</si>
  <si>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</si>
  <si>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</si>
  <si>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</si>
  <si>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</si>
  <si>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</si>
  <si>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</si>
  <si>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</si>
  <si>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</si>
  <si>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</si>
  <si>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</si>
  <si>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</si>
  <si>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</si>
  <si>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</si>
  <si>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</si>
  <si>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</si>
  <si>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</si>
  <si>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</si>
  <si>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</si>
  <si>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</si>
  <si>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</si>
  <si>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</si>
  <si>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</si>
  <si>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</si>
  <si>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</si>
  <si>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</si>
  <si>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</si>
  <si>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</si>
  <si>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</si>
  <si>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</si>
  <si>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</si>
  <si>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</si>
  <si>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</si>
  <si>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</si>
  <si>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</si>
  <si>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</si>
  <si>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</si>
  <si>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</si>
  <si>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</si>
  <si>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</si>
  <si>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</si>
  <si>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</si>
  <si>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</si>
  <si>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</si>
  <si>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</si>
  <si>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</si>
  <si>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</si>
  <si>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</si>
  <si>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</si>
  <si>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</si>
  <si>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</si>
  <si>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</si>
  <si>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</si>
  <si>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</si>
  <si>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</si>
  <si>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</si>
  <si>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</si>
  <si>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</si>
  <si>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</si>
  <si>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</si>
  <si>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</si>
  <si>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</si>
  <si>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</si>
  <si>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</si>
  <si>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</si>
  <si>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</si>
  <si>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</si>
  <si>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</si>
  <si>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</si>
  <si>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</si>
  <si>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</si>
  <si>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</si>
  <si>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</si>
  <si>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</si>
  <si>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</si>
  <si>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</si>
  <si>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</si>
  <si>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</si>
  <si>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</si>
  <si>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</si>
  <si>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</si>
  <si>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</si>
  <si>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</si>
  <si>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</si>
  <si>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</si>
  <si>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</si>
  <si>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</si>
  <si>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</si>
  <si>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</si>
  <si>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</si>
  <si>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</si>
  <si>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</si>
  <si>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</si>
  <si>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</si>
  <si>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</si>
  <si>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</si>
  <si>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</si>
  <si>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</si>
  <si>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</si>
  <si>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</si>
  <si>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</si>
  <si>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</si>
  <si>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</si>
  <si>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</si>
  <si>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</si>
  <si>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</si>
  <si>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</si>
  <si>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</si>
  <si>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</si>
  <si>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</si>
  <si>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</si>
  <si>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</si>
  <si>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</si>
  <si>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</si>
  <si>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</si>
  <si>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</si>
  <si>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</si>
  <si>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</si>
  <si>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</si>
  <si>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</si>
  <si>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</si>
  <si>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</si>
  <si>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</si>
  <si>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</si>
  <si>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</si>
  <si>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</si>
  <si>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</si>
  <si>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</si>
  <si>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</si>
  <si>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</si>
  <si>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</si>
  <si>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</si>
  <si>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</si>
  <si>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</si>
  <si>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</si>
  <si>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</si>
  <si>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</si>
  <si>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</si>
  <si>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</si>
  <si>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</si>
  <si>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</si>
  <si>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</si>
  <si>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</si>
  <si>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</si>
  <si>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</si>
  <si>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</si>
  <si>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</si>
  <si>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</si>
  <si>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</si>
  <si>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</si>
  <si>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</si>
  <si>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</si>
  <si>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</si>
  <si>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</si>
  <si>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</si>
  <si>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</si>
  <si>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</si>
  <si>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</si>
  <si>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</si>
  <si>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</si>
  <si>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</si>
  <si>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</si>
  <si>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</si>
  <si>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</si>
  <si>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</si>
  <si>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</si>
  <si>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</si>
  <si>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</si>
  <si>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</si>
  <si>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</si>
  <si>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</si>
  <si>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</si>
  <si>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</si>
  <si>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</si>
  <si>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</si>
  <si>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</si>
  <si>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</si>
  <si>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</si>
  <si>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</si>
  <si>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</si>
  <si>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</si>
  <si>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</si>
  <si>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</si>
  <si>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</si>
  <si>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</si>
  <si>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</si>
  <si>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</si>
  <si>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</si>
  <si>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</si>
  <si>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</si>
  <si>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</si>
  <si>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</si>
  <si>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</si>
  <si>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</si>
  <si>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</si>
  <si>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</si>
  <si>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</si>
  <si>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</si>
  <si>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</si>
  <si>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</si>
  <si>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</si>
  <si>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</si>
  <si>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</si>
  <si>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</si>
  <si>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</si>
  <si>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</si>
  <si>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</si>
  <si>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</si>
  <si>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</si>
  <si>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</si>
  <si>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</si>
  <si>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</si>
  <si>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</si>
  <si>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</si>
  <si>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</si>
  <si>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</si>
  <si>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</si>
  <si>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</si>
  <si>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</si>
  <si>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</si>
  <si>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</si>
  <si>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</si>
  <si>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</si>
  <si>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</si>
  <si>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</si>
  <si>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</si>
  <si>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</si>
  <si>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</si>
  <si>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</si>
  <si>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</si>
  <si>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</si>
  <si>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</si>
  <si>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</si>
  <si>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</si>
  <si>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</si>
  <si>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</si>
  <si>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</si>
  <si>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</si>
  <si>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</si>
  <si>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</si>
  <si>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</si>
  <si>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</si>
  <si>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</si>
  <si>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</si>
  <si>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</si>
  <si>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</si>
  <si>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</si>
  <si>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</si>
  <si>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</si>
  <si>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</si>
  <si>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</si>
  <si>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</si>
  <si>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</si>
  <si>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</si>
  <si>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</si>
  <si>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</si>
  <si>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</si>
  <si>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</si>
  <si>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</si>
  <si>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</si>
  <si>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</si>
  <si>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</si>
  <si>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</si>
  <si>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</si>
  <si>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</si>
  <si>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</si>
  <si>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</si>
  <si>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</si>
  <si>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</si>
  <si>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</si>
  <si>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</si>
  <si>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</si>
  <si>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</si>
  <si>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</si>
  <si>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</si>
  <si>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</si>
  <si>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</si>
  <si>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</si>
  <si>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</si>
  <si>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</si>
  <si>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</si>
  <si>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</si>
  <si>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</si>
  <si>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</si>
  <si>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</si>
  <si>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</si>
  <si>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</si>
  <si>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</si>
  <si>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</si>
  <si>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</si>
  <si>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</si>
  <si>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</si>
  <si>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</si>
  <si>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</si>
  <si>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</si>
  <si>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</si>
  <si>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</si>
  <si>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</si>
  <si>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</si>
  <si>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</si>
  <si>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</si>
  <si>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</si>
  <si>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</si>
  <si>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</si>
  <si>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</si>
  <si>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</si>
  <si>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</si>
  <si>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</si>
  <si>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</si>
  <si>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</si>
  <si>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</si>
  <si>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</si>
  <si>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</si>
  <si>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</si>
  <si>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</si>
  <si>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</si>
  <si>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</si>
  <si>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</si>
  <si>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</si>
  <si>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</si>
  <si>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</si>
  <si>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</si>
  <si>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</si>
  <si>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</si>
  <si>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</si>
  <si>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</si>
  <si>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</si>
  <si>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</si>
  <si>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</si>
  <si>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</si>
  <si>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</si>
  <si>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</si>
  <si>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</si>
  <si>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</si>
  <si>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</si>
  <si>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</si>
  <si>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</si>
  <si>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</si>
  <si>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</si>
  <si>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</si>
  <si>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</si>
  <si>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</si>
  <si>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</si>
  <si>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</si>
  <si>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</si>
  <si>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</si>
  <si>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</si>
  <si>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</si>
  <si>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</si>
  <si>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</si>
  <si>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</si>
  <si>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</si>
  <si>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</si>
  <si>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</si>
  <si>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</si>
  <si>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</si>
  <si>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</si>
  <si>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</si>
  <si>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</si>
  <si>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</si>
  <si>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</si>
  <si>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</si>
  <si>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</si>
  <si>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</si>
  <si>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</si>
  <si>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</si>
  <si>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</si>
  <si>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</si>
  <si>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</si>
  <si>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</si>
  <si>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</si>
  <si>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</si>
  <si>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</si>
  <si>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</si>
  <si>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</si>
  <si>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</si>
  <si>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</si>
  <si>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</si>
  <si>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</si>
  <si>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</si>
  <si>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</si>
  <si>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</si>
  <si>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</si>
  <si>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</si>
  <si>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</si>
  <si>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</si>
  <si>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</si>
  <si>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</si>
  <si>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</si>
  <si>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</si>
  <si>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</si>
  <si>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</si>
  <si>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</si>
  <si>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</si>
  <si>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</si>
  <si>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</si>
  <si>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</si>
  <si>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</si>
  <si>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</si>
  <si>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</si>
  <si>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</si>
  <si>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</si>
  <si>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</si>
  <si>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</si>
  <si>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</si>
  <si>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</si>
  <si>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</si>
  <si>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</si>
  <si>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</si>
  <si>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</si>
  <si>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</si>
  <si>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</si>
  <si>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</si>
  <si>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</si>
  <si>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</si>
  <si>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</si>
  <si>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</si>
  <si>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</si>
  <si>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</si>
  <si>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</si>
  <si>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</si>
  <si>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</si>
  <si>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</si>
  <si>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</si>
  <si>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</si>
  <si>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</si>
  <si>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</si>
  <si>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</si>
  <si>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</si>
  <si>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</si>
  <si>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</si>
  <si>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</si>
  <si>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</si>
  <si>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</si>
  <si>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</si>
  <si>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</si>
  <si>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</si>
  <si>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</si>
  <si>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</si>
  <si>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</si>
  <si>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</si>
  <si>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</si>
  <si>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</si>
  <si>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</si>
  <si>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</si>
  <si>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</si>
  <si>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</si>
  <si>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</si>
  <si>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</si>
  <si>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</si>
  <si>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</si>
  <si>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</si>
  <si>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</si>
  <si>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</si>
  <si>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</si>
  <si>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</si>
  <si>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</si>
  <si>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</si>
  <si>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</si>
  <si>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</si>
  <si>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</si>
  <si>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</si>
  <si>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</si>
  <si>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</si>
  <si>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</si>
  <si>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</si>
  <si>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</si>
  <si>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</si>
  <si>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</si>
  <si>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</si>
  <si>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</si>
  <si>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</si>
  <si>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</si>
  <si>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</si>
  <si>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</si>
  <si>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</si>
  <si>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</si>
  <si>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</si>
  <si>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</si>
  <si>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</si>
  <si>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</si>
  <si>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</si>
  <si>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</si>
  <si>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</si>
  <si>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</si>
  <si>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</si>
  <si>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</si>
  <si>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</si>
  <si>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</si>
  <si>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</si>
  <si>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</si>
  <si>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</si>
  <si>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</si>
  <si>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</si>
  <si>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</si>
  <si>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</si>
  <si>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</si>
  <si>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</si>
  <si>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</si>
  <si>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</si>
  <si>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</si>
  <si>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</si>
  <si>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</si>
  <si>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</si>
  <si>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</si>
  <si>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</si>
  <si>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</si>
  <si>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</si>
  <si>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</si>
  <si>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</si>
  <si>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</si>
  <si>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</si>
  <si>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</si>
  <si>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</si>
  <si>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</si>
  <si>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</si>
  <si>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</si>
  <si>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</si>
  <si>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</si>
  <si>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</si>
  <si>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</si>
  <si>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</si>
  <si>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</si>
  <si>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</si>
  <si>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</si>
  <si>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</si>
  <si>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</si>
  <si>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</si>
  <si>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</si>
  <si>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</si>
  <si>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</si>
  <si>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</si>
  <si>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</si>
  <si>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</si>
  <si>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</si>
  <si>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</si>
  <si>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</si>
  <si>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</si>
  <si>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</si>
  <si>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</si>
  <si>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</si>
  <si>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</si>
  <si>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</si>
  <si>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</si>
  <si>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</si>
  <si>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</si>
  <si>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</si>
  <si>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</si>
  <si>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</si>
  <si>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</si>
  <si>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</si>
  <si>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</si>
  <si>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</si>
  <si>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</si>
  <si>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</si>
  <si>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</si>
  <si>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</si>
  <si>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</si>
  <si>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</si>
  <si>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</si>
  <si>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</si>
  <si>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</si>
  <si>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</si>
  <si>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</si>
  <si>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</si>
  <si>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</si>
  <si>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</si>
  <si>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</si>
  <si>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</si>
  <si>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</si>
  <si>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</si>
  <si>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</si>
  <si>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</si>
  <si>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</si>
  <si>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</si>
  <si>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</si>
  <si>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</si>
  <si>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</si>
  <si>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</si>
  <si>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</si>
  <si>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</si>
  <si>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</si>
  <si>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</si>
  <si>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</si>
  <si>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</si>
  <si>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</si>
  <si>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</si>
  <si>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</si>
  <si>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</si>
  <si>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</si>
  <si>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</si>
  <si>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</si>
  <si>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</si>
  <si>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</si>
  <si>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</si>
  <si>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</si>
  <si>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</si>
  <si>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</si>
  <si>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</si>
  <si>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</si>
  <si>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</si>
  <si>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</si>
  <si>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</si>
  <si>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</si>
  <si>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</si>
  <si>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</si>
  <si>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</si>
  <si>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</si>
  <si>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</si>
  <si>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</si>
  <si>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</si>
  <si>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</si>
  <si>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</si>
  <si>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</si>
  <si>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</si>
  <si>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</si>
  <si>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</si>
  <si>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</si>
  <si>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</si>
  <si>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</si>
  <si>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</si>
  <si>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</si>
  <si>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</si>
  <si>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</si>
  <si>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</si>
  <si>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</si>
  <si>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</si>
  <si>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</si>
  <si>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</si>
  <si>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</si>
  <si>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</si>
  <si>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</si>
  <si>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</si>
  <si>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</si>
  <si>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</si>
  <si>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</si>
  <si>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</si>
  <si>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</si>
  <si>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</si>
  <si>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</si>
  <si>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</si>
  <si>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</si>
  <si>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</si>
  <si>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</si>
  <si>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</si>
  <si>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</si>
  <si>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</si>
  <si>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</si>
  <si>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</si>
  <si>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</si>
  <si>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</si>
  <si>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</si>
  <si>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</si>
  <si>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</si>
  <si>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</si>
  <si>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</si>
  <si>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</si>
  <si>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</si>
  <si>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</si>
  <si>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</si>
  <si>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</si>
  <si>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</si>
  <si>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</si>
  <si>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</si>
  <si>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</si>
  <si>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</si>
  <si>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</si>
  <si>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</si>
  <si>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</si>
  <si>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</si>
  <si>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</si>
  <si>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</si>
  <si>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</si>
  <si>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</si>
  <si>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</si>
  <si>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</si>
  <si>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</si>
  <si>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</si>
  <si>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</si>
  <si>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</si>
  <si>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</si>
  <si>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</si>
  <si>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</si>
  <si>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</si>
  <si>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</si>
  <si>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</si>
  <si>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</si>
  <si>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</si>
  <si>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</si>
  <si>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</si>
  <si>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</si>
  <si>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</si>
  <si>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</si>
  <si>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</si>
  <si>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</si>
  <si>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</si>
  <si>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</si>
  <si>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</si>
  <si>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</si>
  <si>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</si>
  <si>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</si>
  <si>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</si>
  <si>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</si>
  <si>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</si>
  <si>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</si>
  <si>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</si>
  <si>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</si>
  <si>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</si>
  <si>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</si>
  <si>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</si>
  <si>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</si>
  <si>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</si>
  <si>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</si>
  <si>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</si>
  <si>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</si>
  <si>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</si>
  <si>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</si>
  <si>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</si>
  <si>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</si>
  <si>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</si>
  <si>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</si>
  <si>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</si>
  <si>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</si>
  <si>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</si>
  <si>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</si>
  <si>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</si>
  <si>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</si>
  <si>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</si>
  <si>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</si>
  <si>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</si>
  <si>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</si>
  <si>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</si>
  <si>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</si>
  <si>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</si>
  <si>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</si>
  <si>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</si>
  <si>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</si>
  <si>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</si>
  <si>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</si>
  <si>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</si>
  <si>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</si>
  <si>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</si>
  <si>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</si>
  <si>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</si>
  <si>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</si>
  <si>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</si>
  <si>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</si>
  <si>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</si>
  <si>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</si>
  <si>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</si>
  <si>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</si>
  <si>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</si>
  <si>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</si>
  <si>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</si>
  <si>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</si>
  <si>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</si>
  <si>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</si>
  <si>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</si>
  <si>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</si>
  <si>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</si>
  <si>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</si>
  <si>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</si>
  <si>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</si>
  <si>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</si>
  <si>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</si>
  <si>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</si>
  <si>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</si>
  <si>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</si>
  <si>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</si>
  <si>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</si>
  <si>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</si>
  <si>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</si>
  <si>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</si>
  <si>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</si>
  <si>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</si>
  <si>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</si>
  <si>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</si>
  <si>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</si>
  <si>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</si>
  <si>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</si>
  <si>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</si>
  <si>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</si>
  <si>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</si>
  <si>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</si>
  <si>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</si>
  <si>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</si>
  <si>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</si>
  <si>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</si>
  <si>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</si>
  <si>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</si>
  <si>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</si>
  <si>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</si>
  <si>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</si>
  <si>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</si>
  <si>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</si>
  <si>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</si>
  <si>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</si>
  <si>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</si>
  <si>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</si>
  <si>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</si>
  <si>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</si>
  <si>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</si>
  <si>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</si>
  <si>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</si>
  <si>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</si>
  <si>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</si>
  <si>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</si>
  <si>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</si>
  <si>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</si>
  <si>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</si>
  <si>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</si>
  <si>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</si>
  <si>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</si>
  <si>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</si>
  <si>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</si>
  <si>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</si>
  <si>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</si>
  <si>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</si>
  <si>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</si>
  <si>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</si>
  <si>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</si>
  <si>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</si>
  <si>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</si>
  <si>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</si>
  <si>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</si>
  <si>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</si>
  <si>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</si>
  <si>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</si>
  <si>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</si>
  <si>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</si>
  <si>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</si>
  <si>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</si>
  <si>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</si>
  <si>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</si>
  <si>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</si>
  <si>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</si>
  <si>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</si>
  <si>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</si>
  <si>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</si>
  <si>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</si>
  <si>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</si>
  <si>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</si>
  <si>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</si>
  <si>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</si>
  <si>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</si>
  <si>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</si>
  <si>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</si>
  <si>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</si>
  <si>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</si>
  <si>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</si>
  <si>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</si>
  <si>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</si>
  <si>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</si>
  <si>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</si>
  <si>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</si>
  <si>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</si>
  <si>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</si>
  <si>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</si>
  <si>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</si>
  <si>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</si>
  <si>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</si>
  <si>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</si>
  <si>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</si>
  <si>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</si>
  <si>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</si>
  <si>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</si>
  <si>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</si>
  <si>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</si>
  <si>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</si>
  <si>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</si>
  <si>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</si>
  <si>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</si>
  <si>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</si>
  <si>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</si>
  <si>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</si>
  <si>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</si>
  <si>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</si>
  <si>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</si>
  <si>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</si>
  <si>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</si>
  <si>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</si>
  <si>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</si>
  <si>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</si>
  <si>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</si>
  <si>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</si>
  <si>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</si>
  <si>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</si>
  <si>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</si>
  <si>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</si>
  <si>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</si>
  <si>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</si>
  <si>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</si>
  <si>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</si>
  <si>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</si>
  <si>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</si>
  <si>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</si>
  <si>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</si>
  <si>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</si>
  <si>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</si>
  <si>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</si>
  <si>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</si>
  <si>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</si>
  <si>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</si>
  <si>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</si>
  <si>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</si>
  <si>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</si>
  <si>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</si>
  <si>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</si>
  <si>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</si>
  <si>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</si>
  <si>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</si>
  <si>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</si>
  <si>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</si>
  <si>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</si>
  <si>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</si>
  <si>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</si>
  <si>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</si>
  <si>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</si>
  <si>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</si>
  <si>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</si>
  <si>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</si>
  <si>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</si>
  <si>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</si>
  <si>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</si>
  <si>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</si>
  <si>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</si>
  <si>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</si>
  <si>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</si>
  <si>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</si>
  <si>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</si>
  <si>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</si>
  <si>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</si>
  <si>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</si>
  <si>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</si>
  <si>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</si>
  <si>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</si>
  <si>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</si>
  <si>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</si>
  <si>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</si>
  <si>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</si>
  <si>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</si>
  <si>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</si>
  <si>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</si>
  <si>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</si>
  <si>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</si>
  <si>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</si>
  <si>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</si>
  <si>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</si>
  <si>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</si>
  <si>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</si>
  <si>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</si>
  <si>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</si>
  <si>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</si>
  <si>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</si>
  <si>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</si>
  <si>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</si>
  <si>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</si>
  <si>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</si>
  <si>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</si>
  <si>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</si>
  <si>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</si>
  <si>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</si>
  <si>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</si>
  <si>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</si>
  <si>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</si>
  <si>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</si>
  <si>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</si>
  <si>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</si>
  <si>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</si>
  <si>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</si>
  <si>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</si>
  <si>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</si>
  <si>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</si>
  <si>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</si>
  <si>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</si>
  <si>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</si>
  <si>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</si>
  <si>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</si>
  <si>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</si>
  <si>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</si>
  <si>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</si>
  <si>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</si>
  <si>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</si>
  <si>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</si>
  <si>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</si>
  <si>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</si>
  <si>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</si>
  <si>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</si>
  <si>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</si>
  <si>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</si>
  <si>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</si>
  <si>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</si>
  <si>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</si>
  <si>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</si>
  <si>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</si>
  <si>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</si>
  <si>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</si>
  <si>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</si>
  <si>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</si>
  <si>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</si>
  <si>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</si>
  <si>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</si>
  <si>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</si>
  <si>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</si>
  <si>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</si>
  <si>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</si>
  <si>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</si>
  <si>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</si>
  <si>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</si>
  <si>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</si>
  <si>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</si>
  <si>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</si>
  <si>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</si>
  <si>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</si>
  <si>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</si>
  <si>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</si>
  <si>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</si>
  <si>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</si>
  <si>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</si>
  <si>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</si>
  <si>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</si>
  <si>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</si>
  <si>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</si>
  <si>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</si>
  <si>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</si>
  <si>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</si>
  <si>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</si>
  <si>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</si>
  <si>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</si>
  <si>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</si>
  <si>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</si>
  <si>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</si>
  <si>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</si>
  <si>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</si>
  <si>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</si>
  <si>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</si>
  <si>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</si>
  <si>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</si>
  <si>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</si>
  <si>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</si>
  <si>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</si>
  <si>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</si>
  <si>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</si>
  <si>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</si>
  <si>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</si>
  <si>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</si>
  <si>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</si>
  <si>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</si>
  <si>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</si>
  <si>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</si>
  <si>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</si>
  <si>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</si>
  <si>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</si>
  <si>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</si>
  <si>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</si>
  <si>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</si>
  <si>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</si>
  <si>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</si>
  <si>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</si>
  <si>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</si>
  <si>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</si>
  <si>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</si>
  <si>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</si>
  <si>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</si>
  <si>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</si>
  <si>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</si>
  <si>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</si>
  <si>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</si>
  <si>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</si>
  <si>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</si>
  <si>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</si>
  <si>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</si>
  <si>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</si>
  <si>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</si>
  <si>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</si>
  <si>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</si>
  <si>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</si>
  <si>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</si>
  <si>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</si>
  <si>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</si>
  <si>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</si>
  <si>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</si>
  <si>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</si>
  <si>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</si>
  <si>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</si>
  <si>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</si>
  <si>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</si>
  <si>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</si>
  <si>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</si>
  <si>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</si>
  <si>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</si>
  <si>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</si>
  <si>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</si>
  <si>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</si>
  <si>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</si>
  <si>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</si>
  <si>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</si>
  <si>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</si>
  <si>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</si>
  <si>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</si>
  <si>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</si>
  <si>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</si>
  <si>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</si>
  <si>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</si>
  <si>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</si>
  <si>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</si>
  <si>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</si>
  <si>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</si>
  <si>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</si>
  <si>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</si>
  <si>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</si>
  <si>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</si>
  <si>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</si>
  <si>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</si>
  <si>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</si>
  <si>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</si>
  <si>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</si>
  <si>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</si>
  <si>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</si>
  <si>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</si>
  <si>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</si>
  <si>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</si>
  <si>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</si>
  <si>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</si>
  <si>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</si>
  <si>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</si>
  <si>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</si>
  <si>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</si>
  <si>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</si>
  <si>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</si>
  <si>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</si>
  <si>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</si>
  <si>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</si>
  <si>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</si>
  <si>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</si>
  <si>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</si>
  <si>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</si>
  <si>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</si>
  <si>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</si>
  <si>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</si>
  <si>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</si>
  <si>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</si>
  <si>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</si>
  <si>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</si>
  <si>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</si>
  <si>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</si>
  <si>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</si>
  <si>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</si>
  <si>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</si>
  <si>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</si>
  <si>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</si>
  <si>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</si>
  <si>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</si>
  <si>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</si>
  <si>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</si>
  <si>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</si>
  <si>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</si>
  <si>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</si>
  <si>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</si>
  <si>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</si>
  <si>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</si>
  <si>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</si>
  <si>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</si>
  <si>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</si>
  <si>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</si>
  <si>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</si>
  <si>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</si>
  <si>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</si>
  <si>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</si>
  <si>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</si>
  <si>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</si>
  <si>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</si>
  <si>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</si>
  <si>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</si>
  <si>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</si>
  <si>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</si>
  <si>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</si>
  <si>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</si>
  <si>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</si>
  <si>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</si>
  <si>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</si>
  <si>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</si>
  <si>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</si>
  <si>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</si>
  <si>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</si>
  <si>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</si>
  <si>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</si>
  <si>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</si>
  <si>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</si>
  <si>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</si>
  <si>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</si>
  <si>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</si>
  <si>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</si>
  <si>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</si>
  <si>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</si>
  <si>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</si>
  <si>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</si>
  <si>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</si>
  <si>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</si>
  <si>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</si>
  <si>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</si>
  <si>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</si>
  <si>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</si>
  <si>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</si>
  <si>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</si>
  <si>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</si>
  <si>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</si>
  <si>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</si>
  <si>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</si>
  <si>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</si>
  <si>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</si>
  <si>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</si>
  <si>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</si>
  <si>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</si>
  <si>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</si>
  <si>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</si>
  <si>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</si>
  <si>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</si>
  <si>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</si>
  <si>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</si>
  <si>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</si>
  <si>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</si>
  <si>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</si>
  <si>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</si>
  <si>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</si>
  <si>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</si>
  <si>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</si>
  <si>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</si>
  <si>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</si>
  <si>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</si>
  <si>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</si>
  <si>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</si>
  <si>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</si>
  <si>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</si>
  <si>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</si>
  <si>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</si>
  <si>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</si>
  <si>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</si>
  <si>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</si>
  <si>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</si>
  <si>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</si>
  <si>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</si>
  <si>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</si>
  <si>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</si>
  <si>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</si>
  <si>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</si>
  <si>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</si>
  <si>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</si>
  <si>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</si>
  <si>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</si>
  <si>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</si>
  <si>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</si>
  <si>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</si>
  <si>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</si>
  <si>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</si>
  <si>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</si>
  <si>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</si>
  <si>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</si>
  <si>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</si>
  <si>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</si>
  <si>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</si>
  <si>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</si>
  <si>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</si>
  <si>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</si>
  <si>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</si>
  <si>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</si>
  <si>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</si>
  <si>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</si>
  <si>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</si>
  <si>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</si>
  <si>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</si>
  <si>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</si>
  <si>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</si>
  <si>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</si>
  <si>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</si>
  <si>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</si>
  <si>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</si>
  <si>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</si>
  <si>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</si>
  <si>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</si>
  <si>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</si>
  <si>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</si>
  <si>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</si>
  <si>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</si>
  <si>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</si>
  <si>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</si>
  <si>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</si>
  <si>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</si>
  <si>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</si>
  <si>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</si>
  <si>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</si>
  <si>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</si>
  <si>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</si>
  <si>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</si>
  <si>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</si>
  <si>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</si>
  <si>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</si>
  <si>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</si>
  <si>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</si>
  <si>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</si>
  <si>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</si>
  <si>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</si>
  <si>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</si>
  <si>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</si>
  <si>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</si>
  <si>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</si>
  <si>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</si>
  <si>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</si>
  <si>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</si>
  <si>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</si>
  <si>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</si>
  <si>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</si>
  <si>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</si>
  <si>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</si>
  <si>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</si>
  <si>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</si>
  <si>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</si>
  <si>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</si>
  <si>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</si>
  <si>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</si>
  <si>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</si>
  <si>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</si>
  <si>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</si>
  <si>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</si>
  <si>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</si>
  <si>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</si>
  <si>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</si>
  <si>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</si>
  <si>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</si>
  <si>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</si>
  <si>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</si>
  <si>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</si>
  <si>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</si>
  <si>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</si>
  <si>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</si>
  <si>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</si>
  <si>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</si>
  <si>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</si>
  <si>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</si>
  <si>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</si>
  <si>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</si>
  <si>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</si>
  <si>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</si>
  <si>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</si>
  <si>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</si>
  <si>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</si>
  <si>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</si>
  <si>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</si>
  <si>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</si>
  <si>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</si>
  <si>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</si>
  <si>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</si>
  <si>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</si>
  <si>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</si>
  <si>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</si>
  <si>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</si>
  <si>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</si>
  <si>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</si>
  <si>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</si>
  <si>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</si>
  <si>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</si>
  <si>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</si>
  <si>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</si>
  <si>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</si>
  <si>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</si>
  <si>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</si>
  <si>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</si>
  <si>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</si>
  <si>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</si>
  <si>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</si>
  <si>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</si>
  <si>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</si>
  <si>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</si>
  <si>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</si>
  <si>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</si>
  <si>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</si>
  <si>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</si>
  <si>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</si>
  <si>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</si>
  <si>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</si>
  <si>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</si>
  <si>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</si>
  <si>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</si>
  <si>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</si>
  <si>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</si>
  <si>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</si>
  <si>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</si>
  <si>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</si>
  <si>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</si>
  <si>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</si>
  <si>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</si>
  <si>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</si>
  <si>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</si>
  <si>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</si>
  <si>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</si>
  <si>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</si>
  <si>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</si>
  <si>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</si>
  <si>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</si>
  <si>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</si>
  <si>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</si>
  <si>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</si>
  <si>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</si>
  <si>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</si>
  <si>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</si>
  <si>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</si>
  <si>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</si>
  <si>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</si>
  <si>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</si>
  <si>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</si>
  <si>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</si>
  <si>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</si>
  <si>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</si>
  <si>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</si>
  <si>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</si>
  <si>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</si>
  <si>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</si>
  <si>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</si>
  <si>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</si>
  <si>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</si>
  <si>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</si>
  <si>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</si>
  <si>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</si>
  <si>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</si>
  <si>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</si>
  <si>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</si>
  <si>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</si>
  <si>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</si>
  <si>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</si>
  <si>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</si>
  <si>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</si>
  <si>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</si>
  <si>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</si>
  <si>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</si>
  <si>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</si>
  <si>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</si>
  <si>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</si>
  <si>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</si>
  <si>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</si>
  <si>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</si>
  <si>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</si>
  <si>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</si>
  <si>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</si>
  <si>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</si>
  <si>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</si>
  <si>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</si>
  <si>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</si>
  <si>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</si>
  <si>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</si>
  <si>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</si>
  <si>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</si>
  <si>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</si>
  <si>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</si>
  <si>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</si>
  <si>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</si>
  <si>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</si>
  <si>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</si>
  <si>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</si>
  <si>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</si>
  <si>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</si>
  <si>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</si>
  <si>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</si>
  <si>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</si>
  <si>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</si>
  <si>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</si>
  <si>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</si>
  <si>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</si>
  <si>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</si>
  <si>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</si>
  <si>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</si>
  <si>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</si>
  <si>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</si>
  <si>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</si>
  <si>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</si>
  <si>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</si>
  <si>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</si>
  <si>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</si>
  <si>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</si>
  <si>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</si>
  <si>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</si>
  <si>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</si>
  <si>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</si>
  <si>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</si>
  <si>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</si>
  <si>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</si>
  <si>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</si>
  <si>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</si>
  <si>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</si>
  <si>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</si>
  <si>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</si>
  <si>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</si>
  <si>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</si>
  <si>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</si>
  <si>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</si>
  <si>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</si>
  <si>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</si>
  <si>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</si>
  <si>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</si>
  <si>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</si>
  <si>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</si>
  <si>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</si>
  <si>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</si>
  <si>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</si>
  <si>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</si>
  <si>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</si>
  <si>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</si>
  <si>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</si>
  <si>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</si>
  <si>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</si>
  <si>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</si>
  <si>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</si>
  <si>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</si>
  <si>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</si>
  <si>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</si>
  <si>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</si>
  <si>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</si>
  <si>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</si>
  <si>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</si>
  <si>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</si>
  <si>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</si>
  <si>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</si>
  <si>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</si>
  <si>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</si>
  <si>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</si>
  <si>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</si>
  <si>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</si>
  <si>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</si>
  <si>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</si>
  <si>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</si>
  <si>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</si>
  <si>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</si>
  <si>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</si>
  <si>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</si>
  <si>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</si>
  <si>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</si>
  <si>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</si>
  <si>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</si>
  <si>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</si>
  <si>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</si>
  <si>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</si>
  <si>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</si>
  <si>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</si>
  <si>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</si>
  <si>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</si>
  <si>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</si>
  <si>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</si>
  <si>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</si>
  <si>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</si>
  <si>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</si>
  <si>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</si>
  <si>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</si>
  <si>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</si>
  <si>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</si>
  <si>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</si>
  <si>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</si>
  <si>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</si>
  <si>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</si>
  <si>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</si>
  <si>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</si>
  <si>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</si>
  <si>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</si>
  <si>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</si>
  <si>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</si>
  <si>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</si>
  <si>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</si>
  <si>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</si>
  <si>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</si>
  <si>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</si>
  <si>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</si>
  <si>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</si>
  <si>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</si>
  <si>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</si>
  <si>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</si>
  <si>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</si>
  <si>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</si>
  <si>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</si>
  <si>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</si>
  <si>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</si>
  <si>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</si>
  <si>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</si>
  <si>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</si>
  <si>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</si>
  <si>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</si>
  <si>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</si>
  <si>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</si>
  <si>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</si>
  <si>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</si>
  <si>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</si>
  <si>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</si>
  <si>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</si>
  <si>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</si>
  <si>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</si>
  <si>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</si>
  <si>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</si>
  <si>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</si>
  <si>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</si>
  <si>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</si>
  <si>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</si>
  <si>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</si>
  <si>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</si>
  <si>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</si>
  <si>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</si>
  <si>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</si>
  <si>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</si>
  <si>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</si>
  <si>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</si>
  <si>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</si>
  <si>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</si>
  <si>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</si>
  <si>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</si>
  <si>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</si>
  <si>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</si>
  <si>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</si>
  <si>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</si>
  <si>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</si>
  <si>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</si>
  <si>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</si>
  <si>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</si>
  <si>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</si>
  <si>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</si>
  <si>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</si>
  <si>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</si>
  <si>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</si>
  <si>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</si>
  <si>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</si>
  <si>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</si>
  <si>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</si>
  <si>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</si>
  <si>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</si>
  <si>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</si>
  <si>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</si>
  <si>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</si>
  <si>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</si>
  <si>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</si>
  <si>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</si>
  <si>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</si>
  <si>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</si>
  <si>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</si>
  <si>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</si>
  <si>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</si>
  <si>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</si>
  <si>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</si>
  <si>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</si>
  <si>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</si>
  <si>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</si>
  <si>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</si>
  <si>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</si>
  <si>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</si>
  <si>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</si>
  <si>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</si>
  <si>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</si>
  <si>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</si>
  <si>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</si>
  <si>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</si>
  <si>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</si>
  <si>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</si>
  <si>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</si>
  <si>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</si>
  <si>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</si>
  <si>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</si>
  <si>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</si>
  <si>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</si>
  <si>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</si>
  <si>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</si>
  <si>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</si>
  <si>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</si>
  <si>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</si>
  <si>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</si>
  <si>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</si>
  <si>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</si>
  <si>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</si>
  <si>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</si>
  <si>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</si>
  <si>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</si>
  <si>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</si>
  <si>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</si>
  <si>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</si>
  <si>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</si>
  <si>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</si>
  <si>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</si>
  <si>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</si>
  <si>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</si>
  <si>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</si>
  <si>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</si>
  <si>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</si>
  <si>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</si>
  <si>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</si>
  <si>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</si>
  <si>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</si>
  <si>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</si>
  <si>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</si>
  <si>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</si>
  <si>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</si>
  <si>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</si>
  <si>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</si>
  <si>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</si>
  <si>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</si>
  <si>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</si>
  <si>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</si>
  <si>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</si>
  <si>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</si>
  <si>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</si>
  <si>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</si>
  <si>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</si>
  <si>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</si>
  <si>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</si>
  <si>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</si>
  <si>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</si>
  <si>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</si>
  <si>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</si>
  <si>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</si>
  <si>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</si>
  <si>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</si>
  <si>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</si>
  <si>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</si>
  <si>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</si>
  <si>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</si>
  <si>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</si>
  <si>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</si>
  <si>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</si>
  <si>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</si>
  <si>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</si>
  <si>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</si>
  <si>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</si>
  <si>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</si>
  <si>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</si>
  <si>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</si>
  <si>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</si>
  <si>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</si>
  <si>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</si>
  <si>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</si>
  <si>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</si>
  <si>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</si>
  <si>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</si>
  <si>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</si>
  <si>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</si>
  <si>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</si>
  <si>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</si>
  <si>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</si>
  <si>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</si>
  <si>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</si>
  <si>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</si>
  <si>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</si>
  <si>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</si>
  <si>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</si>
  <si>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</si>
  <si>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</si>
  <si>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</si>
  <si>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</si>
  <si>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</si>
  <si>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</si>
  <si>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</si>
  <si>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</si>
  <si>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</si>
  <si>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</si>
  <si>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</si>
  <si>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</si>
  <si>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</si>
  <si>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</si>
  <si>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</si>
  <si>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</si>
  <si>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</si>
  <si>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</si>
  <si>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</si>
  <si>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</si>
  <si>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</si>
  <si>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</si>
  <si>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</si>
  <si>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</si>
  <si>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</si>
  <si>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</si>
  <si>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</si>
  <si>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</si>
  <si>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</si>
  <si>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</si>
  <si>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</si>
  <si>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</si>
  <si>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</si>
  <si>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</si>
  <si>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</si>
  <si>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</si>
  <si>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</si>
  <si>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</si>
  <si>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</si>
  <si>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</si>
  <si>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</si>
  <si>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</si>
  <si>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</si>
  <si>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</si>
  <si>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</si>
  <si>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</si>
  <si>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</si>
  <si>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</si>
  <si>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</si>
  <si>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</si>
  <si>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</si>
  <si>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</si>
  <si>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</si>
  <si>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</si>
  <si>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</si>
  <si>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</si>
  <si>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</si>
  <si>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</si>
  <si>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</si>
  <si>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</si>
  <si>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</si>
  <si>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</si>
  <si>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</si>
  <si>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</si>
  <si>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</si>
  <si>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</si>
  <si>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</si>
  <si>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</si>
  <si>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</si>
  <si>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</si>
  <si>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</si>
  <si>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</si>
  <si>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</si>
  <si>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</si>
  <si>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</si>
  <si>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</si>
  <si>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</si>
  <si>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</si>
  <si>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</si>
  <si>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</si>
  <si>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</si>
  <si>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</si>
  <si>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</si>
  <si>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</si>
  <si>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</si>
  <si>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</si>
  <si>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</si>
  <si>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</si>
  <si>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</si>
  <si>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</si>
  <si>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</si>
  <si>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</si>
  <si>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</si>
  <si>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</si>
  <si>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</si>
  <si>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</si>
  <si>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</si>
  <si>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</si>
  <si>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</si>
  <si>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</si>
  <si>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</si>
  <si>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</si>
  <si>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</si>
  <si>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</si>
  <si>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</si>
  <si>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</si>
  <si>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</si>
  <si>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</si>
  <si>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</si>
  <si>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</si>
  <si>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</si>
  <si>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</si>
  <si>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</si>
  <si>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</si>
  <si>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</si>
  <si>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</si>
  <si>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</si>
  <si>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</si>
  <si>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</si>
  <si>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</si>
  <si>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</si>
  <si>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</si>
  <si>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</si>
  <si>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</si>
  <si>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</si>
  <si>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</si>
  <si>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</si>
  <si>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</si>
  <si>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</si>
  <si>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</si>
  <si>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</si>
  <si>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</si>
  <si>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</si>
  <si>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</si>
  <si>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</si>
  <si>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</si>
  <si>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</si>
  <si>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</si>
  <si>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</si>
  <si>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</si>
  <si>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</si>
  <si>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</si>
  <si>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</si>
  <si>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</si>
  <si>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</si>
  <si>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</si>
  <si>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</si>
  <si>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</si>
  <si>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</si>
  <si>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</si>
  <si>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</si>
  <si>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</si>
  <si>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</si>
  <si>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</si>
  <si>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</si>
  <si>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</si>
  <si>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</si>
  <si>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</si>
  <si>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</si>
  <si>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</si>
  <si>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</si>
  <si>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</si>
  <si>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</si>
  <si>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</si>
  <si>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</si>
  <si>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</si>
  <si>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</si>
  <si>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</si>
  <si>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</si>
  <si>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</si>
  <si>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</si>
  <si>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</si>
  <si>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</si>
  <si>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</si>
  <si>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</si>
  <si>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</si>
  <si>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</si>
  <si>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</si>
  <si>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</si>
  <si>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</si>
  <si>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</si>
  <si>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</si>
  <si>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</si>
  <si>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</si>
  <si>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</si>
  <si>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</si>
  <si>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</si>
  <si>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</si>
  <si>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</si>
  <si>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</si>
  <si>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</si>
  <si>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</si>
  <si>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</si>
  <si>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</si>
  <si>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</si>
  <si>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</si>
  <si>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</si>
  <si>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</si>
  <si>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</si>
  <si>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</si>
  <si>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</si>
  <si>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</si>
  <si>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</si>
  <si>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</si>
  <si>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</si>
  <si>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</si>
  <si>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</si>
  <si>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</si>
  <si>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</si>
  <si>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</si>
  <si>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</si>
  <si>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</si>
  <si>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</si>
  <si>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</si>
  <si>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</si>
  <si>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</si>
  <si>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</si>
  <si>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</si>
  <si>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</si>
  <si>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</si>
  <si>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</si>
  <si>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</si>
  <si>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</si>
  <si>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</si>
  <si>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</si>
  <si>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</si>
  <si>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</si>
  <si>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</si>
  <si>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</si>
  <si>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</si>
  <si>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</si>
  <si>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</si>
  <si>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</si>
  <si>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</si>
  <si>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</si>
  <si>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</si>
  <si>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</si>
  <si>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</si>
  <si>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</si>
  <si>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</si>
  <si>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</si>
  <si>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</si>
  <si>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</si>
  <si>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</si>
  <si>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</si>
  <si>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</si>
  <si>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</si>
  <si>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</si>
  <si>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</si>
  <si>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</si>
  <si>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</si>
  <si>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</si>
  <si>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</si>
  <si>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</si>
  <si>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</si>
  <si>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</si>
  <si>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</si>
  <si>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</si>
  <si>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</si>
  <si>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</si>
  <si>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</si>
  <si>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</si>
  <si>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</si>
  <si>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</si>
  <si>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</si>
  <si>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</si>
  <si>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</si>
  <si>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</si>
  <si>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</si>
  <si>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</si>
  <si>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</si>
  <si>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</si>
  <si>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</si>
  <si>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</si>
  <si>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</si>
  <si>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</si>
  <si>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</si>
  <si>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</si>
  <si>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</si>
  <si>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</si>
  <si>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</si>
  <si>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</si>
  <si>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</si>
  <si>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</si>
  <si>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</si>
  <si>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</si>
  <si>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</si>
  <si>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</si>
  <si>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</si>
  <si>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</si>
  <si>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</si>
  <si>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</si>
  <si>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</si>
  <si>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</si>
  <si>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</si>
  <si>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</si>
  <si>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</si>
  <si>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</si>
  <si>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</si>
  <si>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</si>
  <si>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</si>
  <si>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</si>
  <si>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</si>
  <si>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</si>
  <si>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</si>
  <si>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</si>
  <si>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</si>
  <si>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</si>
  <si>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</si>
  <si>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</si>
  <si>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</si>
  <si>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</si>
  <si>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</si>
  <si>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</si>
  <si>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</si>
  <si>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</si>
  <si>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</si>
  <si>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</si>
  <si>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</si>
  <si>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</si>
  <si>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</si>
  <si>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</si>
  <si>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</si>
  <si>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</si>
  <si>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</si>
  <si>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</si>
  <si>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</si>
  <si>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</si>
  <si>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</si>
  <si>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</si>
  <si>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</si>
  <si>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</si>
  <si>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</si>
  <si>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</si>
  <si>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</si>
  <si>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</si>
  <si>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</si>
  <si>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</si>
  <si>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</si>
  <si>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</si>
  <si>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</si>
  <si>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</si>
  <si>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</si>
  <si>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</si>
  <si>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</si>
  <si>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</si>
  <si>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</si>
  <si>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</si>
  <si>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</si>
  <si>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</si>
  <si>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</si>
  <si>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</si>
  <si>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</si>
  <si>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</si>
  <si>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</si>
  <si>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</si>
  <si>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</si>
  <si>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</si>
  <si>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</si>
  <si>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</si>
  <si>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</si>
  <si>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</si>
  <si>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</si>
  <si>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</si>
  <si>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</si>
  <si>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</si>
  <si>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</si>
  <si>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</si>
  <si>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</si>
  <si>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</si>
  <si>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</si>
  <si>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</si>
  <si>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</si>
  <si>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</si>
  <si>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</si>
  <si>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</si>
  <si>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</si>
  <si>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</si>
  <si>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</si>
  <si>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</si>
  <si>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</si>
  <si>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</si>
  <si>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</si>
  <si>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</si>
  <si>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</si>
  <si>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</si>
  <si>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</si>
  <si>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</si>
  <si>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</si>
  <si>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</si>
  <si>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</si>
  <si>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</si>
  <si>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</si>
  <si>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</si>
  <si>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</si>
  <si>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</si>
  <si>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</si>
  <si>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</si>
  <si>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</si>
  <si>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</si>
  <si>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</si>
  <si>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</si>
  <si>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</si>
  <si>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</si>
  <si>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</si>
  <si>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</si>
  <si>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</si>
  <si>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</si>
  <si>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</si>
  <si>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</si>
  <si>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</si>
  <si>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</si>
  <si>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</si>
  <si>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</si>
  <si>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</si>
  <si>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</si>
  <si>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</si>
  <si>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</si>
  <si>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</si>
  <si>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</si>
  <si>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</si>
  <si>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</si>
  <si>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</si>
  <si>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</si>
  <si>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</si>
  <si>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</si>
  <si>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</si>
  <si>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</si>
  <si>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</si>
  <si>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</si>
  <si>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</si>
  <si>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</si>
  <si>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</si>
  <si>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</si>
  <si>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</si>
  <si>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</si>
  <si>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</si>
  <si>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</si>
  <si>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</si>
  <si>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</si>
  <si>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</si>
  <si>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</si>
  <si>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</si>
  <si>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</si>
  <si>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</si>
  <si>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</si>
  <si>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</si>
  <si>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</si>
  <si>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</si>
  <si>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</si>
  <si>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</si>
  <si>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</si>
  <si>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</si>
  <si>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</si>
  <si>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</si>
  <si>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</si>
  <si>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</si>
  <si>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</si>
  <si>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</si>
  <si>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</si>
  <si>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</si>
  <si>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</si>
  <si>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</si>
  <si>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</si>
  <si>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</si>
  <si>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</si>
  <si>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</si>
  <si>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</si>
  <si>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</si>
  <si>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</si>
  <si>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</si>
  <si>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</si>
  <si>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</si>
  <si>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</si>
  <si>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</si>
  <si>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</si>
  <si>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</si>
  <si>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</si>
  <si>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</si>
  <si>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</si>
  <si>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</si>
  <si>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</si>
  <si>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</si>
  <si>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</si>
  <si>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</si>
  <si>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</si>
  <si>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</si>
  <si>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</si>
  <si>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</si>
  <si>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</si>
  <si>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</si>
  <si>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</si>
  <si>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</si>
  <si>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</si>
  <si>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</si>
  <si>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</si>
  <si>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</si>
  <si>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</si>
  <si>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</si>
  <si>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</si>
  <si>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</si>
  <si>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</si>
  <si>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</si>
  <si>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</si>
  <si>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</si>
  <si>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</si>
  <si>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</si>
  <si>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</si>
  <si>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</si>
  <si>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</si>
  <si>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</si>
  <si>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</si>
  <si>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</si>
  <si>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</si>
  <si>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</si>
  <si>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</si>
  <si>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</si>
  <si>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</si>
  <si>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</si>
  <si>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</si>
  <si>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</si>
  <si>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</si>
  <si>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</si>
  <si>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</si>
  <si>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</si>
  <si>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</si>
  <si>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</si>
  <si>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</si>
  <si>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</si>
  <si>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</si>
  <si>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</si>
  <si>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</si>
  <si>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</si>
  <si>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</si>
  <si>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</si>
  <si>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</si>
  <si>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</si>
  <si>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</si>
  <si>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</si>
  <si>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</si>
  <si>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</si>
  <si>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</si>
  <si>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</si>
  <si>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</si>
  <si>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</si>
  <si>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</si>
  <si>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</si>
  <si>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</si>
  <si>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</si>
  <si>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</si>
  <si>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</si>
  <si>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</si>
  <si>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</si>
  <si>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</si>
  <si>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</si>
  <si>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</si>
  <si>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</si>
  <si>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</si>
  <si>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</si>
  <si>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</si>
  <si>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</si>
  <si>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</si>
  <si>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</si>
  <si>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</si>
  <si>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</si>
  <si>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</si>
  <si>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</si>
  <si>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</si>
  <si>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</si>
  <si>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</si>
  <si>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</si>
  <si>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</si>
  <si>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</si>
  <si>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</si>
  <si>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</si>
  <si>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</si>
  <si>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</si>
  <si>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</si>
  <si>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</si>
  <si>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</si>
  <si>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</si>
  <si>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</si>
  <si>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</si>
  <si>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</si>
  <si>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</si>
  <si>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</si>
  <si>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</si>
  <si>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</si>
  <si>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</si>
  <si>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</si>
  <si>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</si>
  <si>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</si>
  <si>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</si>
  <si>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</si>
  <si>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</si>
  <si>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</si>
  <si>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</si>
  <si>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</si>
  <si>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</si>
  <si>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</si>
  <si>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</si>
  <si>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</si>
  <si>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</si>
  <si>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</si>
  <si>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</si>
  <si>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</si>
  <si>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</si>
  <si>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</si>
  <si>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</si>
  <si>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</si>
  <si>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</si>
  <si>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</si>
  <si>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</si>
  <si>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</si>
  <si>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</si>
  <si>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</si>
  <si>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</si>
  <si>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</si>
  <si>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</si>
  <si>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</si>
  <si>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</si>
  <si>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</si>
  <si>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</si>
  <si>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</si>
  <si>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</si>
  <si>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</si>
  <si>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</si>
  <si>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</si>
  <si>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</si>
  <si>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</si>
  <si>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</si>
  <si>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</si>
  <si>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</si>
  <si>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</si>
  <si>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</si>
  <si>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</si>
  <si>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</si>
  <si>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</si>
  <si>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</si>
  <si>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</si>
  <si>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</si>
  <si>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</si>
  <si>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</si>
  <si>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</si>
  <si>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</si>
  <si>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</si>
  <si>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</si>
  <si>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</si>
  <si>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</si>
  <si>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</si>
  <si>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</si>
  <si>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</si>
  <si>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</si>
  <si>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</si>
  <si>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</si>
  <si>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</si>
  <si>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</si>
  <si>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</si>
  <si>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</si>
  <si>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</si>
  <si>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</si>
  <si>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</si>
  <si>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</si>
  <si>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</si>
  <si>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</si>
  <si>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</si>
  <si>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</si>
  <si>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</si>
  <si>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</si>
  <si>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</si>
  <si>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</si>
  <si>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</si>
  <si>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</si>
  <si>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</si>
  <si>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</si>
  <si>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</si>
  <si>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</si>
  <si>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</si>
  <si>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</si>
  <si>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</si>
  <si>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</si>
  <si>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</si>
  <si>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</si>
  <si>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</si>
  <si>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</si>
  <si>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</si>
  <si>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</si>
  <si>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</si>
  <si>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</si>
  <si>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</si>
  <si>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</si>
  <si>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</si>
  <si>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</si>
  <si>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</si>
  <si>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</si>
  <si>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</si>
  <si>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</si>
  <si>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</si>
  <si>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</si>
  <si>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</si>
  <si>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</si>
  <si>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</si>
  <si>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</si>
  <si>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</si>
  <si>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</si>
  <si>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</si>
  <si>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</si>
  <si>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</si>
  <si>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</si>
  <si>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</si>
  <si>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</si>
  <si>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</si>
  <si>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</si>
  <si>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</si>
  <si>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</si>
  <si>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</si>
  <si>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</si>
  <si>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</si>
  <si>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</si>
  <si>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</si>
  <si>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</si>
  <si>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</si>
  <si>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</si>
  <si>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</si>
  <si>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</si>
  <si>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</si>
  <si>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</si>
  <si>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</si>
  <si>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</si>
  <si>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</si>
  <si>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</si>
  <si>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</si>
  <si>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</si>
  <si>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</si>
  <si>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</si>
  <si>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</si>
  <si>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</si>
  <si>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</si>
  <si>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</si>
  <si>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</si>
  <si>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</si>
  <si>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</si>
  <si>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</si>
  <si>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</si>
  <si>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</si>
  <si>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</si>
  <si>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</si>
  <si>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</si>
  <si>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</si>
  <si>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</si>
  <si>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</si>
  <si>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</si>
  <si>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</si>
  <si>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</si>
  <si>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</si>
  <si>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</si>
  <si>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</si>
  <si>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</si>
  <si>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</si>
  <si>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</si>
  <si>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</si>
  <si>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</si>
  <si>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</si>
  <si>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</si>
  <si>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</si>
  <si>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</si>
  <si>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</si>
  <si>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</si>
  <si>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</si>
  <si>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</si>
  <si>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</si>
  <si>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</si>
  <si>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</si>
  <si>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</si>
  <si>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</si>
  <si>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</si>
  <si>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</si>
  <si>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</si>
  <si>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</si>
  <si>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</si>
  <si>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</si>
  <si>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</si>
  <si>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</si>
  <si>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</si>
  <si>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</si>
  <si>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</si>
  <si>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</si>
  <si>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</si>
  <si>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</si>
  <si>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</si>
  <si>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</si>
  <si>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</si>
  <si>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</si>
  <si>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</si>
  <si>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</si>
  <si>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</si>
  <si>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</si>
  <si>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</si>
  <si>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</si>
  <si>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</si>
  <si>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</si>
  <si>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</si>
  <si>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</si>
  <si>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</si>
  <si>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</si>
  <si>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</si>
  <si>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</si>
  <si>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</si>
  <si>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</si>
  <si>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</si>
  <si>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</si>
  <si>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</si>
  <si>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</si>
  <si>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</si>
  <si>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</si>
  <si>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</si>
  <si>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</si>
  <si>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</si>
  <si>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</si>
  <si>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</si>
  <si>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</si>
  <si>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</si>
  <si>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</si>
  <si>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</si>
  <si>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</si>
  <si>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</si>
  <si>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</si>
  <si>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</si>
  <si>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</si>
  <si>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</si>
  <si>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</si>
  <si>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</si>
  <si>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</si>
  <si>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</si>
  <si>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</si>
  <si>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</si>
  <si>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</si>
  <si>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</si>
  <si>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</si>
  <si>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</si>
  <si>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</si>
  <si>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</si>
  <si>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</si>
  <si>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</si>
  <si>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</si>
  <si>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</si>
  <si>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</si>
  <si>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</si>
  <si>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</si>
  <si>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</si>
  <si>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</si>
  <si>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</si>
  <si>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</si>
  <si>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</si>
  <si>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</si>
  <si>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</si>
  <si>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</si>
  <si>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</si>
  <si>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</si>
  <si>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</si>
  <si>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</si>
  <si>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</si>
  <si>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</si>
  <si>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</si>
  <si>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</si>
  <si>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</si>
  <si>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</si>
  <si>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</si>
  <si>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</si>
  <si>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</si>
  <si>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</si>
  <si>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</si>
  <si>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</si>
  <si>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</si>
  <si>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</si>
  <si>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</si>
  <si>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</si>
  <si>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</si>
  <si>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</si>
  <si>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</si>
  <si>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</si>
  <si>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</si>
  <si>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</si>
  <si>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</si>
  <si>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</si>
  <si>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</si>
  <si>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</si>
  <si>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</si>
  <si>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</si>
  <si>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</si>
  <si>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</si>
  <si>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</si>
  <si>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</si>
  <si>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</si>
  <si>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</si>
  <si>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</si>
  <si>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</si>
  <si>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</si>
  <si>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</si>
  <si>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</si>
  <si>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</si>
  <si>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</si>
  <si>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</si>
  <si>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</si>
  <si>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</si>
  <si>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</si>
  <si>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</si>
  <si>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</si>
  <si>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</si>
  <si>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</si>
  <si>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</si>
  <si>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</si>
  <si>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</si>
  <si>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</si>
  <si>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</si>
  <si>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</si>
  <si>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</si>
  <si>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</si>
  <si>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</si>
  <si>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</si>
  <si>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</si>
  <si>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</si>
  <si>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</si>
  <si>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</si>
  <si>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</si>
  <si>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</si>
  <si>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</si>
  <si>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</si>
  <si>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</si>
  <si>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</si>
  <si>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</si>
  <si>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</si>
  <si>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</si>
  <si>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</si>
  <si>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</si>
  <si>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</si>
  <si>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</si>
  <si>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</si>
  <si>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</si>
  <si>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</si>
  <si>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</si>
  <si>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</si>
  <si>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</si>
  <si>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</si>
  <si>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</si>
  <si>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</si>
  <si>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</si>
  <si>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</si>
  <si>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</si>
  <si>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</si>
  <si>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</si>
  <si>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</si>
  <si>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</si>
  <si>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</si>
  <si>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</si>
  <si>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</si>
  <si>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</si>
  <si>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</si>
  <si>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</si>
  <si>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</si>
  <si>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</si>
  <si>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</si>
  <si>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</si>
  <si>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</si>
  <si>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</si>
  <si>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</si>
  <si>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</si>
  <si>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</si>
  <si>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</si>
  <si>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</si>
  <si>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</si>
  <si>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</si>
  <si>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</si>
  <si>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</si>
  <si>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</si>
  <si>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</si>
  <si>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</si>
  <si>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</si>
  <si>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</si>
  <si>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</si>
  <si>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</si>
  <si>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</si>
  <si>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</si>
  <si>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</si>
  <si>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</si>
  <si>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</si>
  <si>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</si>
  <si>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</si>
  <si>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</si>
  <si>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</si>
  <si>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</si>
  <si>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</si>
  <si>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</si>
  <si>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</si>
  <si>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</si>
  <si>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</si>
  <si>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</si>
  <si>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</si>
  <si>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</si>
  <si>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</si>
  <si>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</si>
  <si>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</si>
  <si>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</si>
  <si>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</si>
  <si>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</si>
  <si>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</si>
  <si>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</si>
  <si>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</si>
  <si>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</si>
  <si>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</si>
  <si>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</si>
  <si>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</si>
  <si>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</si>
  <si>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</si>
  <si>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</si>
  <si>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</si>
  <si>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</si>
  <si>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</si>
  <si>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</si>
  <si>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</si>
  <si>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</si>
  <si>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</si>
  <si>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</si>
  <si>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</si>
  <si>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</si>
  <si>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</si>
  <si>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</si>
  <si>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</si>
  <si>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</si>
  <si>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</si>
  <si>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</si>
  <si>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</si>
  <si>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</si>
  <si>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</si>
  <si>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</si>
  <si>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</si>
  <si>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</si>
  <si>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</si>
  <si>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</si>
  <si>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</si>
  <si>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</si>
  <si>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</si>
  <si>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</si>
  <si>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</si>
  <si>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</si>
  <si>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</si>
  <si>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</si>
  <si>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</si>
  <si>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</si>
  <si>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</si>
  <si>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</si>
  <si>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</si>
  <si>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</si>
  <si>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</si>
  <si>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</si>
  <si>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</si>
  <si>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</si>
  <si>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</si>
  <si>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</si>
  <si>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</si>
  <si>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</si>
  <si>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</si>
  <si>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</si>
  <si>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</si>
  <si>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</si>
  <si>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</si>
  <si>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</si>
  <si>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</si>
  <si>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</si>
  <si>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</si>
  <si>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</si>
  <si>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</si>
  <si>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</si>
  <si>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</si>
  <si>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</si>
  <si>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</si>
  <si>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</si>
  <si>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</si>
  <si>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</si>
  <si>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</si>
  <si>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</si>
  <si>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</si>
  <si>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</si>
  <si>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</si>
  <si>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</si>
  <si>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</si>
  <si>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</si>
  <si>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</si>
  <si>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</si>
  <si>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</si>
  <si>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</si>
  <si>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</si>
  <si>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</si>
  <si>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</si>
  <si>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</si>
  <si>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</si>
  <si>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</si>
  <si>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</si>
  <si>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</si>
  <si>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</si>
  <si>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</si>
  <si>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</si>
  <si>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</si>
  <si>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</si>
  <si>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</si>
  <si>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</si>
  <si>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</si>
  <si>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</si>
  <si>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</si>
  <si>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</si>
  <si>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</si>
  <si>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</si>
  <si>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</si>
  <si>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</si>
  <si>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</si>
  <si>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</si>
  <si>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</si>
  <si>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</si>
  <si>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</si>
  <si>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</si>
  <si>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</si>
  <si>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</si>
  <si>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</si>
  <si>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</si>
  <si>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</si>
  <si>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</si>
  <si>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</si>
  <si>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</si>
  <si>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</si>
  <si>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</si>
  <si>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</si>
  <si>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</si>
  <si>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</si>
  <si>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</si>
  <si>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</si>
  <si>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</si>
  <si>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</si>
  <si>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</si>
  <si>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</si>
  <si>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</si>
  <si>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</si>
  <si>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</si>
  <si>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</si>
  <si>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</si>
  <si>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</si>
  <si>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</si>
  <si>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</si>
  <si>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</si>
  <si>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</si>
  <si>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</si>
  <si>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</si>
  <si>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</si>
  <si>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</si>
  <si>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</si>
  <si>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</si>
  <si>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</si>
  <si>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</si>
  <si>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</si>
  <si>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</si>
  <si>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</si>
  <si>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</si>
  <si>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</si>
  <si>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</si>
  <si>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</si>
  <si>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</si>
  <si>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</si>
  <si>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</si>
  <si>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</si>
  <si>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</si>
  <si>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Draws the floor and ceiling bands used by the dungeon viewport.</t>
  </si>
  <si>
    <t>Copies source rows into the floor and ceiling areas of the dungeon viewport.</t>
  </si>
  <si>
    <t>Clears the horizontal gap between the floor and ceiling render regions.</t>
  </si>
  <si>
    <t>Draws the bit-reversed half of the floor and ceiling pattern.</t>
  </si>
  <si>
    <t>Loop used to write the bit-reversed floor and ceiling rows.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</si>
  <si>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</si>
  <si>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</si>
  <si>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</si>
  <si>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</si>
  <si>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</si>
  <si>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</si>
  <si>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</si>
  <si>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</si>
  <si>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</si>
  <si>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</si>
  <si>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</si>
  <si>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</si>
  <si>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</si>
  <si>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</si>
  <si>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</si>
  <si>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</si>
  <si>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</si>
  <si>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</si>
  <si>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</si>
  <si>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</si>
  <si>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</si>
  <si>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</si>
  <si>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</si>
  <si>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</si>
  <si>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</si>
  <si>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</si>
  <si>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</si>
  <si>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</si>
  <si>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</si>
  <si>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</si>
  <si>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</si>
  <si>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</si>
  <si>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</si>
  <si>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</si>
  <si>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</si>
  <si>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</si>
  <si>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</si>
  <si>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</si>
  <si>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</si>
  <si>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</si>
  <si>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</si>
  <si>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</si>
  <si>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</si>
  <si>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</si>
  <si>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</si>
  <si>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</si>
  <si>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</si>
  <si>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</si>
  <si>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</si>
  <si>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</si>
  <si>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</si>
  <si>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</si>
  <si>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</si>
  <si>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</si>
  <si>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</si>
  <si>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</si>
  <si>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</si>
  <si>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</si>
  <si>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</si>
  <si>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</si>
  <si>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</si>
  <si>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</si>
  <si>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</si>
  <si>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</si>
  <si>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</si>
  <si>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</si>
  <si>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</si>
  <si>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</si>
  <si>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</si>
  <si>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</si>
  <si>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</si>
  <si>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</si>
  <si>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</si>
  <si>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</si>
  <si>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</si>
  <si>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</si>
  <si>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</si>
  <si>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</si>
  <si>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</si>
  <si>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</si>
  <si>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</si>
  <si>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</si>
  <si>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</si>
  <si>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</si>
  <si>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</si>
  <si>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</si>
  <si>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</si>
  <si>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</si>
  <si>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</si>
  <si>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</si>
  <si>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</si>
  <si>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</si>
  <si>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</si>
  <si>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</si>
  <si>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</si>
  <si>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</si>
  <si>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</si>
  <si>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</si>
  <si>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</si>
  <si>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</si>
  <si>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</si>
  <si>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</si>
  <si>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</si>
  <si>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</si>
  <si>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</si>
  <si>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</si>
  <si>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</si>
  <si>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</si>
  <si>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</si>
  <si>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</si>
  <si>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</si>
  <si>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</si>
  <si>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</si>
  <si>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</si>
  <si>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</si>
  <si>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</si>
  <si>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</si>
  <si>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</si>
  <si>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</si>
  <si>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</si>
  <si>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</si>
  <si>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</si>
  <si>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</si>
  <si>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</si>
  <si>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</si>
  <si>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</si>
  <si>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</si>
  <si>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</si>
  <si>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</si>
  <si>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</si>
  <si>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</si>
  <si>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</si>
  <si>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</si>
  <si>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</si>
  <si>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</si>
  <si>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</si>
  <si>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</si>
  <si>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</si>
  <si>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</si>
  <si>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</si>
  <si>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</si>
  <si>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</si>
  <si>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</si>
  <si>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</si>
  <si>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</si>
  <si>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</si>
  <si>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</si>
  <si>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</si>
  <si>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</si>
  <si>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</si>
  <si>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</si>
  <si>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</si>
  <si>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</si>
  <si>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</si>
  <si>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</si>
  <si>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Selects and draws one projected stone-wall face.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</si>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</sst>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0" fontId="0" fillId="0" borderId="0" xfId="0" applyFill="1"/>
    <xf numFmtId="0" fontId="6" fillId="0" borderId="0" xfId="0" applyFont="1" applyFill="1"/>
  </cellXfs>
  <cellStyles count="2">
    <cellStyle name="Excel Built-in Normal" xfId="1" xr:uid="{ACE51F02-8306-284E-B6CB-6CB2D79D3F1F}"/>
    <cellStyle name="Normal" xfId="0" builtinId="0"/>
  </cellStyles>
  <dxfs count="11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4"/>
  <sheetViews>
    <sheetView tabSelected="1" zoomScale="90" zoomScaleNormal="90" workbookViewId="0">
      <pane xSplit="2" ySplit="1" topLeftCell="C1901" activePane="bottomRight" state="frozen"/>
      <selection pane="topRight" activeCell="C1" sqref="C1"/>
      <selection pane="bottomLeft" activeCell="A2" sqref="A2"/>
      <selection pane="bottomRight" activeCell="B1940" sqref="A1940:B1940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6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3646</v>
      </c>
      <c r="K1" s="4" t="s">
        <v>3755</v>
      </c>
      <c r="L1" s="4" t="s">
        <v>3677</v>
      </c>
      <c r="M1" s="4" t="s">
        <v>3677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7" si="0">IF(F2&lt;&gt;"",HEX2DEC(SUBSTITUTE(SUBSTITUTE(F2,"adrEA",""),"$","")),"")</f>
        <v>22390</v>
      </c>
      <c r="H2" s="5">
        <v>24</v>
      </c>
      <c r="I2" s="6" t="str">
        <f t="shared" ref="I2:I66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7" si="2">IF(D3&lt;&gt;"",C3&amp;"/"&amp;D3,"")</f>
        <v>maps/gem-blu.locations</v>
      </c>
      <c r="F3" t="s">
        <v>302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3100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3101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3102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3103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t="str">
        <f t="shared" si="2"/>
        <v>maps/keep.floors</v>
      </c>
      <c r="F16" s="19" t="s">
        <v>47</v>
      </c>
      <c r="G16" s="18">
        <f t="shared" si="0"/>
        <v>28744</v>
      </c>
      <c r="H16" s="18">
        <v>2</v>
      </c>
      <c r="I16" s="6" t="str">
        <f t="shared" si="1"/>
        <v>2</v>
      </c>
      <c r="O16" t="s">
        <v>3216</v>
      </c>
    </row>
    <row r="17" spans="1:15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t="str">
        <f t="shared" si="2"/>
        <v>maps/keep.entrances</v>
      </c>
      <c r="F17" s="19" t="s">
        <v>3219</v>
      </c>
      <c r="G17" s="18">
        <f t="shared" si="0"/>
        <v>28746</v>
      </c>
      <c r="H17" s="18">
        <v>24</v>
      </c>
      <c r="I17" s="6" t="str">
        <f t="shared" si="1"/>
        <v>18</v>
      </c>
      <c r="J17" s="14"/>
      <c r="K17" s="14"/>
      <c r="L17" s="14"/>
      <c r="M17" s="14"/>
      <c r="O17" s="12" t="s">
        <v>3217</v>
      </c>
    </row>
    <row r="18" spans="1:15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3218</v>
      </c>
    </row>
    <row r="19" spans="1:15" x14ac:dyDescent="0.2">
      <c r="A19" t="s">
        <v>2263</v>
      </c>
      <c r="B19" t="s">
        <v>3265</v>
      </c>
      <c r="C19" s="7" t="s">
        <v>51</v>
      </c>
      <c r="D19" t="s">
        <v>3275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3265</v>
      </c>
    </row>
    <row r="20" spans="1:15" x14ac:dyDescent="0.2">
      <c r="A20" t="s">
        <v>2264</v>
      </c>
      <c r="B20" t="s">
        <v>3264</v>
      </c>
      <c r="C20" s="7" t="s">
        <v>51</v>
      </c>
      <c r="D20" t="s">
        <v>3274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3264</v>
      </c>
    </row>
    <row r="21" spans="1:15" x14ac:dyDescent="0.2">
      <c r="A21" t="s">
        <v>2275</v>
      </c>
      <c r="B21" t="s">
        <v>3266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3266</v>
      </c>
    </row>
    <row r="22" spans="1:15" x14ac:dyDescent="0.2">
      <c r="A22" t="s">
        <v>2328</v>
      </c>
      <c r="B22" t="s">
        <v>3267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3267</v>
      </c>
    </row>
    <row r="23" spans="1:15" x14ac:dyDescent="0.2">
      <c r="A23" t="s">
        <v>3110</v>
      </c>
      <c r="B23" t="s">
        <v>3268</v>
      </c>
      <c r="C23" s="5" t="s">
        <v>51</v>
      </c>
      <c r="D23" t="s">
        <v>3112</v>
      </c>
      <c r="E23" t="str">
        <f t="shared" si="2"/>
        <v>monsters/summon.colours</v>
      </c>
      <c r="F23" s="8" t="s">
        <v>3225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3268</v>
      </c>
    </row>
    <row r="24" spans="1:15" x14ac:dyDescent="0.2">
      <c r="A24" t="s">
        <v>2364</v>
      </c>
      <c r="B24" t="s">
        <v>3269</v>
      </c>
      <c r="C24" s="5" t="s">
        <v>51</v>
      </c>
      <c r="D24" t="s">
        <v>3111</v>
      </c>
      <c r="E24" t="str">
        <f t="shared" si="2"/>
        <v>monsters/dragon.colours</v>
      </c>
      <c r="F24" s="8" t="s">
        <v>3226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3269</v>
      </c>
    </row>
    <row r="25" spans="1:15" x14ac:dyDescent="0.2">
      <c r="A25" t="s">
        <v>2385</v>
      </c>
      <c r="B25" t="s">
        <v>3270</v>
      </c>
      <c r="C25" s="5" t="s">
        <v>51</v>
      </c>
      <c r="D25" t="s">
        <v>3113</v>
      </c>
      <c r="E25" t="str">
        <f t="shared" si="2"/>
        <v>monsters/behemoth.colours</v>
      </c>
      <c r="F25" s="8" t="s">
        <v>3227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3270</v>
      </c>
    </row>
    <row r="26" spans="1:15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2412</v>
      </c>
    </row>
    <row r="27" spans="1:15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2"/>
        <v>data/characters.heads</v>
      </c>
      <c r="F27" t="s">
        <v>3229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2420</v>
      </c>
    </row>
    <row r="28" spans="1:15" x14ac:dyDescent="0.2">
      <c r="A28" t="s">
        <v>2902</v>
      </c>
      <c r="B28" s="27" t="s">
        <v>3305</v>
      </c>
      <c r="C28" s="5" t="s">
        <v>48</v>
      </c>
      <c r="D28" t="s">
        <v>61</v>
      </c>
      <c r="E28" t="str">
        <f t="shared" si="2"/>
        <v>data/objectpocketicons.block</v>
      </c>
      <c r="F28" t="s">
        <v>62</v>
      </c>
      <c r="G28" s="5">
        <f t="shared" si="0"/>
        <v>57664</v>
      </c>
      <c r="H28" s="5">
        <v>438</v>
      </c>
      <c r="I28" s="6" t="str">
        <f t="shared" si="1"/>
        <v>1B6</v>
      </c>
      <c r="O28" t="s">
        <v>3305</v>
      </c>
    </row>
    <row r="29" spans="1:15" x14ac:dyDescent="0.2">
      <c r="A29" t="s">
        <v>2903</v>
      </c>
      <c r="B29" t="s">
        <v>3304</v>
      </c>
      <c r="C29" s="5" t="s">
        <v>48</v>
      </c>
      <c r="D29" t="s">
        <v>63</v>
      </c>
      <c r="E29" t="str">
        <f t="shared" si="2"/>
        <v>data/objectflooricons.block</v>
      </c>
      <c r="F29" t="s">
        <v>64</v>
      </c>
      <c r="G29" s="5">
        <f t="shared" si="0"/>
        <v>58102</v>
      </c>
      <c r="H29" s="5">
        <v>110</v>
      </c>
      <c r="I29" s="6" t="str">
        <f t="shared" si="1"/>
        <v>6E</v>
      </c>
      <c r="O29" t="s">
        <v>3304</v>
      </c>
    </row>
    <row r="30" spans="1:15" x14ac:dyDescent="0.2">
      <c r="A30" s="12" t="s">
        <v>2897</v>
      </c>
      <c r="B30" s="12" t="s">
        <v>3262</v>
      </c>
      <c r="C30" s="13" t="s">
        <v>48</v>
      </c>
      <c r="D30" s="12" t="s">
        <v>65</v>
      </c>
      <c r="E30" t="str">
        <f t="shared" si="2"/>
        <v>data/objecttext.block</v>
      </c>
      <c r="F30" s="12" t="s">
        <v>66</v>
      </c>
      <c r="G30" s="13">
        <f t="shared" si="0"/>
        <v>56986</v>
      </c>
      <c r="H30" s="13">
        <v>610</v>
      </c>
      <c r="I30" s="6" t="str">
        <f t="shared" si="1"/>
        <v>262</v>
      </c>
      <c r="O30" t="s">
        <v>3262</v>
      </c>
    </row>
    <row r="31" spans="1:15" ht="17" customHeight="1" x14ac:dyDescent="0.2">
      <c r="A31" t="s">
        <v>2905</v>
      </c>
      <c r="B31" t="s">
        <v>3271</v>
      </c>
      <c r="C31" s="5" t="s">
        <v>48</v>
      </c>
      <c r="D31" t="s">
        <v>3263</v>
      </c>
      <c r="E31" t="str">
        <f t="shared" si="2"/>
        <v>data/objectfloor.colours</v>
      </c>
      <c r="F31" t="s">
        <v>3309</v>
      </c>
      <c r="G31" s="5">
        <f t="shared" si="0"/>
        <v>58348</v>
      </c>
      <c r="H31" s="5">
        <v>110</v>
      </c>
      <c r="I31" s="6" t="str">
        <f t="shared" si="1"/>
        <v>6E</v>
      </c>
      <c r="O31" t="s">
        <v>3271</v>
      </c>
    </row>
    <row r="32" spans="1:15" x14ac:dyDescent="0.2">
      <c r="A32" t="s">
        <v>2906</v>
      </c>
      <c r="B32" t="s">
        <v>3272</v>
      </c>
      <c r="C32" s="5" t="s">
        <v>48</v>
      </c>
      <c r="D32" t="s">
        <v>3273</v>
      </c>
      <c r="E32" t="str">
        <f t="shared" si="2"/>
        <v>data/objectfloor.palette</v>
      </c>
      <c r="F32" t="s">
        <v>3308</v>
      </c>
      <c r="G32" s="5">
        <f t="shared" si="0"/>
        <v>58458</v>
      </c>
      <c r="H32" s="5">
        <v>172</v>
      </c>
      <c r="I32" s="6" t="str">
        <f t="shared" si="1"/>
        <v>AC</v>
      </c>
      <c r="O32" t="s">
        <v>3272</v>
      </c>
    </row>
    <row r="33" spans="1:15" x14ac:dyDescent="0.2">
      <c r="A33" t="s">
        <v>3056</v>
      </c>
      <c r="B33" t="s">
        <v>3056</v>
      </c>
      <c r="C33" s="5" t="s">
        <v>124</v>
      </c>
      <c r="D33" t="s">
        <v>170</v>
      </c>
      <c r="E33" t="str">
        <f t="shared" si="2"/>
        <v>gfx/ObjectsOnFloor.gfx</v>
      </c>
      <c r="F33" s="9" t="s">
        <v>3315</v>
      </c>
      <c r="G33" s="5">
        <f>IF(F33&lt;&gt;"",HEX2DEC(SUBSTITUTE(SUBSTITUTE(F33,"adrEA",""),"$","")),"")</f>
        <v>207836</v>
      </c>
      <c r="H33" s="5">
        <v>6168</v>
      </c>
      <c r="I33" s="6" t="str">
        <f t="shared" si="1"/>
        <v>1818</v>
      </c>
      <c r="O33" t="s">
        <v>3056</v>
      </c>
    </row>
    <row r="34" spans="1:15" x14ac:dyDescent="0.2">
      <c r="A34" t="s">
        <v>2907</v>
      </c>
      <c r="B34" t="s">
        <v>3210</v>
      </c>
      <c r="C34" s="5" t="s">
        <v>124</v>
      </c>
      <c r="D34" t="s">
        <v>171</v>
      </c>
      <c r="E34" t="str">
        <f t="shared" si="2"/>
        <v>gfx/ObjectsOnFloor.offsets</v>
      </c>
      <c r="F34" t="s">
        <v>3307</v>
      </c>
      <c r="G34" s="5">
        <f>IF(F34&lt;&gt;"",HEX2DEC(SUBSTITUTE(SUBSTITUTE(F34,"adrEA",""),"$","")),"")</f>
        <v>58630</v>
      </c>
      <c r="H34" s="5">
        <v>270</v>
      </c>
      <c r="I34" s="6" t="str">
        <f t="shared" si="1"/>
        <v>10E</v>
      </c>
      <c r="O34" t="s">
        <v>3210</v>
      </c>
    </row>
    <row r="35" spans="1:15" x14ac:dyDescent="0.2">
      <c r="A35" t="s">
        <v>2904</v>
      </c>
      <c r="B35" t="s">
        <v>3211</v>
      </c>
      <c r="C35" s="5" t="s">
        <v>124</v>
      </c>
      <c r="D35" t="s">
        <v>172</v>
      </c>
      <c r="E35" t="str">
        <f t="shared" si="2"/>
        <v>gfx/ObjectsOnFloor.heights</v>
      </c>
      <c r="F35" t="s">
        <v>3306</v>
      </c>
      <c r="G35" s="5">
        <f>IF(F35&lt;&gt;"",HEX2DEC(SUBSTITUTE(SUBSTITUTE(F35,"adrEA",""),"$","")),"")</f>
        <v>58212</v>
      </c>
      <c r="H35" s="5">
        <v>136</v>
      </c>
      <c r="I35" s="6" t="str">
        <f t="shared" si="1"/>
        <v>88</v>
      </c>
      <c r="O35" t="s">
        <v>3211</v>
      </c>
    </row>
    <row r="36" spans="1:15" x14ac:dyDescent="0.2">
      <c r="A36" t="s">
        <v>2920</v>
      </c>
      <c r="E36" t="str">
        <f t="shared" si="2"/>
        <v/>
      </c>
      <c r="I36" s="6" t="str">
        <f t="shared" si="1"/>
        <v>0</v>
      </c>
    </row>
    <row r="37" spans="1:15" x14ac:dyDescent="0.2">
      <c r="A37" s="9" t="s">
        <v>2921</v>
      </c>
      <c r="B37" t="s">
        <v>3336</v>
      </c>
      <c r="C37" s="5" t="s">
        <v>48</v>
      </c>
      <c r="D37" t="s">
        <v>67</v>
      </c>
      <c r="E37" t="str">
        <f t="shared" si="2"/>
        <v>data/champions.stats</v>
      </c>
      <c r="F37" t="s">
        <v>68</v>
      </c>
      <c r="G37" s="5">
        <f t="shared" si="0"/>
        <v>59302</v>
      </c>
      <c r="H37" s="5">
        <v>512</v>
      </c>
      <c r="I37" s="6" t="str">
        <f t="shared" si="1"/>
        <v>200</v>
      </c>
      <c r="O37" t="s">
        <v>3336</v>
      </c>
    </row>
    <row r="38" spans="1:15" x14ac:dyDescent="0.2">
      <c r="A38" s="9" t="s">
        <v>2925</v>
      </c>
      <c r="B38" t="s">
        <v>3337</v>
      </c>
      <c r="C38" s="5" t="s">
        <v>48</v>
      </c>
      <c r="D38" t="s">
        <v>69</v>
      </c>
      <c r="E38" t="str">
        <f t="shared" si="2"/>
        <v>data/champions.pockets</v>
      </c>
      <c r="F38" t="s">
        <v>70</v>
      </c>
      <c r="G38" s="5">
        <f t="shared" si="0"/>
        <v>59814</v>
      </c>
      <c r="H38" s="5">
        <v>256</v>
      </c>
      <c r="I38" s="6" t="str">
        <f t="shared" si="1"/>
        <v>100</v>
      </c>
      <c r="O38" t="s">
        <v>3337</v>
      </c>
    </row>
    <row r="39" spans="1:15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2"/>
        <v>data/scrolls.text</v>
      </c>
      <c r="F39" t="s">
        <v>74</v>
      </c>
      <c r="G39" s="5">
        <f t="shared" si="0"/>
        <v>106538</v>
      </c>
      <c r="H39" s="5">
        <v>3234</v>
      </c>
      <c r="I39" s="6" t="str">
        <f t="shared" si="1"/>
        <v>CA2</v>
      </c>
      <c r="O39" t="s">
        <v>3222</v>
      </c>
    </row>
    <row r="40" spans="1:15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2"/>
        <v>data/scrolls.offsets</v>
      </c>
      <c r="F40" t="s">
        <v>72</v>
      </c>
      <c r="G40" s="5">
        <f t="shared" si="0"/>
        <v>106392</v>
      </c>
      <c r="H40" s="5">
        <v>146</v>
      </c>
      <c r="I40" s="6" t="str">
        <f t="shared" si="1"/>
        <v>92</v>
      </c>
      <c r="O40" t="s">
        <v>3221</v>
      </c>
    </row>
    <row r="41" spans="1:15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 t="shared" si="2"/>
        <v>data/scrollstowers.data</v>
      </c>
      <c r="F41" t="s">
        <v>3224</v>
      </c>
      <c r="G41" s="5">
        <f t="shared" si="0"/>
        <v>21966</v>
      </c>
      <c r="H41" s="5">
        <v>6</v>
      </c>
      <c r="I41" s="6" t="str">
        <f t="shared" si="1"/>
        <v>6</v>
      </c>
      <c r="O41" t="s">
        <v>3220</v>
      </c>
    </row>
    <row r="42" spans="1:15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2"/>
        <v>maps/mod0.map</v>
      </c>
      <c r="F42" t="s">
        <v>76</v>
      </c>
      <c r="G42" s="5">
        <f t="shared" si="0"/>
        <v>60348</v>
      </c>
      <c r="H42" s="5">
        <v>4096</v>
      </c>
      <c r="I42" s="6" t="str">
        <f t="shared" si="1"/>
        <v>1000</v>
      </c>
      <c r="O42" t="s">
        <v>2984</v>
      </c>
    </row>
    <row r="43" spans="1:15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2"/>
        <v>maps/mod0.obj</v>
      </c>
      <c r="F43" t="s">
        <v>78</v>
      </c>
      <c r="G43" s="5">
        <f t="shared" si="0"/>
        <v>64444</v>
      </c>
      <c r="H43" s="5">
        <v>1026</v>
      </c>
      <c r="I43" s="6" t="str">
        <f t="shared" si="1"/>
        <v>402</v>
      </c>
      <c r="O43" t="s">
        <v>2985</v>
      </c>
    </row>
    <row r="44" spans="1:15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si="2"/>
        <v>maps/serp.map</v>
      </c>
      <c r="F44" t="s">
        <v>80</v>
      </c>
      <c r="G44" s="5">
        <f t="shared" si="0"/>
        <v>65470</v>
      </c>
      <c r="H44" s="5">
        <v>4096</v>
      </c>
      <c r="I44" s="6" t="str">
        <f t="shared" si="1"/>
        <v>1000</v>
      </c>
      <c r="O44" t="s">
        <v>2988</v>
      </c>
    </row>
    <row r="45" spans="1:15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2"/>
        <v>maps/serp.obj</v>
      </c>
      <c r="F45" t="s">
        <v>82</v>
      </c>
      <c r="G45" s="5">
        <f t="shared" si="0"/>
        <v>69566</v>
      </c>
      <c r="H45" s="5">
        <v>1026</v>
      </c>
      <c r="I45" s="6" t="str">
        <f t="shared" si="1"/>
        <v>402</v>
      </c>
      <c r="O45" t="s">
        <v>2989</v>
      </c>
    </row>
    <row r="46" spans="1:15" x14ac:dyDescent="0.2">
      <c r="A46" t="s">
        <v>3343</v>
      </c>
      <c r="B46" t="s">
        <v>3109</v>
      </c>
      <c r="C46" s="5" t="s">
        <v>8</v>
      </c>
      <c r="D46" t="s">
        <v>83</v>
      </c>
      <c r="E46" t="str">
        <f t="shared" si="2"/>
        <v>maps/moon.map</v>
      </c>
      <c r="F46" t="s">
        <v>84</v>
      </c>
      <c r="G46" s="5">
        <f t="shared" si="0"/>
        <v>70592</v>
      </c>
      <c r="H46" s="5">
        <v>4096</v>
      </c>
      <c r="I46" s="6" t="str">
        <f t="shared" si="1"/>
        <v>1000</v>
      </c>
      <c r="O46" t="s">
        <v>3109</v>
      </c>
    </row>
    <row r="47" spans="1:15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2"/>
        <v>maps/moon.obj</v>
      </c>
      <c r="F47" t="s">
        <v>86</v>
      </c>
      <c r="G47" s="5">
        <f t="shared" si="0"/>
        <v>74688</v>
      </c>
      <c r="H47" s="5">
        <v>1026</v>
      </c>
      <c r="I47" s="6" t="str">
        <f t="shared" si="1"/>
        <v>402</v>
      </c>
      <c r="O47" t="s">
        <v>2990</v>
      </c>
    </row>
    <row r="48" spans="1:15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2"/>
        <v>maps/drag.map</v>
      </c>
      <c r="F48" t="s">
        <v>88</v>
      </c>
      <c r="G48" s="5">
        <f t="shared" si="0"/>
        <v>75714</v>
      </c>
      <c r="H48" s="5">
        <v>4096</v>
      </c>
      <c r="I48" s="6" t="str">
        <f t="shared" si="1"/>
        <v>1000</v>
      </c>
      <c r="O48" t="s">
        <v>2991</v>
      </c>
    </row>
    <row r="49" spans="1:15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2"/>
        <v>maps/drag.obj</v>
      </c>
      <c r="F49" t="s">
        <v>90</v>
      </c>
      <c r="G49" s="5">
        <f t="shared" si="0"/>
        <v>79810</v>
      </c>
      <c r="H49" s="5">
        <v>1026</v>
      </c>
      <c r="I49" s="6" t="str">
        <f t="shared" si="1"/>
        <v>402</v>
      </c>
      <c r="O49" t="s">
        <v>2992</v>
      </c>
    </row>
    <row r="50" spans="1:15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2"/>
        <v>maps/chaos.map</v>
      </c>
      <c r="F50" t="s">
        <v>92</v>
      </c>
      <c r="G50" s="5">
        <f t="shared" si="0"/>
        <v>80836</v>
      </c>
      <c r="H50" s="5">
        <v>4096</v>
      </c>
      <c r="I50" s="6" t="str">
        <f t="shared" si="1"/>
        <v>1000</v>
      </c>
      <c r="O50" t="s">
        <v>2993</v>
      </c>
    </row>
    <row r="51" spans="1:15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2"/>
        <v>maps/chaos.obj</v>
      </c>
      <c r="F51" t="s">
        <v>94</v>
      </c>
      <c r="G51" s="5">
        <f t="shared" si="0"/>
        <v>84932</v>
      </c>
      <c r="H51" s="5">
        <v>1026</v>
      </c>
      <c r="I51" s="6" t="str">
        <f t="shared" si="1"/>
        <v>402</v>
      </c>
      <c r="O51" t="s">
        <v>2994</v>
      </c>
    </row>
    <row r="52" spans="1:15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2"/>
        <v>maps/zendik.map</v>
      </c>
      <c r="F52" t="s">
        <v>96</v>
      </c>
      <c r="G52" s="5">
        <f t="shared" si="0"/>
        <v>85958</v>
      </c>
      <c r="H52" s="5">
        <v>4096</v>
      </c>
      <c r="I52" s="6" t="str">
        <f t="shared" si="1"/>
        <v>1000</v>
      </c>
      <c r="O52" t="s">
        <v>2995</v>
      </c>
    </row>
    <row r="53" spans="1:15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2"/>
        <v>maps/zendik.obj</v>
      </c>
      <c r="F53" t="s">
        <v>98</v>
      </c>
      <c r="G53" s="5">
        <f t="shared" si="0"/>
        <v>90054</v>
      </c>
      <c r="H53" s="5">
        <v>1026</v>
      </c>
      <c r="I53" s="6" t="str">
        <f t="shared" si="1"/>
        <v>402</v>
      </c>
      <c r="O53" t="s">
        <v>2996</v>
      </c>
    </row>
    <row r="54" spans="1:15" s="12" customFormat="1" x14ac:dyDescent="0.2">
      <c r="A54" s="12" t="s">
        <v>3011</v>
      </c>
      <c r="B54" s="12" t="s">
        <v>3011</v>
      </c>
      <c r="C54" s="13" t="s">
        <v>8</v>
      </c>
      <c r="D54" s="12" t="s">
        <v>99</v>
      </c>
      <c r="E54" t="str">
        <f t="shared" si="2"/>
        <v>maps/monsters.totals</v>
      </c>
      <c r="F54" s="12" t="s">
        <v>100</v>
      </c>
      <c r="G54" s="13">
        <f t="shared" si="0"/>
        <v>94708</v>
      </c>
      <c r="H54" s="13">
        <v>12</v>
      </c>
      <c r="I54" s="6" t="str">
        <f t="shared" si="1"/>
        <v>C</v>
      </c>
      <c r="J54" s="14" t="s">
        <v>3655</v>
      </c>
      <c r="K54" s="14"/>
      <c r="L54" s="14"/>
      <c r="M54" s="14"/>
      <c r="O54" s="12" t="s">
        <v>3011</v>
      </c>
    </row>
    <row r="55" spans="1:15" ht="17" x14ac:dyDescent="0.25">
      <c r="A55" s="12" t="s">
        <v>3011</v>
      </c>
      <c r="B55" s="9" t="s">
        <v>3656</v>
      </c>
      <c r="C55" s="5" t="s">
        <v>8</v>
      </c>
      <c r="D55" t="s">
        <v>101</v>
      </c>
      <c r="E55" t="str">
        <f t="shared" si="2"/>
        <v>maps/mod0.monstercount</v>
      </c>
      <c r="F55" t="s">
        <v>100</v>
      </c>
      <c r="G55" s="5">
        <f t="shared" si="0"/>
        <v>94708</v>
      </c>
      <c r="H55" s="5">
        <v>2</v>
      </c>
      <c r="I55" s="6" t="str">
        <f t="shared" si="1"/>
        <v>2</v>
      </c>
      <c r="J55" s="25" t="s">
        <v>3645</v>
      </c>
      <c r="K55" s="25"/>
      <c r="L55" s="25"/>
      <c r="M55" s="25"/>
    </row>
    <row r="56" spans="1:15" ht="17" x14ac:dyDescent="0.25">
      <c r="A56" s="12" t="s">
        <v>3011</v>
      </c>
      <c r="B56" s="9" t="s">
        <v>3657</v>
      </c>
      <c r="C56" s="5" t="s">
        <v>8</v>
      </c>
      <c r="D56" t="s">
        <v>102</v>
      </c>
      <c r="E56" t="str">
        <f t="shared" si="2"/>
        <v>maps/serp.monstercount</v>
      </c>
      <c r="F56" t="s">
        <v>103</v>
      </c>
      <c r="G56" s="5">
        <f t="shared" si="0"/>
        <v>94710</v>
      </c>
      <c r="H56" s="5">
        <v>2</v>
      </c>
      <c r="I56" s="6" t="str">
        <f t="shared" si="1"/>
        <v>2</v>
      </c>
      <c r="J56" s="25" t="s">
        <v>3650</v>
      </c>
      <c r="K56" s="25"/>
      <c r="L56" s="25"/>
      <c r="M56" s="25"/>
    </row>
    <row r="57" spans="1:15" ht="17" x14ac:dyDescent="0.25">
      <c r="A57" s="12" t="s">
        <v>3011</v>
      </c>
      <c r="B57" s="9" t="s">
        <v>3658</v>
      </c>
      <c r="C57" s="5" t="s">
        <v>8</v>
      </c>
      <c r="D57" t="s">
        <v>104</v>
      </c>
      <c r="E57" t="str">
        <f t="shared" si="2"/>
        <v>maps/moon.monstercount</v>
      </c>
      <c r="F57" t="s">
        <v>105</v>
      </c>
      <c r="G57" s="5">
        <f t="shared" si="0"/>
        <v>94712</v>
      </c>
      <c r="H57" s="5">
        <v>2</v>
      </c>
      <c r="I57" s="6" t="str">
        <f t="shared" si="1"/>
        <v>2</v>
      </c>
      <c r="J57" s="25" t="s">
        <v>3650</v>
      </c>
      <c r="K57" s="25"/>
      <c r="L57" s="25"/>
      <c r="M57" s="25"/>
    </row>
    <row r="58" spans="1:15" ht="17" x14ac:dyDescent="0.25">
      <c r="A58" s="12" t="s">
        <v>3011</v>
      </c>
      <c r="B58" s="9" t="s">
        <v>3659</v>
      </c>
      <c r="C58" s="5" t="s">
        <v>8</v>
      </c>
      <c r="D58" t="s">
        <v>106</v>
      </c>
      <c r="E58" t="str">
        <f t="shared" si="2"/>
        <v>maps/drag.monstercount</v>
      </c>
      <c r="F58" t="s">
        <v>107</v>
      </c>
      <c r="G58" s="5">
        <f t="shared" si="0"/>
        <v>94714</v>
      </c>
      <c r="H58" s="5">
        <v>2</v>
      </c>
      <c r="I58" s="6" t="str">
        <f t="shared" si="1"/>
        <v>2</v>
      </c>
      <c r="J58" s="25" t="s">
        <v>3650</v>
      </c>
      <c r="K58" s="25"/>
      <c r="L58" s="25"/>
      <c r="M58" s="25"/>
    </row>
    <row r="59" spans="1:15" ht="17" x14ac:dyDescent="0.25">
      <c r="A59" s="12" t="s">
        <v>3011</v>
      </c>
      <c r="B59" s="9" t="s">
        <v>3660</v>
      </c>
      <c r="C59" s="5" t="s">
        <v>8</v>
      </c>
      <c r="D59" t="s">
        <v>108</v>
      </c>
      <c r="E59" t="str">
        <f t="shared" si="2"/>
        <v>maps/chaos.monstercount</v>
      </c>
      <c r="F59" t="s">
        <v>109</v>
      </c>
      <c r="G59" s="5">
        <f t="shared" si="0"/>
        <v>94716</v>
      </c>
      <c r="H59" s="5">
        <v>2</v>
      </c>
      <c r="I59" s="6" t="str">
        <f t="shared" si="1"/>
        <v>2</v>
      </c>
      <c r="J59" s="25" t="s">
        <v>3650</v>
      </c>
      <c r="K59" s="25"/>
      <c r="L59" s="25"/>
      <c r="M59" s="25"/>
    </row>
    <row r="60" spans="1:15" ht="17" x14ac:dyDescent="0.25">
      <c r="A60" s="12" t="s">
        <v>3011</v>
      </c>
      <c r="B60" s="9" t="s">
        <v>3661</v>
      </c>
      <c r="C60" s="5" t="s">
        <v>8</v>
      </c>
      <c r="D60" t="s">
        <v>110</v>
      </c>
      <c r="E60" t="str">
        <f t="shared" si="2"/>
        <v>maps/zendik.monstercount</v>
      </c>
      <c r="F60" t="s">
        <v>111</v>
      </c>
      <c r="G60" s="5">
        <f t="shared" si="0"/>
        <v>94718</v>
      </c>
      <c r="H60" s="5">
        <v>2</v>
      </c>
      <c r="I60" s="6" t="str">
        <f t="shared" si="1"/>
        <v>2</v>
      </c>
      <c r="J60" s="25" t="s">
        <v>3650</v>
      </c>
      <c r="K60" s="25"/>
      <c r="L60" s="25"/>
      <c r="M60" s="25"/>
    </row>
    <row r="61" spans="1:15" ht="17" x14ac:dyDescent="0.25">
      <c r="A61" t="s">
        <v>3012</v>
      </c>
      <c r="B61" s="9"/>
      <c r="E61" t="str">
        <f t="shared" si="2"/>
        <v/>
      </c>
      <c r="G61" s="5" t="str">
        <f t="shared" si="0"/>
        <v/>
      </c>
      <c r="H61" s="5">
        <v>768</v>
      </c>
      <c r="I61" s="6" t="str">
        <f t="shared" ref="I61" si="4">IFERROR(DEC2HEX(H61),"")</f>
        <v>300</v>
      </c>
      <c r="J61" s="25"/>
      <c r="K61" s="25"/>
      <c r="L61" s="25"/>
      <c r="M61" s="25"/>
    </row>
    <row r="62" spans="1:15" x14ac:dyDescent="0.2">
      <c r="A62" t="s">
        <v>3012</v>
      </c>
      <c r="B62" s="9"/>
      <c r="C62" s="5" t="s">
        <v>8</v>
      </c>
      <c r="D62" t="s">
        <v>112</v>
      </c>
      <c r="E62" t="str">
        <f t="shared" si="2"/>
        <v>maps/mod0.monsters</v>
      </c>
      <c r="F62" t="s">
        <v>113</v>
      </c>
      <c r="G62" s="5">
        <f t="shared" si="0"/>
        <v>94720</v>
      </c>
      <c r="H62" s="5">
        <v>768</v>
      </c>
      <c r="I62" s="6" t="str">
        <f t="shared" si="1"/>
        <v>300</v>
      </c>
    </row>
    <row r="63" spans="1:15" x14ac:dyDescent="0.2">
      <c r="A63" t="s">
        <v>3012</v>
      </c>
      <c r="B63" s="9"/>
      <c r="C63" s="5" t="s">
        <v>8</v>
      </c>
      <c r="D63" t="s">
        <v>114</v>
      </c>
      <c r="E63" t="str">
        <f t="shared" si="2"/>
        <v>maps/serp.monsters</v>
      </c>
      <c r="F63" t="s">
        <v>115</v>
      </c>
      <c r="G63" s="5">
        <f t="shared" si="0"/>
        <v>95488</v>
      </c>
      <c r="H63" s="5">
        <v>768</v>
      </c>
      <c r="I63" s="6" t="str">
        <f t="shared" si="1"/>
        <v>300</v>
      </c>
    </row>
    <row r="64" spans="1:15" x14ac:dyDescent="0.2">
      <c r="A64" t="s">
        <v>3012</v>
      </c>
      <c r="B64" s="9"/>
      <c r="C64" s="5" t="s">
        <v>8</v>
      </c>
      <c r="D64" t="s">
        <v>116</v>
      </c>
      <c r="E64" t="str">
        <f t="shared" si="2"/>
        <v>maps/moon.monsters</v>
      </c>
      <c r="F64" t="s">
        <v>117</v>
      </c>
      <c r="G64" s="5">
        <f t="shared" si="0"/>
        <v>96256</v>
      </c>
      <c r="H64" s="5">
        <v>768</v>
      </c>
      <c r="I64" s="6" t="str">
        <f t="shared" si="1"/>
        <v>300</v>
      </c>
    </row>
    <row r="65" spans="1:20" x14ac:dyDescent="0.2">
      <c r="A65" t="s">
        <v>3012</v>
      </c>
      <c r="B65" s="9"/>
      <c r="C65" s="5" t="s">
        <v>8</v>
      </c>
      <c r="D65" t="s">
        <v>118</v>
      </c>
      <c r="E65" t="str">
        <f t="shared" si="2"/>
        <v>maps/drag.monsters</v>
      </c>
      <c r="F65" t="s">
        <v>119</v>
      </c>
      <c r="G65" s="5">
        <f t="shared" si="0"/>
        <v>97024</v>
      </c>
      <c r="H65" s="5">
        <v>768</v>
      </c>
      <c r="I65" s="6" t="str">
        <f t="shared" si="1"/>
        <v>300</v>
      </c>
    </row>
    <row r="66" spans="1:20" x14ac:dyDescent="0.2">
      <c r="A66" t="s">
        <v>3012</v>
      </c>
      <c r="B66" s="9"/>
      <c r="C66" s="5" t="s">
        <v>8</v>
      </c>
      <c r="D66" t="s">
        <v>120</v>
      </c>
      <c r="E66" t="str">
        <f t="shared" si="2"/>
        <v>maps/chaos.monsters</v>
      </c>
      <c r="F66" t="s">
        <v>121</v>
      </c>
      <c r="G66" s="5">
        <f t="shared" si="0"/>
        <v>97792</v>
      </c>
      <c r="H66" s="5">
        <v>768</v>
      </c>
      <c r="I66" s="6" t="str">
        <f t="shared" si="1"/>
        <v>300</v>
      </c>
    </row>
    <row r="67" spans="1:20" x14ac:dyDescent="0.2">
      <c r="A67" t="s">
        <v>3012</v>
      </c>
      <c r="B67" s="9"/>
      <c r="C67" s="5" t="s">
        <v>8</v>
      </c>
      <c r="D67" t="s">
        <v>122</v>
      </c>
      <c r="E67" t="str">
        <f t="shared" si="2"/>
        <v>maps/zendik.monsters</v>
      </c>
      <c r="F67" t="s">
        <v>123</v>
      </c>
      <c r="G67" s="5">
        <f t="shared" si="0"/>
        <v>98816</v>
      </c>
      <c r="H67" s="5">
        <v>768</v>
      </c>
      <c r="I67" s="6" t="str">
        <f t="shared" ref="I67:I130" si="5">IFERROR(DEC2HEX(H67),"")</f>
        <v>300</v>
      </c>
    </row>
    <row r="68" spans="1:20" x14ac:dyDescent="0.2">
      <c r="A68" t="s">
        <v>314</v>
      </c>
      <c r="B68" t="s">
        <v>125</v>
      </c>
      <c r="C68" s="5" t="s">
        <v>124</v>
      </c>
      <c r="D68" t="s">
        <v>125</v>
      </c>
      <c r="E68" t="str">
        <f t="shared" ref="E68:E131" si="6">IF(D68&lt;&gt;"",C68&amp;"/"&amp;D68,"")</f>
        <v>gfx/GameFont</v>
      </c>
      <c r="F68" t="s">
        <v>315</v>
      </c>
      <c r="G68" s="5">
        <f>IF(F68&lt;&gt;"",HEX2DEC(SUBSTITUTE(SUBSTITUTE(F68,"adrEA",""),"$","")),"")</f>
        <v>100602</v>
      </c>
      <c r="H68" s="5">
        <v>640</v>
      </c>
      <c r="I68" s="6" t="str">
        <f t="shared" si="5"/>
        <v>280</v>
      </c>
      <c r="N68" t="str">
        <f>RIGHT(F68,5)</f>
        <v>188FA</v>
      </c>
      <c r="O68" t="s">
        <v>125</v>
      </c>
      <c r="P68">
        <f>HEX2DEC(N68)</f>
        <v>100602</v>
      </c>
      <c r="Q68">
        <f t="shared" ref="Q68:Q74" si="7">P69-P68</f>
        <v>640</v>
      </c>
    </row>
    <row r="69" spans="1:20" x14ac:dyDescent="0.2">
      <c r="A69" t="s">
        <v>3025</v>
      </c>
      <c r="B69" t="s">
        <v>3204</v>
      </c>
      <c r="C69" s="5" t="s">
        <v>124</v>
      </c>
      <c r="D69" t="s">
        <v>126</v>
      </c>
      <c r="E69" t="str">
        <f t="shared" si="6"/>
        <v>gfx/ButtonHighlights.gfx</v>
      </c>
      <c r="F69" t="s">
        <v>3231</v>
      </c>
      <c r="G69" s="5">
        <f>IF(F69&lt;&gt;"",HEX2DEC(SUBSTITUTE(SUBSTITUTE(F69,"adrEA",""),"$","")),"")</f>
        <v>101242</v>
      </c>
      <c r="H69" s="5" t="s">
        <v>127</v>
      </c>
      <c r="I69" s="6" t="str">
        <f t="shared" si="5"/>
        <v>2C0</v>
      </c>
      <c r="N69" t="str">
        <f t="shared" ref="N69:N74" si="8">DEC2HEX(G68+H68)</f>
        <v>18B7A</v>
      </c>
      <c r="O69" t="s">
        <v>3204</v>
      </c>
      <c r="P69">
        <f>HEX2DEC(N69)</f>
        <v>101242</v>
      </c>
      <c r="Q69">
        <f t="shared" si="7"/>
        <v>704</v>
      </c>
      <c r="S69" t="str">
        <f t="shared" ref="S69:S74" si="9">DEC2HEX(P68+Q68)</f>
        <v>18B7A</v>
      </c>
      <c r="T69" t="s">
        <v>3230</v>
      </c>
    </row>
    <row r="70" spans="1:20" x14ac:dyDescent="0.2">
      <c r="A70" t="s">
        <v>3026</v>
      </c>
      <c r="B70" t="s">
        <v>3205</v>
      </c>
      <c r="C70" s="5" t="s">
        <v>124</v>
      </c>
      <c r="D70" t="s">
        <v>128</v>
      </c>
      <c r="E70" t="str">
        <f t="shared" si="6"/>
        <v>gfx/Scroll_Edge_Top.gfx</v>
      </c>
      <c r="F70" t="s">
        <v>3232</v>
      </c>
      <c r="G70" s="5">
        <f>IF(F70&lt;&gt;"",HEX2DEC(SUBSTITUTE(SUBSTITUTE(F70,"adrEA",""),"$","")),"")</f>
        <v>101946</v>
      </c>
      <c r="H70" s="5" t="s">
        <v>129</v>
      </c>
      <c r="I70" s="6" t="str">
        <f t="shared" si="5"/>
        <v>2D0</v>
      </c>
      <c r="N70" t="str">
        <f t="shared" si="8"/>
        <v>18E3A</v>
      </c>
      <c r="O70" t="s">
        <v>3205</v>
      </c>
      <c r="P70">
        <f>HEX2DEC(N70)</f>
        <v>101946</v>
      </c>
      <c r="Q70">
        <f t="shared" si="7"/>
        <v>720</v>
      </c>
      <c r="S70" t="str">
        <f t="shared" si="9"/>
        <v>18E3A</v>
      </c>
    </row>
    <row r="71" spans="1:20" x14ac:dyDescent="0.2">
      <c r="A71" t="s">
        <v>3027</v>
      </c>
      <c r="B71" t="s">
        <v>3207</v>
      </c>
      <c r="C71" s="5" t="s">
        <v>124</v>
      </c>
      <c r="D71" t="s">
        <v>130</v>
      </c>
      <c r="E71" t="str">
        <f t="shared" si="6"/>
        <v>gfx/Scroll_Edge_Bottom.gfx</v>
      </c>
      <c r="F71" t="s">
        <v>3233</v>
      </c>
      <c r="G71" s="5">
        <f>IF(F71&lt;&gt;"",HEX2DEC(SUBSTITUTE(SUBSTITUTE(F71,"adrEA",""),"$","")),"")</f>
        <v>102666</v>
      </c>
      <c r="H71" s="5" t="s">
        <v>129</v>
      </c>
      <c r="I71" s="6" t="str">
        <f t="shared" si="5"/>
        <v>2D0</v>
      </c>
      <c r="N71" t="str">
        <f t="shared" si="8"/>
        <v>1910A</v>
      </c>
      <c r="O71" t="s">
        <v>3207</v>
      </c>
      <c r="P71">
        <f>HEX2DEC(N71)</f>
        <v>102666</v>
      </c>
      <c r="Q71">
        <f t="shared" si="7"/>
        <v>1620</v>
      </c>
      <c r="S71" t="str">
        <f t="shared" si="9"/>
        <v>1910A</v>
      </c>
    </row>
    <row r="72" spans="1:20" x14ac:dyDescent="0.2">
      <c r="A72" t="s">
        <v>3028</v>
      </c>
      <c r="B72" t="s">
        <v>3206</v>
      </c>
      <c r="C72" s="5" t="s">
        <v>124</v>
      </c>
      <c r="D72" t="s">
        <v>131</v>
      </c>
      <c r="E72" t="str">
        <f t="shared" si="6"/>
        <v>gfx/Scroll_Edge_Left.gfx</v>
      </c>
      <c r="F72" t="s">
        <v>3234</v>
      </c>
      <c r="G72" s="5">
        <f>IF(F72&lt;&gt;"",HEX2DEC(SUBSTITUTE(SUBSTITUTE(F72,"adrEA",""),"$","")),"")</f>
        <v>103386</v>
      </c>
      <c r="H72" s="5" t="s">
        <v>132</v>
      </c>
      <c r="I72" s="6" t="str">
        <f t="shared" si="5"/>
        <v>1D0</v>
      </c>
      <c r="N72" t="str">
        <f t="shared" si="8"/>
        <v>193DA</v>
      </c>
      <c r="O72" t="s">
        <v>3206</v>
      </c>
      <c r="P72">
        <f>HEX2DEC(RIGHT(A72,5))</f>
        <v>104286</v>
      </c>
      <c r="Q72">
        <f t="shared" si="7"/>
        <v>464</v>
      </c>
      <c r="S72" t="str">
        <f t="shared" si="9"/>
        <v>1975E</v>
      </c>
    </row>
    <row r="73" spans="1:20" x14ac:dyDescent="0.2">
      <c r="A73" t="s">
        <v>3029</v>
      </c>
      <c r="B73" t="s">
        <v>3208</v>
      </c>
      <c r="C73" s="5" t="s">
        <v>124</v>
      </c>
      <c r="D73" t="s">
        <v>133</v>
      </c>
      <c r="E73" t="str">
        <f t="shared" si="6"/>
        <v>gfx/Scroll_Edge_Right.gfx</v>
      </c>
      <c r="F73" t="s">
        <v>3235</v>
      </c>
      <c r="G73" s="5">
        <f>G72+H72</f>
        <v>103850</v>
      </c>
      <c r="H73" s="5">
        <v>720</v>
      </c>
      <c r="I73" s="6" t="str">
        <f t="shared" si="5"/>
        <v>2D0</v>
      </c>
      <c r="N73" t="str">
        <f t="shared" si="8"/>
        <v>195AA</v>
      </c>
      <c r="O73" t="s">
        <v>3208</v>
      </c>
      <c r="P73">
        <f>HEX2DEC(RIGHT(A73,5))</f>
        <v>104750</v>
      </c>
      <c r="Q73">
        <f t="shared" si="7"/>
        <v>720</v>
      </c>
      <c r="S73" t="str">
        <f t="shared" si="9"/>
        <v>1992E</v>
      </c>
    </row>
    <row r="74" spans="1:20" x14ac:dyDescent="0.2">
      <c r="A74" t="s">
        <v>3030</v>
      </c>
      <c r="B74" t="s">
        <v>3209</v>
      </c>
      <c r="C74" s="5" t="s">
        <v>124</v>
      </c>
      <c r="D74" t="s">
        <v>134</v>
      </c>
      <c r="E74" t="str">
        <f t="shared" si="6"/>
        <v>gfx/Shield_Clicked.gfx</v>
      </c>
      <c r="F74" t="s">
        <v>3236</v>
      </c>
      <c r="G74" s="5">
        <f>G73+H73</f>
        <v>104570</v>
      </c>
      <c r="H74" s="5" t="s">
        <v>135</v>
      </c>
      <c r="I74" s="6" t="str">
        <f t="shared" si="5"/>
        <v>290</v>
      </c>
      <c r="N74" t="str">
        <f t="shared" si="8"/>
        <v>1987A</v>
      </c>
      <c r="O74" t="s">
        <v>3209</v>
      </c>
      <c r="P74">
        <f>HEX2DEC(RIGHT(A74,5))</f>
        <v>105470</v>
      </c>
      <c r="Q74">
        <f t="shared" si="7"/>
        <v>5202</v>
      </c>
      <c r="S74" t="str">
        <f t="shared" si="9"/>
        <v>19BFE</v>
      </c>
    </row>
    <row r="75" spans="1:20" x14ac:dyDescent="0.2">
      <c r="A75" t="s">
        <v>3037</v>
      </c>
      <c r="B75" t="s">
        <v>3170</v>
      </c>
      <c r="C75" s="5" t="s">
        <v>124</v>
      </c>
      <c r="D75" t="s">
        <v>137</v>
      </c>
      <c r="E75" t="str">
        <f t="shared" si="6"/>
        <v>gfx/Main_Walls.gfx</v>
      </c>
      <c r="F75" t="s">
        <v>138</v>
      </c>
      <c r="G75" s="5">
        <f>IF(F75&lt;&gt;"",HEX2DEC(SUBSTITUTE(SUBSTITUTE(F75,"adrEA",""),"$","")),"")</f>
        <v>109772</v>
      </c>
      <c r="H75" s="5">
        <v>18736</v>
      </c>
      <c r="I75" s="6" t="str">
        <f t="shared" si="5"/>
        <v>4930</v>
      </c>
      <c r="N75" t="str">
        <f>RIGHT(A75,5)</f>
        <v>1B050</v>
      </c>
      <c r="O75" t="s">
        <v>3170</v>
      </c>
      <c r="P75">
        <f t="shared" ref="P75" si="10">HEX2DEC(N75)</f>
        <v>110672</v>
      </c>
    </row>
    <row r="76" spans="1:20" x14ac:dyDescent="0.2">
      <c r="A76" t="s">
        <v>3038</v>
      </c>
      <c r="B76" t="s">
        <v>3193</v>
      </c>
      <c r="C76" s="5" t="s">
        <v>124</v>
      </c>
      <c r="D76" t="s">
        <v>139</v>
      </c>
      <c r="E76" t="str">
        <f t="shared" si="6"/>
        <v>gfx/Wooden_Wall.gfx</v>
      </c>
      <c r="F76" t="s">
        <v>140</v>
      </c>
      <c r="G76" s="5">
        <f>IF(F76&lt;&gt;"",HEX2DEC(SUBSTITUTE(SUBSTITUTE(F76,"adrEA",""),"$","")),"")</f>
        <v>128508</v>
      </c>
      <c r="H76" s="5">
        <v>18736</v>
      </c>
      <c r="I76" s="6" t="str">
        <f t="shared" si="5"/>
        <v>4930</v>
      </c>
      <c r="O76" t="s">
        <v>3193</v>
      </c>
    </row>
    <row r="77" spans="1:20" x14ac:dyDescent="0.2">
      <c r="A77" t="s">
        <v>3039</v>
      </c>
      <c r="B77" t="s">
        <v>3171</v>
      </c>
      <c r="C77" s="5" t="s">
        <v>124</v>
      </c>
      <c r="D77" t="s">
        <v>141</v>
      </c>
      <c r="E77" t="str">
        <f t="shared" si="6"/>
        <v>gfx/Wooden_Doors.gfx</v>
      </c>
      <c r="F77" t="s">
        <v>142</v>
      </c>
      <c r="G77" s="5">
        <f t="shared" ref="G77" si="11">IF(F77&lt;&gt;"",HEX2DEC(SUBSTITUTE(SUBSTITUTE(F77,"adrEA",""),"$","")),"")</f>
        <v>147244</v>
      </c>
      <c r="H77" s="5">
        <v>4576</v>
      </c>
      <c r="I77" s="6" t="str">
        <f t="shared" si="5"/>
        <v>11E0</v>
      </c>
      <c r="O77" t="s">
        <v>3171</v>
      </c>
    </row>
    <row r="78" spans="1:20" x14ac:dyDescent="0.2">
      <c r="A78" t="s">
        <v>3040</v>
      </c>
      <c r="B78" t="s">
        <v>3179</v>
      </c>
      <c r="C78" s="5" t="s">
        <v>124</v>
      </c>
      <c r="D78" t="s">
        <v>143</v>
      </c>
      <c r="E78" t="str">
        <f t="shared" si="6"/>
        <v>gfx/Main_Shelf.gfx</v>
      </c>
      <c r="F78" t="s">
        <v>144</v>
      </c>
      <c r="G78" s="5">
        <f>IF(F78&lt;&gt;"",HEX2DEC(SUBSTITUTE(SUBSTITUTE(F78,"adrEA",""),"$","")),"")</f>
        <v>151820</v>
      </c>
      <c r="H78" s="5">
        <v>2120</v>
      </c>
      <c r="I78" s="6" t="str">
        <f t="shared" si="5"/>
        <v>848</v>
      </c>
      <c r="O78" t="s">
        <v>3179</v>
      </c>
    </row>
    <row r="79" spans="1:20" x14ac:dyDescent="0.2">
      <c r="A79" t="s">
        <v>3041</v>
      </c>
      <c r="B79" t="s">
        <v>3180</v>
      </c>
      <c r="C79" s="5" t="s">
        <v>124</v>
      </c>
      <c r="D79" t="s">
        <v>145</v>
      </c>
      <c r="E79" t="str">
        <f t="shared" si="6"/>
        <v>gfx/Main_Sign.gfx</v>
      </c>
      <c r="F79" t="s">
        <v>146</v>
      </c>
      <c r="G79" s="5">
        <f t="shared" ref="G79:G104" si="12">IF(F79&lt;&gt;"",HEX2DEC(SUBSTITUTE(SUBSTITUTE(F79,"adrEA",""),"$","")),"")</f>
        <v>153940</v>
      </c>
      <c r="H79" s="5">
        <v>4048</v>
      </c>
      <c r="I79" s="6" t="str">
        <f t="shared" si="5"/>
        <v>FD0</v>
      </c>
      <c r="O79" t="s">
        <v>3180</v>
      </c>
    </row>
    <row r="80" spans="1:20" x14ac:dyDescent="0.2">
      <c r="A80" t="s">
        <v>3042</v>
      </c>
      <c r="B80" t="s">
        <v>3181</v>
      </c>
      <c r="C80" s="5" t="s">
        <v>124</v>
      </c>
      <c r="D80" t="s">
        <v>147</v>
      </c>
      <c r="E80" t="str">
        <f t="shared" si="6"/>
        <v>gfx/Main_SignOverlay.gfx</v>
      </c>
      <c r="F80" t="s">
        <v>148</v>
      </c>
      <c r="G80" s="5">
        <f t="shared" si="12"/>
        <v>157988</v>
      </c>
      <c r="H80" s="5">
        <v>6208</v>
      </c>
      <c r="I80" s="6" t="str">
        <f t="shared" si="5"/>
        <v>1840</v>
      </c>
      <c r="O80" t="s">
        <v>3181</v>
      </c>
    </row>
    <row r="81" spans="1:19" x14ac:dyDescent="0.2">
      <c r="A81" t="s">
        <v>3043</v>
      </c>
      <c r="B81" t="s">
        <v>3182</v>
      </c>
      <c r="C81" s="5" t="s">
        <v>124</v>
      </c>
      <c r="D81" t="s">
        <v>149</v>
      </c>
      <c r="E81" t="str">
        <f t="shared" si="6"/>
        <v>gfx/Main_Switches.gfx</v>
      </c>
      <c r="F81" t="s">
        <v>150</v>
      </c>
      <c r="G81" s="5">
        <f t="shared" si="12"/>
        <v>164196</v>
      </c>
      <c r="H81" s="5">
        <v>696</v>
      </c>
      <c r="I81" s="6" t="str">
        <f t="shared" si="5"/>
        <v>2B8</v>
      </c>
      <c r="O81" t="s">
        <v>3182</v>
      </c>
    </row>
    <row r="82" spans="1:19" x14ac:dyDescent="0.2">
      <c r="A82" t="s">
        <v>3044</v>
      </c>
      <c r="B82" t="s">
        <v>3183</v>
      </c>
      <c r="C82" s="5" t="s">
        <v>124</v>
      </c>
      <c r="D82" t="s">
        <v>151</v>
      </c>
      <c r="E82" t="str">
        <f t="shared" si="6"/>
        <v>gfx/Main_Slots.gfx</v>
      </c>
      <c r="F82" t="s">
        <v>152</v>
      </c>
      <c r="G82" s="5">
        <f t="shared" si="12"/>
        <v>164892</v>
      </c>
      <c r="H82" s="5">
        <v>1160</v>
      </c>
      <c r="I82" s="6" t="str">
        <f t="shared" si="5"/>
        <v>488</v>
      </c>
      <c r="K82" s="6" t="s">
        <v>3972</v>
      </c>
      <c r="O82" t="s">
        <v>3183</v>
      </c>
    </row>
    <row r="83" spans="1:19" x14ac:dyDescent="0.2">
      <c r="A83" t="s">
        <v>3045</v>
      </c>
      <c r="B83" t="s">
        <v>3184</v>
      </c>
      <c r="C83" s="5" t="s">
        <v>124</v>
      </c>
      <c r="D83" t="s">
        <v>153</v>
      </c>
      <c r="E83" t="str">
        <f t="shared" si="6"/>
        <v>gfx/Misc_Bed.gfx</v>
      </c>
      <c r="F83" t="s">
        <v>154</v>
      </c>
      <c r="G83" s="5">
        <f t="shared" si="12"/>
        <v>166052</v>
      </c>
      <c r="H83" s="5">
        <v>2680</v>
      </c>
      <c r="I83" s="6" t="str">
        <f t="shared" si="5"/>
        <v>A78</v>
      </c>
      <c r="O83" t="s">
        <v>3184</v>
      </c>
    </row>
    <row r="84" spans="1:19" x14ac:dyDescent="0.2">
      <c r="A84" t="s">
        <v>3046</v>
      </c>
      <c r="B84" t="s">
        <v>3185</v>
      </c>
      <c r="C84" s="5" t="s">
        <v>124</v>
      </c>
      <c r="D84" t="s">
        <v>155</v>
      </c>
      <c r="E84" t="str">
        <f t="shared" si="6"/>
        <v>gfx/Misc_Pillar.gfx</v>
      </c>
      <c r="F84" t="s">
        <v>156</v>
      </c>
      <c r="G84" s="5">
        <f t="shared" si="12"/>
        <v>168732</v>
      </c>
      <c r="H84" s="5">
        <v>5272</v>
      </c>
      <c r="I84" s="6" t="str">
        <f t="shared" si="5"/>
        <v>1498</v>
      </c>
      <c r="O84" t="s">
        <v>3185</v>
      </c>
    </row>
    <row r="85" spans="1:19" ht="17" x14ac:dyDescent="0.2">
      <c r="A85" t="s">
        <v>3047</v>
      </c>
      <c r="B85" t="s">
        <v>3186</v>
      </c>
      <c r="C85" s="5" t="s">
        <v>124</v>
      </c>
      <c r="D85" t="s">
        <v>157</v>
      </c>
      <c r="E85" t="str">
        <f t="shared" si="6"/>
        <v>gfx/Stairs_Up.gfx</v>
      </c>
      <c r="F85" t="s">
        <v>3239</v>
      </c>
      <c r="G85" s="5">
        <f t="shared" si="12"/>
        <v>174004</v>
      </c>
      <c r="H85" s="5">
        <v>7848</v>
      </c>
      <c r="I85" s="6" t="str">
        <f t="shared" si="5"/>
        <v>1EA8</v>
      </c>
      <c r="O85" t="s">
        <v>3186</v>
      </c>
      <c r="Q85" s="20" t="s">
        <v>3238</v>
      </c>
      <c r="R85">
        <f>HEX2DEC(Q85)</f>
        <v>174904</v>
      </c>
    </row>
    <row r="86" spans="1:19" x14ac:dyDescent="0.2">
      <c r="A86" t="s">
        <v>3048</v>
      </c>
      <c r="B86" t="s">
        <v>3187</v>
      </c>
      <c r="C86" s="5" t="s">
        <v>124</v>
      </c>
      <c r="D86" t="s">
        <v>158</v>
      </c>
      <c r="E86" t="str">
        <f t="shared" si="6"/>
        <v>gfx/Stairs_Down.gfx</v>
      </c>
      <c r="F86" t="s">
        <v>159</v>
      </c>
      <c r="G86" s="5">
        <f t="shared" si="12"/>
        <v>181852</v>
      </c>
      <c r="H86" s="5">
        <v>3200</v>
      </c>
      <c r="I86" s="6" t="str">
        <f t="shared" si="5"/>
        <v>C80</v>
      </c>
      <c r="O86" t="s">
        <v>3187</v>
      </c>
      <c r="P86" t="str">
        <f>DEC2HEX(HEX2DEC("2c65c")-H85)</f>
        <v>2A7B4</v>
      </c>
      <c r="Q86" t="s">
        <v>3237</v>
      </c>
      <c r="R86">
        <f>HEX2DEC(Q86)</f>
        <v>182752</v>
      </c>
      <c r="S86">
        <f>R86-R85</f>
        <v>7848</v>
      </c>
    </row>
    <row r="87" spans="1:19" x14ac:dyDescent="0.2">
      <c r="A87" t="s">
        <v>3049</v>
      </c>
      <c r="B87" t="s">
        <v>3188</v>
      </c>
      <c r="C87" s="5" t="s">
        <v>124</v>
      </c>
      <c r="D87" t="s">
        <v>160</v>
      </c>
      <c r="E87" t="str">
        <f t="shared" si="6"/>
        <v>gfx/Door_Open.gfx</v>
      </c>
      <c r="F87" t="s">
        <v>161</v>
      </c>
      <c r="G87" s="5">
        <f t="shared" si="12"/>
        <v>185052</v>
      </c>
      <c r="H87" s="5">
        <v>7008</v>
      </c>
      <c r="I87" s="6" t="str">
        <f t="shared" si="5"/>
        <v>1B60</v>
      </c>
      <c r="O87" t="s">
        <v>3188</v>
      </c>
    </row>
    <row r="88" spans="1:19" x14ac:dyDescent="0.2">
      <c r="A88" t="s">
        <v>3050</v>
      </c>
      <c r="B88" t="s">
        <v>3189</v>
      </c>
      <c r="C88" s="5" t="s">
        <v>124</v>
      </c>
      <c r="D88" t="s">
        <v>162</v>
      </c>
      <c r="E88" t="str">
        <f t="shared" si="6"/>
        <v>gfx/Door_Metal.gfx</v>
      </c>
      <c r="F88" t="s">
        <v>163</v>
      </c>
      <c r="G88" s="5">
        <f t="shared" si="12"/>
        <v>192068</v>
      </c>
      <c r="H88" s="5">
        <v>5256</v>
      </c>
      <c r="I88" s="6" t="str">
        <f t="shared" si="5"/>
        <v>1488</v>
      </c>
      <c r="O88" t="s">
        <v>3189</v>
      </c>
    </row>
    <row r="89" spans="1:19" x14ac:dyDescent="0.2">
      <c r="A89" t="s">
        <v>3051</v>
      </c>
      <c r="B89" t="s">
        <v>3190</v>
      </c>
      <c r="C89" s="5" t="s">
        <v>124</v>
      </c>
      <c r="D89" t="s">
        <v>164</v>
      </c>
      <c r="E89" t="str">
        <f t="shared" si="6"/>
        <v>gfx/Door_PortCullis.gfx</v>
      </c>
      <c r="F89" t="s">
        <v>165</v>
      </c>
      <c r="G89" s="5">
        <f t="shared" si="12"/>
        <v>197324</v>
      </c>
      <c r="H89" s="5">
        <v>5256</v>
      </c>
      <c r="I89" s="6" t="str">
        <f t="shared" si="5"/>
        <v>1488</v>
      </c>
      <c r="O89" t="s">
        <v>3190</v>
      </c>
    </row>
    <row r="90" spans="1:19" x14ac:dyDescent="0.2">
      <c r="A90" t="s">
        <v>3052</v>
      </c>
      <c r="B90" t="s">
        <v>3191</v>
      </c>
      <c r="C90" s="5" t="s">
        <v>124</v>
      </c>
      <c r="D90" t="s">
        <v>166</v>
      </c>
      <c r="E90" t="str">
        <f t="shared" si="6"/>
        <v>gfx/Pad_Pit_Low.gfx</v>
      </c>
      <c r="F90" t="s">
        <v>3312</v>
      </c>
      <c r="G90" s="5">
        <f t="shared" si="12"/>
        <v>202580</v>
      </c>
      <c r="H90" s="5">
        <v>584</v>
      </c>
      <c r="I90" s="6" t="str">
        <f t="shared" si="5"/>
        <v>248</v>
      </c>
      <c r="O90" t="s">
        <v>3191</v>
      </c>
    </row>
    <row r="91" spans="1:19" x14ac:dyDescent="0.2">
      <c r="A91" t="s">
        <v>3053</v>
      </c>
      <c r="B91" t="s">
        <v>3192</v>
      </c>
      <c r="C91" s="5" t="s">
        <v>124</v>
      </c>
      <c r="D91" t="s">
        <v>167</v>
      </c>
      <c r="E91" t="str">
        <f t="shared" si="6"/>
        <v>gfx/Pad_Pit_High.gfx</v>
      </c>
      <c r="F91" t="s">
        <v>3313</v>
      </c>
      <c r="G91" s="5">
        <f t="shared" si="12"/>
        <v>203164</v>
      </c>
      <c r="H91" s="5">
        <v>584</v>
      </c>
      <c r="I91" s="6" t="str">
        <f t="shared" si="5"/>
        <v>248</v>
      </c>
      <c r="O91" t="s">
        <v>3192</v>
      </c>
    </row>
    <row r="92" spans="1:19" x14ac:dyDescent="0.2">
      <c r="A92" t="s">
        <v>3054</v>
      </c>
      <c r="B92" t="s">
        <v>3178</v>
      </c>
      <c r="C92" s="5" t="s">
        <v>124</v>
      </c>
      <c r="D92" t="s">
        <v>168</v>
      </c>
      <c r="E92" t="str">
        <f t="shared" si="6"/>
        <v>gfx/Pad_Trigger.gfx</v>
      </c>
      <c r="F92" t="s">
        <v>3314</v>
      </c>
      <c r="G92" s="5">
        <f t="shared" si="12"/>
        <v>203748</v>
      </c>
      <c r="H92" s="5">
        <v>400</v>
      </c>
      <c r="I92" s="6" t="str">
        <f t="shared" si="5"/>
        <v>190</v>
      </c>
      <c r="O92" t="s">
        <v>3178</v>
      </c>
    </row>
    <row r="93" spans="1:19" x14ac:dyDescent="0.2">
      <c r="A93" t="s">
        <v>3055</v>
      </c>
      <c r="B93" t="s">
        <v>3055</v>
      </c>
      <c r="C93" s="5" t="s">
        <v>124</v>
      </c>
      <c r="D93" t="s">
        <v>169</v>
      </c>
      <c r="E93" t="str">
        <f t="shared" si="6"/>
        <v>gfx/FloorCeiling.gfx</v>
      </c>
      <c r="F93" t="s">
        <v>3228</v>
      </c>
      <c r="G93" s="5">
        <f t="shared" si="12"/>
        <v>204188</v>
      </c>
      <c r="H93" s="5">
        <v>3648</v>
      </c>
      <c r="I93" s="6" t="str">
        <f t="shared" si="5"/>
        <v>E40</v>
      </c>
      <c r="O93" t="s">
        <v>3055</v>
      </c>
    </row>
    <row r="94" spans="1:19" x14ac:dyDescent="0.2">
      <c r="A94" t="s">
        <v>3057</v>
      </c>
      <c r="B94" t="s">
        <v>3057</v>
      </c>
      <c r="C94" s="5" t="s">
        <v>124</v>
      </c>
      <c r="D94" t="s">
        <v>173</v>
      </c>
      <c r="E94" t="str">
        <f t="shared" si="6"/>
        <v>gfx/AirbourneFireball.gfx</v>
      </c>
      <c r="F94" s="9" t="s">
        <v>3668</v>
      </c>
      <c r="G94" s="5">
        <f t="shared" si="12"/>
        <v>214004</v>
      </c>
      <c r="H94" s="5" t="s">
        <v>174</v>
      </c>
      <c r="I94" s="6" t="str">
        <f t="shared" si="5"/>
        <v>2B8</v>
      </c>
      <c r="O94" t="s">
        <v>3057</v>
      </c>
    </row>
    <row r="95" spans="1:19" x14ac:dyDescent="0.2">
      <c r="A95" t="s">
        <v>3058</v>
      </c>
      <c r="B95" t="s">
        <v>3058</v>
      </c>
      <c r="C95" s="5" t="s">
        <v>124</v>
      </c>
      <c r="D95" t="s">
        <v>175</v>
      </c>
      <c r="E95" t="str">
        <f t="shared" si="6"/>
        <v>gfx/AirbourneSpells.gfx</v>
      </c>
      <c r="F95" s="9" t="s">
        <v>3669</v>
      </c>
      <c r="G95" s="5">
        <f t="shared" si="12"/>
        <v>214700</v>
      </c>
      <c r="H95" s="5">
        <v>1944</v>
      </c>
      <c r="I95" s="6" t="str">
        <f t="shared" si="5"/>
        <v>798</v>
      </c>
      <c r="O95" t="s">
        <v>3058</v>
      </c>
    </row>
    <row r="96" spans="1:19" x14ac:dyDescent="0.2">
      <c r="A96" t="s">
        <v>3059</v>
      </c>
      <c r="B96" t="s">
        <v>3059</v>
      </c>
      <c r="C96" s="5" t="s">
        <v>48</v>
      </c>
      <c r="D96" t="s">
        <v>176</v>
      </c>
      <c r="E96" t="str">
        <f t="shared" si="6"/>
        <v>data/characters.colours</v>
      </c>
      <c r="F96" s="9" t="s">
        <v>3670</v>
      </c>
      <c r="G96" s="5">
        <f t="shared" si="12"/>
        <v>216644</v>
      </c>
      <c r="H96" s="5">
        <v>1720</v>
      </c>
      <c r="I96" s="6" t="str">
        <f t="shared" si="5"/>
        <v>6B8</v>
      </c>
      <c r="O96" t="s">
        <v>3059</v>
      </c>
    </row>
    <row r="97" spans="1:25" x14ac:dyDescent="0.2">
      <c r="A97" t="s">
        <v>3061</v>
      </c>
      <c r="B97" t="s">
        <v>3136</v>
      </c>
      <c r="C97" s="5" t="s">
        <v>124</v>
      </c>
      <c r="D97" t="s">
        <v>177</v>
      </c>
      <c r="E97" t="str">
        <f t="shared" si="6"/>
        <v>gfx/HeadParts.gfx</v>
      </c>
      <c r="F97" t="s">
        <v>3671</v>
      </c>
      <c r="G97" s="5">
        <f t="shared" si="12"/>
        <v>218364</v>
      </c>
      <c r="H97" s="5">
        <v>15984</v>
      </c>
      <c r="I97" s="6" t="str">
        <f t="shared" si="5"/>
        <v>3E70</v>
      </c>
      <c r="O97" t="s">
        <v>3136</v>
      </c>
    </row>
    <row r="98" spans="1:25" x14ac:dyDescent="0.2">
      <c r="A98" t="s">
        <v>3062</v>
      </c>
      <c r="B98" t="s">
        <v>3177</v>
      </c>
      <c r="C98" s="5" t="s">
        <v>124</v>
      </c>
      <c r="D98" t="s">
        <v>178</v>
      </c>
      <c r="E98" t="str">
        <f t="shared" si="6"/>
        <v>gfx/BodyParts.gfx</v>
      </c>
      <c r="F98" t="s">
        <v>3672</v>
      </c>
      <c r="G98" s="5">
        <f t="shared" si="12"/>
        <v>234348</v>
      </c>
      <c r="H98" s="5">
        <v>34368</v>
      </c>
      <c r="I98" s="6" t="str">
        <f t="shared" si="5"/>
        <v>8640</v>
      </c>
      <c r="O98" t="s">
        <v>3177</v>
      </c>
    </row>
    <row r="99" spans="1:25" x14ac:dyDescent="0.2">
      <c r="A99" t="s">
        <v>3064</v>
      </c>
      <c r="B99" t="s">
        <v>3176</v>
      </c>
      <c r="C99" s="5" t="s">
        <v>124</v>
      </c>
      <c r="D99" t="s">
        <v>3166</v>
      </c>
      <c r="E99" t="str">
        <f t="shared" si="6"/>
        <v>gfx/Avatars_Large.gfx</v>
      </c>
      <c r="F99" t="s">
        <v>3673</v>
      </c>
      <c r="G99" s="5">
        <f t="shared" si="12"/>
        <v>268716</v>
      </c>
      <c r="H99" s="5">
        <v>7680</v>
      </c>
      <c r="I99" s="6" t="str">
        <f t="shared" si="5"/>
        <v>1E00</v>
      </c>
      <c r="O99" t="s">
        <v>3176</v>
      </c>
    </row>
    <row r="100" spans="1:25" x14ac:dyDescent="0.2">
      <c r="A100" t="s">
        <v>3065</v>
      </c>
      <c r="B100" t="s">
        <v>3175</v>
      </c>
      <c r="C100" s="5" t="s">
        <v>124</v>
      </c>
      <c r="D100" t="s">
        <v>179</v>
      </c>
      <c r="E100" t="str">
        <f t="shared" si="6"/>
        <v>gfx/Shield_Avatars.gfx</v>
      </c>
      <c r="F100" t="s">
        <v>3674</v>
      </c>
      <c r="G100" s="5">
        <f t="shared" si="12"/>
        <v>276396</v>
      </c>
      <c r="H100" s="5">
        <v>4096</v>
      </c>
      <c r="I100" s="6" t="str">
        <f t="shared" si="5"/>
        <v>1000</v>
      </c>
      <c r="O100" t="s">
        <v>3175</v>
      </c>
    </row>
    <row r="101" spans="1:25" x14ac:dyDescent="0.2">
      <c r="A101" t="s">
        <v>3066</v>
      </c>
      <c r="B101" t="s">
        <v>3174</v>
      </c>
      <c r="C101" s="5" t="s">
        <v>124</v>
      </c>
      <c r="D101" t="s">
        <v>180</v>
      </c>
      <c r="E101" t="str">
        <f t="shared" si="6"/>
        <v>gfx/ShieldTop.gfx</v>
      </c>
      <c r="F101" t="s">
        <v>3675</v>
      </c>
      <c r="G101" s="5">
        <f t="shared" si="12"/>
        <v>280492</v>
      </c>
      <c r="H101" s="5" t="s">
        <v>181</v>
      </c>
      <c r="I101" s="6" t="str">
        <f t="shared" si="5"/>
        <v>50</v>
      </c>
      <c r="O101" t="s">
        <v>3174</v>
      </c>
    </row>
    <row r="102" spans="1:25" x14ac:dyDescent="0.2">
      <c r="A102" t="s">
        <v>3067</v>
      </c>
      <c r="B102" t="s">
        <v>3173</v>
      </c>
      <c r="C102" s="5" t="s">
        <v>124</v>
      </c>
      <c r="D102" t="s">
        <v>182</v>
      </c>
      <c r="E102" t="str">
        <f t="shared" si="6"/>
        <v>gfx/ShieldBottom.gfx</v>
      </c>
      <c r="F102" t="s">
        <v>3676</v>
      </c>
      <c r="G102" s="5">
        <f t="shared" si="12"/>
        <v>280572</v>
      </c>
      <c r="H102" s="5" t="s">
        <v>183</v>
      </c>
      <c r="I102" s="6" t="str">
        <f t="shared" si="5"/>
        <v>90</v>
      </c>
      <c r="O102" t="s">
        <v>3173</v>
      </c>
    </row>
    <row r="103" spans="1:25" x14ac:dyDescent="0.2">
      <c r="A103" t="s">
        <v>3068</v>
      </c>
      <c r="B103" t="s">
        <v>3172</v>
      </c>
      <c r="C103" s="5" t="s">
        <v>124</v>
      </c>
      <c r="D103" t="s">
        <v>184</v>
      </c>
      <c r="E103" t="str">
        <f t="shared" si="6"/>
        <v>gfx/ShieldClasses.gfx</v>
      </c>
      <c r="F103" t="s">
        <v>3316</v>
      </c>
      <c r="G103" s="5">
        <f t="shared" si="12"/>
        <v>280716</v>
      </c>
      <c r="H103" s="5">
        <v>704</v>
      </c>
      <c r="I103" s="6" t="str">
        <f t="shared" si="5"/>
        <v>2C0</v>
      </c>
      <c r="O103" t="s">
        <v>3172</v>
      </c>
    </row>
    <row r="104" spans="1:25" x14ac:dyDescent="0.2">
      <c r="A104" t="s">
        <v>3069</v>
      </c>
      <c r="B104" t="s">
        <v>3137</v>
      </c>
      <c r="C104" s="5" t="s">
        <v>124</v>
      </c>
      <c r="D104" t="s">
        <v>185</v>
      </c>
      <c r="E104" t="str">
        <f t="shared" si="6"/>
        <v>gfx/Fairy.gfx</v>
      </c>
      <c r="F104" t="s">
        <v>3317</v>
      </c>
      <c r="G104" s="5">
        <f t="shared" si="12"/>
        <v>281420</v>
      </c>
      <c r="H104" s="5" t="s">
        <v>186</v>
      </c>
      <c r="I104" s="6" t="str">
        <f t="shared" si="5"/>
        <v>148</v>
      </c>
      <c r="O104" t="s">
        <v>3137</v>
      </c>
    </row>
    <row r="105" spans="1:25" s="9" customFormat="1" x14ac:dyDescent="0.2">
      <c r="A105" s="9" t="s">
        <v>3342</v>
      </c>
      <c r="C105" s="22" t="s">
        <v>51</v>
      </c>
      <c r="D105" s="9" t="s">
        <v>301</v>
      </c>
      <c r="E105" t="str">
        <f t="shared" si="6"/>
        <v>monsters/behemoth.gradeoffset</v>
      </c>
      <c r="G105" s="16" t="str">
        <f>IF(F105&lt;&gt;"",HEX2DEC(SUBSTITUTE(SUBSTITUTE(F105,"adrEA",""),"$","")),"")</f>
        <v/>
      </c>
      <c r="H105" s="16">
        <v>1</v>
      </c>
      <c r="I105" s="6" t="str">
        <f t="shared" si="5"/>
        <v>1</v>
      </c>
      <c r="J105" s="23"/>
      <c r="K105" s="23"/>
      <c r="L105" s="23"/>
      <c r="M105" s="23"/>
      <c r="R105" s="9" t="s">
        <v>3240</v>
      </c>
    </row>
    <row r="106" spans="1:25" x14ac:dyDescent="0.2">
      <c r="A106" t="s">
        <v>3077</v>
      </c>
      <c r="B106" s="24" t="str">
        <f>"_Offset_GFX_Pockets_0x"&amp;Y106</f>
        <v>_Offset_GFX_Pockets_0x3C00</v>
      </c>
      <c r="E106" t="str">
        <f t="shared" si="6"/>
        <v/>
      </c>
      <c r="F106" t="str">
        <f t="shared" ref="F106:F118" si="13">"$"&amp;RIGHT(A106,5)</f>
        <v>$50302</v>
      </c>
      <c r="G106" s="5">
        <f t="shared" ref="G106:G118" si="14">IF(F106&lt;&gt;"",HEX2DEC(SUBSTITUTE(SUBSTITUTE(F106,"adrEA",""),"$","")),"")</f>
        <v>328450</v>
      </c>
      <c r="I106" s="6" t="str">
        <f t="shared" si="5"/>
        <v>0</v>
      </c>
      <c r="N106">
        <f t="shared" ref="N106:N118" si="15">P106-$P$188</f>
        <v>16260</v>
      </c>
      <c r="O106" t="s">
        <v>3538</v>
      </c>
      <c r="P106">
        <f t="shared" ref="P106:P118" si="16">(HEX2DEC(SUBSTITUTE(F106,"$","")))</f>
        <v>328450</v>
      </c>
      <c r="R106" t="str">
        <f t="shared" ref="R106:R118" si="17">DEC2HEX((HEX2DEC($R$188)+HEX2DEC(RIGHT(A106,5))-HEX2DEC($R$188)))</f>
        <v>50302</v>
      </c>
      <c r="S106">
        <f t="shared" ref="S106:S118" si="18">HEX2DEC(R106)-HEX2DEC($R$188)</f>
        <v>15360</v>
      </c>
      <c r="W106" s="17" t="s">
        <v>3243</v>
      </c>
      <c r="Y106" t="str">
        <f>RIGHT(W106,4)</f>
        <v>3C00</v>
      </c>
    </row>
    <row r="107" spans="1:25" x14ac:dyDescent="0.2">
      <c r="A107" t="s">
        <v>3078</v>
      </c>
      <c r="B107" s="24" t="str">
        <f t="shared" ref="B107:B118" si="19">"_Offset_GFX_Pockets_0x"&amp;Y107</f>
        <v>_Offset_GFX_Pockets_0x3C30</v>
      </c>
      <c r="E107" t="str">
        <f t="shared" si="6"/>
        <v/>
      </c>
      <c r="F107" t="str">
        <f t="shared" si="13"/>
        <v>$50332</v>
      </c>
      <c r="G107" s="5">
        <f t="shared" si="14"/>
        <v>328498</v>
      </c>
      <c r="I107" s="6" t="str">
        <f t="shared" si="5"/>
        <v>0</v>
      </c>
      <c r="N107">
        <f t="shared" si="15"/>
        <v>16308</v>
      </c>
      <c r="O107" t="s">
        <v>3539</v>
      </c>
      <c r="P107">
        <f t="shared" si="16"/>
        <v>328498</v>
      </c>
      <c r="R107" t="str">
        <f t="shared" si="17"/>
        <v>50332</v>
      </c>
      <c r="S107">
        <f t="shared" si="18"/>
        <v>15408</v>
      </c>
      <c r="W107" s="17" t="s">
        <v>3244</v>
      </c>
      <c r="Y107" t="str">
        <f t="shared" ref="Y107:Y118" si="20">RIGHT(W107,4)</f>
        <v>3C30</v>
      </c>
    </row>
    <row r="108" spans="1:25" x14ac:dyDescent="0.2">
      <c r="A108" t="s">
        <v>3079</v>
      </c>
      <c r="B108" s="24" t="str">
        <f t="shared" si="19"/>
        <v>_Offset_GFX_Pockets_0x3C60</v>
      </c>
      <c r="E108" t="str">
        <f t="shared" si="6"/>
        <v/>
      </c>
      <c r="F108" t="str">
        <f t="shared" si="13"/>
        <v>$50362</v>
      </c>
      <c r="G108" s="5">
        <f t="shared" si="14"/>
        <v>328546</v>
      </c>
      <c r="I108" s="6" t="str">
        <f t="shared" si="5"/>
        <v>0</v>
      </c>
      <c r="N108">
        <f t="shared" si="15"/>
        <v>16356</v>
      </c>
      <c r="O108" t="s">
        <v>3540</v>
      </c>
      <c r="P108">
        <f t="shared" si="16"/>
        <v>328546</v>
      </c>
      <c r="R108" t="str">
        <f t="shared" si="17"/>
        <v>50362</v>
      </c>
      <c r="S108">
        <f t="shared" si="18"/>
        <v>15456</v>
      </c>
      <c r="W108" s="17" t="s">
        <v>3245</v>
      </c>
      <c r="Y108" t="str">
        <f t="shared" si="20"/>
        <v>3C60</v>
      </c>
    </row>
    <row r="109" spans="1:25" x14ac:dyDescent="0.2">
      <c r="A109" t="s">
        <v>3080</v>
      </c>
      <c r="B109" s="24" t="str">
        <f t="shared" si="19"/>
        <v>_Offset_GFX_Pockets_0x4100</v>
      </c>
      <c r="E109" t="str">
        <f t="shared" si="6"/>
        <v/>
      </c>
      <c r="F109" t="str">
        <f t="shared" si="13"/>
        <v>$50802</v>
      </c>
      <c r="G109" s="5">
        <f t="shared" si="14"/>
        <v>329730</v>
      </c>
      <c r="I109" s="6" t="str">
        <f t="shared" si="5"/>
        <v>0</v>
      </c>
      <c r="N109">
        <f t="shared" si="15"/>
        <v>17540</v>
      </c>
      <c r="O109" t="s">
        <v>3541</v>
      </c>
      <c r="P109">
        <f t="shared" si="16"/>
        <v>329730</v>
      </c>
      <c r="R109" t="str">
        <f t="shared" si="17"/>
        <v>50802</v>
      </c>
      <c r="S109">
        <f t="shared" si="18"/>
        <v>16640</v>
      </c>
      <c r="W109" s="17" t="s">
        <v>3246</v>
      </c>
      <c r="Y109" t="str">
        <f t="shared" si="20"/>
        <v>4100</v>
      </c>
    </row>
    <row r="110" spans="1:25" x14ac:dyDescent="0.2">
      <c r="A110" t="s">
        <v>3081</v>
      </c>
      <c r="B110" s="24" t="str">
        <f t="shared" si="19"/>
        <v>_Offset_GFX_Pockets_0x4130</v>
      </c>
      <c r="E110" t="str">
        <f t="shared" si="6"/>
        <v/>
      </c>
      <c r="F110" t="str">
        <f t="shared" si="13"/>
        <v>$50832</v>
      </c>
      <c r="G110" s="5">
        <f t="shared" si="14"/>
        <v>329778</v>
      </c>
      <c r="I110" s="6" t="str">
        <f t="shared" si="5"/>
        <v>0</v>
      </c>
      <c r="N110">
        <f t="shared" si="15"/>
        <v>17588</v>
      </c>
      <c r="O110" t="s">
        <v>3542</v>
      </c>
      <c r="P110">
        <f t="shared" si="16"/>
        <v>329778</v>
      </c>
      <c r="R110" t="str">
        <f t="shared" si="17"/>
        <v>50832</v>
      </c>
      <c r="S110">
        <f t="shared" si="18"/>
        <v>16688</v>
      </c>
      <c r="W110" s="17" t="s">
        <v>3247</v>
      </c>
      <c r="Y110" t="str">
        <f t="shared" si="20"/>
        <v>4130</v>
      </c>
    </row>
    <row r="111" spans="1:25" x14ac:dyDescent="0.2">
      <c r="A111" t="s">
        <v>3082</v>
      </c>
      <c r="B111" s="24" t="str">
        <f t="shared" si="19"/>
        <v>_Offset_GFX_Pockets_0x5070</v>
      </c>
      <c r="E111" t="str">
        <f t="shared" si="6"/>
        <v/>
      </c>
      <c r="F111" t="str">
        <f t="shared" si="13"/>
        <v>$51772</v>
      </c>
      <c r="G111" s="5">
        <f t="shared" si="14"/>
        <v>333682</v>
      </c>
      <c r="I111" s="6" t="str">
        <f t="shared" si="5"/>
        <v>0</v>
      </c>
      <c r="N111">
        <f t="shared" si="15"/>
        <v>21492</v>
      </c>
      <c r="O111" t="s">
        <v>3543</v>
      </c>
      <c r="P111">
        <f t="shared" si="16"/>
        <v>333682</v>
      </c>
      <c r="R111" t="str">
        <f t="shared" si="17"/>
        <v>51772</v>
      </c>
      <c r="S111">
        <f t="shared" si="18"/>
        <v>20592</v>
      </c>
      <c r="W111" s="17" t="s">
        <v>3248</v>
      </c>
      <c r="Y111" t="str">
        <f t="shared" si="20"/>
        <v>5070</v>
      </c>
    </row>
    <row r="112" spans="1:25" x14ac:dyDescent="0.2">
      <c r="A112" t="s">
        <v>3083</v>
      </c>
      <c r="B112" s="24" t="str">
        <f t="shared" si="19"/>
        <v>_Offset_GFX_Pockets_0x6500</v>
      </c>
      <c r="E112" t="str">
        <f t="shared" si="6"/>
        <v/>
      </c>
      <c r="F112" t="str">
        <f t="shared" si="13"/>
        <v>$52C02</v>
      </c>
      <c r="G112" s="5">
        <f t="shared" si="14"/>
        <v>338946</v>
      </c>
      <c r="I112" s="6" t="str">
        <f t="shared" si="5"/>
        <v>0</v>
      </c>
      <c r="N112">
        <f t="shared" si="15"/>
        <v>26756</v>
      </c>
      <c r="O112" t="s">
        <v>3544</v>
      </c>
      <c r="P112">
        <f t="shared" si="16"/>
        <v>338946</v>
      </c>
      <c r="R112" t="str">
        <f t="shared" si="17"/>
        <v>52C02</v>
      </c>
      <c r="S112">
        <f t="shared" si="18"/>
        <v>25856</v>
      </c>
      <c r="W112" s="17" t="s">
        <v>3249</v>
      </c>
      <c r="Y112" t="str">
        <f t="shared" si="20"/>
        <v>6500</v>
      </c>
    </row>
    <row r="113" spans="1:25" x14ac:dyDescent="0.2">
      <c r="A113" t="s">
        <v>3084</v>
      </c>
      <c r="B113" s="24" t="str">
        <f t="shared" si="19"/>
        <v>_Offset_GFX_Pockets_0x6508</v>
      </c>
      <c r="E113" t="str">
        <f t="shared" si="6"/>
        <v/>
      </c>
      <c r="F113" t="str">
        <f t="shared" si="13"/>
        <v>$52C0A</v>
      </c>
      <c r="G113" s="5">
        <f t="shared" si="14"/>
        <v>338954</v>
      </c>
      <c r="I113" s="6" t="str">
        <f t="shared" si="5"/>
        <v>0</v>
      </c>
      <c r="N113">
        <f t="shared" si="15"/>
        <v>26764</v>
      </c>
      <c r="O113" t="s">
        <v>3545</v>
      </c>
      <c r="P113">
        <f t="shared" si="16"/>
        <v>338954</v>
      </c>
      <c r="R113" t="str">
        <f t="shared" si="17"/>
        <v>52C0A</v>
      </c>
      <c r="S113">
        <f t="shared" si="18"/>
        <v>25864</v>
      </c>
      <c r="W113" s="17" t="s">
        <v>3250</v>
      </c>
      <c r="Y113" t="str">
        <f t="shared" si="20"/>
        <v>6508</v>
      </c>
    </row>
    <row r="114" spans="1:25" x14ac:dyDescent="0.2">
      <c r="A114" t="s">
        <v>3085</v>
      </c>
      <c r="B114" s="24" t="str">
        <f t="shared" si="19"/>
        <v>_Offset_GFX_Pockets_0x67C0</v>
      </c>
      <c r="E114" t="str">
        <f t="shared" si="6"/>
        <v/>
      </c>
      <c r="F114" t="str">
        <f t="shared" si="13"/>
        <v>$52EC2</v>
      </c>
      <c r="G114" s="5">
        <f t="shared" si="14"/>
        <v>339650</v>
      </c>
      <c r="I114" s="6" t="str">
        <f t="shared" si="5"/>
        <v>0</v>
      </c>
      <c r="N114">
        <f t="shared" si="15"/>
        <v>27460</v>
      </c>
      <c r="O114" t="s">
        <v>3546</v>
      </c>
      <c r="P114">
        <f t="shared" si="16"/>
        <v>339650</v>
      </c>
      <c r="R114" t="str">
        <f t="shared" si="17"/>
        <v>52EC2</v>
      </c>
      <c r="S114">
        <f t="shared" si="18"/>
        <v>26560</v>
      </c>
      <c r="W114" s="17" t="s">
        <v>3251</v>
      </c>
      <c r="Y114" t="str">
        <f t="shared" si="20"/>
        <v>67C0</v>
      </c>
    </row>
    <row r="115" spans="1:25" x14ac:dyDescent="0.2">
      <c r="A115" t="s">
        <v>3086</v>
      </c>
      <c r="B115" s="24" t="str">
        <f t="shared" si="19"/>
        <v>_Offset_GFX_Pockets_0x67E0</v>
      </c>
      <c r="E115" t="str">
        <f t="shared" si="6"/>
        <v/>
      </c>
      <c r="F115" t="str">
        <f t="shared" si="13"/>
        <v>$52EE2</v>
      </c>
      <c r="G115" s="5">
        <f t="shared" si="14"/>
        <v>339682</v>
      </c>
      <c r="I115" s="6" t="str">
        <f t="shared" si="5"/>
        <v>0</v>
      </c>
      <c r="N115">
        <f t="shared" si="15"/>
        <v>27492</v>
      </c>
      <c r="O115" t="s">
        <v>3547</v>
      </c>
      <c r="P115">
        <f t="shared" si="16"/>
        <v>339682</v>
      </c>
      <c r="R115" t="str">
        <f t="shared" si="17"/>
        <v>52EE2</v>
      </c>
      <c r="S115">
        <f t="shared" si="18"/>
        <v>26592</v>
      </c>
      <c r="W115" s="17" t="s">
        <v>3252</v>
      </c>
      <c r="Y115" t="str">
        <f t="shared" si="20"/>
        <v>67E0</v>
      </c>
    </row>
    <row r="116" spans="1:25" x14ac:dyDescent="0.2">
      <c r="A116" t="s">
        <v>3087</v>
      </c>
      <c r="B116" s="24" t="str">
        <f t="shared" si="19"/>
        <v>_Offset_GFX_Pockets_0x6A60</v>
      </c>
      <c r="E116" t="str">
        <f t="shared" si="6"/>
        <v/>
      </c>
      <c r="F116" t="str">
        <f t="shared" si="13"/>
        <v>$53162</v>
      </c>
      <c r="G116" s="5">
        <f t="shared" si="14"/>
        <v>340322</v>
      </c>
      <c r="I116" s="6" t="str">
        <f t="shared" si="5"/>
        <v>0</v>
      </c>
      <c r="N116">
        <f t="shared" si="15"/>
        <v>28132</v>
      </c>
      <c r="O116" t="s">
        <v>3548</v>
      </c>
      <c r="P116">
        <f t="shared" si="16"/>
        <v>340322</v>
      </c>
      <c r="R116" t="str">
        <f t="shared" si="17"/>
        <v>53162</v>
      </c>
      <c r="S116">
        <f t="shared" si="18"/>
        <v>27232</v>
      </c>
      <c r="W116" s="17" t="s">
        <v>3253</v>
      </c>
      <c r="Y116" t="str">
        <f t="shared" si="20"/>
        <v>6A60</v>
      </c>
    </row>
    <row r="117" spans="1:25" x14ac:dyDescent="0.2">
      <c r="A117" t="s">
        <v>3088</v>
      </c>
      <c r="B117" s="24" t="str">
        <f t="shared" si="19"/>
        <v>_Offset_GFX_Pockets_0x7580</v>
      </c>
      <c r="E117" t="str">
        <f t="shared" si="6"/>
        <v/>
      </c>
      <c r="F117" t="str">
        <f t="shared" si="13"/>
        <v>$53C82</v>
      </c>
      <c r="G117" s="5">
        <f t="shared" si="14"/>
        <v>343170</v>
      </c>
      <c r="I117" s="6" t="str">
        <f t="shared" si="5"/>
        <v>0</v>
      </c>
      <c r="N117">
        <f t="shared" si="15"/>
        <v>30980</v>
      </c>
      <c r="O117" t="s">
        <v>3549</v>
      </c>
      <c r="P117">
        <f t="shared" si="16"/>
        <v>343170</v>
      </c>
      <c r="R117" t="str">
        <f t="shared" si="17"/>
        <v>53C82</v>
      </c>
      <c r="S117">
        <f t="shared" si="18"/>
        <v>30080</v>
      </c>
      <c r="W117" s="17" t="s">
        <v>3254</v>
      </c>
      <c r="Y117" t="str">
        <f t="shared" si="20"/>
        <v>7580</v>
      </c>
    </row>
    <row r="118" spans="1:25" x14ac:dyDescent="0.2">
      <c r="A118" t="s">
        <v>3089</v>
      </c>
      <c r="B118" s="24" t="str">
        <f t="shared" si="19"/>
        <v>_Offset_GFX_Pockets_0x7688</v>
      </c>
      <c r="E118" t="str">
        <f t="shared" si="6"/>
        <v/>
      </c>
      <c r="F118" t="str">
        <f t="shared" si="13"/>
        <v>$53D8A</v>
      </c>
      <c r="G118" s="5">
        <f t="shared" si="14"/>
        <v>343434</v>
      </c>
      <c r="I118" s="6" t="str">
        <f t="shared" si="5"/>
        <v>0</v>
      </c>
      <c r="N118">
        <f t="shared" si="15"/>
        <v>31244</v>
      </c>
      <c r="O118" t="s">
        <v>3550</v>
      </c>
      <c r="P118">
        <f t="shared" si="16"/>
        <v>343434</v>
      </c>
      <c r="R118" t="str">
        <f t="shared" si="17"/>
        <v>53D8A</v>
      </c>
      <c r="S118">
        <f t="shared" si="18"/>
        <v>30344</v>
      </c>
      <c r="W118" s="17" t="s">
        <v>3255</v>
      </c>
      <c r="Y118" t="str">
        <f t="shared" si="20"/>
        <v>7688</v>
      </c>
    </row>
    <row r="119" spans="1:25" x14ac:dyDescent="0.2">
      <c r="A119" t="s">
        <v>212</v>
      </c>
      <c r="B119" t="s">
        <v>3214</v>
      </c>
      <c r="C119" s="5" t="s">
        <v>124</v>
      </c>
      <c r="D119" t="s">
        <v>210</v>
      </c>
      <c r="E119" t="str">
        <f t="shared" si="6"/>
        <v>gfx/Main_Walls.offsets</v>
      </c>
      <c r="F119" t="s">
        <v>211</v>
      </c>
      <c r="G119" s="5">
        <f>IF(F119&lt;&gt;"",HEX2DEC(SUBSTITUTE(SUBSTITUTE(F119,"adrEA",""),"$","")),"")</f>
        <v>100186</v>
      </c>
      <c r="H119" s="5">
        <v>56</v>
      </c>
      <c r="I119" s="6" t="str">
        <f t="shared" si="5"/>
        <v>38</v>
      </c>
      <c r="O119" t="s">
        <v>3214</v>
      </c>
    </row>
    <row r="120" spans="1:25" x14ac:dyDescent="0.2">
      <c r="A120" t="s">
        <v>215</v>
      </c>
      <c r="B120" t="s">
        <v>3213</v>
      </c>
      <c r="C120" s="5" t="s">
        <v>124</v>
      </c>
      <c r="D120" t="s">
        <v>213</v>
      </c>
      <c r="E120" t="str">
        <f t="shared" si="6"/>
        <v>gfx/Misc_Pillar.offsets</v>
      </c>
      <c r="F120" t="s">
        <v>214</v>
      </c>
      <c r="G120" s="5">
        <f t="shared" ref="G120:G136" si="21">IF(F120&lt;&gt;"",HEX2DEC(SUBSTITUTE(SUBSTITUTE(F120,"adrEA",""),"$","")),"")</f>
        <v>100242</v>
      </c>
      <c r="H120" s="5">
        <v>22</v>
      </c>
      <c r="I120" s="6" t="str">
        <f t="shared" si="5"/>
        <v>16</v>
      </c>
      <c r="O120" t="s">
        <v>3213</v>
      </c>
    </row>
    <row r="121" spans="1:25" x14ac:dyDescent="0.2">
      <c r="A121" t="s">
        <v>218</v>
      </c>
      <c r="B121" t="s">
        <v>3212</v>
      </c>
      <c r="C121" s="5" t="s">
        <v>124</v>
      </c>
      <c r="D121" t="s">
        <v>216</v>
      </c>
      <c r="E121" t="str">
        <f t="shared" si="6"/>
        <v>gfx/Misc_Bed.offsets</v>
      </c>
      <c r="F121" t="s">
        <v>217</v>
      </c>
      <c r="G121" s="5">
        <f t="shared" si="21"/>
        <v>100264</v>
      </c>
      <c r="H121" s="5">
        <v>36</v>
      </c>
      <c r="I121" s="6" t="str">
        <f t="shared" si="5"/>
        <v>24</v>
      </c>
      <c r="O121" t="s">
        <v>3212</v>
      </c>
    </row>
    <row r="122" spans="1:25" x14ac:dyDescent="0.2">
      <c r="A122" t="s">
        <v>221</v>
      </c>
      <c r="B122" t="s">
        <v>3302</v>
      </c>
      <c r="C122" s="5" t="s">
        <v>124</v>
      </c>
      <c r="D122" t="s">
        <v>219</v>
      </c>
      <c r="E122" t="str">
        <f t="shared" si="6"/>
        <v>gfx/Wooden_Doors.offsets</v>
      </c>
      <c r="F122" t="s">
        <v>220</v>
      </c>
      <c r="G122" s="5">
        <f t="shared" si="21"/>
        <v>100300</v>
      </c>
      <c r="H122" s="5">
        <v>32</v>
      </c>
      <c r="I122" s="6" t="str">
        <f t="shared" si="5"/>
        <v>20</v>
      </c>
      <c r="O122" t="s">
        <v>3302</v>
      </c>
    </row>
    <row r="123" spans="1:25" x14ac:dyDescent="0.2">
      <c r="A123" t="s">
        <v>224</v>
      </c>
      <c r="B123" t="s">
        <v>3276</v>
      </c>
      <c r="C123" s="5" t="s">
        <v>124</v>
      </c>
      <c r="D123" t="s">
        <v>222</v>
      </c>
      <c r="E123" t="str">
        <f t="shared" si="6"/>
        <v>gfx/Wooden_Wall.offsets</v>
      </c>
      <c r="F123" t="s">
        <v>223</v>
      </c>
      <c r="G123" s="5">
        <f t="shared" si="21"/>
        <v>100332</v>
      </c>
      <c r="H123" s="5">
        <v>32</v>
      </c>
      <c r="I123" s="6" t="str">
        <f t="shared" si="5"/>
        <v>20</v>
      </c>
      <c r="O123" t="s">
        <v>3276</v>
      </c>
    </row>
    <row r="124" spans="1:25" x14ac:dyDescent="0.2">
      <c r="A124" t="s">
        <v>227</v>
      </c>
      <c r="B124" t="s">
        <v>3277</v>
      </c>
      <c r="C124" s="5" t="s">
        <v>124</v>
      </c>
      <c r="D124" t="s">
        <v>225</v>
      </c>
      <c r="E124" t="str">
        <f t="shared" si="6"/>
        <v>gfx/Main_Shelf.offsets</v>
      </c>
      <c r="F124" t="s">
        <v>226</v>
      </c>
      <c r="G124" s="5">
        <f t="shared" si="21"/>
        <v>100364</v>
      </c>
      <c r="H124" s="5">
        <v>32</v>
      </c>
      <c r="I124" s="6" t="str">
        <f t="shared" si="5"/>
        <v>20</v>
      </c>
      <c r="O124" t="s">
        <v>3277</v>
      </c>
    </row>
    <row r="125" spans="1:25" x14ac:dyDescent="0.2">
      <c r="A125" t="s">
        <v>230</v>
      </c>
      <c r="B125" t="s">
        <v>3278</v>
      </c>
      <c r="C125" s="5" t="s">
        <v>124</v>
      </c>
      <c r="D125" t="s">
        <v>228</v>
      </c>
      <c r="E125" t="str">
        <f t="shared" si="6"/>
        <v>gfx/Main_Sign.offsets</v>
      </c>
      <c r="F125" t="s">
        <v>229</v>
      </c>
      <c r="G125" s="5">
        <f t="shared" si="21"/>
        <v>100396</v>
      </c>
      <c r="H125" s="5">
        <v>32</v>
      </c>
      <c r="I125" s="6" t="str">
        <f t="shared" si="5"/>
        <v>20</v>
      </c>
      <c r="O125" t="s">
        <v>3278</v>
      </c>
    </row>
    <row r="126" spans="1:25" x14ac:dyDescent="0.2">
      <c r="A126" t="s">
        <v>233</v>
      </c>
      <c r="B126" t="s">
        <v>3279</v>
      </c>
      <c r="C126" s="5" t="s">
        <v>124</v>
      </c>
      <c r="D126" t="s">
        <v>231</v>
      </c>
      <c r="E126" t="str">
        <f t="shared" si="6"/>
        <v>gfx/Stairs_Up.offsets</v>
      </c>
      <c r="F126" t="s">
        <v>232</v>
      </c>
      <c r="G126" s="5">
        <f t="shared" si="21"/>
        <v>100428</v>
      </c>
      <c r="H126" s="5">
        <v>34</v>
      </c>
      <c r="I126" s="6" t="str">
        <f t="shared" si="5"/>
        <v>22</v>
      </c>
      <c r="O126" t="s">
        <v>3279</v>
      </c>
    </row>
    <row r="127" spans="1:25" x14ac:dyDescent="0.2">
      <c r="A127" t="s">
        <v>236</v>
      </c>
      <c r="B127" t="s">
        <v>3280</v>
      </c>
      <c r="C127" s="5" t="s">
        <v>124</v>
      </c>
      <c r="D127" t="s">
        <v>234</v>
      </c>
      <c r="E127" t="str">
        <f t="shared" si="6"/>
        <v>gfx/Stairs_Down.offsets</v>
      </c>
      <c r="F127" t="s">
        <v>235</v>
      </c>
      <c r="G127" s="5">
        <f t="shared" si="21"/>
        <v>100462</v>
      </c>
      <c r="H127" s="5">
        <v>34</v>
      </c>
      <c r="I127" s="6" t="str">
        <f t="shared" si="5"/>
        <v>22</v>
      </c>
      <c r="O127" t="s">
        <v>3280</v>
      </c>
    </row>
    <row r="128" spans="1:25" x14ac:dyDescent="0.2">
      <c r="A128" t="s">
        <v>239</v>
      </c>
      <c r="B128" t="s">
        <v>3281</v>
      </c>
      <c r="C128" s="5" t="s">
        <v>124</v>
      </c>
      <c r="D128" t="s">
        <v>237</v>
      </c>
      <c r="E128" t="str">
        <f t="shared" si="6"/>
        <v>gfx/Door.offsets</v>
      </c>
      <c r="F128" t="s">
        <v>238</v>
      </c>
      <c r="G128" s="5">
        <f t="shared" si="21"/>
        <v>100496</v>
      </c>
      <c r="H128" s="5">
        <v>26</v>
      </c>
      <c r="I128" s="6" t="str">
        <f t="shared" si="5"/>
        <v>1A</v>
      </c>
      <c r="O128" t="s">
        <v>3281</v>
      </c>
    </row>
    <row r="129" spans="1:15" x14ac:dyDescent="0.2">
      <c r="A129" t="s">
        <v>242</v>
      </c>
      <c r="B129" t="s">
        <v>3282</v>
      </c>
      <c r="C129" s="5" t="s">
        <v>124</v>
      </c>
      <c r="D129" t="s">
        <v>240</v>
      </c>
      <c r="E129" t="str">
        <f t="shared" si="6"/>
        <v>gfx/Main_Switches.offsets</v>
      </c>
      <c r="F129" t="s">
        <v>241</v>
      </c>
      <c r="G129" s="5">
        <f t="shared" si="21"/>
        <v>100522</v>
      </c>
      <c r="H129" s="5">
        <v>32</v>
      </c>
      <c r="I129" s="6" t="str">
        <f t="shared" si="5"/>
        <v>20</v>
      </c>
      <c r="O129" t="s">
        <v>3282</v>
      </c>
    </row>
    <row r="130" spans="1:15" x14ac:dyDescent="0.2">
      <c r="A130" t="s">
        <v>245</v>
      </c>
      <c r="B130" t="s">
        <v>3283</v>
      </c>
      <c r="C130" s="5" t="s">
        <v>124</v>
      </c>
      <c r="D130" t="s">
        <v>243</v>
      </c>
      <c r="E130" t="str">
        <f t="shared" si="6"/>
        <v>gfx/Pad_Pit.offsets</v>
      </c>
      <c r="F130" t="s">
        <v>244</v>
      </c>
      <c r="G130" s="5">
        <f t="shared" si="21"/>
        <v>100554</v>
      </c>
      <c r="H130" s="5">
        <v>24</v>
      </c>
      <c r="I130" s="6" t="str">
        <f t="shared" si="5"/>
        <v>18</v>
      </c>
      <c r="O130" t="s">
        <v>3283</v>
      </c>
    </row>
    <row r="131" spans="1:15" x14ac:dyDescent="0.2">
      <c r="A131" t="s">
        <v>248</v>
      </c>
      <c r="B131" t="s">
        <v>3284</v>
      </c>
      <c r="C131" s="5" t="s">
        <v>124</v>
      </c>
      <c r="D131" t="s">
        <v>246</v>
      </c>
      <c r="E131" t="str">
        <f t="shared" si="6"/>
        <v>gfx/Pad_Trigger.offsets</v>
      </c>
      <c r="F131" t="s">
        <v>247</v>
      </c>
      <c r="G131" s="5">
        <f t="shared" si="21"/>
        <v>100578</v>
      </c>
      <c r="H131" s="5">
        <v>24</v>
      </c>
      <c r="I131" s="6" t="str">
        <f t="shared" ref="I131:I194" si="22">IFERROR(DEC2HEX(H131),"")</f>
        <v>18</v>
      </c>
      <c r="O131" t="s">
        <v>3284</v>
      </c>
    </row>
    <row r="132" spans="1:15" x14ac:dyDescent="0.2">
      <c r="A132" t="s">
        <v>251</v>
      </c>
      <c r="B132" t="s">
        <v>3285</v>
      </c>
      <c r="C132" s="5" t="s">
        <v>124</v>
      </c>
      <c r="D132" t="s">
        <v>249</v>
      </c>
      <c r="E132" t="str">
        <f t="shared" ref="E132:E195" si="23">IF(D132&lt;&gt;"",C132&amp;"/"&amp;D132,"")</f>
        <v>gfx/Main_Walls.positions</v>
      </c>
      <c r="F132" t="s">
        <v>250</v>
      </c>
      <c r="G132" s="5">
        <f t="shared" si="21"/>
        <v>46778</v>
      </c>
      <c r="H132" s="5">
        <v>112</v>
      </c>
      <c r="I132" s="6" t="str">
        <f t="shared" si="22"/>
        <v>70</v>
      </c>
      <c r="O132" t="s">
        <v>3285</v>
      </c>
    </row>
    <row r="133" spans="1:15" x14ac:dyDescent="0.2">
      <c r="A133" t="s">
        <v>254</v>
      </c>
      <c r="B133" t="s">
        <v>3286</v>
      </c>
      <c r="C133" s="5" t="s">
        <v>124</v>
      </c>
      <c r="D133" t="s">
        <v>252</v>
      </c>
      <c r="E133" t="str">
        <f t="shared" si="23"/>
        <v>gfx/Wooden_Wall.positions</v>
      </c>
      <c r="F133" t="s">
        <v>253</v>
      </c>
      <c r="G133" s="5">
        <f t="shared" si="21"/>
        <v>46890</v>
      </c>
      <c r="H133" s="5">
        <v>112</v>
      </c>
      <c r="I133" s="6" t="str">
        <f t="shared" si="22"/>
        <v>70</v>
      </c>
      <c r="O133" t="s">
        <v>3286</v>
      </c>
    </row>
    <row r="134" spans="1:15" x14ac:dyDescent="0.2">
      <c r="A134" t="s">
        <v>257</v>
      </c>
      <c r="B134" t="s">
        <v>3287</v>
      </c>
      <c r="C134" s="5" t="s">
        <v>124</v>
      </c>
      <c r="D134" t="s">
        <v>255</v>
      </c>
      <c r="E134" t="str">
        <f t="shared" si="23"/>
        <v>gfx/Stairs_Up.positions</v>
      </c>
      <c r="F134" t="s">
        <v>256</v>
      </c>
      <c r="G134" s="5">
        <f t="shared" si="21"/>
        <v>47002</v>
      </c>
      <c r="H134" s="5">
        <v>116</v>
      </c>
      <c r="I134" s="6" t="str">
        <f t="shared" si="22"/>
        <v>74</v>
      </c>
      <c r="O134" t="s">
        <v>3287</v>
      </c>
    </row>
    <row r="135" spans="1:15" x14ac:dyDescent="0.2">
      <c r="A135" t="s">
        <v>260</v>
      </c>
      <c r="B135" t="s">
        <v>3288</v>
      </c>
      <c r="C135" s="5" t="s">
        <v>124</v>
      </c>
      <c r="D135" t="s">
        <v>258</v>
      </c>
      <c r="E135" t="str">
        <f t="shared" si="23"/>
        <v>gfx/Stairs_Down.positions</v>
      </c>
      <c r="F135" t="s">
        <v>259</v>
      </c>
      <c r="G135" s="5">
        <f t="shared" si="21"/>
        <v>47118</v>
      </c>
      <c r="H135" s="5">
        <v>116</v>
      </c>
      <c r="I135" s="6" t="str">
        <f t="shared" si="22"/>
        <v>74</v>
      </c>
      <c r="O135" t="s">
        <v>3288</v>
      </c>
    </row>
    <row r="136" spans="1:15" x14ac:dyDescent="0.2">
      <c r="A136" t="s">
        <v>263</v>
      </c>
      <c r="B136" t="s">
        <v>3289</v>
      </c>
      <c r="C136" s="5" t="s">
        <v>124</v>
      </c>
      <c r="D136" t="s">
        <v>261</v>
      </c>
      <c r="E136" t="str">
        <f t="shared" si="23"/>
        <v>gfx/Misc_Pillar.positions</v>
      </c>
      <c r="F136" t="s">
        <v>262</v>
      </c>
      <c r="G136" s="5">
        <f t="shared" si="21"/>
        <v>47234</v>
      </c>
      <c r="H136" s="5">
        <v>72</v>
      </c>
      <c r="I136" s="6" t="str">
        <f t="shared" si="22"/>
        <v>48</v>
      </c>
      <c r="O136" t="s">
        <v>3289</v>
      </c>
    </row>
    <row r="137" spans="1:15" x14ac:dyDescent="0.2">
      <c r="A137" t="s">
        <v>266</v>
      </c>
      <c r="B137" t="s">
        <v>3290</v>
      </c>
      <c r="C137" s="5" t="s">
        <v>124</v>
      </c>
      <c r="D137" t="s">
        <v>264</v>
      </c>
      <c r="E137" t="str">
        <f t="shared" si="23"/>
        <v>gfx/Door.Positions</v>
      </c>
      <c r="F137" t="s">
        <v>265</v>
      </c>
      <c r="G137" s="5">
        <f t="shared" ref="G137:G200" si="24">IF(F137&lt;&gt;"",HEX2DEC(SUBSTITUTE(SUBSTITUTE(F137,"adrEA",""),"$","")),"")</f>
        <v>47306</v>
      </c>
      <c r="H137" s="5">
        <v>80</v>
      </c>
      <c r="I137" s="6" t="str">
        <f t="shared" si="22"/>
        <v>50</v>
      </c>
      <c r="O137" t="s">
        <v>3290</v>
      </c>
    </row>
    <row r="138" spans="1:15" x14ac:dyDescent="0.2">
      <c r="A138" t="s">
        <v>269</v>
      </c>
      <c r="B138" t="s">
        <v>3291</v>
      </c>
      <c r="C138" s="5" t="s">
        <v>124</v>
      </c>
      <c r="D138" t="s">
        <v>267</v>
      </c>
      <c r="E138" t="str">
        <f t="shared" si="23"/>
        <v>gfx/Misc_Bed.positions</v>
      </c>
      <c r="F138" t="s">
        <v>268</v>
      </c>
      <c r="G138" s="5">
        <f t="shared" si="24"/>
        <v>47386</v>
      </c>
      <c r="H138" s="5">
        <v>72</v>
      </c>
      <c r="I138" s="6" t="str">
        <f t="shared" si="22"/>
        <v>48</v>
      </c>
      <c r="O138" t="s">
        <v>3291</v>
      </c>
    </row>
    <row r="139" spans="1:15" x14ac:dyDescent="0.2">
      <c r="A139" t="s">
        <v>272</v>
      </c>
      <c r="B139" t="s">
        <v>3292</v>
      </c>
      <c r="C139" s="5" t="s">
        <v>124</v>
      </c>
      <c r="D139" t="s">
        <v>270</v>
      </c>
      <c r="E139" t="str">
        <f t="shared" si="23"/>
        <v>gfx/Main_Shelf.positions</v>
      </c>
      <c r="F139" t="s">
        <v>271</v>
      </c>
      <c r="G139" s="5">
        <f t="shared" si="24"/>
        <v>47458</v>
      </c>
      <c r="H139" s="5">
        <v>112</v>
      </c>
      <c r="I139" s="6" t="str">
        <f t="shared" si="22"/>
        <v>70</v>
      </c>
      <c r="O139" t="s">
        <v>3292</v>
      </c>
    </row>
    <row r="140" spans="1:15" x14ac:dyDescent="0.2">
      <c r="A140" t="s">
        <v>275</v>
      </c>
      <c r="B140" t="s">
        <v>3293</v>
      </c>
      <c r="C140" s="5" t="s">
        <v>124</v>
      </c>
      <c r="D140" t="s">
        <v>273</v>
      </c>
      <c r="E140" t="str">
        <f t="shared" si="23"/>
        <v>gfx/Main_Sign.positions</v>
      </c>
      <c r="F140" t="s">
        <v>274</v>
      </c>
      <c r="G140" s="5">
        <f t="shared" si="24"/>
        <v>47570</v>
      </c>
      <c r="H140" s="5">
        <v>112</v>
      </c>
      <c r="I140" s="6" t="str">
        <f t="shared" si="22"/>
        <v>70</v>
      </c>
      <c r="O140" t="s">
        <v>3293</v>
      </c>
    </row>
    <row r="141" spans="1:15" x14ac:dyDescent="0.2">
      <c r="A141" t="s">
        <v>278</v>
      </c>
      <c r="B141" t="s">
        <v>3294</v>
      </c>
      <c r="C141" s="5" t="s">
        <v>124</v>
      </c>
      <c r="D141" t="s">
        <v>276</v>
      </c>
      <c r="E141" t="str">
        <f t="shared" si="23"/>
        <v>gfx/Main_SignOverlay.positions</v>
      </c>
      <c r="F141" t="s">
        <v>277</v>
      </c>
      <c r="G141" s="5">
        <f t="shared" si="24"/>
        <v>47682</v>
      </c>
      <c r="H141" s="5">
        <v>112</v>
      </c>
      <c r="I141" s="6" t="str">
        <f t="shared" si="22"/>
        <v>70</v>
      </c>
      <c r="O141" t="s">
        <v>3294</v>
      </c>
    </row>
    <row r="142" spans="1:15" x14ac:dyDescent="0.2">
      <c r="A142" t="s">
        <v>281</v>
      </c>
      <c r="B142" t="s">
        <v>3295</v>
      </c>
      <c r="C142" s="5" t="s">
        <v>124</v>
      </c>
      <c r="D142" t="s">
        <v>279</v>
      </c>
      <c r="E142" t="str">
        <f t="shared" si="23"/>
        <v>gfx/Main_SignOverlay.offsets</v>
      </c>
      <c r="F142" t="s">
        <v>280</v>
      </c>
      <c r="G142" s="5">
        <f t="shared" si="24"/>
        <v>44800</v>
      </c>
      <c r="H142" s="5">
        <v>32</v>
      </c>
      <c r="I142" s="6" t="str">
        <f t="shared" si="22"/>
        <v>20</v>
      </c>
      <c r="O142" t="s">
        <v>3295</v>
      </c>
    </row>
    <row r="143" spans="1:15" x14ac:dyDescent="0.2">
      <c r="A143" t="s">
        <v>284</v>
      </c>
      <c r="B143" t="s">
        <v>3296</v>
      </c>
      <c r="C143" s="5" t="s">
        <v>124</v>
      </c>
      <c r="D143" t="s">
        <v>282</v>
      </c>
      <c r="E143" t="str">
        <f t="shared" si="23"/>
        <v>gfx/Main_Slots.positions</v>
      </c>
      <c r="F143" t="s">
        <v>283</v>
      </c>
      <c r="G143" s="5">
        <f t="shared" si="24"/>
        <v>47794</v>
      </c>
      <c r="H143" s="5">
        <v>112</v>
      </c>
      <c r="I143" s="6" t="str">
        <f t="shared" si="22"/>
        <v>70</v>
      </c>
      <c r="K143" s="6" t="s">
        <v>3974</v>
      </c>
      <c r="O143" t="s">
        <v>3296</v>
      </c>
    </row>
    <row r="144" spans="1:15" x14ac:dyDescent="0.2">
      <c r="A144" t="s">
        <v>287</v>
      </c>
      <c r="B144" t="s">
        <v>3297</v>
      </c>
      <c r="C144" s="5" t="s">
        <v>124</v>
      </c>
      <c r="D144" t="s">
        <v>285</v>
      </c>
      <c r="E144" t="str">
        <f t="shared" si="23"/>
        <v>gfx/Main_Switches.positions</v>
      </c>
      <c r="F144" t="s">
        <v>286</v>
      </c>
      <c r="G144" s="5">
        <f t="shared" si="24"/>
        <v>47906</v>
      </c>
      <c r="H144" s="5">
        <v>112</v>
      </c>
      <c r="I144" s="6" t="str">
        <f t="shared" si="22"/>
        <v>70</v>
      </c>
      <c r="O144" t="s">
        <v>3297</v>
      </c>
    </row>
    <row r="145" spans="1:15" x14ac:dyDescent="0.2">
      <c r="A145" t="s">
        <v>290</v>
      </c>
      <c r="B145" t="s">
        <v>3298</v>
      </c>
      <c r="C145" s="5" t="s">
        <v>124</v>
      </c>
      <c r="D145" t="s">
        <v>288</v>
      </c>
      <c r="E145" t="str">
        <f t="shared" si="23"/>
        <v>gfx/Pad_Pit_Low.positions</v>
      </c>
      <c r="F145" t="s">
        <v>289</v>
      </c>
      <c r="G145" s="5">
        <f t="shared" si="24"/>
        <v>48018</v>
      </c>
      <c r="H145" s="5">
        <v>76</v>
      </c>
      <c r="I145" s="6" t="str">
        <f t="shared" si="22"/>
        <v>4C</v>
      </c>
      <c r="O145" t="s">
        <v>3298</v>
      </c>
    </row>
    <row r="146" spans="1:15" x14ac:dyDescent="0.2">
      <c r="A146" t="s">
        <v>293</v>
      </c>
      <c r="B146" t="s">
        <v>3299</v>
      </c>
      <c r="C146" s="5" t="s">
        <v>124</v>
      </c>
      <c r="D146" t="s">
        <v>291</v>
      </c>
      <c r="E146" t="str">
        <f t="shared" si="23"/>
        <v>gfx/Pad_Trigger.positions</v>
      </c>
      <c r="F146" t="s">
        <v>292</v>
      </c>
      <c r="G146" s="5">
        <f t="shared" si="24"/>
        <v>48094</v>
      </c>
      <c r="H146" s="5">
        <v>76</v>
      </c>
      <c r="I146" s="6" t="str">
        <f t="shared" si="22"/>
        <v>4C</v>
      </c>
      <c r="O146" t="s">
        <v>3299</v>
      </c>
    </row>
    <row r="147" spans="1:15" x14ac:dyDescent="0.2">
      <c r="A147" t="s">
        <v>296</v>
      </c>
      <c r="B147" t="s">
        <v>3300</v>
      </c>
      <c r="C147" s="5" t="s">
        <v>124</v>
      </c>
      <c r="D147" t="s">
        <v>294</v>
      </c>
      <c r="E147" t="str">
        <f t="shared" si="23"/>
        <v>gfx/Wooden_Doors.positions</v>
      </c>
      <c r="F147" t="s">
        <v>295</v>
      </c>
      <c r="G147" s="5">
        <f t="shared" si="24"/>
        <v>48170</v>
      </c>
      <c r="H147" s="5">
        <v>112</v>
      </c>
      <c r="I147" s="6" t="str">
        <f t="shared" si="22"/>
        <v>70</v>
      </c>
      <c r="O147" t="s">
        <v>3300</v>
      </c>
    </row>
    <row r="148" spans="1:15" x14ac:dyDescent="0.2">
      <c r="A148" t="s">
        <v>298</v>
      </c>
      <c r="B148" t="s">
        <v>3301</v>
      </c>
      <c r="C148" s="5" t="s">
        <v>124</v>
      </c>
      <c r="D148" t="s">
        <v>297</v>
      </c>
      <c r="E148" t="str">
        <f t="shared" si="23"/>
        <v>gfx/Main_Slots.offsets</v>
      </c>
      <c r="F148" t="s">
        <v>3318</v>
      </c>
      <c r="G148" s="5">
        <f t="shared" si="24"/>
        <v>44704</v>
      </c>
      <c r="H148" s="5">
        <v>32</v>
      </c>
      <c r="I148" s="6" t="str">
        <f t="shared" si="22"/>
        <v>20</v>
      </c>
      <c r="K148" s="6" t="s">
        <v>3973</v>
      </c>
      <c r="O148" t="s">
        <v>3301</v>
      </c>
    </row>
    <row r="149" spans="1:15" x14ac:dyDescent="0.2">
      <c r="A149" t="s">
        <v>299</v>
      </c>
      <c r="B149" t="s">
        <v>3194</v>
      </c>
      <c r="C149" s="5" t="s">
        <v>124</v>
      </c>
      <c r="D149" t="s">
        <v>3195</v>
      </c>
      <c r="E149" t="str">
        <f t="shared" si="23"/>
        <v>gfx/Switches.colours</v>
      </c>
      <c r="F149" t="s">
        <v>3319</v>
      </c>
      <c r="G149" s="5">
        <f t="shared" si="24"/>
        <v>44736</v>
      </c>
      <c r="H149" s="5">
        <v>32</v>
      </c>
      <c r="I149" s="6" t="str">
        <f t="shared" si="22"/>
        <v>20</v>
      </c>
      <c r="O149" t="s">
        <v>3194</v>
      </c>
    </row>
    <row r="150" spans="1:15" x14ac:dyDescent="0.2">
      <c r="A150" t="s">
        <v>300</v>
      </c>
      <c r="B150" t="s">
        <v>3303</v>
      </c>
      <c r="C150" s="5" t="s">
        <v>124</v>
      </c>
      <c r="D150" t="s">
        <v>3105</v>
      </c>
      <c r="E150" t="str">
        <f t="shared" si="23"/>
        <v>gfx/Main_Sign.colours</v>
      </c>
      <c r="F150" t="s">
        <v>3320</v>
      </c>
      <c r="G150" s="5">
        <f t="shared" si="24"/>
        <v>44768</v>
      </c>
      <c r="H150" s="5">
        <v>32</v>
      </c>
      <c r="I150" s="6" t="str">
        <f t="shared" si="22"/>
        <v>20</v>
      </c>
      <c r="O150" t="s">
        <v>3303</v>
      </c>
    </row>
    <row r="151" spans="1:15" x14ac:dyDescent="0.2">
      <c r="A151" t="s">
        <v>3060</v>
      </c>
      <c r="B151" t="s">
        <v>3124</v>
      </c>
      <c r="C151" s="5" t="s">
        <v>124</v>
      </c>
      <c r="E151" t="str">
        <f t="shared" si="23"/>
        <v/>
      </c>
      <c r="G151" s="5" t="str">
        <f t="shared" si="24"/>
        <v/>
      </c>
      <c r="I151" s="6" t="str">
        <f t="shared" si="22"/>
        <v>0</v>
      </c>
      <c r="O151" t="s">
        <v>3124</v>
      </c>
    </row>
    <row r="152" spans="1:15" s="12" customFormat="1" x14ac:dyDescent="0.2">
      <c r="A152" s="12" t="s">
        <v>3063</v>
      </c>
      <c r="B152" s="12" t="s">
        <v>3163</v>
      </c>
      <c r="C152" s="13"/>
      <c r="E152" t="str">
        <f t="shared" si="23"/>
        <v/>
      </c>
      <c r="G152" s="5" t="str">
        <f t="shared" si="24"/>
        <v/>
      </c>
      <c r="H152" s="13"/>
      <c r="I152" s="6" t="str">
        <f t="shared" si="22"/>
        <v>0</v>
      </c>
      <c r="J152" s="14"/>
      <c r="K152" s="14"/>
      <c r="L152" s="14"/>
      <c r="M152" s="14"/>
      <c r="O152" s="12" t="s">
        <v>3163</v>
      </c>
    </row>
    <row r="153" spans="1:15" x14ac:dyDescent="0.2">
      <c r="A153" t="s">
        <v>3070</v>
      </c>
      <c r="B153" t="s">
        <v>3141</v>
      </c>
      <c r="C153" s="7" t="s">
        <v>51</v>
      </c>
      <c r="D153" t="s">
        <v>187</v>
      </c>
      <c r="E153" t="str">
        <f t="shared" si="23"/>
        <v>monsters/Summon.gfx</v>
      </c>
      <c r="F153" t="s">
        <v>3325</v>
      </c>
      <c r="G153" s="5">
        <f t="shared" si="24"/>
        <v>281748</v>
      </c>
      <c r="H153" s="5">
        <v>5816</v>
      </c>
      <c r="I153" s="6" t="str">
        <f t="shared" si="22"/>
        <v>16B8</v>
      </c>
      <c r="O153" t="s">
        <v>3141</v>
      </c>
    </row>
    <row r="154" spans="1:15" x14ac:dyDescent="0.2">
      <c r="A154" t="s">
        <v>3071</v>
      </c>
      <c r="B154" t="s">
        <v>3138</v>
      </c>
      <c r="C154" s="7" t="s">
        <v>51</v>
      </c>
      <c r="D154" t="s">
        <v>188</v>
      </c>
      <c r="E154" t="str">
        <f t="shared" si="23"/>
        <v>monsters/Behemoth.gfx</v>
      </c>
      <c r="F154" t="s">
        <v>3326</v>
      </c>
      <c r="G154" s="5">
        <f t="shared" si="24"/>
        <v>287564</v>
      </c>
      <c r="H154" s="5">
        <v>5096</v>
      </c>
      <c r="I154" s="6" t="str">
        <f t="shared" si="22"/>
        <v>13E8</v>
      </c>
      <c r="N154">
        <f>G153+H153</f>
        <v>287564</v>
      </c>
      <c r="O154" t="s">
        <v>3138</v>
      </c>
    </row>
    <row r="155" spans="1:15" x14ac:dyDescent="0.2">
      <c r="A155" t="s">
        <v>3072</v>
      </c>
      <c r="B155" t="s">
        <v>3139</v>
      </c>
      <c r="C155" s="7" t="s">
        <v>51</v>
      </c>
      <c r="D155" t="s">
        <v>189</v>
      </c>
      <c r="E155" t="str">
        <f t="shared" si="23"/>
        <v>monsters/Crab.gfx</v>
      </c>
      <c r="F155" t="s">
        <v>3327</v>
      </c>
      <c r="G155" s="5">
        <f t="shared" si="24"/>
        <v>292660</v>
      </c>
      <c r="H155" s="5">
        <v>1112</v>
      </c>
      <c r="I155" s="6" t="str">
        <f t="shared" si="22"/>
        <v>458</v>
      </c>
      <c r="N155">
        <f>G154+H154</f>
        <v>292660</v>
      </c>
      <c r="O155" t="s">
        <v>3139</v>
      </c>
    </row>
    <row r="156" spans="1:15" x14ac:dyDescent="0.2">
      <c r="A156" t="s">
        <v>3073</v>
      </c>
      <c r="B156" t="s">
        <v>3140</v>
      </c>
      <c r="C156" s="7" t="s">
        <v>51</v>
      </c>
      <c r="D156" t="s">
        <v>190</v>
      </c>
      <c r="E156" t="str">
        <f t="shared" si="23"/>
        <v>monsters/CrabClaw.gfx</v>
      </c>
      <c r="F156" t="s">
        <v>3328</v>
      </c>
      <c r="G156" s="5">
        <f t="shared" si="24"/>
        <v>293772</v>
      </c>
      <c r="H156" s="5" t="s">
        <v>191</v>
      </c>
      <c r="I156" s="6" t="str">
        <f t="shared" si="22"/>
        <v>350</v>
      </c>
      <c r="N156">
        <f>G155+H155</f>
        <v>293772</v>
      </c>
      <c r="O156" t="s">
        <v>3140</v>
      </c>
    </row>
    <row r="157" spans="1:15" x14ac:dyDescent="0.2">
      <c r="A157" t="s">
        <v>2350</v>
      </c>
      <c r="B157" t="s">
        <v>3570</v>
      </c>
      <c r="C157" s="7" t="s">
        <v>51</v>
      </c>
      <c r="D157" t="s">
        <v>3571</v>
      </c>
      <c r="E157" t="str">
        <f t="shared" si="23"/>
        <v>monsters/Beholder_Body.offsets</v>
      </c>
      <c r="F157" t="s">
        <v>3578</v>
      </c>
      <c r="G157" s="5">
        <f t="shared" si="24"/>
        <v>40816</v>
      </c>
      <c r="H157" s="5">
        <v>12</v>
      </c>
      <c r="I157" s="6" t="str">
        <f t="shared" si="22"/>
        <v>C</v>
      </c>
      <c r="N157">
        <f>G156+H156</f>
        <v>294620</v>
      </c>
      <c r="O157" t="s">
        <v>3142</v>
      </c>
    </row>
    <row r="158" spans="1:15" x14ac:dyDescent="0.2">
      <c r="A158" t="s">
        <v>2351</v>
      </c>
      <c r="B158" t="s">
        <v>3621</v>
      </c>
      <c r="C158" s="7" t="s">
        <v>51</v>
      </c>
      <c r="D158" t="s">
        <v>3622</v>
      </c>
      <c r="E158" t="str">
        <f t="shared" si="23"/>
        <v>monsters/Beholder_UpperEyes.offsets</v>
      </c>
      <c r="F158" t="s">
        <v>3579</v>
      </c>
      <c r="G158" s="5">
        <f t="shared" si="24"/>
        <v>40828</v>
      </c>
      <c r="H158" s="5">
        <v>8</v>
      </c>
      <c r="I158" s="6" t="str">
        <f t="shared" si="22"/>
        <v>8</v>
      </c>
      <c r="O158" t="s">
        <v>3144</v>
      </c>
    </row>
    <row r="159" spans="1:15" x14ac:dyDescent="0.2">
      <c r="A159" t="s">
        <v>2352</v>
      </c>
      <c r="B159" t="s">
        <v>3572</v>
      </c>
      <c r="C159" s="7" t="s">
        <v>51</v>
      </c>
      <c r="D159" t="s">
        <v>3575</v>
      </c>
      <c r="E159" t="str">
        <f t="shared" si="23"/>
        <v>monsters/Beholder_CentralEye_Near.offsets</v>
      </c>
      <c r="F159" t="s">
        <v>3580</v>
      </c>
      <c r="G159" s="5">
        <f t="shared" si="24"/>
        <v>40836</v>
      </c>
      <c r="H159" s="5">
        <v>32</v>
      </c>
      <c r="I159" s="6" t="str">
        <f t="shared" si="22"/>
        <v>20</v>
      </c>
    </row>
    <row r="160" spans="1:15" x14ac:dyDescent="0.2">
      <c r="A160" t="s">
        <v>2353</v>
      </c>
      <c r="B160" t="s">
        <v>3573</v>
      </c>
      <c r="C160" s="7" t="s">
        <v>51</v>
      </c>
      <c r="D160" t="s">
        <v>3574</v>
      </c>
      <c r="E160" t="str">
        <f t="shared" si="23"/>
        <v>monsters/Beholder_CentralEye_Far.offsets</v>
      </c>
      <c r="F160" t="s">
        <v>3581</v>
      </c>
      <c r="G160" s="5">
        <f t="shared" si="24"/>
        <v>40868</v>
      </c>
      <c r="H160" s="5">
        <v>8</v>
      </c>
      <c r="I160" s="6" t="str">
        <f t="shared" si="22"/>
        <v>8</v>
      </c>
    </row>
    <row r="161" spans="1:15" x14ac:dyDescent="0.2">
      <c r="A161" t="s">
        <v>2329</v>
      </c>
      <c r="B161" t="s">
        <v>3582</v>
      </c>
      <c r="C161" s="7" t="s">
        <v>51</v>
      </c>
      <c r="D161" t="s">
        <v>3623</v>
      </c>
      <c r="E161" t="str">
        <f t="shared" si="23"/>
        <v>monsters/Beholder_CentralEye_Near_Front.heights</v>
      </c>
      <c r="F161" t="s">
        <v>3583</v>
      </c>
      <c r="G161" s="5">
        <f t="shared" si="24"/>
        <v>40496</v>
      </c>
      <c r="H161" s="5">
        <v>4</v>
      </c>
      <c r="I161" s="6" t="str">
        <f t="shared" si="22"/>
        <v>4</v>
      </c>
      <c r="N161" t="s">
        <v>3584</v>
      </c>
    </row>
    <row r="162" spans="1:15" x14ac:dyDescent="0.2">
      <c r="A162" t="s">
        <v>2330</v>
      </c>
      <c r="B162" t="s">
        <v>3624</v>
      </c>
      <c r="C162" s="7" t="s">
        <v>51</v>
      </c>
      <c r="D162" t="s">
        <v>3625</v>
      </c>
      <c r="E162" t="str">
        <f t="shared" si="23"/>
        <v>monsters/Beholder_CentralEye_Near_Y.positions</v>
      </c>
      <c r="F162" t="s">
        <v>3585</v>
      </c>
      <c r="G162" s="5">
        <f t="shared" si="24"/>
        <v>40500</v>
      </c>
      <c r="H162" s="5">
        <v>4</v>
      </c>
      <c r="I162" s="6" t="str">
        <f t="shared" si="22"/>
        <v>4</v>
      </c>
      <c r="N162" t="s">
        <v>3586</v>
      </c>
    </row>
    <row r="163" spans="1:15" x14ac:dyDescent="0.2">
      <c r="A163" t="s">
        <v>2333</v>
      </c>
      <c r="B163" t="s">
        <v>3587</v>
      </c>
      <c r="C163" s="7" t="s">
        <v>51</v>
      </c>
      <c r="D163" t="s">
        <v>3626</v>
      </c>
      <c r="E163" t="str">
        <f t="shared" si="23"/>
        <v>monsters/Beholder_CentralEye_Near_Side.heights</v>
      </c>
      <c r="F163" t="s">
        <v>3588</v>
      </c>
      <c r="G163" s="5">
        <f t="shared" si="24"/>
        <v>40560</v>
      </c>
      <c r="H163" s="5">
        <v>4</v>
      </c>
      <c r="I163" s="6" t="str">
        <f t="shared" si="22"/>
        <v>4</v>
      </c>
      <c r="N163" t="s">
        <v>3589</v>
      </c>
    </row>
    <row r="164" spans="1:15" x14ac:dyDescent="0.2">
      <c r="A164" t="s">
        <v>2334</v>
      </c>
      <c r="B164" t="s">
        <v>3627</v>
      </c>
      <c r="C164" s="7" t="s">
        <v>51</v>
      </c>
      <c r="D164" t="s">
        <v>3628</v>
      </c>
      <c r="E164" t="str">
        <f t="shared" si="23"/>
        <v>monsters/Beholder_CentralEye_Near_Side_Mirrored_X.positions</v>
      </c>
      <c r="F164" t="s">
        <v>3590</v>
      </c>
      <c r="G164" s="5">
        <f t="shared" si="24"/>
        <v>40564</v>
      </c>
      <c r="H164" s="5">
        <v>4</v>
      </c>
      <c r="I164" s="6" t="str">
        <f t="shared" si="22"/>
        <v>4</v>
      </c>
      <c r="N164" t="s">
        <v>3591</v>
      </c>
    </row>
    <row r="165" spans="1:15" x14ac:dyDescent="0.2">
      <c r="A165" t="s">
        <v>2335</v>
      </c>
      <c r="B165" t="s">
        <v>3629</v>
      </c>
      <c r="C165" s="7" t="s">
        <v>51</v>
      </c>
      <c r="D165" t="s">
        <v>3630</v>
      </c>
      <c r="E165" t="str">
        <f t="shared" si="23"/>
        <v>monsters/Beholder_CentralEye_Near_Side_Y.positions</v>
      </c>
      <c r="F165" t="s">
        <v>3592</v>
      </c>
      <c r="G165" s="5">
        <f t="shared" si="24"/>
        <v>40568</v>
      </c>
      <c r="H165" s="5">
        <v>4</v>
      </c>
      <c r="I165" s="6" t="str">
        <f t="shared" si="22"/>
        <v>4</v>
      </c>
      <c r="N165" t="s">
        <v>3593</v>
      </c>
    </row>
    <row r="166" spans="1:15" x14ac:dyDescent="0.2">
      <c r="A166" t="s">
        <v>2337</v>
      </c>
      <c r="B166" t="s">
        <v>3631</v>
      </c>
      <c r="C166" s="7" t="s">
        <v>51</v>
      </c>
      <c r="D166" t="s">
        <v>3632</v>
      </c>
      <c r="E166" t="str">
        <f t="shared" si="23"/>
        <v>monsters/Beholder_CentralEye_Far_Y.positions</v>
      </c>
      <c r="F166" t="s">
        <v>3594</v>
      </c>
      <c r="G166" s="5">
        <f t="shared" si="24"/>
        <v>40606</v>
      </c>
      <c r="H166" s="5">
        <v>2</v>
      </c>
      <c r="I166" s="6" t="str">
        <f t="shared" si="22"/>
        <v>2</v>
      </c>
      <c r="N166" t="s">
        <v>3595</v>
      </c>
    </row>
    <row r="167" spans="1:15" x14ac:dyDescent="0.2">
      <c r="A167" t="s">
        <v>2338</v>
      </c>
      <c r="B167" t="s">
        <v>3633</v>
      </c>
      <c r="C167" s="7" t="s">
        <v>51</v>
      </c>
      <c r="D167" t="s">
        <v>3634</v>
      </c>
      <c r="E167" t="str">
        <f t="shared" si="23"/>
        <v>monsters/Beholder_CentralEye_Far_Side_Mirrored_X.positions</v>
      </c>
      <c r="F167" t="s">
        <v>3596</v>
      </c>
      <c r="G167" s="5">
        <f t="shared" si="24"/>
        <v>40608</v>
      </c>
      <c r="H167" s="5">
        <v>2</v>
      </c>
      <c r="I167" s="6" t="str">
        <f t="shared" si="22"/>
        <v>2</v>
      </c>
      <c r="N167" t="s">
        <v>3597</v>
      </c>
    </row>
    <row r="168" spans="1:15" x14ac:dyDescent="0.2">
      <c r="A168" t="s">
        <v>2341</v>
      </c>
      <c r="B168" t="s">
        <v>3598</v>
      </c>
      <c r="C168" s="7" t="s">
        <v>51</v>
      </c>
      <c r="D168" t="s">
        <v>3635</v>
      </c>
      <c r="E168" t="str">
        <f t="shared" si="23"/>
        <v>monsters/Beholder_Body.heights</v>
      </c>
      <c r="F168" t="s">
        <v>3599</v>
      </c>
      <c r="G168" s="5">
        <f t="shared" si="24"/>
        <v>40660</v>
      </c>
      <c r="H168" s="5">
        <v>6</v>
      </c>
      <c r="I168" s="6" t="str">
        <f t="shared" si="22"/>
        <v>6</v>
      </c>
      <c r="N168" t="s">
        <v>3600</v>
      </c>
    </row>
    <row r="169" spans="1:15" x14ac:dyDescent="0.2">
      <c r="A169" t="s">
        <v>2342</v>
      </c>
      <c r="B169" t="s">
        <v>3636</v>
      </c>
      <c r="C169" s="7" t="s">
        <v>51</v>
      </c>
      <c r="D169" t="s">
        <v>3637</v>
      </c>
      <c r="E169" t="str">
        <f t="shared" si="23"/>
        <v>monsters/Beholder_Composite_X.positions</v>
      </c>
      <c r="F169" t="s">
        <v>3601</v>
      </c>
      <c r="G169" s="5">
        <f t="shared" si="24"/>
        <v>40666</v>
      </c>
      <c r="H169" s="5">
        <v>6</v>
      </c>
      <c r="I169" s="6" t="str">
        <f t="shared" si="22"/>
        <v>6</v>
      </c>
      <c r="N169" t="s">
        <v>3602</v>
      </c>
    </row>
    <row r="170" spans="1:15" x14ac:dyDescent="0.2">
      <c r="A170" t="s">
        <v>2343</v>
      </c>
      <c r="B170" t="s">
        <v>3638</v>
      </c>
      <c r="C170" s="7" t="s">
        <v>51</v>
      </c>
      <c r="D170" t="s">
        <v>3639</v>
      </c>
      <c r="E170" t="str">
        <f t="shared" si="23"/>
        <v>monsters/Beholder_Composite_Y.positions</v>
      </c>
      <c r="F170" t="s">
        <v>3603</v>
      </c>
      <c r="G170" s="5">
        <f t="shared" si="24"/>
        <v>40672</v>
      </c>
      <c r="H170" s="5">
        <v>6</v>
      </c>
      <c r="I170" s="6" t="str">
        <f t="shared" si="22"/>
        <v>6</v>
      </c>
      <c r="N170" t="s">
        <v>3604</v>
      </c>
    </row>
    <row r="171" spans="1:15" x14ac:dyDescent="0.2">
      <c r="A171" t="s">
        <v>2344</v>
      </c>
      <c r="B171" t="s">
        <v>3605</v>
      </c>
      <c r="C171" s="7" t="s">
        <v>51</v>
      </c>
      <c r="D171" t="s">
        <v>3640</v>
      </c>
      <c r="E171" t="str">
        <f t="shared" si="23"/>
        <v>monsters/Beholder_UpperEyes.heights</v>
      </c>
      <c r="F171" t="s">
        <v>3606</v>
      </c>
      <c r="G171" s="5">
        <f t="shared" si="24"/>
        <v>40678</v>
      </c>
      <c r="H171" s="5">
        <v>4</v>
      </c>
      <c r="I171" s="6" t="str">
        <f t="shared" si="22"/>
        <v>4</v>
      </c>
      <c r="N171" t="s">
        <v>3607</v>
      </c>
    </row>
    <row r="172" spans="1:15" x14ac:dyDescent="0.2">
      <c r="A172" t="s">
        <v>2348</v>
      </c>
      <c r="B172" t="s">
        <v>3641</v>
      </c>
      <c r="C172" s="7" t="s">
        <v>51</v>
      </c>
      <c r="D172" t="s">
        <v>3642</v>
      </c>
      <c r="E172" t="str">
        <f t="shared" si="23"/>
        <v>monsters/Beholder_Near_MirroredHalf_X.positions</v>
      </c>
      <c r="F172" t="s">
        <v>3608</v>
      </c>
      <c r="G172" s="5">
        <f t="shared" si="24"/>
        <v>40798</v>
      </c>
      <c r="H172" s="5">
        <v>2</v>
      </c>
      <c r="I172" s="6" t="str">
        <f t="shared" si="22"/>
        <v>2</v>
      </c>
      <c r="N172" t="s">
        <v>3609</v>
      </c>
    </row>
    <row r="173" spans="1:15" x14ac:dyDescent="0.2">
      <c r="A173" t="s">
        <v>3123</v>
      </c>
      <c r="B173" t="s">
        <v>3643</v>
      </c>
      <c r="C173" s="7" t="s">
        <v>51</v>
      </c>
      <c r="D173" t="s">
        <v>3644</v>
      </c>
      <c r="E173" t="str">
        <f t="shared" si="23"/>
        <v>monsters/Beholder_Body.gfx</v>
      </c>
      <c r="F173" t="s">
        <v>3329</v>
      </c>
      <c r="G173" s="5">
        <f t="shared" si="24"/>
        <v>294620</v>
      </c>
      <c r="H173" s="5">
        <v>672</v>
      </c>
      <c r="I173" s="6" t="str">
        <f t="shared" si="22"/>
        <v>2A0</v>
      </c>
      <c r="J173" s="6" t="s">
        <v>3645</v>
      </c>
      <c r="O173" t="s">
        <v>3143</v>
      </c>
    </row>
    <row r="174" spans="1:15" x14ac:dyDescent="0.2">
      <c r="A174" t="s">
        <v>3123</v>
      </c>
      <c r="B174" t="s">
        <v>3647</v>
      </c>
      <c r="C174" s="7" t="s">
        <v>51</v>
      </c>
      <c r="D174" t="s">
        <v>3649</v>
      </c>
      <c r="E174" t="str">
        <f t="shared" si="23"/>
        <v>monsters/Beholder_UpperEyes.gfx</v>
      </c>
      <c r="F174" t="s">
        <v>3331</v>
      </c>
      <c r="G174" s="5">
        <f t="shared" si="24"/>
        <v>295292</v>
      </c>
      <c r="H174" s="5">
        <v>160</v>
      </c>
      <c r="I174" s="6" t="str">
        <f t="shared" si="22"/>
        <v>A0</v>
      </c>
      <c r="J174" s="6" t="s">
        <v>3650</v>
      </c>
      <c r="O174" t="s">
        <v>3143</v>
      </c>
    </row>
    <row r="175" spans="1:15" x14ac:dyDescent="0.2">
      <c r="A175" t="s">
        <v>3123</v>
      </c>
      <c r="B175" t="s">
        <v>3648</v>
      </c>
      <c r="C175" s="7" t="s">
        <v>51</v>
      </c>
      <c r="D175" t="s">
        <v>3651</v>
      </c>
      <c r="E175" t="str">
        <f t="shared" si="23"/>
        <v>monsters/Beholder_CentralEye_Near.gfx</v>
      </c>
      <c r="F175" t="s">
        <v>3652</v>
      </c>
      <c r="G175" s="5">
        <f t="shared" si="24"/>
        <v>295452</v>
      </c>
      <c r="H175" s="5">
        <v>864</v>
      </c>
      <c r="I175" s="6" t="str">
        <f t="shared" si="22"/>
        <v>360</v>
      </c>
      <c r="J175" s="6" t="s">
        <v>3650</v>
      </c>
      <c r="O175" t="s">
        <v>3143</v>
      </c>
    </row>
    <row r="176" spans="1:15" x14ac:dyDescent="0.2">
      <c r="A176" t="s">
        <v>3123</v>
      </c>
      <c r="B176" t="s">
        <v>3653</v>
      </c>
      <c r="C176" s="7" t="s">
        <v>51</v>
      </c>
      <c r="D176" t="s">
        <v>3654</v>
      </c>
      <c r="E176" t="str">
        <f t="shared" si="23"/>
        <v>monsters/Beholder_CentralEye_Far.gfx</v>
      </c>
      <c r="F176" t="s">
        <v>3577</v>
      </c>
      <c r="G176" s="5">
        <f t="shared" si="24"/>
        <v>296316</v>
      </c>
      <c r="H176" s="5">
        <v>96</v>
      </c>
      <c r="I176" s="6" t="str">
        <f t="shared" si="22"/>
        <v>60</v>
      </c>
      <c r="J176" s="6" t="s">
        <v>3650</v>
      </c>
      <c r="O176" t="s">
        <v>3143</v>
      </c>
    </row>
    <row r="177" spans="1:24" x14ac:dyDescent="0.2">
      <c r="A177" t="s">
        <v>3114</v>
      </c>
      <c r="C177" s="7"/>
      <c r="E177" t="str">
        <f t="shared" si="23"/>
        <v/>
      </c>
      <c r="G177" s="5" t="str">
        <f t="shared" si="24"/>
        <v/>
      </c>
      <c r="I177" s="6" t="str">
        <f t="shared" si="22"/>
        <v>0</v>
      </c>
      <c r="N177">
        <f>G173+H173</f>
        <v>295292</v>
      </c>
      <c r="O177" t="s">
        <v>3146</v>
      </c>
      <c r="P177" t="str">
        <f>DEC2HEX(N177)</f>
        <v>4817C</v>
      </c>
    </row>
    <row r="178" spans="1:24" x14ac:dyDescent="0.2">
      <c r="A178" t="s">
        <v>3115</v>
      </c>
      <c r="C178" s="7"/>
      <c r="E178" t="str">
        <f t="shared" si="23"/>
        <v/>
      </c>
      <c r="G178" s="5" t="str">
        <f t="shared" si="24"/>
        <v/>
      </c>
      <c r="I178" s="6" t="str">
        <f t="shared" si="22"/>
        <v>0</v>
      </c>
      <c r="N178">
        <f t="shared" ref="N178:N188" si="25">N177+H177</f>
        <v>295292</v>
      </c>
      <c r="O178" t="s">
        <v>3147</v>
      </c>
      <c r="P178" t="str">
        <f t="shared" ref="P178:P231" si="26">DEC2HEX(N178)</f>
        <v>4817C</v>
      </c>
    </row>
    <row r="179" spans="1:24" x14ac:dyDescent="0.2">
      <c r="A179" t="s">
        <v>3116</v>
      </c>
      <c r="C179" s="7"/>
      <c r="E179" t="str">
        <f t="shared" si="23"/>
        <v/>
      </c>
      <c r="G179" s="5" t="str">
        <f t="shared" si="24"/>
        <v/>
      </c>
      <c r="I179" s="6" t="str">
        <f t="shared" si="22"/>
        <v>0</v>
      </c>
      <c r="N179">
        <f t="shared" si="25"/>
        <v>295292</v>
      </c>
      <c r="O179" t="s">
        <v>3148</v>
      </c>
      <c r="P179" t="str">
        <f t="shared" si="26"/>
        <v>4817C</v>
      </c>
    </row>
    <row r="180" spans="1:24" x14ac:dyDescent="0.2">
      <c r="A180" t="s">
        <v>3117</v>
      </c>
      <c r="C180" s="7"/>
      <c r="E180" t="str">
        <f t="shared" si="23"/>
        <v/>
      </c>
      <c r="G180" s="5" t="str">
        <f t="shared" si="24"/>
        <v/>
      </c>
      <c r="I180" s="6" t="str">
        <f t="shared" si="22"/>
        <v>0</v>
      </c>
      <c r="N180">
        <f t="shared" si="25"/>
        <v>295292</v>
      </c>
      <c r="O180" t="s">
        <v>3149</v>
      </c>
      <c r="P180" t="str">
        <f t="shared" si="26"/>
        <v>4817C</v>
      </c>
    </row>
    <row r="181" spans="1:24" x14ac:dyDescent="0.2">
      <c r="A181" t="s">
        <v>3118</v>
      </c>
      <c r="C181" s="7"/>
      <c r="E181" t="str">
        <f t="shared" si="23"/>
        <v/>
      </c>
      <c r="G181" s="5" t="str">
        <f t="shared" si="24"/>
        <v/>
      </c>
      <c r="I181" s="6" t="str">
        <f t="shared" si="22"/>
        <v>0</v>
      </c>
      <c r="N181">
        <f t="shared" si="25"/>
        <v>295292</v>
      </c>
      <c r="O181" t="s">
        <v>3150</v>
      </c>
      <c r="P181" t="str">
        <f t="shared" si="26"/>
        <v>4817C</v>
      </c>
    </row>
    <row r="182" spans="1:24" x14ac:dyDescent="0.2">
      <c r="A182" t="s">
        <v>3119</v>
      </c>
      <c r="C182" s="7"/>
      <c r="E182" t="str">
        <f t="shared" si="23"/>
        <v/>
      </c>
      <c r="G182" s="5" t="str">
        <f t="shared" si="24"/>
        <v/>
      </c>
      <c r="I182" s="6" t="str">
        <f t="shared" si="22"/>
        <v>0</v>
      </c>
      <c r="N182">
        <f t="shared" si="25"/>
        <v>295292</v>
      </c>
      <c r="O182" t="s">
        <v>3145</v>
      </c>
      <c r="P182" t="str">
        <f t="shared" si="26"/>
        <v>4817C</v>
      </c>
    </row>
    <row r="183" spans="1:24" x14ac:dyDescent="0.2">
      <c r="A183" t="s">
        <v>3120</v>
      </c>
      <c r="C183" s="7"/>
      <c r="E183" t="str">
        <f t="shared" si="23"/>
        <v/>
      </c>
      <c r="G183" s="5" t="str">
        <f t="shared" si="24"/>
        <v/>
      </c>
      <c r="I183" s="6" t="str">
        <f t="shared" si="22"/>
        <v>0</v>
      </c>
      <c r="N183">
        <f t="shared" si="25"/>
        <v>295292</v>
      </c>
      <c r="O183" t="s">
        <v>3151</v>
      </c>
      <c r="P183" t="str">
        <f t="shared" si="26"/>
        <v>4817C</v>
      </c>
    </row>
    <row r="184" spans="1:24" x14ac:dyDescent="0.2">
      <c r="A184" t="s">
        <v>3121</v>
      </c>
      <c r="C184" s="7"/>
      <c r="E184" t="str">
        <f t="shared" si="23"/>
        <v/>
      </c>
      <c r="G184" s="5" t="str">
        <f t="shared" si="24"/>
        <v/>
      </c>
      <c r="I184" s="6" t="str">
        <f t="shared" si="22"/>
        <v>0</v>
      </c>
      <c r="N184">
        <f t="shared" si="25"/>
        <v>295292</v>
      </c>
      <c r="O184" t="s">
        <v>3152</v>
      </c>
      <c r="P184" t="str">
        <f t="shared" si="26"/>
        <v>4817C</v>
      </c>
    </row>
    <row r="185" spans="1:24" x14ac:dyDescent="0.2">
      <c r="A185" t="s">
        <v>3122</v>
      </c>
      <c r="C185" s="7"/>
      <c r="E185" t="str">
        <f t="shared" si="23"/>
        <v/>
      </c>
      <c r="G185" s="5" t="str">
        <f t="shared" si="24"/>
        <v/>
      </c>
      <c r="I185" s="6" t="str">
        <f t="shared" si="22"/>
        <v>0</v>
      </c>
      <c r="N185">
        <f t="shared" si="25"/>
        <v>295292</v>
      </c>
      <c r="O185" t="s">
        <v>3153</v>
      </c>
      <c r="P185" t="str">
        <f t="shared" si="26"/>
        <v>4817C</v>
      </c>
    </row>
    <row r="186" spans="1:24" x14ac:dyDescent="0.2">
      <c r="A186" t="s">
        <v>3074</v>
      </c>
      <c r="B186" t="s">
        <v>3154</v>
      </c>
      <c r="C186" s="7" t="s">
        <v>51</v>
      </c>
      <c r="D186" t="s">
        <v>192</v>
      </c>
      <c r="E186" t="str">
        <f t="shared" si="23"/>
        <v>monsters/Dragon.gfx</v>
      </c>
      <c r="F186" t="s">
        <v>3576</v>
      </c>
      <c r="G186" s="5">
        <f t="shared" si="24"/>
        <v>296412</v>
      </c>
      <c r="H186" s="5">
        <v>10544</v>
      </c>
      <c r="I186" s="6" t="str">
        <f t="shared" si="22"/>
        <v>2930</v>
      </c>
      <c r="N186">
        <f t="shared" si="25"/>
        <v>295292</v>
      </c>
      <c r="O186" t="s">
        <v>3154</v>
      </c>
      <c r="P186" t="str">
        <f>DEC2HEX(N186)</f>
        <v>4817C</v>
      </c>
      <c r="W186" s="15" t="s">
        <v>3331</v>
      </c>
      <c r="X186" t="s">
        <v>3663</v>
      </c>
    </row>
    <row r="187" spans="1:24" x14ac:dyDescent="0.2">
      <c r="A187" t="s">
        <v>3075</v>
      </c>
      <c r="B187" t="s">
        <v>3155</v>
      </c>
      <c r="C187" s="7" t="s">
        <v>51</v>
      </c>
      <c r="D187" t="s">
        <v>193</v>
      </c>
      <c r="E187" t="str">
        <f t="shared" si="23"/>
        <v>monsters/Entropy.gfx</v>
      </c>
      <c r="F187" t="s">
        <v>3664</v>
      </c>
      <c r="G187" s="5">
        <f t="shared" si="24"/>
        <v>306956</v>
      </c>
      <c r="H187" s="5">
        <v>5234</v>
      </c>
      <c r="I187" s="6" t="str">
        <f t="shared" si="22"/>
        <v>1472</v>
      </c>
      <c r="N187">
        <f t="shared" si="25"/>
        <v>305836</v>
      </c>
      <c r="O187" t="s">
        <v>3155</v>
      </c>
      <c r="P187" s="24" t="str">
        <f t="shared" si="26"/>
        <v>4AAAC</v>
      </c>
      <c r="W187" s="15" t="s">
        <v>3662</v>
      </c>
      <c r="X187" t="s">
        <v>3663</v>
      </c>
    </row>
    <row r="188" spans="1:24" x14ac:dyDescent="0.2">
      <c r="A188" t="s">
        <v>3076</v>
      </c>
      <c r="B188" t="s">
        <v>3135</v>
      </c>
      <c r="C188" s="5" t="s">
        <v>124</v>
      </c>
      <c r="D188" t="s">
        <v>194</v>
      </c>
      <c r="E188" t="str">
        <f t="shared" si="23"/>
        <v>gfx/Pockets.gfx</v>
      </c>
      <c r="F188" t="s">
        <v>3257</v>
      </c>
      <c r="G188" s="5">
        <f t="shared" si="24"/>
        <v>312190</v>
      </c>
      <c r="H188" s="5">
        <v>32032</v>
      </c>
      <c r="I188" s="6" t="str">
        <f t="shared" si="22"/>
        <v>7D20</v>
      </c>
      <c r="N188">
        <f t="shared" si="25"/>
        <v>311070</v>
      </c>
      <c r="O188" t="s">
        <v>3135</v>
      </c>
      <c r="P188" s="24">
        <f>(HEX2DEC(SUBSTITUTE(F188,"$","")))</f>
        <v>312190</v>
      </c>
      <c r="R188" t="s">
        <v>3242</v>
      </c>
      <c r="S188" s="21" t="s">
        <v>3241</v>
      </c>
      <c r="U188" t="s">
        <v>3256</v>
      </c>
      <c r="V188" t="s">
        <v>3106</v>
      </c>
    </row>
    <row r="189" spans="1:24" ht="17" x14ac:dyDescent="0.25">
      <c r="A189" t="s">
        <v>2205</v>
      </c>
      <c r="B189" t="s">
        <v>3678</v>
      </c>
      <c r="C189" s="26" t="s">
        <v>3168</v>
      </c>
      <c r="D189" t="s">
        <v>3679</v>
      </c>
      <c r="E189" t="str">
        <f t="shared" si="23"/>
        <v>gfx-data/Monster_SubPosition_DepthAdjustments.positions</v>
      </c>
      <c r="F189" t="s">
        <v>3680</v>
      </c>
      <c r="G189" s="5">
        <f t="shared" si="24"/>
        <v>38322</v>
      </c>
      <c r="H189" s="5">
        <v>5</v>
      </c>
      <c r="I189" s="6" t="str">
        <f t="shared" si="22"/>
        <v>5</v>
      </c>
      <c r="K189" t="s">
        <v>3785</v>
      </c>
    </row>
    <row r="190" spans="1:24" ht="17" x14ac:dyDescent="0.25">
      <c r="A190" t="s">
        <v>2206</v>
      </c>
      <c r="B190" t="s">
        <v>3681</v>
      </c>
      <c r="C190" s="26" t="s">
        <v>3168</v>
      </c>
      <c r="D190" t="s">
        <v>3682</v>
      </c>
      <c r="E190" t="str">
        <f t="shared" si="23"/>
        <v>gfx-data/Monster_ViewCell_DepthSlots.lookup</v>
      </c>
      <c r="F190" t="s">
        <v>3683</v>
      </c>
      <c r="G190" s="5">
        <f t="shared" si="24"/>
        <v>38327</v>
      </c>
      <c r="H190" s="5">
        <v>19</v>
      </c>
      <c r="I190" s="6" t="str">
        <f t="shared" si="22"/>
        <v>13</v>
      </c>
      <c r="K190" t="s">
        <v>3786</v>
      </c>
    </row>
    <row r="191" spans="1:24" ht="17" x14ac:dyDescent="0.25">
      <c r="A191" t="s">
        <v>2207</v>
      </c>
      <c r="B191" t="s">
        <v>3684</v>
      </c>
      <c r="C191" s="26" t="s">
        <v>3168</v>
      </c>
      <c r="D191" t="s">
        <v>3685</v>
      </c>
      <c r="E191" t="str">
        <f t="shared" si="23"/>
        <v>gfx-data/Monster_Depth_GfxSlots.lookup</v>
      </c>
      <c r="F191" t="s">
        <v>3686</v>
      </c>
      <c r="G191" s="5">
        <f t="shared" si="24"/>
        <v>38346</v>
      </c>
      <c r="H191" s="5">
        <v>8</v>
      </c>
      <c r="I191" s="6" t="str">
        <f t="shared" si="22"/>
        <v>8</v>
      </c>
      <c r="K191" t="s">
        <v>3787</v>
      </c>
    </row>
    <row r="192" spans="1:24" ht="17" x14ac:dyDescent="0.25">
      <c r="A192" t="s">
        <v>2208</v>
      </c>
      <c r="B192" t="s">
        <v>3687</v>
      </c>
      <c r="C192" s="26" t="s">
        <v>3168</v>
      </c>
      <c r="D192" s="26" t="s">
        <v>3688</v>
      </c>
      <c r="E192" t="str">
        <f t="shared" si="23"/>
        <v>gfx-data/Monster_GfxSlot_Y.positions</v>
      </c>
      <c r="F192" t="s">
        <v>3689</v>
      </c>
      <c r="G192" s="5">
        <f t="shared" si="24"/>
        <v>38354</v>
      </c>
      <c r="H192" s="5">
        <v>6</v>
      </c>
      <c r="I192" s="6" t="str">
        <f t="shared" si="22"/>
        <v>6</v>
      </c>
      <c r="K192" t="s">
        <v>3788</v>
      </c>
    </row>
    <row r="193" spans="1:11" ht="17" x14ac:dyDescent="0.25">
      <c r="A193" t="s">
        <v>3023</v>
      </c>
      <c r="B193" t="s">
        <v>3690</v>
      </c>
      <c r="C193" s="26" t="s">
        <v>3168</v>
      </c>
      <c r="D193" s="26" t="s">
        <v>3691</v>
      </c>
      <c r="E193" t="str">
        <f t="shared" si="23"/>
        <v>gfx-data/Monster_ViewCell_SubPosition_X.positions</v>
      </c>
      <c r="F193" t="s">
        <v>3692</v>
      </c>
      <c r="G193" s="5">
        <f t="shared" si="24"/>
        <v>100096</v>
      </c>
      <c r="H193" s="5">
        <v>90</v>
      </c>
      <c r="I193" s="6" t="str">
        <f t="shared" si="22"/>
        <v>5A</v>
      </c>
      <c r="K193" t="s">
        <v>3789</v>
      </c>
    </row>
    <row r="194" spans="1:11" x14ac:dyDescent="0.2">
      <c r="A194" t="s">
        <v>2209</v>
      </c>
      <c r="B194" t="s">
        <v>3756</v>
      </c>
      <c r="E194" t="str">
        <f t="shared" si="23"/>
        <v/>
      </c>
      <c r="G194" s="5" t="str">
        <f t="shared" si="24"/>
        <v/>
      </c>
      <c r="I194" s="6" t="str">
        <f t="shared" si="22"/>
        <v>0</v>
      </c>
      <c r="K194" t="s">
        <v>3790</v>
      </c>
    </row>
    <row r="195" spans="1:11" x14ac:dyDescent="0.2">
      <c r="A195" t="s">
        <v>2572</v>
      </c>
      <c r="B195" t="s">
        <v>3693</v>
      </c>
      <c r="E195" t="str">
        <f t="shared" si="23"/>
        <v/>
      </c>
      <c r="G195" s="5" t="str">
        <f t="shared" si="24"/>
        <v/>
      </c>
      <c r="I195" s="6" t="str">
        <f t="shared" ref="I195:I258" si="27">IFERROR(DEC2HEX(H195),"")</f>
        <v>0</v>
      </c>
      <c r="K195" t="s">
        <v>3791</v>
      </c>
    </row>
    <row r="196" spans="1:11" x14ac:dyDescent="0.2">
      <c r="A196" t="s">
        <v>2573</v>
      </c>
      <c r="B196" t="s">
        <v>3694</v>
      </c>
      <c r="E196" t="str">
        <f t="shared" ref="E196:E259" si="28">IF(D196&lt;&gt;"",C196&amp;"/"&amp;D196,"")</f>
        <v/>
      </c>
      <c r="G196" s="5" t="str">
        <f t="shared" si="24"/>
        <v/>
      </c>
      <c r="I196" s="6" t="str">
        <f t="shared" si="27"/>
        <v>0</v>
      </c>
      <c r="K196" t="s">
        <v>3792</v>
      </c>
    </row>
    <row r="197" spans="1:11" x14ac:dyDescent="0.2">
      <c r="A197" t="s">
        <v>2575</v>
      </c>
      <c r="B197" t="s">
        <v>3695</v>
      </c>
      <c r="E197" t="str">
        <f t="shared" si="28"/>
        <v/>
      </c>
      <c r="G197" s="5" t="str">
        <f t="shared" si="24"/>
        <v/>
      </c>
      <c r="I197" s="6" t="str">
        <f t="shared" si="27"/>
        <v>0</v>
      </c>
      <c r="K197" t="s">
        <v>3793</v>
      </c>
    </row>
    <row r="198" spans="1:11" x14ac:dyDescent="0.2">
      <c r="A198" t="s">
        <v>2577</v>
      </c>
      <c r="B198" t="s">
        <v>3696</v>
      </c>
      <c r="E198" t="str">
        <f t="shared" si="28"/>
        <v/>
      </c>
      <c r="G198" s="5" t="str">
        <f t="shared" si="24"/>
        <v/>
      </c>
      <c r="I198" s="6" t="str">
        <f t="shared" si="27"/>
        <v>0</v>
      </c>
      <c r="K198" t="s">
        <v>3794</v>
      </c>
    </row>
    <row r="199" spans="1:11" x14ac:dyDescent="0.2">
      <c r="A199" t="s">
        <v>2578</v>
      </c>
      <c r="B199" t="s">
        <v>3697</v>
      </c>
      <c r="E199" t="str">
        <f t="shared" si="28"/>
        <v/>
      </c>
      <c r="G199" s="5" t="str">
        <f t="shared" si="24"/>
        <v/>
      </c>
      <c r="I199" s="6" t="str">
        <f t="shared" si="27"/>
        <v>0</v>
      </c>
      <c r="K199" t="s">
        <v>3795</v>
      </c>
    </row>
    <row r="200" spans="1:11" x14ac:dyDescent="0.2">
      <c r="A200" t="s">
        <v>2999</v>
      </c>
      <c r="B200" t="s">
        <v>3698</v>
      </c>
      <c r="E200" t="str">
        <f t="shared" si="28"/>
        <v/>
      </c>
      <c r="G200" s="5" t="str">
        <f t="shared" si="24"/>
        <v/>
      </c>
      <c r="I200" s="6" t="str">
        <f t="shared" si="27"/>
        <v>0</v>
      </c>
      <c r="K200" t="s">
        <v>3796</v>
      </c>
    </row>
    <row r="201" spans="1:11" ht="17" x14ac:dyDescent="0.25">
      <c r="A201" t="s">
        <v>2238</v>
      </c>
      <c r="B201" t="s">
        <v>3699</v>
      </c>
      <c r="C201" s="26" t="s">
        <v>3168</v>
      </c>
      <c r="D201" t="s">
        <v>3700</v>
      </c>
      <c r="E201" t="str">
        <f t="shared" si="28"/>
        <v>gfx-data/Monster_RenderFlags.lookup</v>
      </c>
      <c r="F201" t="s">
        <v>3701</v>
      </c>
      <c r="G201" s="5">
        <f t="shared" ref="G201:G264" si="29">IF(F201&lt;&gt;"",HEX2DEC(SUBSTITUTE(SUBSTITUTE(F201,"adrEA",""),"$","")),"")</f>
        <v>38988</v>
      </c>
      <c r="H201" s="5">
        <v>32</v>
      </c>
      <c r="I201" s="6" t="str">
        <f t="shared" si="27"/>
        <v>20</v>
      </c>
      <c r="K201" t="s">
        <v>3797</v>
      </c>
    </row>
    <row r="202" spans="1:11" ht="17" x14ac:dyDescent="0.25">
      <c r="A202" t="s">
        <v>2245</v>
      </c>
      <c r="B202" s="26" t="s">
        <v>3757</v>
      </c>
      <c r="C202" s="26" t="s">
        <v>3168</v>
      </c>
      <c r="D202" t="s">
        <v>3702</v>
      </c>
      <c r="E202" t="str">
        <f t="shared" si="28"/>
        <v>gfx-data/Monster_Facing_GfxVariants.lookup</v>
      </c>
      <c r="F202" t="s">
        <v>3703</v>
      </c>
      <c r="G202" s="5">
        <f t="shared" si="29"/>
        <v>39194</v>
      </c>
      <c r="H202" s="5">
        <v>4</v>
      </c>
      <c r="I202" s="6" t="str">
        <f t="shared" si="27"/>
        <v>4</v>
      </c>
      <c r="K202" t="s">
        <v>3798</v>
      </c>
    </row>
    <row r="203" spans="1:11" ht="17" x14ac:dyDescent="0.25">
      <c r="A203" t="s">
        <v>2386</v>
      </c>
      <c r="B203" s="26" t="s">
        <v>3758</v>
      </c>
      <c r="C203" s="26" t="s">
        <v>3168</v>
      </c>
      <c r="D203" t="s">
        <v>3704</v>
      </c>
      <c r="E203" t="str">
        <f t="shared" si="28"/>
        <v>gfx-data/Monster_DistanceGroups.lookup</v>
      </c>
      <c r="F203" t="s">
        <v>3705</v>
      </c>
      <c r="G203" s="5">
        <f t="shared" si="29"/>
        <v>41394</v>
      </c>
      <c r="H203" s="5">
        <v>6</v>
      </c>
      <c r="I203" s="6" t="str">
        <f t="shared" si="27"/>
        <v>6</v>
      </c>
      <c r="K203" t="s">
        <v>3799</v>
      </c>
    </row>
    <row r="204" spans="1:11" ht="17" x14ac:dyDescent="0.25">
      <c r="A204" t="s">
        <v>2258</v>
      </c>
      <c r="B204" s="26" t="s">
        <v>3759</v>
      </c>
      <c r="C204" s="5" t="s">
        <v>51</v>
      </c>
      <c r="D204" s="26" t="s">
        <v>3761</v>
      </c>
      <c r="E204" t="str">
        <f t="shared" si="28"/>
        <v>monsters/Summon_Body.layout</v>
      </c>
      <c r="F204" t="s">
        <v>3706</v>
      </c>
      <c r="G204" s="5">
        <f t="shared" si="29"/>
        <v>39484</v>
      </c>
      <c r="H204" s="5">
        <v>12</v>
      </c>
      <c r="I204" s="6" t="str">
        <f t="shared" si="27"/>
        <v>C</v>
      </c>
      <c r="K204" t="s">
        <v>3800</v>
      </c>
    </row>
    <row r="205" spans="1:11" ht="17" x14ac:dyDescent="0.25">
      <c r="A205" t="s">
        <v>2259</v>
      </c>
      <c r="B205" s="26" t="s">
        <v>3760</v>
      </c>
      <c r="C205" s="5" t="s">
        <v>51</v>
      </c>
      <c r="D205" s="26" t="s">
        <v>3762</v>
      </c>
      <c r="E205" t="str">
        <f t="shared" si="28"/>
        <v>monsters/Summon_ArmVariants.lookup</v>
      </c>
      <c r="F205" t="s">
        <v>3707</v>
      </c>
      <c r="G205" s="5">
        <f t="shared" si="29"/>
        <v>39496</v>
      </c>
      <c r="H205" s="5">
        <v>4</v>
      </c>
      <c r="I205" s="6" t="str">
        <f t="shared" si="27"/>
        <v>4</v>
      </c>
      <c r="K205" t="s">
        <v>3801</v>
      </c>
    </row>
    <row r="206" spans="1:11" x14ac:dyDescent="0.2">
      <c r="A206" t="s">
        <v>2260</v>
      </c>
      <c r="B206" t="s">
        <v>3708</v>
      </c>
      <c r="C206" s="5" t="s">
        <v>51</v>
      </c>
      <c r="D206" t="s">
        <v>3709</v>
      </c>
      <c r="E206" t="str">
        <f t="shared" si="28"/>
        <v>monsters/Summon_Arms.heights</v>
      </c>
      <c r="F206" t="s">
        <v>3710</v>
      </c>
      <c r="G206" s="5">
        <f t="shared" si="29"/>
        <v>39500</v>
      </c>
      <c r="H206" s="5">
        <v>12</v>
      </c>
      <c r="I206" s="6" t="str">
        <f t="shared" si="27"/>
        <v>C</v>
      </c>
      <c r="K206" t="s">
        <v>3802</v>
      </c>
    </row>
    <row r="207" spans="1:11" x14ac:dyDescent="0.2">
      <c r="A207" t="s">
        <v>2261</v>
      </c>
      <c r="B207" t="s">
        <v>3711</v>
      </c>
      <c r="C207" s="5" t="s">
        <v>51</v>
      </c>
      <c r="D207" t="s">
        <v>3712</v>
      </c>
      <c r="E207" t="str">
        <f t="shared" si="28"/>
        <v>monsters/Summon_PrimaryArm.positions</v>
      </c>
      <c r="F207" t="s">
        <v>3713</v>
      </c>
      <c r="G207" s="5">
        <f t="shared" si="29"/>
        <v>39512</v>
      </c>
      <c r="H207" s="5">
        <v>32</v>
      </c>
      <c r="I207" s="6" t="str">
        <f t="shared" si="27"/>
        <v>20</v>
      </c>
      <c r="K207" t="s">
        <v>3803</v>
      </c>
    </row>
    <row r="208" spans="1:11" x14ac:dyDescent="0.2">
      <c r="A208" t="s">
        <v>2262</v>
      </c>
      <c r="B208" t="s">
        <v>3714</v>
      </c>
      <c r="C208" s="5" t="s">
        <v>51</v>
      </c>
      <c r="D208" t="s">
        <v>3715</v>
      </c>
      <c r="E208" t="str">
        <f t="shared" si="28"/>
        <v>monsters/Summon_SecondaryArm.positions</v>
      </c>
      <c r="F208" t="s">
        <v>3716</v>
      </c>
      <c r="G208" s="5">
        <f t="shared" si="29"/>
        <v>39544</v>
      </c>
      <c r="H208" s="5">
        <v>96</v>
      </c>
      <c r="I208" s="6" t="str">
        <f t="shared" si="27"/>
        <v>60</v>
      </c>
      <c r="K208" t="s">
        <v>3804</v>
      </c>
    </row>
    <row r="209" spans="1:11" x14ac:dyDescent="0.2">
      <c r="A209" t="s">
        <v>2271</v>
      </c>
      <c r="B209" t="s">
        <v>3344</v>
      </c>
      <c r="C209" s="5" t="s">
        <v>51</v>
      </c>
      <c r="D209" t="s">
        <v>3717</v>
      </c>
      <c r="E209" t="str">
        <f t="shared" si="28"/>
        <v>monsters/Summon.offsets</v>
      </c>
      <c r="F209" t="s">
        <v>3718</v>
      </c>
      <c r="G209" s="5">
        <f t="shared" si="29"/>
        <v>39738</v>
      </c>
      <c r="H209" s="5">
        <v>36</v>
      </c>
      <c r="I209" s="6" t="str">
        <f t="shared" si="27"/>
        <v>24</v>
      </c>
      <c r="K209" t="s">
        <v>3805</v>
      </c>
    </row>
    <row r="210" spans="1:11" x14ac:dyDescent="0.2">
      <c r="A210" t="s">
        <v>2272</v>
      </c>
      <c r="B210" t="s">
        <v>3345</v>
      </c>
      <c r="C210" s="5" t="s">
        <v>51</v>
      </c>
      <c r="D210" t="s">
        <v>3719</v>
      </c>
      <c r="E210" t="str">
        <f t="shared" si="28"/>
        <v>monsters/Summon_Arms.offsets</v>
      </c>
      <c r="F210" t="s">
        <v>3720</v>
      </c>
      <c r="G210" s="5">
        <f t="shared" si="29"/>
        <v>39774</v>
      </c>
      <c r="H210" s="5">
        <v>24</v>
      </c>
      <c r="I210" s="6" t="str">
        <f t="shared" si="27"/>
        <v>18</v>
      </c>
      <c r="K210" t="s">
        <v>3806</v>
      </c>
    </row>
    <row r="211" spans="1:11" ht="17" x14ac:dyDescent="0.25">
      <c r="A211" t="s">
        <v>3342</v>
      </c>
      <c r="C211" s="5" t="s">
        <v>51</v>
      </c>
      <c r="D211" t="s">
        <v>3763</v>
      </c>
      <c r="E211" t="str">
        <f t="shared" si="28"/>
        <v>monsters/Entropy_LimbMirroring.flags</v>
      </c>
      <c r="F211" t="s">
        <v>3721</v>
      </c>
      <c r="G211" s="5">
        <f t="shared" si="29"/>
        <v>41598</v>
      </c>
      <c r="H211" s="5">
        <v>2</v>
      </c>
      <c r="I211" s="6" t="str">
        <f t="shared" si="27"/>
        <v>2</v>
      </c>
      <c r="J211" s="6" t="s">
        <v>3655</v>
      </c>
      <c r="K211" s="26" t="s">
        <v>3807</v>
      </c>
    </row>
    <row r="212" spans="1:11" x14ac:dyDescent="0.2">
      <c r="A212" t="s">
        <v>2398</v>
      </c>
      <c r="B212" t="s">
        <v>3764</v>
      </c>
      <c r="C212" s="5" t="s">
        <v>51</v>
      </c>
      <c r="D212" t="s">
        <v>3765</v>
      </c>
      <c r="E212" t="str">
        <f t="shared" si="28"/>
        <v>monsters/Entropy.layout</v>
      </c>
      <c r="F212" t="s">
        <v>3722</v>
      </c>
      <c r="G212" s="5">
        <f t="shared" si="29"/>
        <v>41600</v>
      </c>
      <c r="H212" s="5">
        <v>62</v>
      </c>
      <c r="I212" s="6" t="str">
        <f t="shared" si="27"/>
        <v>3E</v>
      </c>
      <c r="K212" t="s">
        <v>3808</v>
      </c>
    </row>
    <row r="213" spans="1:11" x14ac:dyDescent="0.2">
      <c r="A213" t="s">
        <v>3342</v>
      </c>
      <c r="C213" s="5" t="s">
        <v>51</v>
      </c>
      <c r="D213" t="s">
        <v>3723</v>
      </c>
      <c r="E213" t="str">
        <f t="shared" si="28"/>
        <v>monsters/Entropy.offsets</v>
      </c>
      <c r="F213" t="s">
        <v>3724</v>
      </c>
      <c r="G213" s="5">
        <f t="shared" si="29"/>
        <v>41666</v>
      </c>
      <c r="H213" s="5">
        <v>32</v>
      </c>
      <c r="I213" s="6" t="str">
        <f t="shared" si="27"/>
        <v>20</v>
      </c>
      <c r="J213" s="6" t="s">
        <v>3655</v>
      </c>
      <c r="K213" t="s">
        <v>3809</v>
      </c>
    </row>
    <row r="214" spans="1:11" x14ac:dyDescent="0.2">
      <c r="A214" t="s">
        <v>3342</v>
      </c>
      <c r="C214" s="5" t="s">
        <v>51</v>
      </c>
      <c r="D214" t="s">
        <v>3766</v>
      </c>
      <c r="E214" t="str">
        <f t="shared" si="28"/>
        <v>monsters/Behemoth_LimbMirroring.flags</v>
      </c>
      <c r="F214" t="s">
        <v>3725</v>
      </c>
      <c r="G214" s="5">
        <f t="shared" si="29"/>
        <v>41698</v>
      </c>
      <c r="H214" s="5">
        <v>2</v>
      </c>
      <c r="I214" s="6" t="str">
        <f t="shared" si="27"/>
        <v>2</v>
      </c>
      <c r="J214" s="6" t="s">
        <v>3655</v>
      </c>
      <c r="K214" t="s">
        <v>3810</v>
      </c>
    </row>
    <row r="215" spans="1:11" x14ac:dyDescent="0.2">
      <c r="A215" t="s">
        <v>2399</v>
      </c>
      <c r="B215" t="s">
        <v>3767</v>
      </c>
      <c r="C215" s="5" t="s">
        <v>51</v>
      </c>
      <c r="D215" t="s">
        <v>3768</v>
      </c>
      <c r="E215" t="str">
        <f t="shared" si="28"/>
        <v>monsters/Behemoth.layout</v>
      </c>
      <c r="F215" t="s">
        <v>3726</v>
      </c>
      <c r="G215" s="5">
        <f t="shared" si="29"/>
        <v>41700</v>
      </c>
      <c r="H215" s="5">
        <v>62</v>
      </c>
      <c r="I215" s="6" t="str">
        <f t="shared" si="27"/>
        <v>3E</v>
      </c>
      <c r="K215" t="s">
        <v>3811</v>
      </c>
    </row>
    <row r="216" spans="1:11" x14ac:dyDescent="0.2">
      <c r="A216" t="s">
        <v>3342</v>
      </c>
      <c r="C216" s="5" t="s">
        <v>51</v>
      </c>
      <c r="D216" t="s">
        <v>3727</v>
      </c>
      <c r="E216" t="str">
        <f t="shared" si="28"/>
        <v>monsters/Behemoth.offsets</v>
      </c>
      <c r="F216" t="s">
        <v>3728</v>
      </c>
      <c r="G216" s="5">
        <f t="shared" si="29"/>
        <v>41766</v>
      </c>
      <c r="H216" s="5">
        <v>24</v>
      </c>
      <c r="I216" s="6" t="str">
        <f t="shared" si="27"/>
        <v>18</v>
      </c>
      <c r="J216" s="6" t="s">
        <v>3655</v>
      </c>
      <c r="K216" t="s">
        <v>3812</v>
      </c>
    </row>
    <row r="217" spans="1:11" x14ac:dyDescent="0.2">
      <c r="A217" t="s">
        <v>2400</v>
      </c>
      <c r="B217" t="s">
        <v>3729</v>
      </c>
      <c r="C217" s="5" t="s">
        <v>51</v>
      </c>
      <c r="D217" t="s">
        <v>3730</v>
      </c>
      <c r="E217" t="str">
        <f t="shared" si="28"/>
        <v>monsters/Behemoth_Claws.offsets</v>
      </c>
      <c r="F217" t="s">
        <v>3731</v>
      </c>
      <c r="G217" s="5">
        <f t="shared" si="29"/>
        <v>41790</v>
      </c>
      <c r="H217" s="5">
        <v>8</v>
      </c>
      <c r="I217" s="6" t="str">
        <f t="shared" si="27"/>
        <v>8</v>
      </c>
      <c r="K217" t="s">
        <v>3813</v>
      </c>
    </row>
    <row r="218" spans="1:11" x14ac:dyDescent="0.2">
      <c r="A218" t="s">
        <v>2356</v>
      </c>
      <c r="B218" t="s">
        <v>3732</v>
      </c>
      <c r="C218" s="5" t="s">
        <v>51</v>
      </c>
      <c r="D218" t="s">
        <v>3733</v>
      </c>
      <c r="E218" t="str">
        <f t="shared" si="28"/>
        <v>monsters/Dragon_Composite_XY.positions</v>
      </c>
      <c r="F218" t="s">
        <v>3734</v>
      </c>
      <c r="G218" s="5">
        <f t="shared" si="29"/>
        <v>40888</v>
      </c>
      <c r="H218" s="5">
        <v>16</v>
      </c>
      <c r="I218" s="6" t="str">
        <f t="shared" si="27"/>
        <v>10</v>
      </c>
      <c r="J218" s="6" t="s">
        <v>3655</v>
      </c>
      <c r="K218" t="s">
        <v>3814</v>
      </c>
    </row>
    <row r="219" spans="1:11" x14ac:dyDescent="0.2">
      <c r="A219" t="s">
        <v>2363</v>
      </c>
      <c r="B219" t="s">
        <v>3735</v>
      </c>
      <c r="C219" s="5" t="s">
        <v>51</v>
      </c>
      <c r="D219" t="s">
        <v>3736</v>
      </c>
      <c r="E219" t="str">
        <f t="shared" si="28"/>
        <v>monsters/Dragon_Side_X.positions</v>
      </c>
      <c r="F219" t="s">
        <v>3737</v>
      </c>
      <c r="G219" s="5">
        <f t="shared" si="29"/>
        <v>40984</v>
      </c>
      <c r="H219" s="5">
        <v>10</v>
      </c>
      <c r="I219" s="6" t="str">
        <f t="shared" si="27"/>
        <v>A</v>
      </c>
      <c r="K219" t="s">
        <v>3815</v>
      </c>
    </row>
    <row r="220" spans="1:11" ht="17" x14ac:dyDescent="0.25">
      <c r="A220" t="s">
        <v>2370</v>
      </c>
      <c r="B220" s="26" t="s">
        <v>3769</v>
      </c>
      <c r="C220" s="5" t="s">
        <v>51</v>
      </c>
      <c r="D220" s="26" t="s">
        <v>3771</v>
      </c>
      <c r="E220" t="str">
        <f t="shared" si="28"/>
        <v>monsters/Dragon_Claws.layout</v>
      </c>
      <c r="F220" t="s">
        <v>3738</v>
      </c>
      <c r="G220" s="5">
        <f t="shared" si="29"/>
        <v>41108</v>
      </c>
      <c r="H220" s="5">
        <v>60</v>
      </c>
      <c r="I220" s="6" t="str">
        <f t="shared" si="27"/>
        <v>3C</v>
      </c>
      <c r="J220" s="6" t="s">
        <v>3655</v>
      </c>
      <c r="K220" t="s">
        <v>3816</v>
      </c>
    </row>
    <row r="221" spans="1:11" ht="17" x14ac:dyDescent="0.25">
      <c r="A221" t="s">
        <v>2374</v>
      </c>
      <c r="B221" s="26" t="s">
        <v>3770</v>
      </c>
      <c r="C221" s="5" t="s">
        <v>51</v>
      </c>
      <c r="D221" s="26" t="s">
        <v>3772</v>
      </c>
      <c r="E221" t="str">
        <f t="shared" si="28"/>
        <v>monsters/Dragon_Body.layout</v>
      </c>
      <c r="F221" t="s">
        <v>3739</v>
      </c>
      <c r="G221" s="5">
        <f t="shared" si="29"/>
        <v>41168</v>
      </c>
      <c r="H221" s="5">
        <v>34</v>
      </c>
      <c r="I221" s="6" t="str">
        <f t="shared" si="27"/>
        <v>22</v>
      </c>
      <c r="J221" s="6" t="s">
        <v>3655</v>
      </c>
      <c r="K221" t="s">
        <v>3817</v>
      </c>
    </row>
    <row r="222" spans="1:11" x14ac:dyDescent="0.2">
      <c r="A222" t="s">
        <v>2380</v>
      </c>
      <c r="B222" t="s">
        <v>3740</v>
      </c>
      <c r="C222" s="5" t="s">
        <v>51</v>
      </c>
      <c r="D222" t="s">
        <v>3741</v>
      </c>
      <c r="E222" t="str">
        <f t="shared" si="28"/>
        <v>monsters/Dragon_MirroredHalf_X.positions</v>
      </c>
      <c r="F222" t="s">
        <v>3742</v>
      </c>
      <c r="G222" s="5">
        <f t="shared" si="29"/>
        <v>41290</v>
      </c>
      <c r="H222" s="5">
        <v>6</v>
      </c>
      <c r="I222" s="6" t="str">
        <f t="shared" si="27"/>
        <v>6</v>
      </c>
      <c r="K222" t="s">
        <v>3818</v>
      </c>
    </row>
    <row r="223" spans="1:11" x14ac:dyDescent="0.2">
      <c r="A223" t="s">
        <v>2381</v>
      </c>
      <c r="B223" t="s">
        <v>3743</v>
      </c>
      <c r="C223" s="5" t="s">
        <v>51</v>
      </c>
      <c r="D223" t="s">
        <v>3744</v>
      </c>
      <c r="E223" t="str">
        <f t="shared" si="28"/>
        <v>monsters/Dragon.offsets</v>
      </c>
      <c r="F223" t="s">
        <v>3745</v>
      </c>
      <c r="G223" s="5">
        <f t="shared" si="29"/>
        <v>41296</v>
      </c>
      <c r="H223" s="5">
        <v>54</v>
      </c>
      <c r="I223" s="6" t="str">
        <f t="shared" si="27"/>
        <v>36</v>
      </c>
      <c r="J223" s="6" t="s">
        <v>3655</v>
      </c>
      <c r="K223" t="s">
        <v>3819</v>
      </c>
    </row>
    <row r="224" spans="1:11" ht="17" x14ac:dyDescent="0.25">
      <c r="A224" t="s">
        <v>2279</v>
      </c>
      <c r="B224" s="26" t="s">
        <v>3773</v>
      </c>
      <c r="C224" s="5" t="s">
        <v>51</v>
      </c>
      <c r="D224" s="26" t="s">
        <v>3779</v>
      </c>
      <c r="E224" t="str">
        <f t="shared" si="28"/>
        <v>monsters/Crab_Front.layout</v>
      </c>
      <c r="F224" t="s">
        <v>3746</v>
      </c>
      <c r="G224" s="5">
        <f t="shared" si="29"/>
        <v>39926</v>
      </c>
      <c r="H224" s="5">
        <v>18</v>
      </c>
      <c r="I224" s="6" t="str">
        <f t="shared" si="27"/>
        <v>12</v>
      </c>
      <c r="J224" s="6" t="s">
        <v>3655</v>
      </c>
      <c r="K224" t="s">
        <v>3820</v>
      </c>
    </row>
    <row r="225" spans="1:16" ht="17" x14ac:dyDescent="0.25">
      <c r="A225" t="s">
        <v>2289</v>
      </c>
      <c r="B225" s="26" t="s">
        <v>3774</v>
      </c>
      <c r="C225" s="5" t="s">
        <v>51</v>
      </c>
      <c r="D225" s="26" t="s">
        <v>3780</v>
      </c>
      <c r="E225" t="str">
        <f t="shared" si="28"/>
        <v>monsters/Crab_SideNear.layout</v>
      </c>
      <c r="F225" t="s">
        <v>3747</v>
      </c>
      <c r="G225" s="5">
        <f t="shared" si="29"/>
        <v>40020</v>
      </c>
      <c r="H225" s="5">
        <v>16</v>
      </c>
      <c r="I225" s="6" t="str">
        <f t="shared" si="27"/>
        <v>10</v>
      </c>
      <c r="J225" s="6" t="s">
        <v>3655</v>
      </c>
      <c r="K225" t="s">
        <v>3821</v>
      </c>
    </row>
    <row r="226" spans="1:16" ht="17" x14ac:dyDescent="0.25">
      <c r="A226" t="s">
        <v>2295</v>
      </c>
      <c r="B226" s="26" t="s">
        <v>3775</v>
      </c>
      <c r="C226" s="5" t="s">
        <v>51</v>
      </c>
      <c r="D226" s="26" t="s">
        <v>3781</v>
      </c>
      <c r="E226" t="str">
        <f t="shared" si="28"/>
        <v>monsters/Crab_SideFar.layout</v>
      </c>
      <c r="F226" t="s">
        <v>3748</v>
      </c>
      <c r="G226" s="5">
        <f t="shared" si="29"/>
        <v>40100</v>
      </c>
      <c r="H226" s="5">
        <v>8</v>
      </c>
      <c r="I226" s="6" t="str">
        <f t="shared" si="27"/>
        <v>8</v>
      </c>
      <c r="J226" s="6" t="s">
        <v>3655</v>
      </c>
      <c r="K226" t="s">
        <v>3822</v>
      </c>
    </row>
    <row r="227" spans="1:16" ht="17" x14ac:dyDescent="0.25">
      <c r="A227" t="s">
        <v>2300</v>
      </c>
      <c r="B227" s="26" t="s">
        <v>3776</v>
      </c>
      <c r="C227" s="5" t="s">
        <v>51</v>
      </c>
      <c r="D227" s="26" t="s">
        <v>3782</v>
      </c>
      <c r="E227" t="str">
        <f t="shared" si="28"/>
        <v>monsters/Crab_FaceAndSideClaw.layout</v>
      </c>
      <c r="F227" t="s">
        <v>3749</v>
      </c>
      <c r="G227" s="5">
        <f t="shared" si="29"/>
        <v>40150</v>
      </c>
      <c r="H227" s="5">
        <v>6</v>
      </c>
      <c r="I227" s="6" t="str">
        <f t="shared" si="27"/>
        <v>6</v>
      </c>
      <c r="J227" s="6" t="s">
        <v>3655</v>
      </c>
      <c r="K227" t="s">
        <v>3823</v>
      </c>
    </row>
    <row r="228" spans="1:16" ht="17" x14ac:dyDescent="0.25">
      <c r="A228" t="s">
        <v>2308</v>
      </c>
      <c r="B228" s="26" t="s">
        <v>3777</v>
      </c>
      <c r="C228" s="5" t="s">
        <v>51</v>
      </c>
      <c r="D228" s="26" t="s">
        <v>3783</v>
      </c>
      <c r="E228" t="str">
        <f t="shared" si="28"/>
        <v>monsters/Crab_BackClaw.layout</v>
      </c>
      <c r="F228" t="s">
        <v>3750</v>
      </c>
      <c r="G228" s="5">
        <f t="shared" si="29"/>
        <v>40232</v>
      </c>
      <c r="H228" s="5">
        <v>8</v>
      </c>
      <c r="I228" s="6" t="str">
        <f t="shared" si="27"/>
        <v>8</v>
      </c>
      <c r="J228" s="6" t="s">
        <v>3655</v>
      </c>
      <c r="K228" t="s">
        <v>3824</v>
      </c>
    </row>
    <row r="229" spans="1:16" ht="17" x14ac:dyDescent="0.25">
      <c r="A229" t="s">
        <v>2316</v>
      </c>
      <c r="B229" s="26" t="s">
        <v>3778</v>
      </c>
      <c r="C229" s="5" t="s">
        <v>51</v>
      </c>
      <c r="D229" s="26" t="s">
        <v>3784</v>
      </c>
      <c r="E229" t="str">
        <f t="shared" si="28"/>
        <v>monsters/Crab_Body.layout</v>
      </c>
      <c r="F229" t="s">
        <v>3751</v>
      </c>
      <c r="G229" s="5">
        <f t="shared" si="29"/>
        <v>40400</v>
      </c>
      <c r="H229" s="5">
        <v>20</v>
      </c>
      <c r="I229" s="6" t="str">
        <f t="shared" si="27"/>
        <v>14</v>
      </c>
      <c r="J229" s="6" t="s">
        <v>3655</v>
      </c>
      <c r="K229" t="s">
        <v>3825</v>
      </c>
    </row>
    <row r="230" spans="1:16" x14ac:dyDescent="0.2">
      <c r="A230" t="s">
        <v>2319</v>
      </c>
      <c r="B230" t="s">
        <v>3752</v>
      </c>
      <c r="C230" s="5" t="s">
        <v>51</v>
      </c>
      <c r="D230" t="s">
        <v>3753</v>
      </c>
      <c r="E230" t="str">
        <f t="shared" si="28"/>
        <v>monsters/Crab.offsets</v>
      </c>
      <c r="F230" t="s">
        <v>3754</v>
      </c>
      <c r="G230" s="5">
        <f t="shared" si="29"/>
        <v>40420</v>
      </c>
      <c r="H230" s="5">
        <v>34</v>
      </c>
      <c r="I230" s="6" t="str">
        <f t="shared" si="27"/>
        <v>22</v>
      </c>
      <c r="J230" s="6" t="s">
        <v>3655</v>
      </c>
      <c r="K230" t="s">
        <v>3826</v>
      </c>
    </row>
    <row r="231" spans="1:16" x14ac:dyDescent="0.2">
      <c r="A231" t="s">
        <v>3090</v>
      </c>
      <c r="B231" t="s">
        <v>3156</v>
      </c>
      <c r="C231" s="5" t="s">
        <v>195</v>
      </c>
      <c r="D231" t="s">
        <v>196</v>
      </c>
      <c r="E231" t="str">
        <f t="shared" si="28"/>
        <v>sfx/sample1.sound</v>
      </c>
      <c r="F231" t="s">
        <v>197</v>
      </c>
      <c r="G231" s="5">
        <f t="shared" si="29"/>
        <v>344222</v>
      </c>
      <c r="H231" s="5">
        <v>132</v>
      </c>
      <c r="I231" s="6" t="str">
        <f t="shared" si="27"/>
        <v>84</v>
      </c>
      <c r="N231">
        <f>N188+H188</f>
        <v>343102</v>
      </c>
      <c r="O231" t="s">
        <v>3156</v>
      </c>
      <c r="P231" s="24" t="str">
        <f t="shared" si="26"/>
        <v>53C3E</v>
      </c>
    </row>
    <row r="232" spans="1:16" x14ac:dyDescent="0.2">
      <c r="A232" t="s">
        <v>3161</v>
      </c>
      <c r="B232" t="s">
        <v>3163</v>
      </c>
      <c r="E232" t="str">
        <f t="shared" si="28"/>
        <v/>
      </c>
      <c r="G232" s="5" t="str">
        <f t="shared" si="29"/>
        <v/>
      </c>
      <c r="I232" s="6" t="str">
        <f t="shared" si="27"/>
        <v>0</v>
      </c>
      <c r="O232" t="s">
        <v>3163</v>
      </c>
    </row>
    <row r="233" spans="1:16" x14ac:dyDescent="0.2">
      <c r="A233" t="s">
        <v>3162</v>
      </c>
      <c r="B233" t="s">
        <v>3163</v>
      </c>
      <c r="E233" t="str">
        <f t="shared" si="28"/>
        <v/>
      </c>
      <c r="G233" s="5" t="str">
        <f t="shared" si="29"/>
        <v/>
      </c>
      <c r="I233" s="6" t="str">
        <f t="shared" si="27"/>
        <v>0</v>
      </c>
      <c r="O233" t="s">
        <v>3163</v>
      </c>
    </row>
    <row r="234" spans="1:16" x14ac:dyDescent="0.2">
      <c r="A234" t="s">
        <v>3164</v>
      </c>
      <c r="B234" t="s">
        <v>3163</v>
      </c>
      <c r="E234" t="str">
        <f t="shared" si="28"/>
        <v/>
      </c>
      <c r="G234" s="5" t="str">
        <f t="shared" si="29"/>
        <v/>
      </c>
      <c r="I234" s="6" t="str">
        <f t="shared" si="27"/>
        <v>0</v>
      </c>
      <c r="O234" t="s">
        <v>3163</v>
      </c>
    </row>
    <row r="235" spans="1:16" x14ac:dyDescent="0.2">
      <c r="A235" t="s">
        <v>3165</v>
      </c>
      <c r="B235" t="s">
        <v>3163</v>
      </c>
      <c r="E235" t="str">
        <f t="shared" si="28"/>
        <v/>
      </c>
      <c r="G235" s="5" t="str">
        <f t="shared" si="29"/>
        <v/>
      </c>
      <c r="I235" s="6" t="str">
        <f t="shared" si="27"/>
        <v>0</v>
      </c>
      <c r="O235" t="s">
        <v>3163</v>
      </c>
    </row>
    <row r="236" spans="1:16" x14ac:dyDescent="0.2">
      <c r="A236" t="s">
        <v>3091</v>
      </c>
      <c r="B236" t="s">
        <v>3157</v>
      </c>
      <c r="C236" s="5" t="s">
        <v>195</v>
      </c>
      <c r="D236" t="s">
        <v>198</v>
      </c>
      <c r="E236" t="str">
        <f t="shared" si="28"/>
        <v>sfx/sample2.sound</v>
      </c>
      <c r="F236" t="s">
        <v>199</v>
      </c>
      <c r="G236" s="5">
        <f t="shared" si="29"/>
        <v>344354</v>
      </c>
      <c r="H236" s="5">
        <v>1474</v>
      </c>
      <c r="I236" s="6" t="str">
        <f t="shared" si="27"/>
        <v>5C2</v>
      </c>
      <c r="O236" t="s">
        <v>3157</v>
      </c>
    </row>
    <row r="237" spans="1:16" x14ac:dyDescent="0.2">
      <c r="A237" t="s">
        <v>3092</v>
      </c>
      <c r="B237" s="15" t="s">
        <v>3158</v>
      </c>
      <c r="C237" s="5" t="s">
        <v>195</v>
      </c>
      <c r="D237" t="s">
        <v>200</v>
      </c>
      <c r="E237" t="str">
        <f t="shared" si="28"/>
        <v>sfx/sample3.sound</v>
      </c>
      <c r="F237" t="s">
        <v>201</v>
      </c>
      <c r="G237" s="5">
        <f t="shared" si="29"/>
        <v>345828</v>
      </c>
      <c r="H237" s="5">
        <v>6280</v>
      </c>
      <c r="I237" s="6" t="str">
        <f t="shared" si="27"/>
        <v>1888</v>
      </c>
      <c r="O237" t="s">
        <v>3158</v>
      </c>
    </row>
    <row r="238" spans="1:16" x14ac:dyDescent="0.2">
      <c r="A238" t="s">
        <v>3093</v>
      </c>
      <c r="B238" s="15" t="s">
        <v>3159</v>
      </c>
      <c r="C238" s="5" t="s">
        <v>195</v>
      </c>
      <c r="D238" t="s">
        <v>202</v>
      </c>
      <c r="E238" t="str">
        <f t="shared" si="28"/>
        <v>sfx/sample4.sound</v>
      </c>
      <c r="F238" t="s">
        <v>203</v>
      </c>
      <c r="G238" s="5">
        <f t="shared" si="29"/>
        <v>352108</v>
      </c>
      <c r="H238" s="5">
        <v>6070</v>
      </c>
      <c r="I238" s="6" t="str">
        <f t="shared" si="27"/>
        <v>17B6</v>
      </c>
      <c r="O238" t="s">
        <v>3159</v>
      </c>
    </row>
    <row r="239" spans="1:16" x14ac:dyDescent="0.2">
      <c r="A239" t="s">
        <v>3094</v>
      </c>
      <c r="B239" s="15" t="s">
        <v>3160</v>
      </c>
      <c r="C239" s="5" t="s">
        <v>195</v>
      </c>
      <c r="D239" t="s">
        <v>204</v>
      </c>
      <c r="E239" t="str">
        <f t="shared" si="28"/>
        <v>sfx/sample5.sound</v>
      </c>
      <c r="F239" t="s">
        <v>205</v>
      </c>
      <c r="G239" s="5">
        <f t="shared" si="29"/>
        <v>358178</v>
      </c>
      <c r="H239" s="5">
        <v>3458</v>
      </c>
      <c r="I239" s="6" t="str">
        <f t="shared" si="27"/>
        <v>D82</v>
      </c>
      <c r="O239" t="s">
        <v>3160</v>
      </c>
    </row>
    <row r="240" spans="1:16" x14ac:dyDescent="0.2">
      <c r="A240" t="s">
        <v>3095</v>
      </c>
      <c r="B240" t="s">
        <v>3096</v>
      </c>
      <c r="C240" s="5" t="s">
        <v>48</v>
      </c>
      <c r="D240" t="s">
        <v>206</v>
      </c>
      <c r="E240" t="str">
        <f t="shared" si="28"/>
        <v>data/reservespace1.block</v>
      </c>
      <c r="F240" t="s">
        <v>207</v>
      </c>
      <c r="G240" s="5">
        <f t="shared" si="29"/>
        <v>362636</v>
      </c>
      <c r="H240" s="5">
        <v>1000</v>
      </c>
      <c r="I240" s="6" t="str">
        <f t="shared" si="27"/>
        <v>3E8</v>
      </c>
      <c r="O240" t="s">
        <v>3096</v>
      </c>
    </row>
    <row r="241" spans="1:17" x14ac:dyDescent="0.2">
      <c r="A241" t="s">
        <v>3097</v>
      </c>
      <c r="B241" t="s">
        <v>3098</v>
      </c>
      <c r="C241" s="5" t="s">
        <v>48</v>
      </c>
      <c r="D241" t="s">
        <v>208</v>
      </c>
      <c r="E241" t="str">
        <f t="shared" si="28"/>
        <v>data/reservespace2.block</v>
      </c>
      <c r="F241" t="s">
        <v>209</v>
      </c>
      <c r="G241" s="5">
        <f t="shared" si="29"/>
        <v>361636</v>
      </c>
      <c r="H241" s="5">
        <v>1000</v>
      </c>
      <c r="I241" s="6" t="str">
        <f t="shared" si="27"/>
        <v>3E8</v>
      </c>
      <c r="O241" t="s">
        <v>3098</v>
      </c>
    </row>
    <row r="242" spans="1:17" x14ac:dyDescent="0.2">
      <c r="A242" t="s">
        <v>304</v>
      </c>
      <c r="B242" t="str">
        <f>IF(O242&lt;&gt;"",O242,_xlfn.XLOOKUP(A242,AI_NAMES!C:C,AI_NAMES!D:D,"",0))</f>
        <v>MonsterCommsType</v>
      </c>
      <c r="C242" s="24"/>
      <c r="E242" t="str">
        <f t="shared" si="28"/>
        <v/>
      </c>
      <c r="G242" s="5" t="str">
        <f t="shared" si="29"/>
        <v/>
      </c>
      <c r="I242" s="6" t="str">
        <f t="shared" si="27"/>
        <v>0</v>
      </c>
      <c r="O242" t="s">
        <v>305</v>
      </c>
      <c r="P242" t="str">
        <f>IF(C242&lt;&gt;"",C242,_xlfn.XLOOKUP(B242,AI_NAMES!D:D,AI_NAMES!E:E,"",0))</f>
        <v/>
      </c>
    </row>
    <row r="243" spans="1:17" x14ac:dyDescent="0.2">
      <c r="A243" t="s">
        <v>306</v>
      </c>
      <c r="B243" t="str">
        <f>IF(O243&lt;&gt;"",O243,_xlfn.XLOOKUP(A243,AI_NAMES!C:C,AI_NAMES!D:D,"",0))</f>
        <v>MonsterCommsNotTraderTBC</v>
      </c>
      <c r="C243" s="24"/>
      <c r="E243" t="str">
        <f t="shared" si="28"/>
        <v/>
      </c>
      <c r="G243" s="5" t="str">
        <f t="shared" si="29"/>
        <v/>
      </c>
      <c r="I243" s="6" t="str">
        <f t="shared" si="27"/>
        <v>0</v>
      </c>
      <c r="O243" t="s">
        <v>309</v>
      </c>
      <c r="P243" t="str">
        <f>IF(C243&lt;&gt;"",C243,_xlfn.XLOOKUP(B243,AI_NAMES!D:D,AI_NAMES!E:E,"",0))</f>
        <v/>
      </c>
    </row>
    <row r="244" spans="1:17" x14ac:dyDescent="0.2">
      <c r="A244" t="s">
        <v>307</v>
      </c>
      <c r="B244" t="str">
        <f>IF(O244&lt;&gt;"",O244,_xlfn.XLOOKUP(A244,AI_NAMES!C:C,AI_NAMES!D:D,"",0))</f>
        <v>MonsterCommsTraderMaybe</v>
      </c>
      <c r="C244" s="24"/>
      <c r="E244" t="str">
        <f t="shared" si="28"/>
        <v/>
      </c>
      <c r="G244" s="5" t="str">
        <f t="shared" si="29"/>
        <v/>
      </c>
      <c r="I244" s="6" t="str">
        <f t="shared" si="27"/>
        <v>0</v>
      </c>
      <c r="O244" t="s">
        <v>308</v>
      </c>
      <c r="P244" t="str">
        <f>IF(C244&lt;&gt;"",C244,_xlfn.XLOOKUP(B244,AI_NAMES!D:D,AI_NAMES!E:E,"",0))</f>
        <v/>
      </c>
    </row>
    <row r="245" spans="1:17" x14ac:dyDescent="0.2">
      <c r="A245" t="s">
        <v>310</v>
      </c>
      <c r="B245" t="str">
        <f>IF(O245&lt;&gt;"",O245,_xlfn.XLOOKUP(A245,AI_NAMES!C:C,AI_NAMES!D:D,"",0))</f>
        <v>Comms_Champion_TBC</v>
      </c>
      <c r="C245" s="24"/>
      <c r="E245" t="str">
        <f t="shared" si="28"/>
        <v/>
      </c>
      <c r="G245" s="5" t="str">
        <f t="shared" si="29"/>
        <v/>
      </c>
      <c r="I245" s="6" t="str">
        <f t="shared" si="27"/>
        <v>0</v>
      </c>
      <c r="O245" t="s">
        <v>3099</v>
      </c>
      <c r="P245" t="str">
        <f>IF(C245&lt;&gt;"",C245,_xlfn.XLOOKUP(B245,AI_NAMES!D:D,AI_NAMES!E:E,"",0))</f>
        <v/>
      </c>
    </row>
    <row r="246" spans="1:17" x14ac:dyDescent="0.2">
      <c r="A246" t="s">
        <v>311</v>
      </c>
      <c r="B246" t="str">
        <f>IF(O246&lt;&gt;"",O246,_xlfn.XLOOKUP(A246,AI_NAMES!C:C,AI_NAMES!D:D,"",0))</f>
        <v>Comms_ObjectTrade</v>
      </c>
      <c r="C246" s="24"/>
      <c r="E246" t="str">
        <f t="shared" si="28"/>
        <v/>
      </c>
      <c r="G246" s="5" t="str">
        <f t="shared" si="29"/>
        <v/>
      </c>
      <c r="I246" s="6" t="str">
        <f t="shared" si="27"/>
        <v>0</v>
      </c>
      <c r="O246" t="s">
        <v>312</v>
      </c>
      <c r="P246" t="str">
        <f>IF(C246&lt;&gt;"",C246,_xlfn.XLOOKUP(B246,AI_NAMES!D:D,AI_NAMES!E:E,"",0))</f>
        <v/>
      </c>
    </row>
    <row r="247" spans="1:17" x14ac:dyDescent="0.2">
      <c r="A247" t="s">
        <v>313</v>
      </c>
      <c r="B247" t="str">
        <f>IF(O247&lt;&gt;"",O247,_xlfn.XLOOKUP(A247,AI_NAMES!C:C,AI_NAMES!D:D,"",0))</f>
        <v/>
      </c>
      <c r="C247" s="24"/>
      <c r="E247" t="str">
        <f t="shared" si="28"/>
        <v/>
      </c>
      <c r="G247" s="5" t="str">
        <f t="shared" si="29"/>
        <v/>
      </c>
      <c r="I247" s="6" t="str">
        <f t="shared" si="27"/>
        <v>0</v>
      </c>
      <c r="P247">
        <f>IF(C247&lt;&gt;"",C247,_xlfn.XLOOKUP(B247,AI_NAMES!D:D,AI_NAMES!E:E,"",0))</f>
        <v>0</v>
      </c>
    </row>
    <row r="248" spans="1:17" x14ac:dyDescent="0.2">
      <c r="A248" t="s">
        <v>316</v>
      </c>
      <c r="B248" t="str">
        <f>IF(O248&lt;&gt;"",O248,_xlfn.XLOOKUP(A248,AI_NAMES!C:C,AI_NAMES!D:D,"",0))</f>
        <v>ProgStart</v>
      </c>
      <c r="C248" s="24"/>
      <c r="E248" t="str">
        <f t="shared" si="28"/>
        <v/>
      </c>
      <c r="G248" s="5" t="str">
        <f t="shared" si="29"/>
        <v/>
      </c>
      <c r="I248" s="6" t="str">
        <f t="shared" si="27"/>
        <v>0</v>
      </c>
      <c r="O248" t="s">
        <v>316</v>
      </c>
      <c r="P248" t="str">
        <f>IF(C248&lt;&gt;"",C248,_xlfn.XLOOKUP(B248,AI_NAMES!D:D,AI_NAMES!E:E,"",0))</f>
        <v/>
      </c>
    </row>
    <row r="249" spans="1:17" x14ac:dyDescent="0.2">
      <c r="A249" t="s">
        <v>317</v>
      </c>
      <c r="B249" t="str">
        <f>IF(O249&lt;&gt;"",O249,_xlfn.XLOOKUP(A249,AI_NAMES!C:C,AI_NAMES!D:D,"",0))</f>
        <v>.loop</v>
      </c>
      <c r="C249" s="24"/>
      <c r="E249" t="str">
        <f t="shared" si="28"/>
        <v/>
      </c>
      <c r="G249" s="5" t="str">
        <f t="shared" si="29"/>
        <v/>
      </c>
      <c r="I249" s="6" t="str">
        <f t="shared" si="27"/>
        <v>0</v>
      </c>
      <c r="O249" t="s">
        <v>317</v>
      </c>
      <c r="P249" t="str">
        <f>IF(C249&lt;&gt;"",C249,_xlfn.XLOOKUP(B249,AI_NAMES!D:D,AI_NAMES!E:E,"",0))</f>
        <v/>
      </c>
    </row>
    <row r="250" spans="1:17" x14ac:dyDescent="0.2">
      <c r="A250" t="s">
        <v>318</v>
      </c>
      <c r="B250" t="str">
        <f>IF(O250&lt;&gt;"",O250,_xlfn.XLOOKUP(A250,AI_NAMES!C:C,AI_NAMES!D:D,"",0))</f>
        <v>CodeMover</v>
      </c>
      <c r="C250" s="24"/>
      <c r="E250" t="str">
        <f t="shared" si="28"/>
        <v/>
      </c>
      <c r="G250" s="5" t="str">
        <f t="shared" si="29"/>
        <v/>
      </c>
      <c r="I250" s="6" t="str">
        <f t="shared" si="27"/>
        <v>0</v>
      </c>
      <c r="O250" t="s">
        <v>318</v>
      </c>
      <c r="P250" t="str">
        <f>IF(C250&lt;&gt;"",C250,_xlfn.XLOOKUP(B250,AI_NAMES!D:D,AI_NAMES!E:E,"",0))</f>
        <v/>
      </c>
    </row>
    <row r="251" spans="1:17" x14ac:dyDescent="0.2">
      <c r="A251" t="s">
        <v>317</v>
      </c>
      <c r="B251" t="str">
        <f>IF(O251&lt;&gt;"",O251,_xlfn.XLOOKUP(A251,AI_NAMES!C:C,AI_NAMES!D:D,"",0))</f>
        <v>.loop</v>
      </c>
      <c r="C251" s="24"/>
      <c r="E251" t="str">
        <f t="shared" si="28"/>
        <v/>
      </c>
      <c r="G251" s="5" t="str">
        <f t="shared" si="29"/>
        <v/>
      </c>
      <c r="I251" s="6" t="str">
        <f t="shared" si="27"/>
        <v>0</v>
      </c>
      <c r="O251" t="s">
        <v>317</v>
      </c>
      <c r="P251" t="str">
        <f>IF(C251&lt;&gt;"",C251,_xlfn.XLOOKUP(B251,AI_NAMES!D:D,AI_NAMES!E:E,"",0))</f>
        <v/>
      </c>
      <c r="Q251">
        <f>COUNTIF(A:A,".loop")</f>
        <v>2</v>
      </c>
    </row>
    <row r="252" spans="1:17" x14ac:dyDescent="0.2">
      <c r="A252" t="s">
        <v>319</v>
      </c>
      <c r="B252" t="str">
        <f>IF(O252&lt;&gt;"",O252,_xlfn.XLOOKUP(A252,AI_NAMES!C:C,AI_NAMES!D:D,"",0))</f>
        <v>GameStart</v>
      </c>
      <c r="C252" s="24"/>
      <c r="E252" t="str">
        <f t="shared" si="28"/>
        <v/>
      </c>
      <c r="G252" s="5" t="str">
        <f t="shared" si="29"/>
        <v/>
      </c>
      <c r="I252" s="6" t="str">
        <f t="shared" si="27"/>
        <v>0</v>
      </c>
      <c r="O252" t="s">
        <v>319</v>
      </c>
      <c r="P252" t="str">
        <f>IF(C252&lt;&gt;"",C252,_xlfn.XLOOKUP(B252,AI_NAMES!D:D,AI_NAMES!E:E,"",0))</f>
        <v/>
      </c>
    </row>
    <row r="253" spans="1:17" x14ac:dyDescent="0.2">
      <c r="A253" t="s">
        <v>320</v>
      </c>
      <c r="B253" t="str">
        <f>IF(O253&lt;&gt;"",O253,_xlfn.XLOOKUP(A253,AI_NAMES!C:C,AI_NAMES!D:D,"",0))</f>
        <v>PostMainMenu_ChampionSetup_AI_TBC</v>
      </c>
      <c r="C253" s="24"/>
      <c r="E253" t="str">
        <f t="shared" si="28"/>
        <v/>
      </c>
      <c r="G253" s="5" t="str">
        <f t="shared" si="29"/>
        <v/>
      </c>
      <c r="I253" s="6" t="str">
        <f t="shared" si="27"/>
        <v>0</v>
      </c>
      <c r="O253" t="s">
        <v>321</v>
      </c>
      <c r="P253">
        <f>IF(C253&lt;&gt;"",C253,_xlfn.XLOOKUP(B253,AI_NAMES!D:D,AI_NAMES!E:E,"",0))</f>
        <v>0</v>
      </c>
    </row>
    <row r="254" spans="1:17" x14ac:dyDescent="0.2">
      <c r="A254" t="s">
        <v>322</v>
      </c>
      <c r="B254" t="str">
        <f>IF(O254&lt;&gt;"",O254,_xlfn.XLOOKUP(A254,AI_NAMES!C:C,AI_NAMES!D:D,"",0))</f>
        <v>DBFWait1a</v>
      </c>
      <c r="C254" s="24"/>
      <c r="E254" t="str">
        <f t="shared" si="28"/>
        <v/>
      </c>
      <c r="G254" s="5" t="str">
        <f t="shared" si="29"/>
        <v/>
      </c>
      <c r="I254" s="6" t="str">
        <f t="shared" si="27"/>
        <v>0</v>
      </c>
      <c r="O254" t="s">
        <v>323</v>
      </c>
      <c r="P254" t="str">
        <f>IF(C254&lt;&gt;"",C254,_xlfn.XLOOKUP(B254,AI_NAMES!D:D,AI_NAMES!E:E,"",0))</f>
        <v/>
      </c>
    </row>
    <row r="255" spans="1:17" x14ac:dyDescent="0.2">
      <c r="A255" t="s">
        <v>324</v>
      </c>
      <c r="B255" t="str">
        <f>IF(O255&lt;&gt;"",O255,_xlfn.XLOOKUP(A255,AI_NAMES!C:C,AI_NAMES!D:D,"",0))</f>
        <v>MainMenu_ReturnToStart_AI_TBC</v>
      </c>
      <c r="C255" s="24"/>
      <c r="E255" t="str">
        <f t="shared" si="28"/>
        <v/>
      </c>
      <c r="G255" s="5" t="str">
        <f t="shared" si="29"/>
        <v/>
      </c>
      <c r="I255" s="6" t="str">
        <f t="shared" si="27"/>
        <v>0</v>
      </c>
      <c r="O255" t="s">
        <v>321</v>
      </c>
      <c r="P255">
        <f>IF(C255&lt;&gt;"",C255,_xlfn.XLOOKUP(B255,AI_NAMES!D:D,AI_NAMES!E:E,"",0))</f>
        <v>0</v>
      </c>
    </row>
    <row r="256" spans="1:17" x14ac:dyDescent="0.2">
      <c r="A256" t="s">
        <v>325</v>
      </c>
      <c r="B256" t="str">
        <f>IF(O256&lt;&gt;"",O256,_xlfn.XLOOKUP(A256,AI_NAMES!C:C,AI_NAMES!D:D,"",0))</f>
        <v>Init_CustomChipRegisters_AI_TBC</v>
      </c>
      <c r="C256" s="24"/>
      <c r="E256" t="str">
        <f t="shared" si="28"/>
        <v/>
      </c>
      <c r="G256" s="5" t="str">
        <f t="shared" si="29"/>
        <v/>
      </c>
      <c r="I256" s="6" t="str">
        <f t="shared" si="27"/>
        <v>0</v>
      </c>
      <c r="O256" t="s">
        <v>321</v>
      </c>
      <c r="P256">
        <f>IF(C256&lt;&gt;"",C256,_xlfn.XLOOKUP(B256,AI_NAMES!D:D,AI_NAMES!E:E,"",0))</f>
        <v>0</v>
      </c>
    </row>
    <row r="257" spans="1:16" x14ac:dyDescent="0.2">
      <c r="A257" t="s">
        <v>326</v>
      </c>
      <c r="B257" t="str">
        <f>IF(O257&lt;&gt;"",O257,_xlfn.XLOOKUP(A257,AI_NAMES!C:C,AI_NAMES!D:D,"",0))</f>
        <v>Copper_SpriteInitLoop_AI_TBC</v>
      </c>
      <c r="C257" s="24"/>
      <c r="E257" t="str">
        <f t="shared" si="28"/>
        <v/>
      </c>
      <c r="G257" s="5" t="str">
        <f t="shared" si="29"/>
        <v/>
      </c>
      <c r="I257" s="6" t="str">
        <f t="shared" si="27"/>
        <v>0</v>
      </c>
      <c r="O257" t="s">
        <v>321</v>
      </c>
      <c r="P257">
        <f>IF(C257&lt;&gt;"",C257,_xlfn.XLOOKUP(B257,AI_NAMES!D:D,AI_NAMES!E:E,"",0))</f>
        <v>0</v>
      </c>
    </row>
    <row r="258" spans="1:16" x14ac:dyDescent="0.2">
      <c r="A258" t="s">
        <v>327</v>
      </c>
      <c r="B258" t="str">
        <f>IF(O258&lt;&gt;"",O258,_xlfn.XLOOKUP(A258,AI_NAMES!C:C,AI_NAMES!D:D,"",0))</f>
        <v>Interrupt_VectorInitLoop_AI_TBC</v>
      </c>
      <c r="C258" s="24"/>
      <c r="E258" t="str">
        <f t="shared" si="28"/>
        <v/>
      </c>
      <c r="G258" s="5" t="str">
        <f t="shared" si="29"/>
        <v/>
      </c>
      <c r="I258" s="6" t="str">
        <f t="shared" si="27"/>
        <v>0</v>
      </c>
      <c r="O258" t="s">
        <v>321</v>
      </c>
      <c r="P258">
        <f>IF(C258&lt;&gt;"",C258,_xlfn.XLOOKUP(B258,AI_NAMES!D:D,AI_NAMES!E:E,"",0))</f>
        <v>0</v>
      </c>
    </row>
    <row r="259" spans="1:16" x14ac:dyDescent="0.2">
      <c r="A259" t="s">
        <v>328</v>
      </c>
      <c r="B259" t="str">
        <f>IF(O259&lt;&gt;"",O259,_xlfn.XLOOKUP(A259,AI_NAMES!C:C,AI_NAMES!D:D,"",0))</f>
        <v>Copper_SpriteOffsetTable_DATA_AI_TBC</v>
      </c>
      <c r="C259" s="24"/>
      <c r="E259" t="str">
        <f t="shared" si="28"/>
        <v/>
      </c>
      <c r="G259" s="5" t="str">
        <f t="shared" si="29"/>
        <v/>
      </c>
      <c r="I259" s="6" t="str">
        <f t="shared" ref="I259:I322" si="30">IFERROR(DEC2HEX(H259),"")</f>
        <v>0</v>
      </c>
      <c r="O259" t="s">
        <v>321</v>
      </c>
      <c r="P259">
        <f>IF(C259&lt;&gt;"",C259,_xlfn.XLOOKUP(B259,AI_NAMES!D:D,AI_NAMES!E:E,"",0))</f>
        <v>0</v>
      </c>
    </row>
    <row r="260" spans="1:16" x14ac:dyDescent="0.2">
      <c r="A260" t="s">
        <v>329</v>
      </c>
      <c r="B260" t="str">
        <f>IF(O260&lt;&gt;"",O260,_xlfn.XLOOKUP(A260,AI_NAMES!C:C,AI_NAMES!D:D,"",0))</f>
        <v>Sprite_PositionPointerTable_DATA_AI_TBC</v>
      </c>
      <c r="C260" s="24"/>
      <c r="E260" t="str">
        <f t="shared" ref="E260:E323" si="31">IF(D260&lt;&gt;"",C260&amp;"/"&amp;D260,"")</f>
        <v/>
      </c>
      <c r="G260" s="5" t="str">
        <f t="shared" si="29"/>
        <v/>
      </c>
      <c r="I260" s="6" t="str">
        <f t="shared" si="30"/>
        <v>0</v>
      </c>
      <c r="O260" t="s">
        <v>321</v>
      </c>
      <c r="P260">
        <f>IF(C260&lt;&gt;"",C260,_xlfn.XLOOKUP(B260,AI_NAMES!D:D,AI_NAMES!E:E,"",0))</f>
        <v>0</v>
      </c>
    </row>
    <row r="261" spans="1:16" x14ac:dyDescent="0.2">
      <c r="A261" t="s">
        <v>330</v>
      </c>
      <c r="B261" t="str">
        <f>IF(O261&lt;&gt;"",O261,_xlfn.XLOOKUP(A261,AI_NAMES!C:C,AI_NAMES!D:D,"",0))</f>
        <v>Level2Int_LastKeyScratch_AI_TBC</v>
      </c>
      <c r="C261" s="24"/>
      <c r="E261" t="str">
        <f t="shared" si="31"/>
        <v/>
      </c>
      <c r="G261" s="5" t="str">
        <f t="shared" si="29"/>
        <v/>
      </c>
      <c r="I261" s="6" t="str">
        <f t="shared" si="30"/>
        <v>0</v>
      </c>
      <c r="O261" t="s">
        <v>321</v>
      </c>
      <c r="P261">
        <f>IF(C261&lt;&gt;"",C261,_xlfn.XLOOKUP(B261,AI_NAMES!D:D,AI_NAMES!E:E,"",0))</f>
        <v>0</v>
      </c>
    </row>
    <row r="262" spans="1:16" x14ac:dyDescent="0.2">
      <c r="A262" t="s">
        <v>331</v>
      </c>
      <c r="B262" t="str">
        <f>IF(O262&lt;&gt;"",O262,_xlfn.XLOOKUP(A262,AI_NAMES!C:C,AI_NAMES!D:D,"",0))</f>
        <v>KeyboardKeyCode</v>
      </c>
      <c r="C262" s="24"/>
      <c r="E262" t="str">
        <f t="shared" si="31"/>
        <v/>
      </c>
      <c r="G262" s="5" t="str">
        <f t="shared" si="29"/>
        <v/>
      </c>
      <c r="I262" s="6" t="str">
        <f t="shared" si="30"/>
        <v>0</v>
      </c>
      <c r="O262" t="s">
        <v>332</v>
      </c>
      <c r="P262" t="str">
        <f>IF(C262&lt;&gt;"",C262,_xlfn.XLOOKUP(B262,AI_NAMES!D:D,AI_NAMES!E:E,"",0))</f>
        <v/>
      </c>
    </row>
    <row r="263" spans="1:16" x14ac:dyDescent="0.2">
      <c r="A263" t="s">
        <v>333</v>
      </c>
      <c r="B263" t="str">
        <f>IF(O263&lt;&gt;"",O263,_xlfn.XLOOKUP(A263,AI_NAMES!C:C,AI_NAMES!D:D,"",0))</f>
        <v>Level_2_Interrupt</v>
      </c>
      <c r="C263" s="24"/>
      <c r="E263" t="str">
        <f t="shared" si="31"/>
        <v/>
      </c>
      <c r="G263" s="5" t="str">
        <f t="shared" si="29"/>
        <v/>
      </c>
      <c r="I263" s="6" t="str">
        <f t="shared" si="30"/>
        <v>0</v>
      </c>
      <c r="O263" t="s">
        <v>334</v>
      </c>
      <c r="P263" t="str">
        <f>IF(C263&lt;&gt;"",C263,_xlfn.XLOOKUP(B263,AI_NAMES!D:D,AI_NAMES!E:E,"",0))</f>
        <v/>
      </c>
    </row>
    <row r="264" spans="1:16" x14ac:dyDescent="0.2">
      <c r="A264" t="s">
        <v>335</v>
      </c>
      <c r="B264" t="str">
        <f>IF(O264&lt;&gt;"",O264,_xlfn.XLOOKUP(A264,AI_NAMES!C:C,AI_NAMES!D:D,"",0))</f>
        <v>.L2InteruptLoop</v>
      </c>
      <c r="C264" s="24"/>
      <c r="E264" t="str">
        <f t="shared" si="31"/>
        <v/>
      </c>
      <c r="G264" s="5" t="str">
        <f t="shared" si="29"/>
        <v/>
      </c>
      <c r="I264" s="6" t="str">
        <f t="shared" si="30"/>
        <v>0</v>
      </c>
      <c r="O264" t="s">
        <v>336</v>
      </c>
      <c r="P264" t="str">
        <f>IF(C264&lt;&gt;"",C264,_xlfn.XLOOKUP(B264,AI_NAMES!D:D,AI_NAMES!E:E,"",0))</f>
        <v/>
      </c>
    </row>
    <row r="265" spans="1:16" x14ac:dyDescent="0.2">
      <c r="A265" t="s">
        <v>337</v>
      </c>
      <c r="B265" t="str">
        <f>IF(O265&lt;&gt;"",O265,_xlfn.XLOOKUP(A265,AI_NAMES!C:C,AI_NAMES!D:D,"",0))</f>
        <v>CheckKeyboard</v>
      </c>
      <c r="C265" s="24"/>
      <c r="E265" t="str">
        <f t="shared" si="31"/>
        <v/>
      </c>
      <c r="G265" s="5" t="str">
        <f t="shared" ref="G265:G328" si="32">IF(F265&lt;&gt;"",HEX2DEC(SUBSTITUTE(SUBSTITUTE(F265,"adrEA",""),"$","")),"")</f>
        <v/>
      </c>
      <c r="I265" s="6" t="str">
        <f t="shared" si="30"/>
        <v>0</v>
      </c>
      <c r="O265" t="s">
        <v>338</v>
      </c>
      <c r="P265" t="str">
        <f>IF(C265&lt;&gt;"",C265,_xlfn.XLOOKUP(B265,AI_NAMES!D:D,AI_NAMES!E:E,"",0))</f>
        <v/>
      </c>
    </row>
    <row r="266" spans="1:16" x14ac:dyDescent="0.2">
      <c r="A266" t="s">
        <v>339</v>
      </c>
      <c r="B266" t="str">
        <f>IF(O266&lt;&gt;"",O266,_xlfn.XLOOKUP(A266,AI_NAMES!C:C,AI_NAMES!D:D,"",0))</f>
        <v>.keyboardloop</v>
      </c>
      <c r="C266" s="24"/>
      <c r="E266" t="str">
        <f t="shared" si="31"/>
        <v/>
      </c>
      <c r="G266" s="5" t="str">
        <f t="shared" si="32"/>
        <v/>
      </c>
      <c r="I266" s="6" t="str">
        <f t="shared" si="30"/>
        <v>0</v>
      </c>
      <c r="O266" t="s">
        <v>340</v>
      </c>
      <c r="P266" t="str">
        <f>IF(C266&lt;&gt;"",C266,_xlfn.XLOOKUP(B266,AI_NAMES!D:D,AI_NAMES!E:E,"",0))</f>
        <v/>
      </c>
    </row>
    <row r="267" spans="1:16" x14ac:dyDescent="0.2">
      <c r="A267" t="s">
        <v>341</v>
      </c>
      <c r="B267" t="str">
        <f>IF(O267&lt;&gt;"",O267,_xlfn.XLOOKUP(A267,AI_NAMES!C:C,AI_NAMES!D:D,"",0))</f>
        <v>KeyboardAction</v>
      </c>
      <c r="C267" s="24"/>
      <c r="E267" t="str">
        <f t="shared" si="31"/>
        <v/>
      </c>
      <c r="G267" s="5" t="str">
        <f t="shared" si="32"/>
        <v/>
      </c>
      <c r="I267" s="6" t="str">
        <f t="shared" si="30"/>
        <v>0</v>
      </c>
      <c r="O267" t="s">
        <v>342</v>
      </c>
      <c r="P267" t="str">
        <f>IF(C267&lt;&gt;"",C267,_xlfn.XLOOKUP(B267,AI_NAMES!D:D,AI_NAMES!E:E,"",0))</f>
        <v/>
      </c>
    </row>
    <row r="268" spans="1:16" x14ac:dyDescent="0.2">
      <c r="A268" t="s">
        <v>343</v>
      </c>
      <c r="B268" t="str">
        <f>IF(O268&lt;&gt;"",O268,_xlfn.XLOOKUP(A268,AI_NAMES!C:C,AI_NAMES!D:D,"",0))</f>
        <v>.skipPlayer2</v>
      </c>
      <c r="C268" s="24"/>
      <c r="E268" t="str">
        <f t="shared" si="31"/>
        <v/>
      </c>
      <c r="G268" s="5" t="str">
        <f t="shared" si="32"/>
        <v/>
      </c>
      <c r="I268" s="6" t="str">
        <f t="shared" si="30"/>
        <v>0</v>
      </c>
      <c r="O268" t="s">
        <v>344</v>
      </c>
      <c r="P268" t="str">
        <f>IF(C268&lt;&gt;"",C268,_xlfn.XLOOKUP(B268,AI_NAMES!D:D,AI_NAMES!E:E,"",0))</f>
        <v/>
      </c>
    </row>
    <row r="269" spans="1:16" x14ac:dyDescent="0.2">
      <c r="A269" t="s">
        <v>345</v>
      </c>
      <c r="B269" t="str">
        <f>IF(O269&lt;&gt;"",O269,_xlfn.XLOOKUP(A269,AI_NAMES!C:C,AI_NAMES!D:D,"",0))</f>
        <v>RawKeyCodes</v>
      </c>
      <c r="C269" s="24"/>
      <c r="E269" t="str">
        <f t="shared" si="31"/>
        <v/>
      </c>
      <c r="G269" s="5" t="str">
        <f t="shared" si="32"/>
        <v/>
      </c>
      <c r="I269" s="6" t="str">
        <f t="shared" si="30"/>
        <v>0</v>
      </c>
      <c r="O269" t="s">
        <v>345</v>
      </c>
      <c r="P269" t="str">
        <f>IF(C269&lt;&gt;"",C269,_xlfn.XLOOKUP(B269,AI_NAMES!D:D,AI_NAMES!E:E,"",0))</f>
        <v/>
      </c>
    </row>
    <row r="270" spans="1:16" x14ac:dyDescent="0.2">
      <c r="A270" t="s">
        <v>346</v>
      </c>
      <c r="B270" t="str">
        <f>IF(O270&lt;&gt;"",O270,_xlfn.XLOOKUP(A270,AI_NAMES!C:C,AI_NAMES!D:D,"",0))</f>
        <v>MainMenuBuffer</v>
      </c>
      <c r="C270" s="24"/>
      <c r="E270" t="str">
        <f t="shared" si="31"/>
        <v/>
      </c>
      <c r="G270" s="5" t="str">
        <f t="shared" si="32"/>
        <v/>
      </c>
      <c r="I270" s="6" t="str">
        <f t="shared" si="30"/>
        <v>0</v>
      </c>
      <c r="O270" t="s">
        <v>347</v>
      </c>
      <c r="P270" t="str">
        <f>IF(C270&lt;&gt;"",C270,_xlfn.XLOOKUP(B270,AI_NAMES!D:D,AI_NAMES!E:E,"",0))</f>
        <v/>
      </c>
    </row>
    <row r="271" spans="1:16" x14ac:dyDescent="0.2">
      <c r="A271" t="s">
        <v>348</v>
      </c>
      <c r="B271" t="str">
        <f>IF(O271&lt;&gt;"",O271,_xlfn.XLOOKUP(A271,AI_NAMES!C:C,AI_NAMES!D:D,"",0))</f>
        <v>MainMenuInitColours</v>
      </c>
      <c r="C271" s="24"/>
      <c r="E271" t="str">
        <f t="shared" si="31"/>
        <v/>
      </c>
      <c r="G271" s="5" t="str">
        <f t="shared" si="32"/>
        <v/>
      </c>
      <c r="I271" s="6" t="str">
        <f t="shared" si="30"/>
        <v>0</v>
      </c>
      <c r="O271" t="s">
        <v>349</v>
      </c>
      <c r="P271" t="str">
        <f>IF(C271&lt;&gt;"",C271,_xlfn.XLOOKUP(B271,AI_NAMES!D:D,AI_NAMES!E:E,"",0))</f>
        <v/>
      </c>
    </row>
    <row r="272" spans="1:16" x14ac:dyDescent="0.2">
      <c r="A272" t="s">
        <v>350</v>
      </c>
      <c r="B272" t="str">
        <f>IF(O272&lt;&gt;"",O272,_xlfn.XLOOKUP(A272,AI_NAMES!C:C,AI_NAMES!D:D,"",0))</f>
        <v>MainMenuText</v>
      </c>
      <c r="C272" s="24"/>
      <c r="E272" t="str">
        <f t="shared" si="31"/>
        <v/>
      </c>
      <c r="G272" s="5" t="str">
        <f t="shared" si="32"/>
        <v/>
      </c>
      <c r="I272" s="6" t="str">
        <f t="shared" si="30"/>
        <v>0</v>
      </c>
      <c r="O272" t="s">
        <v>346</v>
      </c>
      <c r="P272" t="str">
        <f>IF(C272&lt;&gt;"",C272,_xlfn.XLOOKUP(B272,AI_NAMES!D:D,AI_NAMES!E:E,"",0))</f>
        <v/>
      </c>
    </row>
    <row r="273" spans="1:16" x14ac:dyDescent="0.2">
      <c r="A273" t="s">
        <v>351</v>
      </c>
      <c r="B273" t="str">
        <f>IF(O273&lt;&gt;"",O273,_xlfn.XLOOKUP(A273,AI_NAMES!C:C,AI_NAMES!D:D,"",0))</f>
        <v>MainMenu</v>
      </c>
      <c r="C273" s="24"/>
      <c r="E273" t="str">
        <f t="shared" si="31"/>
        <v/>
      </c>
      <c r="G273" s="5" t="str">
        <f t="shared" si="32"/>
        <v/>
      </c>
      <c r="I273" s="6" t="str">
        <f t="shared" si="30"/>
        <v>0</v>
      </c>
      <c r="O273" t="s">
        <v>352</v>
      </c>
      <c r="P273" t="str">
        <f>IF(C273&lt;&gt;"",C273,_xlfn.XLOOKUP(B273,AI_NAMES!D:D,AI_NAMES!E:E,"",0))</f>
        <v/>
      </c>
    </row>
    <row r="274" spans="1:16" x14ac:dyDescent="0.2">
      <c r="A274" t="s">
        <v>353</v>
      </c>
      <c r="B274" t="str">
        <f>IF(O274&lt;&gt;"",O274,_xlfn.XLOOKUP(A274,AI_NAMES!C:C,AI_NAMES!D:D,"",0))</f>
        <v>.menuscreen</v>
      </c>
      <c r="C274" s="24"/>
      <c r="E274" t="str">
        <f t="shared" si="31"/>
        <v/>
      </c>
      <c r="G274" s="5" t="str">
        <f t="shared" si="32"/>
        <v/>
      </c>
      <c r="I274" s="6" t="str">
        <f t="shared" si="30"/>
        <v>0</v>
      </c>
      <c r="O274" t="s">
        <v>354</v>
      </c>
      <c r="P274" t="str">
        <f>IF(C274&lt;&gt;"",C274,_xlfn.XLOOKUP(B274,AI_NAMES!D:D,AI_NAMES!E:E,"",0))</f>
        <v/>
      </c>
    </row>
    <row r="275" spans="1:16" x14ac:dyDescent="0.2">
      <c r="A275" t="s">
        <v>355</v>
      </c>
      <c r="B275" t="str">
        <f>IF(O275&lt;&gt;"",O275,_xlfn.XLOOKUP(A275,AI_NAMES!C:C,AI_NAMES!D:D,"",0))</f>
        <v>MenuKeyboard</v>
      </c>
      <c r="C275" s="24"/>
      <c r="E275" t="str">
        <f t="shared" si="31"/>
        <v/>
      </c>
      <c r="G275" s="5" t="str">
        <f t="shared" si="32"/>
        <v/>
      </c>
      <c r="I275" s="6" t="str">
        <f t="shared" si="30"/>
        <v>0</v>
      </c>
      <c r="O275" t="s">
        <v>355</v>
      </c>
      <c r="P275" t="str">
        <f>IF(C275&lt;&gt;"",C275,_xlfn.XLOOKUP(B275,AI_NAMES!D:D,AI_NAMES!E:E,"",0))</f>
        <v/>
      </c>
    </row>
    <row r="276" spans="1:16" x14ac:dyDescent="0.2">
      <c r="A276" t="s">
        <v>356</v>
      </c>
      <c r="B276" t="str">
        <f>IF(O276&lt;&gt;"",O276,_xlfn.XLOOKUP(A276,AI_NAMES!C:C,AI_NAMES!D:D,"",0))</f>
        <v>.menukeyboardloop</v>
      </c>
      <c r="C276" s="24"/>
      <c r="E276" t="str">
        <f t="shared" si="31"/>
        <v/>
      </c>
      <c r="G276" s="5" t="str">
        <f t="shared" si="32"/>
        <v/>
      </c>
      <c r="I276" s="6" t="str">
        <f t="shared" si="30"/>
        <v>0</v>
      </c>
      <c r="O276" t="s">
        <v>357</v>
      </c>
      <c r="P276" t="str">
        <f>IF(C276&lt;&gt;"",C276,_xlfn.XLOOKUP(B276,AI_NAMES!D:D,AI_NAMES!E:E,"",0))</f>
        <v/>
      </c>
    </row>
    <row r="277" spans="1:16" x14ac:dyDescent="0.2">
      <c r="A277" t="s">
        <v>358</v>
      </c>
      <c r="B277" t="str">
        <f>IF(O277&lt;&gt;"",O277,_xlfn.XLOOKUP(A277,AI_NAMES!C:C,AI_NAMES!D:D,"",0))</f>
        <v>LoadGameFromMenu</v>
      </c>
      <c r="C277" s="24"/>
      <c r="E277" t="str">
        <f t="shared" si="31"/>
        <v/>
      </c>
      <c r="G277" s="5" t="str">
        <f t="shared" si="32"/>
        <v/>
      </c>
      <c r="I277" s="6" t="str">
        <f t="shared" si="30"/>
        <v>0</v>
      </c>
      <c r="O277" t="s">
        <v>358</v>
      </c>
      <c r="P277" t="str">
        <f>IF(C277&lt;&gt;"",C277,_xlfn.XLOOKUP(B277,AI_NAMES!D:D,AI_NAMES!E:E,"",0))</f>
        <v/>
      </c>
    </row>
    <row r="278" spans="1:16" x14ac:dyDescent="0.2">
      <c r="A278" t="s">
        <v>359</v>
      </c>
      <c r="B278" t="str">
        <f>IF(O278&lt;&gt;"",O278,_xlfn.XLOOKUP(A278,AI_NAMES!C:C,AI_NAMES!D:D,"",0))</f>
        <v>Ply1_Start</v>
      </c>
      <c r="C278" s="24"/>
      <c r="E278" t="str">
        <f t="shared" si="31"/>
        <v/>
      </c>
      <c r="G278" s="5" t="str">
        <f t="shared" si="32"/>
        <v/>
      </c>
      <c r="I278" s="6" t="str">
        <f t="shared" si="30"/>
        <v>0</v>
      </c>
      <c r="O278" t="s">
        <v>359</v>
      </c>
      <c r="P278" t="str">
        <f>IF(C278&lt;&gt;"",C278,_xlfn.XLOOKUP(B278,AI_NAMES!D:D,AI_NAMES!E:E,"",0))</f>
        <v/>
      </c>
    </row>
    <row r="279" spans="1:16" x14ac:dyDescent="0.2">
      <c r="A279" t="s">
        <v>360</v>
      </c>
      <c r="B279" t="str">
        <f>IF(O279&lt;&gt;"",O279,_xlfn.XLOOKUP(A279,AI_NAMES!C:C,AI_NAMES!D:D,"",0))</f>
        <v>Ply2_Start</v>
      </c>
      <c r="C279" s="24"/>
      <c r="E279" t="str">
        <f t="shared" si="31"/>
        <v/>
      </c>
      <c r="G279" s="5" t="str">
        <f t="shared" si="32"/>
        <v/>
      </c>
      <c r="I279" s="6" t="str">
        <f t="shared" si="30"/>
        <v>0</v>
      </c>
      <c r="O279" t="s">
        <v>360</v>
      </c>
      <c r="P279" t="str">
        <f>IF(C279&lt;&gt;"",C279,_xlfn.XLOOKUP(B279,AI_NAMES!D:D,AI_NAMES!E:E,"",0))</f>
        <v/>
      </c>
    </row>
    <row r="280" spans="1:16" x14ac:dyDescent="0.2">
      <c r="A280" t="s">
        <v>361</v>
      </c>
      <c r="B280" t="str">
        <f>IF(O280&lt;&gt;"",O280,_xlfn.XLOOKUP(A280,AI_NAMES!C:C,AI_NAMES!D:D,"",0))</f>
        <v>QkPly1_Start</v>
      </c>
      <c r="C280" s="24"/>
      <c r="E280" t="str">
        <f t="shared" si="31"/>
        <v/>
      </c>
      <c r="G280" s="5" t="str">
        <f t="shared" si="32"/>
        <v/>
      </c>
      <c r="I280" s="6" t="str">
        <f t="shared" si="30"/>
        <v>0</v>
      </c>
      <c r="O280" t="s">
        <v>361</v>
      </c>
      <c r="P280" t="str">
        <f>IF(C280&lt;&gt;"",C280,_xlfn.XLOOKUP(B280,AI_NAMES!D:D,AI_NAMES!E:E,"",0))</f>
        <v/>
      </c>
    </row>
    <row r="281" spans="1:16" x14ac:dyDescent="0.2">
      <c r="A281" t="s">
        <v>362</v>
      </c>
      <c r="B281" t="str">
        <f>IF(O281&lt;&gt;"",O281,_xlfn.XLOOKUP(A281,AI_NAMES!C:C,AI_NAMES!D:D,"",0))</f>
        <v>QkPly2_Start</v>
      </c>
      <c r="C281" s="24"/>
      <c r="E281" t="str">
        <f t="shared" si="31"/>
        <v/>
      </c>
      <c r="G281" s="5" t="str">
        <f t="shared" si="32"/>
        <v/>
      </c>
      <c r="I281" s="6" t="str">
        <f t="shared" si="30"/>
        <v>0</v>
      </c>
      <c r="O281" t="s">
        <v>362</v>
      </c>
      <c r="P281" t="str">
        <f>IF(C281&lt;&gt;"",C281,_xlfn.XLOOKUP(B281,AI_NAMES!D:D,AI_NAMES!E:E,"",0))</f>
        <v/>
      </c>
    </row>
    <row r="282" spans="1:16" x14ac:dyDescent="0.2">
      <c r="A282" t="s">
        <v>363</v>
      </c>
      <c r="B282" t="str">
        <f>IF(O282&lt;&gt;"",O282,_xlfn.XLOOKUP(A282,AI_NAMES!C:C,AI_NAMES!D:D,"",0))</f>
        <v>Init_DisplayDMA_AI_TBC</v>
      </c>
      <c r="C282" s="24"/>
      <c r="E282" t="str">
        <f t="shared" si="31"/>
        <v/>
      </c>
      <c r="G282" s="5" t="str">
        <f t="shared" si="32"/>
        <v/>
      </c>
      <c r="I282" s="6" t="str">
        <f t="shared" si="30"/>
        <v>0</v>
      </c>
      <c r="O282" t="s">
        <v>321</v>
      </c>
      <c r="P282">
        <f>IF(C282&lt;&gt;"",C282,_xlfn.XLOOKUP(B282,AI_NAMES!D:D,AI_NAMES!E:E,"",0))</f>
        <v>0</v>
      </c>
    </row>
    <row r="283" spans="1:16" x14ac:dyDescent="0.2">
      <c r="A283" t="s">
        <v>364</v>
      </c>
      <c r="B283" t="str">
        <f>IF(O283&lt;&gt;"",O283,_xlfn.XLOOKUP(A283,AI_NAMES!C:C,AI_NAMES!D:D,"",0))</f>
        <v>SpellsPracticed_InitializeEntriesLoop_AI_TBC</v>
      </c>
      <c r="C283" s="24"/>
      <c r="E283" t="str">
        <f t="shared" si="31"/>
        <v/>
      </c>
      <c r="G283" s="5" t="str">
        <f t="shared" si="32"/>
        <v/>
      </c>
      <c r="I283" s="6" t="str">
        <f t="shared" si="30"/>
        <v>0</v>
      </c>
      <c r="O283" t="s">
        <v>321</v>
      </c>
      <c r="P283">
        <f>IF(C283&lt;&gt;"",C283,_xlfn.XLOOKUP(B283,AI_NAMES!D:D,AI_NAMES!E:E,"",0))</f>
        <v>0</v>
      </c>
    </row>
    <row r="284" spans="1:16" x14ac:dyDescent="0.2">
      <c r="A284" t="s">
        <v>365</v>
      </c>
      <c r="B284" t="str">
        <f>IF(O284&lt;&gt;"",O284,_xlfn.XLOOKUP(A284,AI_NAMES!C:C,AI_NAMES!D:D,"",0))</f>
        <v>SpellsPracticed_AccumulateEntryBitsLoop_AI_TBC</v>
      </c>
      <c r="C284" s="24"/>
      <c r="E284" t="str">
        <f t="shared" si="31"/>
        <v/>
      </c>
      <c r="G284" s="5" t="str">
        <f t="shared" si="32"/>
        <v/>
      </c>
      <c r="I284" s="6" t="str">
        <f t="shared" si="30"/>
        <v>0</v>
      </c>
      <c r="O284" t="s">
        <v>321</v>
      </c>
      <c r="P284">
        <f>IF(C284&lt;&gt;"",C284,_xlfn.XLOOKUP(B284,AI_NAMES!D:D,AI_NAMES!E:E,"",0))</f>
        <v>0</v>
      </c>
    </row>
    <row r="285" spans="1:16" x14ac:dyDescent="0.2">
      <c r="A285" t="s">
        <v>366</v>
      </c>
      <c r="B285" t="str">
        <f>IF(O285&lt;&gt;"",O285,_xlfn.XLOOKUP(A285,AI_NAMES!C:C,AI_NAMES!D:D,"",0))</f>
        <v>SpellsPracticed_ClearEntriesLoop_AI_TBC</v>
      </c>
      <c r="C285" s="24"/>
      <c r="E285" t="str">
        <f t="shared" si="31"/>
        <v/>
      </c>
      <c r="G285" s="5" t="str">
        <f t="shared" si="32"/>
        <v/>
      </c>
      <c r="I285" s="6" t="str">
        <f t="shared" si="30"/>
        <v>0</v>
      </c>
      <c r="O285" t="s">
        <v>321</v>
      </c>
      <c r="P285">
        <f>IF(C285&lt;&gt;"",C285,_xlfn.XLOOKUP(B285,AI_NAMES!D:D,AI_NAMES!E:E,"",0))</f>
        <v>0</v>
      </c>
    </row>
    <row r="286" spans="1:16" x14ac:dyDescent="0.2">
      <c r="A286" t="s">
        <v>367</v>
      </c>
      <c r="B286" t="str">
        <f>IF(O286&lt;&gt;"",O286,_xlfn.XLOOKUP(A286,AI_NAMES!C:C,AI_NAMES!D:D,"",0))</f>
        <v>SpellPractice_CountInit_DATA_AI_TBC</v>
      </c>
      <c r="C286" s="24"/>
      <c r="E286" t="str">
        <f t="shared" si="31"/>
        <v/>
      </c>
      <c r="G286" s="5" t="str">
        <f t="shared" si="32"/>
        <v/>
      </c>
      <c r="I286" s="6" t="str">
        <f t="shared" si="30"/>
        <v>0</v>
      </c>
      <c r="O286" t="s">
        <v>321</v>
      </c>
      <c r="P286">
        <f>IF(C286&lt;&gt;"",C286,_xlfn.XLOOKUP(B286,AI_NAMES!D:D,AI_NAMES!E:E,"",0))</f>
        <v>0</v>
      </c>
    </row>
    <row r="287" spans="1:16" x14ac:dyDescent="0.2">
      <c r="A287" t="s">
        <v>368</v>
      </c>
      <c r="B287" t="str">
        <f>IF(O287&lt;&gt;"",O287,_xlfn.XLOOKUP(A287,AI_NAMES!C:C,AI_NAMES!D:D,"",0))</f>
        <v>SpellPractice_UpdateCountLoop_AI_TBC</v>
      </c>
      <c r="C287" s="24"/>
      <c r="E287" t="str">
        <f t="shared" si="31"/>
        <v/>
      </c>
      <c r="G287" s="5" t="str">
        <f t="shared" si="32"/>
        <v/>
      </c>
      <c r="I287" s="6" t="str">
        <f t="shared" si="30"/>
        <v>0</v>
      </c>
      <c r="O287" t="s">
        <v>321</v>
      </c>
      <c r="P287">
        <f>IF(C287&lt;&gt;"",C287,_xlfn.XLOOKUP(B287,AI_NAMES!D:D,AI_NAMES!E:E,"",0))</f>
        <v>0</v>
      </c>
    </row>
    <row r="288" spans="1:16" x14ac:dyDescent="0.2">
      <c r="A288" t="s">
        <v>369</v>
      </c>
      <c r="B288" t="str">
        <f>IF(O288&lt;&gt;"",O288,_xlfn.XLOOKUP(A288,AI_NAMES!C:C,AI_NAMES!D:D,"",0))</f>
        <v>SpellPractice_ComputeThreshold_AI_TBC</v>
      </c>
      <c r="C288" s="24"/>
      <c r="E288" t="str">
        <f t="shared" si="31"/>
        <v/>
      </c>
      <c r="G288" s="5" t="str">
        <f t="shared" si="32"/>
        <v/>
      </c>
      <c r="I288" s="6" t="str">
        <f t="shared" si="30"/>
        <v>0</v>
      </c>
      <c r="O288" t="s">
        <v>321</v>
      </c>
      <c r="P288">
        <f>IF(C288&lt;&gt;"",C288,_xlfn.XLOOKUP(B288,AI_NAMES!D:D,AI_NAMES!E:E,"",0))</f>
        <v>0</v>
      </c>
    </row>
    <row r="289" spans="1:16" x14ac:dyDescent="0.2">
      <c r="A289" t="s">
        <v>370</v>
      </c>
      <c r="B289" t="str">
        <f>IF(O289&lt;&gt;"",O289,_xlfn.XLOOKUP(A289,AI_NAMES!C:C,AI_NAMES!D:D,"",0))</f>
        <v>SpellPractice_ClampThreshold_AI_TBC</v>
      </c>
      <c r="C289" s="24"/>
      <c r="E289" t="str">
        <f t="shared" si="31"/>
        <v/>
      </c>
      <c r="G289" s="5" t="str">
        <f t="shared" si="32"/>
        <v/>
      </c>
      <c r="I289" s="6" t="str">
        <f t="shared" si="30"/>
        <v>0</v>
      </c>
      <c r="O289" t="s">
        <v>321</v>
      </c>
      <c r="P289">
        <f>IF(C289&lt;&gt;"",C289,_xlfn.XLOOKUP(B289,AI_NAMES!D:D,AI_NAMES!E:E,"",0))</f>
        <v>0</v>
      </c>
    </row>
    <row r="290" spans="1:16" x14ac:dyDescent="0.2">
      <c r="A290" t="s">
        <v>371</v>
      </c>
      <c r="B290" t="str">
        <f>IF(O290&lt;&gt;"",O290,_xlfn.XLOOKUP(A290,AI_NAMES!C:C,AI_NAMES!D:D,"",0))</f>
        <v>SpellCost_SelectOrComputeFallback_AI_TBC</v>
      </c>
      <c r="C290" s="24"/>
      <c r="E290" t="str">
        <f t="shared" si="31"/>
        <v/>
      </c>
      <c r="G290" s="5" t="str">
        <f t="shared" si="32"/>
        <v/>
      </c>
      <c r="I290" s="6" t="str">
        <f t="shared" si="30"/>
        <v>0</v>
      </c>
      <c r="O290" t="s">
        <v>321</v>
      </c>
      <c r="P290">
        <f>IF(C290&lt;&gt;"",C290,_xlfn.XLOOKUP(B290,AI_NAMES!D:D,AI_NAMES!E:E,"",0))</f>
        <v>0</v>
      </c>
    </row>
    <row r="291" spans="1:16" x14ac:dyDescent="0.2">
      <c r="A291" t="s">
        <v>372</v>
      </c>
      <c r="B291" t="str">
        <f>IF(O291&lt;&gt;"",O291,_xlfn.XLOOKUP(A291,AI_NAMES!C:C,AI_NAMES!D:D,"",0))</f>
        <v>SpellCost_BasicValues_DATA_AI_TBC</v>
      </c>
      <c r="C291" s="24"/>
      <c r="E291" t="str">
        <f t="shared" si="31"/>
        <v/>
      </c>
      <c r="G291" s="5" t="str">
        <f t="shared" si="32"/>
        <v/>
      </c>
      <c r="I291" s="6" t="str">
        <f t="shared" si="30"/>
        <v>0</v>
      </c>
      <c r="O291" t="s">
        <v>321</v>
      </c>
      <c r="P291">
        <f>IF(C291&lt;&gt;"",C291,_xlfn.XLOOKUP(B291,AI_NAMES!D:D,AI_NAMES!E:E,"",0))</f>
        <v>0</v>
      </c>
    </row>
    <row r="292" spans="1:16" x14ac:dyDescent="0.2">
      <c r="A292" t="s">
        <v>373</v>
      </c>
      <c r="B292" t="str">
        <f>IF(O292&lt;&gt;"",O292,_xlfn.XLOOKUP(A292,AI_NAMES!C:C,AI_NAMES!D:D,"",0))</f>
        <v>SpellCost_AlternateSelector_AI_TBC</v>
      </c>
      <c r="C292" s="24"/>
      <c r="E292" t="str">
        <f t="shared" si="31"/>
        <v/>
      </c>
      <c r="G292" s="5" t="str">
        <f t="shared" si="32"/>
        <v/>
      </c>
      <c r="I292" s="6" t="str">
        <f t="shared" si="30"/>
        <v>0</v>
      </c>
      <c r="O292" t="s">
        <v>321</v>
      </c>
      <c r="P292">
        <f>IF(C292&lt;&gt;"",C292,_xlfn.XLOOKUP(B292,AI_NAMES!D:D,AI_NAMES!E:E,"",0))</f>
        <v>0</v>
      </c>
    </row>
    <row r="293" spans="1:16" x14ac:dyDescent="0.2">
      <c r="A293" t="s">
        <v>374</v>
      </c>
      <c r="B293" t="str">
        <f>IF(O293&lt;&gt;"",O293,_xlfn.XLOOKUP(A293,AI_NAMES!C:C,AI_NAMES!D:D,"",0))</f>
        <v>SpellCost_AlternateValues_DATA_AI_TBC</v>
      </c>
      <c r="C293" s="24"/>
      <c r="E293" t="str">
        <f t="shared" si="31"/>
        <v/>
      </c>
      <c r="G293" s="5" t="str">
        <f t="shared" si="32"/>
        <v/>
      </c>
      <c r="I293" s="6" t="str">
        <f t="shared" si="30"/>
        <v>0</v>
      </c>
      <c r="O293" t="s">
        <v>321</v>
      </c>
      <c r="P293">
        <f>IF(C293&lt;&gt;"",C293,_xlfn.XLOOKUP(B293,AI_NAMES!D:D,AI_NAMES!E:E,"",0))</f>
        <v>0</v>
      </c>
    </row>
    <row r="294" spans="1:16" x14ac:dyDescent="0.2">
      <c r="A294" t="s">
        <v>375</v>
      </c>
      <c r="B294" t="str">
        <f>IF(O294&lt;&gt;"",O294,_xlfn.XLOOKUP(A294,AI_NAMES!C:C,AI_NAMES!D:D,"",0))</f>
        <v>SpellCost_ShiftSelector_AI_TBC</v>
      </c>
      <c r="C294" s="24"/>
      <c r="E294" t="str">
        <f t="shared" si="31"/>
        <v/>
      </c>
      <c r="G294" s="5" t="str">
        <f t="shared" si="32"/>
        <v/>
      </c>
      <c r="I294" s="6" t="str">
        <f t="shared" si="30"/>
        <v>0</v>
      </c>
      <c r="O294" t="s">
        <v>321</v>
      </c>
      <c r="P294">
        <f>IF(C294&lt;&gt;"",C294,_xlfn.XLOOKUP(B294,AI_NAMES!D:D,AI_NAMES!E:E,"",0))</f>
        <v>0</v>
      </c>
    </row>
    <row r="295" spans="1:16" x14ac:dyDescent="0.2">
      <c r="A295" t="s">
        <v>376</v>
      </c>
      <c r="B295" t="str">
        <f>IF(O295&lt;&gt;"",O295,_xlfn.XLOOKUP(A295,AI_NAMES!C:C,AI_NAMES!D:D,"",0))</f>
        <v>SpellCost_FinalizeCost_AI_TBC</v>
      </c>
      <c r="C295" s="24"/>
      <c r="E295" t="str">
        <f t="shared" si="31"/>
        <v/>
      </c>
      <c r="G295" s="5" t="str">
        <f t="shared" si="32"/>
        <v/>
      </c>
      <c r="I295" s="6" t="str">
        <f t="shared" si="30"/>
        <v>0</v>
      </c>
      <c r="O295" t="s">
        <v>321</v>
      </c>
      <c r="P295">
        <f>IF(C295&lt;&gt;"",C295,_xlfn.XLOOKUP(B295,AI_NAMES!D:D,AI_NAMES!E:E,"",0))</f>
        <v>0</v>
      </c>
    </row>
    <row r="296" spans="1:16" x14ac:dyDescent="0.2">
      <c r="A296" t="s">
        <v>377</v>
      </c>
      <c r="B296" t="str">
        <f>IF(O296&lt;&gt;"",O296,_xlfn.XLOOKUP(A296,AI_NAMES!C:C,AI_NAMES!D:D,"",0))</f>
        <v>SpellCost_ShiftFactors_DATA_AI_TBC</v>
      </c>
      <c r="C296" s="24"/>
      <c r="E296" t="str">
        <f t="shared" si="31"/>
        <v/>
      </c>
      <c r="G296" s="5" t="str">
        <f t="shared" si="32"/>
        <v/>
      </c>
      <c r="I296" s="6" t="str">
        <f t="shared" si="30"/>
        <v>0</v>
      </c>
      <c r="O296" t="s">
        <v>321</v>
      </c>
      <c r="P296">
        <f>IF(C296&lt;&gt;"",C296,_xlfn.XLOOKUP(B296,AI_NAMES!D:D,AI_NAMES!E:E,"",0))</f>
        <v>0</v>
      </c>
    </row>
    <row r="297" spans="1:16" x14ac:dyDescent="0.2">
      <c r="A297" t="s">
        <v>378</v>
      </c>
      <c r="B297" t="str">
        <f>IF(O297&lt;&gt;"",O297,_xlfn.XLOOKUP(A297,AI_NAMES!C:C,AI_NAMES!D:D,"",0))</f>
        <v>Map_Traps_InitProcessing_AI_TBC</v>
      </c>
      <c r="C297" s="24"/>
      <c r="E297" t="str">
        <f t="shared" si="31"/>
        <v/>
      </c>
      <c r="G297" s="5" t="str">
        <f t="shared" si="32"/>
        <v/>
      </c>
      <c r="I297" s="6" t="str">
        <f t="shared" si="30"/>
        <v>0</v>
      </c>
      <c r="O297" t="s">
        <v>321</v>
      </c>
      <c r="P297">
        <f>IF(C297&lt;&gt;"",C297,_xlfn.XLOOKUP(B297,AI_NAMES!D:D,AI_NAMES!E:E,"",0))</f>
        <v>0</v>
      </c>
    </row>
    <row r="298" spans="1:16" x14ac:dyDescent="0.2">
      <c r="A298" t="s">
        <v>379</v>
      </c>
      <c r="B298" t="str">
        <f>IF(O298&lt;&gt;"",O298,_xlfn.XLOOKUP(A298,AI_NAMES!C:C,AI_NAMES!D:D,"",0))</f>
        <v>Map_Traps_ProcessNextEntryLoop_AI_TBC</v>
      </c>
      <c r="C298" s="24"/>
      <c r="E298" t="str">
        <f t="shared" si="31"/>
        <v/>
      </c>
      <c r="G298" s="5" t="str">
        <f t="shared" si="32"/>
        <v/>
      </c>
      <c r="I298" s="6" t="str">
        <f t="shared" si="30"/>
        <v>0</v>
      </c>
      <c r="O298" t="s">
        <v>321</v>
      </c>
      <c r="P298">
        <f>IF(C298&lt;&gt;"",C298,_xlfn.XLOOKUP(B298,AI_NAMES!D:D,AI_NAMES!E:E,"",0))</f>
        <v>0</v>
      </c>
    </row>
    <row r="299" spans="1:16" x14ac:dyDescent="0.2">
      <c r="A299" t="s">
        <v>380</v>
      </c>
      <c r="B299" t="str">
        <f>IF(O299&lt;&gt;"",O299,_xlfn.XLOOKUP(A299,AI_NAMES!C:C,AI_NAMES!D:D,"",0))</f>
        <v>Map_Traps_ProcessingDone_AI_TBC</v>
      </c>
      <c r="C299" s="24"/>
      <c r="E299" t="str">
        <f t="shared" si="31"/>
        <v/>
      </c>
      <c r="G299" s="5" t="str">
        <f t="shared" si="32"/>
        <v/>
      </c>
      <c r="I299" s="6" t="str">
        <f t="shared" si="30"/>
        <v>0</v>
      </c>
      <c r="O299" t="s">
        <v>321</v>
      </c>
      <c r="P299">
        <f>IF(C299&lt;&gt;"",C299,_xlfn.XLOOKUP(B299,AI_NAMES!D:D,AI_NAMES!E:E,"",0))</f>
        <v>0</v>
      </c>
    </row>
    <row r="300" spans="1:16" x14ac:dyDescent="0.2">
      <c r="A300" t="s">
        <v>381</v>
      </c>
      <c r="B300" t="str">
        <f>IF(O300&lt;&gt;"",O300,_xlfn.XLOOKUP(A300,AI_NAMES!C:C,AI_NAMES!D:D,"",0))</f>
        <v>PrepareCharacters</v>
      </c>
      <c r="C300" s="24"/>
      <c r="E300" t="str">
        <f t="shared" si="31"/>
        <v/>
      </c>
      <c r="G300" s="5" t="str">
        <f t="shared" si="32"/>
        <v/>
      </c>
      <c r="I300" s="6" t="str">
        <f t="shared" si="30"/>
        <v>0</v>
      </c>
      <c r="O300" t="s">
        <v>381</v>
      </c>
      <c r="P300" t="str">
        <f>IF(C300&lt;&gt;"",C300,_xlfn.XLOOKUP(B300,AI_NAMES!D:D,AI_NAMES!E:E,"",0))</f>
        <v/>
      </c>
    </row>
    <row r="301" spans="1:16" x14ac:dyDescent="0.2">
      <c r="A301" t="s">
        <v>382</v>
      </c>
      <c r="B301" t="str">
        <f>IF(O301&lt;&gt;"",O301,_xlfn.XLOOKUP(A301,AI_NAMES!C:C,AI_NAMES!D:D,"",0))</f>
        <v>CharacterFillLoop</v>
      </c>
      <c r="C301" s="24"/>
      <c r="E301" t="str">
        <f t="shared" si="31"/>
        <v/>
      </c>
      <c r="G301" s="5" t="str">
        <f t="shared" si="32"/>
        <v/>
      </c>
      <c r="I301" s="6" t="str">
        <f t="shared" si="30"/>
        <v>0</v>
      </c>
      <c r="O301" t="s">
        <v>382</v>
      </c>
      <c r="P301" t="str">
        <f>IF(C301&lt;&gt;"",C301,_xlfn.XLOOKUP(B301,AI_NAMES!D:D,AI_NAMES!E:E,"",0))</f>
        <v/>
      </c>
    </row>
    <row r="302" spans="1:16" x14ac:dyDescent="0.2">
      <c r="A302" t="s">
        <v>383</v>
      </c>
      <c r="B302" t="str">
        <f>IF(O302&lt;&gt;"",O302,_xlfn.XLOOKUP(A302,AI_NAMES!C:C,AI_NAMES!D:D,"",0))</f>
        <v/>
      </c>
      <c r="C302" s="24" t="str">
        <f>IF(B302&lt;&gt;"",B302,_xlfn.XLOOKUP(A302,AI_NAMES!C:C,AI_NAMES!D:D,"",0))</f>
        <v/>
      </c>
      <c r="E302" t="str">
        <f t="shared" si="31"/>
        <v/>
      </c>
      <c r="G302" s="5" t="str">
        <f t="shared" si="32"/>
        <v/>
      </c>
      <c r="I302" s="6" t="str">
        <f t="shared" si="30"/>
        <v>0</v>
      </c>
      <c r="O302" t="s">
        <v>321</v>
      </c>
      <c r="P302">
        <f>IF(C302&lt;&gt;"",C302,_xlfn.XLOOKUP(B302,AI_NAMES!D:D,AI_NAMES!E:E,"",0))</f>
        <v>0</v>
      </c>
    </row>
    <row r="303" spans="1:16" x14ac:dyDescent="0.2">
      <c r="A303" t="s">
        <v>384</v>
      </c>
      <c r="B303" t="str">
        <f>IF(O303&lt;&gt;"",O303,_xlfn.XLOOKUP(A303,AI_NAMES!C:C,AI_NAMES!D:D,"",0))</f>
        <v>MonsterTransfer</v>
      </c>
      <c r="E303" t="str">
        <f t="shared" si="31"/>
        <v/>
      </c>
      <c r="G303" s="5" t="str">
        <f t="shared" si="32"/>
        <v/>
      </c>
      <c r="I303" s="6" t="str">
        <f t="shared" si="30"/>
        <v>0</v>
      </c>
      <c r="O303" t="s">
        <v>385</v>
      </c>
      <c r="P303" t="str">
        <f>IF(C303&lt;&gt;"",C303,_xlfn.XLOOKUP(B303,AI_NAMES!D:D,AI_NAMES!E:E,"",0))</f>
        <v/>
      </c>
    </row>
    <row r="304" spans="1:16" x14ac:dyDescent="0.2">
      <c r="A304" t="s">
        <v>386</v>
      </c>
      <c r="B304" t="str">
        <f>IF(O304&lt;&gt;"",O304,_xlfn.XLOOKUP(A304,AI_NAMES!C:C,AI_NAMES!D:D,"",0))</f>
        <v/>
      </c>
      <c r="E304" t="str">
        <f t="shared" si="31"/>
        <v/>
      </c>
      <c r="G304" s="5" t="str">
        <f t="shared" si="32"/>
        <v/>
      </c>
      <c r="I304" s="6" t="str">
        <f t="shared" si="30"/>
        <v>0</v>
      </c>
      <c r="O304" t="s">
        <v>321</v>
      </c>
      <c r="P304">
        <f>IF(C304&lt;&gt;"",C304,_xlfn.XLOOKUP(B304,AI_NAMES!D:D,AI_NAMES!E:E,"",0))</f>
        <v>0</v>
      </c>
    </row>
    <row r="305" spans="1:16" x14ac:dyDescent="0.2">
      <c r="A305" t="s">
        <v>387</v>
      </c>
      <c r="B305" t="str">
        <f>IF(O305&lt;&gt;"",O305,_xlfn.XLOOKUP(A305,AI_NAMES!C:C,AI_NAMES!D:D,"",0))</f>
        <v>.ClearMonstersLoop</v>
      </c>
      <c r="E305" t="str">
        <f t="shared" si="31"/>
        <v/>
      </c>
      <c r="G305" s="5" t="str">
        <f t="shared" si="32"/>
        <v/>
      </c>
      <c r="I305" s="6" t="str">
        <f t="shared" si="30"/>
        <v>0</v>
      </c>
      <c r="O305" t="s">
        <v>388</v>
      </c>
      <c r="P305" t="str">
        <f>IF(C305&lt;&gt;"",C305,_xlfn.XLOOKUP(B305,AI_NAMES!D:D,AI_NAMES!E:E,"",0))</f>
        <v/>
      </c>
    </row>
    <row r="306" spans="1:16" x14ac:dyDescent="0.2">
      <c r="A306" t="s">
        <v>389</v>
      </c>
      <c r="B306" t="str">
        <f>IF(O306&lt;&gt;"",O306,_xlfn.XLOOKUP(A306,AI_NAMES!C:C,AI_NAMES!D:D,"",0))</f>
        <v>.FillMonstersLoop</v>
      </c>
      <c r="E306" t="str">
        <f t="shared" si="31"/>
        <v/>
      </c>
      <c r="G306" s="5" t="str">
        <f t="shared" si="32"/>
        <v/>
      </c>
      <c r="I306" s="6" t="str">
        <f t="shared" si="30"/>
        <v>0</v>
      </c>
      <c r="O306" t="s">
        <v>390</v>
      </c>
      <c r="P306" t="str">
        <f>IF(C306&lt;&gt;"",C306,_xlfn.XLOOKUP(B306,AI_NAMES!D:D,AI_NAMES!E:E,"",0))</f>
        <v/>
      </c>
    </row>
    <row r="307" spans="1:16" x14ac:dyDescent="0.2">
      <c r="A307" t="s">
        <v>391</v>
      </c>
      <c r="B307" t="str">
        <f>IF(O307&lt;&gt;"",O307,_xlfn.XLOOKUP(A307,AI_NAMES!C:C,AI_NAMES!D:D,"",0))</f>
        <v>.MarkedOnMap</v>
      </c>
      <c r="E307" t="str">
        <f t="shared" si="31"/>
        <v/>
      </c>
      <c r="G307" s="5" t="str">
        <f t="shared" si="32"/>
        <v/>
      </c>
      <c r="I307" s="6" t="str">
        <f t="shared" si="30"/>
        <v>0</v>
      </c>
      <c r="O307" t="s">
        <v>392</v>
      </c>
      <c r="P307" t="str">
        <f>IF(C307&lt;&gt;"",C307,_xlfn.XLOOKUP(B307,AI_NAMES!D:D,AI_NAMES!E:E,"",0))</f>
        <v/>
      </c>
    </row>
    <row r="308" spans="1:16" x14ac:dyDescent="0.2">
      <c r="A308" t="s">
        <v>393</v>
      </c>
      <c r="B308" t="str">
        <f>IF(O308&lt;&gt;"",O308,_xlfn.XLOOKUP(A308,AI_NAMES!C:C,AI_NAMES!D:D,"",0))</f>
        <v>.SkipSomething1_TEMP</v>
      </c>
      <c r="E308" t="str">
        <f t="shared" si="31"/>
        <v/>
      </c>
      <c r="G308" s="5" t="str">
        <f t="shared" si="32"/>
        <v/>
      </c>
      <c r="I308" s="6" t="str">
        <f t="shared" si="30"/>
        <v>0</v>
      </c>
      <c r="O308" t="s">
        <v>394</v>
      </c>
      <c r="P308" t="str">
        <f>IF(C308&lt;&gt;"",C308,_xlfn.XLOOKUP(B308,AI_NAMES!D:D,AI_NAMES!E:E,"",0))</f>
        <v/>
      </c>
    </row>
    <row r="309" spans="1:16" x14ac:dyDescent="0.2">
      <c r="A309" t="s">
        <v>395</v>
      </c>
      <c r="B309" t="str">
        <f>IF(O309&lt;&gt;"",O309,_xlfn.XLOOKUP(A309,AI_NAMES!C:C,AI_NAMES!D:D,"",0))</f>
        <v>.SkipSomething2_TEMP</v>
      </c>
      <c r="E309" t="str">
        <f t="shared" si="31"/>
        <v/>
      </c>
      <c r="G309" s="5" t="str">
        <f t="shared" si="32"/>
        <v/>
      </c>
      <c r="I309" s="6" t="str">
        <f t="shared" si="30"/>
        <v>0</v>
      </c>
      <c r="O309" t="s">
        <v>396</v>
      </c>
      <c r="P309" t="str">
        <f>IF(C309&lt;&gt;"",C309,_xlfn.XLOOKUP(B309,AI_NAMES!D:D,AI_NAMES!E:E,"",0))</f>
        <v/>
      </c>
    </row>
    <row r="310" spans="1:16" x14ac:dyDescent="0.2">
      <c r="A310" t="s">
        <v>397</v>
      </c>
      <c r="B310" t="str">
        <f>IF(O310&lt;&gt;"",O310,_xlfn.XLOOKUP(A310,AI_NAMES!C:C,AI_NAMES!D:D,"",0))</f>
        <v>.SkipSomething3_TEMP</v>
      </c>
      <c r="E310" t="str">
        <f t="shared" si="31"/>
        <v/>
      </c>
      <c r="G310" s="5" t="str">
        <f t="shared" si="32"/>
        <v/>
      </c>
      <c r="I310" s="6" t="str">
        <f t="shared" si="30"/>
        <v>0</v>
      </c>
      <c r="O310" t="s">
        <v>398</v>
      </c>
      <c r="P310" t="str">
        <f>IF(C310&lt;&gt;"",C310,_xlfn.XLOOKUP(B310,AI_NAMES!D:D,AI_NAMES!E:E,"",0))</f>
        <v/>
      </c>
    </row>
    <row r="311" spans="1:16" x14ac:dyDescent="0.2">
      <c r="A311" t="s">
        <v>399</v>
      </c>
      <c r="B311" t="str">
        <f>IF(O311&lt;&gt;"",O311,_xlfn.XLOOKUP(A311,AI_NAMES!C:C,AI_NAMES!D:D,"",0))</f>
        <v>.SpecialObjects</v>
      </c>
      <c r="E311" t="str">
        <f t="shared" si="31"/>
        <v/>
      </c>
      <c r="G311" s="5" t="str">
        <f t="shared" si="32"/>
        <v/>
      </c>
      <c r="I311" s="6" t="str">
        <f t="shared" si="30"/>
        <v>0</v>
      </c>
      <c r="O311" t="s">
        <v>400</v>
      </c>
      <c r="P311" t="str">
        <f>IF(C311&lt;&gt;"",C311,_xlfn.XLOOKUP(B311,AI_NAMES!D:D,AI_NAMES!E:E,"",0))</f>
        <v/>
      </c>
    </row>
    <row r="312" spans="1:16" x14ac:dyDescent="0.2">
      <c r="A312" t="s">
        <v>401</v>
      </c>
      <c r="B312" t="str">
        <f>IF(O312&lt;&gt;"",O312,_xlfn.XLOOKUP(A312,AI_NAMES!C:C,AI_NAMES!D:D,"",0))</f>
        <v>.SkipSomething4_TEMP</v>
      </c>
      <c r="E312" t="str">
        <f t="shared" si="31"/>
        <v/>
      </c>
      <c r="G312" s="5" t="str">
        <f t="shared" si="32"/>
        <v/>
      </c>
      <c r="I312" s="6" t="str">
        <f t="shared" si="30"/>
        <v>0</v>
      </c>
      <c r="O312" t="s">
        <v>402</v>
      </c>
      <c r="P312" t="str">
        <f>IF(C312&lt;&gt;"",C312,_xlfn.XLOOKUP(B312,AI_NAMES!D:D,AI_NAMES!E:E,"",0))</f>
        <v/>
      </c>
    </row>
    <row r="313" spans="1:16" x14ac:dyDescent="0.2">
      <c r="A313" t="s">
        <v>403</v>
      </c>
      <c r="B313" t="str">
        <f>IF(O313&lt;&gt;"",O313,_xlfn.XLOOKUP(A313,AI_NAMES!C:C,AI_NAMES!D:D,"",0))</f>
        <v>.SkipSomething5_TEMP</v>
      </c>
      <c r="E313" t="str">
        <f t="shared" si="31"/>
        <v/>
      </c>
      <c r="G313" s="5" t="str">
        <f t="shared" si="32"/>
        <v/>
      </c>
      <c r="I313" s="6" t="str">
        <f t="shared" si="30"/>
        <v>0</v>
      </c>
      <c r="O313" t="s">
        <v>404</v>
      </c>
      <c r="P313" t="str">
        <f>IF(C313&lt;&gt;"",C313,_xlfn.XLOOKUP(B313,AI_NAMES!D:D,AI_NAMES!E:E,"",0))</f>
        <v/>
      </c>
    </row>
    <row r="314" spans="1:16" x14ac:dyDescent="0.2">
      <c r="A314" t="s">
        <v>405</v>
      </c>
      <c r="B314" t="str">
        <f>IF(O314&lt;&gt;"",O314,_xlfn.XLOOKUP(A314,AI_NAMES!C:C,AI_NAMES!D:D,"",0))</f>
        <v/>
      </c>
      <c r="E314" t="str">
        <f t="shared" si="31"/>
        <v/>
      </c>
      <c r="G314" s="5" t="str">
        <f t="shared" si="32"/>
        <v/>
      </c>
      <c r="I314" s="6" t="str">
        <f t="shared" si="30"/>
        <v>0</v>
      </c>
      <c r="O314" t="s">
        <v>321</v>
      </c>
      <c r="P314">
        <f>IF(C314&lt;&gt;"",C314,_xlfn.XLOOKUP(B314,AI_NAMES!D:D,AI_NAMES!E:E,"",0))</f>
        <v>0</v>
      </c>
    </row>
    <row r="315" spans="1:16" x14ac:dyDescent="0.2">
      <c r="A315" t="s">
        <v>406</v>
      </c>
      <c r="B315" t="str">
        <f>IF(O315&lt;&gt;"",O315,_xlfn.XLOOKUP(A315,AI_NAMES!C:C,AI_NAMES!D:D,"",0))</f>
        <v/>
      </c>
      <c r="E315" t="str">
        <f t="shared" si="31"/>
        <v/>
      </c>
      <c r="G315" s="5" t="str">
        <f t="shared" si="32"/>
        <v/>
      </c>
      <c r="I315" s="6" t="str">
        <f t="shared" si="30"/>
        <v>0</v>
      </c>
      <c r="O315" t="s">
        <v>321</v>
      </c>
      <c r="P315">
        <f>IF(C315&lt;&gt;"",C315,_xlfn.XLOOKUP(B315,AI_NAMES!D:D,AI_NAMES!E:E,"",0))</f>
        <v>0</v>
      </c>
    </row>
    <row r="316" spans="1:16" x14ac:dyDescent="0.2">
      <c r="A316" t="s">
        <v>407</v>
      </c>
      <c r="B316" t="str">
        <f>IF(O316&lt;&gt;"",O316,_xlfn.XLOOKUP(A316,AI_NAMES!C:C,AI_NAMES!D:D,"",0))</f>
        <v/>
      </c>
      <c r="E316" t="str">
        <f t="shared" si="31"/>
        <v/>
      </c>
      <c r="G316" s="5" t="str">
        <f t="shared" si="32"/>
        <v/>
      </c>
      <c r="I316" s="6" t="str">
        <f t="shared" si="30"/>
        <v>0</v>
      </c>
      <c r="O316" t="s">
        <v>321</v>
      </c>
      <c r="P316">
        <f>IF(C316&lt;&gt;"",C316,_xlfn.XLOOKUP(B316,AI_NAMES!D:D,AI_NAMES!E:E,"",0))</f>
        <v>0</v>
      </c>
    </row>
    <row r="317" spans="1:16" x14ac:dyDescent="0.2">
      <c r="A317" t="s">
        <v>408</v>
      </c>
      <c r="B317" t="str">
        <f>IF(O317&lt;&gt;"",O317,_xlfn.XLOOKUP(A317,AI_NAMES!C:C,AI_NAMES!D:D,"",0))</f>
        <v>Load_LevelLookupTable_AI_TBC</v>
      </c>
      <c r="E317" t="str">
        <f t="shared" si="31"/>
        <v/>
      </c>
      <c r="G317" s="5" t="str">
        <f t="shared" si="32"/>
        <v/>
      </c>
      <c r="I317" s="6" t="str">
        <f t="shared" si="30"/>
        <v>0</v>
      </c>
      <c r="O317" t="s">
        <v>321</v>
      </c>
      <c r="P317">
        <f>IF(C317&lt;&gt;"",C317,_xlfn.XLOOKUP(B317,AI_NAMES!D:D,AI_NAMES!E:E,"",0))</f>
        <v>0</v>
      </c>
    </row>
    <row r="318" spans="1:16" x14ac:dyDescent="0.2">
      <c r="A318" t="s">
        <v>409</v>
      </c>
      <c r="B318" t="str">
        <f>IF(O318&lt;&gt;"",O318,_xlfn.XLOOKUP(A318,AI_NAMES!C:C,AI_NAMES!D:D,"",0))</f>
        <v/>
      </c>
      <c r="E318" t="str">
        <f t="shared" si="31"/>
        <v/>
      </c>
      <c r="G318" s="5" t="str">
        <f t="shared" si="32"/>
        <v/>
      </c>
      <c r="I318" s="6" t="str">
        <f t="shared" si="30"/>
        <v>0</v>
      </c>
      <c r="O318" t="s">
        <v>321</v>
      </c>
      <c r="P318">
        <f>IF(C318&lt;&gt;"",C318,_xlfn.XLOOKUP(B318,AI_NAMES!D:D,AI_NAMES!E:E,"",0))</f>
        <v>0</v>
      </c>
    </row>
    <row r="319" spans="1:16" x14ac:dyDescent="0.2">
      <c r="A319" t="s">
        <v>410</v>
      </c>
      <c r="B319" t="str">
        <f>IF(O319&lt;&gt;"",O319,_xlfn.XLOOKUP(A319,AI_NAMES!C:C,AI_NAMES!D:D,"",0))</f>
        <v>LevelData_LookupTable</v>
      </c>
      <c r="E319" t="str">
        <f t="shared" si="31"/>
        <v/>
      </c>
      <c r="G319" s="5" t="str">
        <f t="shared" si="32"/>
        <v/>
      </c>
      <c r="I319" s="6" t="str">
        <f t="shared" si="30"/>
        <v>0</v>
      </c>
      <c r="O319" t="s">
        <v>411</v>
      </c>
      <c r="P319" t="str">
        <f>IF(C319&lt;&gt;"",C319,_xlfn.XLOOKUP(B319,AI_NAMES!D:D,AI_NAMES!E:E,"",0))</f>
        <v/>
      </c>
    </row>
    <row r="320" spans="1:16" x14ac:dyDescent="0.2">
      <c r="A320" t="s">
        <v>412</v>
      </c>
      <c r="B320" t="str">
        <f>IF(O320&lt;&gt;"",O320,_xlfn.XLOOKUP(A320,AI_NAMES!C:C,AI_NAMES!D:D,"",0))</f>
        <v>PrepareCharacterData_AI_TBC</v>
      </c>
      <c r="E320" t="str">
        <f t="shared" si="31"/>
        <v/>
      </c>
      <c r="G320" s="5" t="str">
        <f t="shared" si="32"/>
        <v/>
      </c>
      <c r="I320" s="6" t="str">
        <f t="shared" si="30"/>
        <v>0</v>
      </c>
      <c r="O320" t="s">
        <v>321</v>
      </c>
      <c r="P320">
        <f>IF(C320&lt;&gt;"",C320,_xlfn.XLOOKUP(B320,AI_NAMES!D:D,AI_NAMES!E:E,"",0))</f>
        <v>0</v>
      </c>
    </row>
    <row r="321" spans="1:16" x14ac:dyDescent="0.2">
      <c r="A321" t="s">
        <v>413</v>
      </c>
      <c r="B321" t="str">
        <f>IF(O321&lt;&gt;"",O321,_xlfn.XLOOKUP(A321,AI_NAMES!C:C,AI_NAMES!D:D,"",0))</f>
        <v/>
      </c>
      <c r="E321" t="str">
        <f t="shared" si="31"/>
        <v/>
      </c>
      <c r="G321" s="5" t="str">
        <f t="shared" si="32"/>
        <v/>
      </c>
      <c r="I321" s="6" t="str">
        <f t="shared" si="30"/>
        <v>0</v>
      </c>
      <c r="O321" t="s">
        <v>321</v>
      </c>
      <c r="P321">
        <f>IF(C321&lt;&gt;"",C321,_xlfn.XLOOKUP(B321,AI_NAMES!D:D,AI_NAMES!E:E,"",0))</f>
        <v>0</v>
      </c>
    </row>
    <row r="322" spans="1:16" x14ac:dyDescent="0.2">
      <c r="A322" t="s">
        <v>414</v>
      </c>
      <c r="B322" t="str">
        <f>IF(O322&lt;&gt;"",O322,_xlfn.XLOOKUP(A322,AI_NAMES!C:C,AI_NAMES!D:D,"",0))</f>
        <v/>
      </c>
      <c r="E322" t="str">
        <f t="shared" si="31"/>
        <v/>
      </c>
      <c r="G322" s="5" t="str">
        <f t="shared" si="32"/>
        <v/>
      </c>
      <c r="I322" s="6" t="str">
        <f t="shared" si="30"/>
        <v>0</v>
      </c>
      <c r="O322" t="s">
        <v>321</v>
      </c>
      <c r="P322">
        <f>IF(C322&lt;&gt;"",C322,_xlfn.XLOOKUP(B322,AI_NAMES!D:D,AI_NAMES!E:E,"",0))</f>
        <v>0</v>
      </c>
    </row>
    <row r="323" spans="1:16" x14ac:dyDescent="0.2">
      <c r="A323" t="s">
        <v>415</v>
      </c>
      <c r="B323" t="str">
        <f>IF(O323&lt;&gt;"",O323,_xlfn.XLOOKUP(A323,AI_NAMES!C:C,AI_NAMES!D:D,"",0))</f>
        <v/>
      </c>
      <c r="E323" t="str">
        <f t="shared" si="31"/>
        <v/>
      </c>
      <c r="G323" s="5" t="str">
        <f t="shared" si="32"/>
        <v/>
      </c>
      <c r="I323" s="6" t="str">
        <f t="shared" ref="I323:I386" si="33">IFERROR(DEC2HEX(H323),"")</f>
        <v>0</v>
      </c>
      <c r="O323" t="s">
        <v>321</v>
      </c>
      <c r="P323">
        <f>IF(C323&lt;&gt;"",C323,_xlfn.XLOOKUP(B323,AI_NAMES!D:D,AI_NAMES!E:E,"",0))</f>
        <v>0</v>
      </c>
    </row>
    <row r="324" spans="1:16" x14ac:dyDescent="0.2">
      <c r="A324" t="s">
        <v>416</v>
      </c>
      <c r="B324" t="str">
        <f>IF(O324&lt;&gt;"",O324,_xlfn.XLOOKUP(A324,AI_NAMES!C:C,AI_NAMES!D:D,"",0))</f>
        <v>Wait_FrameSync_AI_TBC</v>
      </c>
      <c r="E324" t="str">
        <f t="shared" ref="E324:E387" si="34">IF(D324&lt;&gt;"",C324&amp;"/"&amp;D324,"")</f>
        <v/>
      </c>
      <c r="G324" s="5" t="str">
        <f t="shared" si="32"/>
        <v/>
      </c>
      <c r="I324" s="6" t="str">
        <f t="shared" si="33"/>
        <v>0</v>
      </c>
      <c r="O324" t="s">
        <v>321</v>
      </c>
      <c r="P324">
        <f>IF(C324&lt;&gt;"",C324,_xlfn.XLOOKUP(B324,AI_NAMES!D:D,AI_NAMES!E:E,"",0))</f>
        <v>0</v>
      </c>
    </row>
    <row r="325" spans="1:16" x14ac:dyDescent="0.2">
      <c r="A325" t="s">
        <v>417</v>
      </c>
      <c r="B325" t="str">
        <f>IF(O325&lt;&gt;"",O325,_xlfn.XLOOKUP(A325,AI_NAMES!C:C,AI_NAMES!D:D,"",0))</f>
        <v>Menu_RenderLoop_AI_TBC</v>
      </c>
      <c r="E325" t="str">
        <f t="shared" si="34"/>
        <v/>
      </c>
      <c r="G325" s="5" t="str">
        <f t="shared" si="32"/>
        <v/>
      </c>
      <c r="I325" s="6" t="str">
        <f t="shared" si="33"/>
        <v>0</v>
      </c>
      <c r="O325" t="s">
        <v>321</v>
      </c>
      <c r="P325">
        <f>IF(C325&lt;&gt;"",C325,_xlfn.XLOOKUP(B325,AI_NAMES!D:D,AI_NAMES!E:E,"",0))</f>
        <v>0</v>
      </c>
    </row>
    <row r="326" spans="1:16" x14ac:dyDescent="0.2">
      <c r="A326" t="s">
        <v>418</v>
      </c>
      <c r="B326" t="str">
        <f>IF(O326&lt;&gt;"",O326,_xlfn.XLOOKUP(A326,AI_NAMES!C:C,AI_NAMES!D:D,"",0))</f>
        <v>Menu_IdlePoll_AI_TBC</v>
      </c>
      <c r="E326" t="str">
        <f t="shared" si="34"/>
        <v/>
      </c>
      <c r="G326" s="5" t="str">
        <f t="shared" si="32"/>
        <v/>
      </c>
      <c r="I326" s="6" t="str">
        <f t="shared" si="33"/>
        <v>0</v>
      </c>
      <c r="O326" t="s">
        <v>321</v>
      </c>
      <c r="P326">
        <f>IF(C326&lt;&gt;"",C326,_xlfn.XLOOKUP(B326,AI_NAMES!D:D,AI_NAMES!E:E,"",0))</f>
        <v>0</v>
      </c>
    </row>
    <row r="327" spans="1:16" x14ac:dyDescent="0.2">
      <c r="A327" t="s">
        <v>419</v>
      </c>
      <c r="B327" t="str">
        <f>IF(O327&lt;&gt;"",O327,_xlfn.XLOOKUP(A327,AI_NAMES!C:C,AI_NAMES!D:D,"",0))</f>
        <v/>
      </c>
      <c r="E327" t="str">
        <f t="shared" si="34"/>
        <v/>
      </c>
      <c r="G327" s="5" t="str">
        <f t="shared" si="32"/>
        <v/>
      </c>
      <c r="I327" s="6" t="str">
        <f t="shared" si="33"/>
        <v>0</v>
      </c>
      <c r="O327" t="s">
        <v>321</v>
      </c>
      <c r="P327">
        <f>IF(C327&lt;&gt;"",C327,_xlfn.XLOOKUP(B327,AI_NAMES!D:D,AI_NAMES!E:E,"",0))</f>
        <v>0</v>
      </c>
    </row>
    <row r="328" spans="1:16" x14ac:dyDescent="0.2">
      <c r="A328" t="s">
        <v>420</v>
      </c>
      <c r="B328" t="str">
        <f>IF(O328&lt;&gt;"",O328,_xlfn.XLOOKUP(A328,AI_NAMES!C:C,AI_NAMES!D:D,"",0))</f>
        <v/>
      </c>
      <c r="E328" t="str">
        <f t="shared" si="34"/>
        <v/>
      </c>
      <c r="G328" s="5" t="str">
        <f t="shared" si="32"/>
        <v/>
      </c>
      <c r="I328" s="6" t="str">
        <f t="shared" si="33"/>
        <v>0</v>
      </c>
      <c r="O328" t="s">
        <v>321</v>
      </c>
      <c r="P328">
        <f>IF(C328&lt;&gt;"",C328,_xlfn.XLOOKUP(B328,AI_NAMES!D:D,AI_NAMES!E:E,"",0))</f>
        <v>0</v>
      </c>
    </row>
    <row r="329" spans="1:16" x14ac:dyDescent="0.2">
      <c r="A329" t="s">
        <v>421</v>
      </c>
      <c r="B329" t="str">
        <f>IF(O329&lt;&gt;"",O329,_xlfn.XLOOKUP(A329,AI_NAMES!C:C,AI_NAMES!D:D,"",0))</f>
        <v>DelayLoop1a_AI_TBC</v>
      </c>
      <c r="E329" t="str">
        <f t="shared" si="34"/>
        <v/>
      </c>
      <c r="G329" s="5" t="str">
        <f t="shared" ref="G329:G392" si="35">IF(F329&lt;&gt;"",HEX2DEC(SUBSTITUTE(SUBSTITUTE(F329,"adrEA",""),"$","")),"")</f>
        <v/>
      </c>
      <c r="I329" s="6" t="str">
        <f t="shared" si="33"/>
        <v>0</v>
      </c>
      <c r="O329" t="s">
        <v>321</v>
      </c>
      <c r="P329">
        <f>IF(C329&lt;&gt;"",C329,_xlfn.XLOOKUP(B329,AI_NAMES!D:D,AI_NAMES!E:E,"",0))</f>
        <v>0</v>
      </c>
    </row>
    <row r="330" spans="1:16" x14ac:dyDescent="0.2">
      <c r="A330" t="s">
        <v>422</v>
      </c>
      <c r="B330" t="str">
        <f>IF(O330&lt;&gt;"",O330,_xlfn.XLOOKUP(A330,AI_NAMES!C:C,AI_NAMES!D:D,"",0))</f>
        <v>DBFWait1b</v>
      </c>
      <c r="E330" t="str">
        <f t="shared" si="34"/>
        <v/>
      </c>
      <c r="G330" s="5" t="str">
        <f t="shared" si="35"/>
        <v/>
      </c>
      <c r="I330" s="6" t="str">
        <f t="shared" si="33"/>
        <v>0</v>
      </c>
      <c r="O330" t="s">
        <v>423</v>
      </c>
      <c r="P330" t="str">
        <f>IF(C330&lt;&gt;"",C330,_xlfn.XLOOKUP(B330,AI_NAMES!D:D,AI_NAMES!E:E,"",0))</f>
        <v/>
      </c>
    </row>
    <row r="331" spans="1:16" x14ac:dyDescent="0.2">
      <c r="A331" t="s">
        <v>424</v>
      </c>
      <c r="B331" t="str">
        <f>IF(O331&lt;&gt;"",O331,_xlfn.XLOOKUP(A331,AI_NAMES!C:C,AI_NAMES!D:D,"",0))</f>
        <v>DBFWait1c</v>
      </c>
      <c r="E331" t="str">
        <f t="shared" si="34"/>
        <v/>
      </c>
      <c r="G331" s="5" t="str">
        <f t="shared" si="35"/>
        <v/>
      </c>
      <c r="I331" s="6" t="str">
        <f t="shared" si="33"/>
        <v>0</v>
      </c>
      <c r="O331" t="s">
        <v>425</v>
      </c>
      <c r="P331" t="str">
        <f>IF(C331&lt;&gt;"",C331,_xlfn.XLOOKUP(B331,AI_NAMES!D:D,AI_NAMES!E:E,"",0))</f>
        <v/>
      </c>
    </row>
    <row r="332" spans="1:16" x14ac:dyDescent="0.2">
      <c r="A332" t="s">
        <v>426</v>
      </c>
      <c r="B332" t="str">
        <f>IF(O332&lt;&gt;"",O332,_xlfn.XLOOKUP(A332,AI_NAMES!C:C,AI_NAMES!D:D,"",0))</f>
        <v>RelocateTraps_AI_TBC</v>
      </c>
      <c r="E332" t="str">
        <f t="shared" si="34"/>
        <v/>
      </c>
      <c r="G332" s="5" t="str">
        <f t="shared" si="35"/>
        <v/>
      </c>
      <c r="I332" s="6" t="str">
        <f t="shared" si="33"/>
        <v>0</v>
      </c>
      <c r="O332" t="s">
        <v>321</v>
      </c>
      <c r="P332">
        <f>IF(C332&lt;&gt;"",C332,_xlfn.XLOOKUP(B332,AI_NAMES!D:D,AI_NAMES!E:E,"",0))</f>
        <v>0</v>
      </c>
    </row>
    <row r="333" spans="1:16" x14ac:dyDescent="0.2">
      <c r="A333" t="s">
        <v>427</v>
      </c>
      <c r="B333" t="str">
        <f>IF(O333&lt;&gt;"",O333,_xlfn.XLOOKUP(A333,AI_NAMES!C:C,AI_NAMES!D:D,"",0))</f>
        <v>Setup_PlayerZOffset_AI_TBC</v>
      </c>
      <c r="E333" t="str">
        <f t="shared" si="34"/>
        <v/>
      </c>
      <c r="G333" s="5" t="str">
        <f t="shared" si="35"/>
        <v/>
      </c>
      <c r="I333" s="6" t="str">
        <f t="shared" si="33"/>
        <v>0</v>
      </c>
      <c r="O333" t="s">
        <v>321</v>
      </c>
      <c r="P333">
        <f>IF(C333&lt;&gt;"",C333,_xlfn.XLOOKUP(B333,AI_NAMES!D:D,AI_NAMES!E:E,"",0))</f>
        <v>0</v>
      </c>
    </row>
    <row r="334" spans="1:16" x14ac:dyDescent="0.2">
      <c r="A334" t="s">
        <v>428</v>
      </c>
      <c r="B334" t="str">
        <f>IF(O334&lt;&gt;"",O334,_xlfn.XLOOKUP(A334,AI_NAMES!C:C,AI_NAMES!D:D,"",0))</f>
        <v>Player_HeightAdjust_AI_TBC</v>
      </c>
      <c r="E334" t="str">
        <f t="shared" si="34"/>
        <v/>
      </c>
      <c r="G334" s="5" t="str">
        <f t="shared" si="35"/>
        <v/>
      </c>
      <c r="I334" s="6" t="str">
        <f t="shared" si="33"/>
        <v>0</v>
      </c>
      <c r="O334" t="s">
        <v>321</v>
      </c>
      <c r="P334">
        <f>IF(C334&lt;&gt;"",C334,_xlfn.XLOOKUP(B334,AI_NAMES!D:D,AI_NAMES!E:E,"",0))</f>
        <v>0</v>
      </c>
    </row>
    <row r="335" spans="1:16" x14ac:dyDescent="0.2">
      <c r="A335" t="s">
        <v>429</v>
      </c>
      <c r="B335" t="str">
        <f>IF(O335&lt;&gt;"",O335,_xlfn.XLOOKUP(A335,AI_NAMES!C:C,AI_NAMES!D:D,"",0))</f>
        <v>Player_HeightCheck_AI_TBC</v>
      </c>
      <c r="E335" t="str">
        <f t="shared" si="34"/>
        <v/>
      </c>
      <c r="G335" s="5" t="str">
        <f t="shared" si="35"/>
        <v/>
      </c>
      <c r="I335" s="6" t="str">
        <f t="shared" si="33"/>
        <v>0</v>
      </c>
      <c r="O335" t="s">
        <v>321</v>
      </c>
      <c r="P335">
        <f>IF(C335&lt;&gt;"",C335,_xlfn.XLOOKUP(B335,AI_NAMES!D:D,AI_NAMES!E:E,"",0))</f>
        <v>0</v>
      </c>
    </row>
    <row r="336" spans="1:16" x14ac:dyDescent="0.2">
      <c r="A336" t="s">
        <v>430</v>
      </c>
      <c r="B336" t="str">
        <f>IF(O336&lt;&gt;"",O336,_xlfn.XLOOKUP(A336,AI_NAMES!C:C,AI_NAMES!D:D,"",0))</f>
        <v>Setup_ScreenFade_AI_TBC</v>
      </c>
      <c r="E336" t="str">
        <f t="shared" si="34"/>
        <v/>
      </c>
      <c r="G336" s="5" t="str">
        <f t="shared" si="35"/>
        <v/>
      </c>
      <c r="I336" s="6" t="str">
        <f t="shared" si="33"/>
        <v>0</v>
      </c>
      <c r="O336" t="s">
        <v>321</v>
      </c>
      <c r="P336">
        <f>IF(C336&lt;&gt;"",C336,_xlfn.XLOOKUP(B336,AI_NAMES!D:D,AI_NAMES!E:E,"",0))</f>
        <v>0</v>
      </c>
    </row>
    <row r="337" spans="1:16" x14ac:dyDescent="0.2">
      <c r="A337" t="s">
        <v>431</v>
      </c>
      <c r="B337" t="str">
        <f>IF(O337&lt;&gt;"",O337,_xlfn.XLOOKUP(A337,AI_NAMES!C:C,AI_NAMES!D:D,"",0))</f>
        <v>ScreenFade_Control_AI_TBC</v>
      </c>
      <c r="E337" t="str">
        <f t="shared" si="34"/>
        <v/>
      </c>
      <c r="G337" s="5" t="str">
        <f t="shared" si="35"/>
        <v/>
      </c>
      <c r="I337" s="6" t="str">
        <f t="shared" si="33"/>
        <v>0</v>
      </c>
      <c r="O337" t="s">
        <v>321</v>
      </c>
      <c r="P337">
        <f>IF(C337&lt;&gt;"",C337,_xlfn.XLOOKUP(B337,AI_NAMES!D:D,AI_NAMES!E:E,"",0))</f>
        <v>0</v>
      </c>
    </row>
    <row r="338" spans="1:16" x14ac:dyDescent="0.2">
      <c r="A338" t="s">
        <v>432</v>
      </c>
      <c r="B338" t="str">
        <f>IF(O338&lt;&gt;"",O338,_xlfn.XLOOKUP(A338,AI_NAMES!C:C,AI_NAMES!D:D,"",0))</f>
        <v/>
      </c>
      <c r="E338" t="str">
        <f t="shared" si="34"/>
        <v/>
      </c>
      <c r="G338" s="5" t="str">
        <f t="shared" si="35"/>
        <v/>
      </c>
      <c r="I338" s="6" t="str">
        <f t="shared" si="33"/>
        <v>0</v>
      </c>
      <c r="O338" t="s">
        <v>321</v>
      </c>
      <c r="P338">
        <f>IF(C338&lt;&gt;"",C338,_xlfn.XLOOKUP(B338,AI_NAMES!D:D,AI_NAMES!E:E,"",0))</f>
        <v>0</v>
      </c>
    </row>
    <row r="339" spans="1:16" x14ac:dyDescent="0.2">
      <c r="A339" t="s">
        <v>433</v>
      </c>
      <c r="B339" t="str">
        <f>IF(O339&lt;&gt;"",O339,_xlfn.XLOOKUP(A339,AI_NAMES!C:C,AI_NAMES!D:D,"",0))</f>
        <v/>
      </c>
      <c r="E339" t="str">
        <f t="shared" si="34"/>
        <v/>
      </c>
      <c r="G339" s="5" t="str">
        <f t="shared" si="35"/>
        <v/>
      </c>
      <c r="I339" s="6" t="str">
        <f t="shared" si="33"/>
        <v>0</v>
      </c>
      <c r="O339" t="s">
        <v>321</v>
      </c>
      <c r="P339">
        <f>IF(C339&lt;&gt;"",C339,_xlfn.XLOOKUP(B339,AI_NAMES!D:D,AI_NAMES!E:E,"",0))</f>
        <v>0</v>
      </c>
    </row>
    <row r="340" spans="1:16" x14ac:dyDescent="0.2">
      <c r="A340" t="s">
        <v>434</v>
      </c>
      <c r="B340" t="str">
        <f>IF(O340&lt;&gt;"",O340,_xlfn.XLOOKUP(A340,AI_NAMES!C:C,AI_NAMES!D:D,"",0))</f>
        <v/>
      </c>
      <c r="E340" t="str">
        <f t="shared" si="34"/>
        <v/>
      </c>
      <c r="G340" s="5" t="str">
        <f t="shared" si="35"/>
        <v/>
      </c>
      <c r="I340" s="6" t="str">
        <f t="shared" si="33"/>
        <v>0</v>
      </c>
      <c r="O340" t="s">
        <v>321</v>
      </c>
      <c r="P340">
        <f>IF(C340&lt;&gt;"",C340,_xlfn.XLOOKUP(B340,AI_NAMES!D:D,AI_NAMES!E:E,"",0))</f>
        <v>0</v>
      </c>
    </row>
    <row r="341" spans="1:16" x14ac:dyDescent="0.2">
      <c r="A341" t="s">
        <v>435</v>
      </c>
      <c r="B341" t="str">
        <f>IF(O341&lt;&gt;"",O341,_xlfn.XLOOKUP(A341,AI_NAMES!C:C,AI_NAMES!D:D,"",0))</f>
        <v/>
      </c>
      <c r="E341" t="str">
        <f t="shared" si="34"/>
        <v/>
      </c>
      <c r="G341" s="5" t="str">
        <f t="shared" si="35"/>
        <v/>
      </c>
      <c r="I341" s="6" t="str">
        <f t="shared" si="33"/>
        <v>0</v>
      </c>
      <c r="O341" t="s">
        <v>321</v>
      </c>
      <c r="P341">
        <f>IF(C341&lt;&gt;"",C341,_xlfn.XLOOKUP(B341,AI_NAMES!D:D,AI_NAMES!E:E,"",0))</f>
        <v>0</v>
      </c>
    </row>
    <row r="342" spans="1:16" x14ac:dyDescent="0.2">
      <c r="A342" t="s">
        <v>436</v>
      </c>
      <c r="B342" t="str">
        <f>IF(O342&lt;&gt;"",O342,_xlfn.XLOOKUP(A342,AI_NAMES!C:C,AI_NAMES!D:D,"",0))</f>
        <v/>
      </c>
      <c r="E342" t="str">
        <f t="shared" si="34"/>
        <v/>
      </c>
      <c r="G342" s="5" t="str">
        <f t="shared" si="35"/>
        <v/>
      </c>
      <c r="I342" s="6" t="str">
        <f t="shared" si="33"/>
        <v>0</v>
      </c>
      <c r="O342" t="s">
        <v>321</v>
      </c>
      <c r="P342">
        <f>IF(C342&lt;&gt;"",C342,_xlfn.XLOOKUP(B342,AI_NAMES!D:D,AI_NAMES!E:E,"",0))</f>
        <v>0</v>
      </c>
    </row>
    <row r="343" spans="1:16" x14ac:dyDescent="0.2">
      <c r="A343" t="s">
        <v>437</v>
      </c>
      <c r="B343" t="str">
        <f>IF(O343&lt;&gt;"",O343,_xlfn.XLOOKUP(A343,AI_NAMES!C:C,AI_NAMES!D:D,"",0))</f>
        <v/>
      </c>
      <c r="E343" t="str">
        <f t="shared" si="34"/>
        <v/>
      </c>
      <c r="G343" s="5" t="str">
        <f t="shared" si="35"/>
        <v/>
      </c>
      <c r="I343" s="6" t="str">
        <f t="shared" si="33"/>
        <v>0</v>
      </c>
      <c r="O343" t="s">
        <v>321</v>
      </c>
      <c r="P343">
        <f>IF(C343&lt;&gt;"",C343,_xlfn.XLOOKUP(B343,AI_NAMES!D:D,AI_NAMES!E:E,"",0))</f>
        <v>0</v>
      </c>
    </row>
    <row r="344" spans="1:16" x14ac:dyDescent="0.2">
      <c r="A344" t="s">
        <v>438</v>
      </c>
      <c r="B344" t="str">
        <f>IF(O344&lt;&gt;"",O344,_xlfn.XLOOKUP(A344,AI_NAMES!C:C,AI_NAMES!D:D,"",0))</f>
        <v/>
      </c>
      <c r="E344" t="str">
        <f t="shared" si="34"/>
        <v/>
      </c>
      <c r="G344" s="5" t="str">
        <f t="shared" si="35"/>
        <v/>
      </c>
      <c r="I344" s="6" t="str">
        <f t="shared" si="33"/>
        <v>0</v>
      </c>
      <c r="O344" t="s">
        <v>321</v>
      </c>
      <c r="P344">
        <f>IF(C344&lt;&gt;"",C344,_xlfn.XLOOKUP(B344,AI_NAMES!D:D,AI_NAMES!E:E,"",0))</f>
        <v>0</v>
      </c>
    </row>
    <row r="345" spans="1:16" x14ac:dyDescent="0.2">
      <c r="A345" t="s">
        <v>439</v>
      </c>
      <c r="B345" t="str">
        <f>IF(O345&lt;&gt;"",O345,_xlfn.XLOOKUP(A345,AI_NAMES!C:C,AI_NAMES!D:D,"",0))</f>
        <v>Keyboard_InterruptService_AI_TBC</v>
      </c>
      <c r="E345" t="str">
        <f t="shared" si="34"/>
        <v/>
      </c>
      <c r="G345" s="5" t="str">
        <f t="shared" si="35"/>
        <v/>
      </c>
      <c r="I345" s="6" t="str">
        <f t="shared" si="33"/>
        <v>0</v>
      </c>
      <c r="O345" t="s">
        <v>321</v>
      </c>
      <c r="P345">
        <f>IF(C345&lt;&gt;"",C345,_xlfn.XLOOKUP(B345,AI_NAMES!D:D,AI_NAMES!E:E,"",0))</f>
        <v>0</v>
      </c>
    </row>
    <row r="346" spans="1:16" x14ac:dyDescent="0.2">
      <c r="A346" t="s">
        <v>440</v>
      </c>
      <c r="B346" t="str">
        <f>IF(O346&lt;&gt;"",O346,_xlfn.XLOOKUP(A346,AI_NAMES!C:C,AI_NAMES!D:D,"",0))</f>
        <v>CheckKeyboard_InputLoop_AI_TBC</v>
      </c>
      <c r="E346" t="str">
        <f t="shared" si="34"/>
        <v/>
      </c>
      <c r="G346" s="5" t="str">
        <f t="shared" si="35"/>
        <v/>
      </c>
      <c r="I346" s="6" t="str">
        <f t="shared" si="33"/>
        <v>0</v>
      </c>
      <c r="O346" t="s">
        <v>321</v>
      </c>
      <c r="P346">
        <f>IF(C346&lt;&gt;"",C346,_xlfn.XLOOKUP(B346,AI_NAMES!D:D,AI_NAMES!E:E,"",0))</f>
        <v>0</v>
      </c>
    </row>
    <row r="347" spans="1:16" x14ac:dyDescent="0.2">
      <c r="A347" t="s">
        <v>441</v>
      </c>
      <c r="B347" t="str">
        <f>IF(O347&lt;&gt;"",O347,_xlfn.XLOOKUP(A347,AI_NAMES!C:C,AI_NAMES!D:D,"",0))</f>
        <v>ProcessKeyCode_AI_TBC</v>
      </c>
      <c r="E347" t="str">
        <f t="shared" si="34"/>
        <v/>
      </c>
      <c r="G347" s="5" t="str">
        <f t="shared" si="35"/>
        <v/>
      </c>
      <c r="I347" s="6" t="str">
        <f t="shared" si="33"/>
        <v>0</v>
      </c>
      <c r="O347" t="s">
        <v>321</v>
      </c>
      <c r="P347">
        <f>IF(C347&lt;&gt;"",C347,_xlfn.XLOOKUP(B347,AI_NAMES!D:D,AI_NAMES!E:E,"",0))</f>
        <v>0</v>
      </c>
    </row>
    <row r="348" spans="1:16" x14ac:dyDescent="0.2">
      <c r="A348" t="s">
        <v>442</v>
      </c>
      <c r="B348" t="str">
        <f>IF(O348&lt;&gt;"",O348,_xlfn.XLOOKUP(A348,AI_NAMES!C:C,AI_NAMES!D:D,"",0))</f>
        <v/>
      </c>
      <c r="E348" t="str">
        <f t="shared" si="34"/>
        <v/>
      </c>
      <c r="G348" s="5" t="str">
        <f t="shared" si="35"/>
        <v/>
      </c>
      <c r="I348" s="6" t="str">
        <f t="shared" si="33"/>
        <v>0</v>
      </c>
      <c r="O348" t="s">
        <v>321</v>
      </c>
      <c r="P348">
        <f>IF(C348&lt;&gt;"",C348,_xlfn.XLOOKUP(B348,AI_NAMES!D:D,AI_NAMES!E:E,"",0))</f>
        <v>0</v>
      </c>
    </row>
    <row r="349" spans="1:16" x14ac:dyDescent="0.2">
      <c r="A349" t="s">
        <v>443</v>
      </c>
      <c r="B349" t="str">
        <f>IF(O349&lt;&gt;"",O349,_xlfn.XLOOKUP(A349,AI_NAMES!C:C,AI_NAMES!D:D,"",0))</f>
        <v/>
      </c>
      <c r="E349" t="str">
        <f t="shared" si="34"/>
        <v/>
      </c>
      <c r="G349" s="5" t="str">
        <f t="shared" si="35"/>
        <v/>
      </c>
      <c r="I349" s="6" t="str">
        <f t="shared" si="33"/>
        <v>0</v>
      </c>
      <c r="O349" t="s">
        <v>321</v>
      </c>
      <c r="P349">
        <f>IF(C349&lt;&gt;"",C349,_xlfn.XLOOKUP(B349,AI_NAMES!D:D,AI_NAMES!E:E,"",0))</f>
        <v>0</v>
      </c>
    </row>
    <row r="350" spans="1:16" x14ac:dyDescent="0.2">
      <c r="A350" t="s">
        <v>444</v>
      </c>
      <c r="B350" t="str">
        <f>IF(O350&lt;&gt;"",O350,_xlfn.XLOOKUP(A350,AI_NAMES!C:C,AI_NAMES!D:D,"",0))</f>
        <v/>
      </c>
      <c r="E350" t="str">
        <f t="shared" si="34"/>
        <v/>
      </c>
      <c r="G350" s="5" t="str">
        <f t="shared" si="35"/>
        <v/>
      </c>
      <c r="I350" s="6" t="str">
        <f t="shared" si="33"/>
        <v>0</v>
      </c>
      <c r="O350" t="s">
        <v>321</v>
      </c>
      <c r="P350">
        <f>IF(C350&lt;&gt;"",C350,_xlfn.XLOOKUP(B350,AI_NAMES!D:D,AI_NAMES!E:E,"",0))</f>
        <v>0</v>
      </c>
    </row>
    <row r="351" spans="1:16" x14ac:dyDescent="0.2">
      <c r="A351" t="s">
        <v>445</v>
      </c>
      <c r="B351" t="str">
        <f>IF(O351&lt;&gt;"",O351,_xlfn.XLOOKUP(A351,AI_NAMES!C:C,AI_NAMES!D:D,"",0))</f>
        <v>RandomWalk_Init_AI_TBC</v>
      </c>
      <c r="E351" t="str">
        <f t="shared" si="34"/>
        <v/>
      </c>
      <c r="G351" s="5" t="str">
        <f t="shared" si="35"/>
        <v/>
      </c>
      <c r="I351" s="6" t="str">
        <f t="shared" si="33"/>
        <v>0</v>
      </c>
      <c r="O351" t="s">
        <v>321</v>
      </c>
      <c r="P351">
        <f>IF(C351&lt;&gt;"",C351,_xlfn.XLOOKUP(B351,AI_NAMES!D:D,AI_NAMES!E:E,"",0))</f>
        <v>0</v>
      </c>
    </row>
    <row r="352" spans="1:16" x14ac:dyDescent="0.2">
      <c r="A352" t="s">
        <v>446</v>
      </c>
      <c r="B352" t="str">
        <f>IF(O352&lt;&gt;"",O352,_xlfn.XLOOKUP(A352,AI_NAMES!C:C,AI_NAMES!D:D,"",0))</f>
        <v/>
      </c>
      <c r="E352" t="str">
        <f t="shared" si="34"/>
        <v/>
      </c>
      <c r="G352" s="5" t="str">
        <f t="shared" si="35"/>
        <v/>
      </c>
      <c r="I352" s="6" t="str">
        <f t="shared" si="33"/>
        <v>0</v>
      </c>
      <c r="O352" t="s">
        <v>321</v>
      </c>
      <c r="P352">
        <f>IF(C352&lt;&gt;"",C352,_xlfn.XLOOKUP(B352,AI_NAMES!D:D,AI_NAMES!E:E,"",0))</f>
        <v>0</v>
      </c>
    </row>
    <row r="353" spans="1:16" x14ac:dyDescent="0.2">
      <c r="A353" t="s">
        <v>447</v>
      </c>
      <c r="B353" t="str">
        <f>IF(O353&lt;&gt;"",O353,_xlfn.XLOOKUP(A353,AI_NAMES!C:C,AI_NAMES!D:D,"",0))</f>
        <v>RandomWalk_NormalReturn_AI_TBC</v>
      </c>
      <c r="E353" t="str">
        <f t="shared" si="34"/>
        <v/>
      </c>
      <c r="G353" s="5" t="str">
        <f t="shared" si="35"/>
        <v/>
      </c>
      <c r="I353" s="6" t="str">
        <f t="shared" si="33"/>
        <v>0</v>
      </c>
      <c r="O353" t="s">
        <v>321</v>
      </c>
      <c r="P353">
        <f>IF(C353&lt;&gt;"",C353,_xlfn.XLOOKUP(B353,AI_NAMES!D:D,AI_NAMES!E:E,"",0))</f>
        <v>0</v>
      </c>
    </row>
    <row r="354" spans="1:16" x14ac:dyDescent="0.2">
      <c r="A354" t="s">
        <v>448</v>
      </c>
      <c r="B354" t="str">
        <f>IF(O354&lt;&gt;"",O354,_xlfn.XLOOKUP(A354,AI_NAMES!C:C,AI_NAMES!D:D,"",0))</f>
        <v/>
      </c>
      <c r="E354" t="str">
        <f t="shared" si="34"/>
        <v/>
      </c>
      <c r="G354" s="5" t="str">
        <f t="shared" si="35"/>
        <v/>
      </c>
      <c r="I354" s="6" t="str">
        <f t="shared" si="33"/>
        <v>0</v>
      </c>
      <c r="O354" t="s">
        <v>321</v>
      </c>
      <c r="P354">
        <f>IF(C354&lt;&gt;"",C354,_xlfn.XLOOKUP(B354,AI_NAMES!D:D,AI_NAMES!E:E,"",0))</f>
        <v>0</v>
      </c>
    </row>
    <row r="355" spans="1:16" x14ac:dyDescent="0.2">
      <c r="A355" t="s">
        <v>449</v>
      </c>
      <c r="B355" t="str">
        <f>IF(O355&lt;&gt;"",O355,_xlfn.XLOOKUP(A355,AI_NAMES!C:C,AI_NAMES!D:D,"",0))</f>
        <v/>
      </c>
      <c r="E355" t="str">
        <f t="shared" si="34"/>
        <v/>
      </c>
      <c r="G355" s="5" t="str">
        <f t="shared" si="35"/>
        <v/>
      </c>
      <c r="I355" s="6" t="str">
        <f t="shared" si="33"/>
        <v>0</v>
      </c>
      <c r="O355" t="s">
        <v>321</v>
      </c>
      <c r="P355">
        <f>IF(C355&lt;&gt;"",C355,_xlfn.XLOOKUP(B355,AI_NAMES!D:D,AI_NAMES!E:E,"",0))</f>
        <v>0</v>
      </c>
    </row>
    <row r="356" spans="1:16" x14ac:dyDescent="0.2">
      <c r="A356" t="s">
        <v>450</v>
      </c>
      <c r="B356" t="str">
        <f>IF(O356&lt;&gt;"",O356,_xlfn.XLOOKUP(A356,AI_NAMES!C:C,AI_NAMES!D:D,"",0))</f>
        <v/>
      </c>
      <c r="E356" t="str">
        <f t="shared" si="34"/>
        <v/>
      </c>
      <c r="G356" s="5" t="str">
        <f t="shared" si="35"/>
        <v/>
      </c>
      <c r="I356" s="6" t="str">
        <f t="shared" si="33"/>
        <v>0</v>
      </c>
      <c r="O356" t="s">
        <v>321</v>
      </c>
      <c r="P356">
        <f>IF(C356&lt;&gt;"",C356,_xlfn.XLOOKUP(B356,AI_NAMES!D:D,AI_NAMES!E:E,"",0))</f>
        <v>0</v>
      </c>
    </row>
    <row r="357" spans="1:16" x14ac:dyDescent="0.2">
      <c r="A357" t="s">
        <v>451</v>
      </c>
      <c r="B357" t="str">
        <f>IF(O357&lt;&gt;"",O357,_xlfn.XLOOKUP(A357,AI_NAMES!C:C,AI_NAMES!D:D,"",0))</f>
        <v>Stat_UpdateLoop_AI_TBC</v>
      </c>
      <c r="E357" t="str">
        <f t="shared" si="34"/>
        <v/>
      </c>
      <c r="G357" s="5" t="str">
        <f t="shared" si="35"/>
        <v/>
      </c>
      <c r="I357" s="6" t="str">
        <f t="shared" si="33"/>
        <v>0</v>
      </c>
      <c r="O357" t="s">
        <v>321</v>
      </c>
      <c r="P357">
        <f>IF(C357&lt;&gt;"",C357,_xlfn.XLOOKUP(B357,AI_NAMES!D:D,AI_NAMES!E:E,"",0))</f>
        <v>0</v>
      </c>
    </row>
    <row r="358" spans="1:16" x14ac:dyDescent="0.2">
      <c r="A358" t="s">
        <v>452</v>
      </c>
      <c r="B358" t="str">
        <f>IF(O358&lt;&gt;"",O358,_xlfn.XLOOKUP(A358,AI_NAMES!C:C,AI_NAMES!D:D,"",0))</f>
        <v/>
      </c>
      <c r="E358" t="str">
        <f t="shared" si="34"/>
        <v/>
      </c>
      <c r="G358" s="5" t="str">
        <f t="shared" si="35"/>
        <v/>
      </c>
      <c r="I358" s="6" t="str">
        <f t="shared" si="33"/>
        <v>0</v>
      </c>
      <c r="O358" t="s">
        <v>321</v>
      </c>
      <c r="P358">
        <f>IF(C358&lt;&gt;"",C358,_xlfn.XLOOKUP(B358,AI_NAMES!D:D,AI_NAMES!E:E,"",0))</f>
        <v>0</v>
      </c>
    </row>
    <row r="359" spans="1:16" x14ac:dyDescent="0.2">
      <c r="A359" t="s">
        <v>453</v>
      </c>
      <c r="B359" t="str">
        <f>IF(O359&lt;&gt;"",O359,_xlfn.XLOOKUP(A359,AI_NAMES!C:C,AI_NAMES!D:D,"",0))</f>
        <v>ChampionFlag_Reset_AI_TBC</v>
      </c>
      <c r="E359" t="str">
        <f t="shared" si="34"/>
        <v/>
      </c>
      <c r="G359" s="5" t="str">
        <f t="shared" si="35"/>
        <v/>
      </c>
      <c r="I359" s="6" t="str">
        <f t="shared" si="33"/>
        <v>0</v>
      </c>
      <c r="O359" t="s">
        <v>321</v>
      </c>
      <c r="P359">
        <f>IF(C359&lt;&gt;"",C359,_xlfn.XLOOKUP(B359,AI_NAMES!D:D,AI_NAMES!E:E,"",0))</f>
        <v>0</v>
      </c>
    </row>
    <row r="360" spans="1:16" x14ac:dyDescent="0.2">
      <c r="A360" t="s">
        <v>454</v>
      </c>
      <c r="B360" t="str">
        <f>IF(O360&lt;&gt;"",O360,_xlfn.XLOOKUP(A360,AI_NAMES!C:C,AI_NAMES!D:D,"",0))</f>
        <v>ChampionFlag_Test_AI_TBC</v>
      </c>
      <c r="E360" t="str">
        <f t="shared" si="34"/>
        <v/>
      </c>
      <c r="G360" s="5" t="str">
        <f t="shared" si="35"/>
        <v/>
      </c>
      <c r="I360" s="6" t="str">
        <f t="shared" si="33"/>
        <v>0</v>
      </c>
      <c r="O360" t="s">
        <v>321</v>
      </c>
      <c r="P360">
        <f>IF(C360&lt;&gt;"",C360,_xlfn.XLOOKUP(B360,AI_NAMES!D:D,AI_NAMES!E:E,"",0))</f>
        <v>0</v>
      </c>
    </row>
    <row r="361" spans="1:16" x14ac:dyDescent="0.2">
      <c r="A361" t="s">
        <v>455</v>
      </c>
      <c r="B361" t="str">
        <f>IF(O361&lt;&gt;"",O361,_xlfn.XLOOKUP(A361,AI_NAMES!C:C,AI_NAMES!D:D,"",0))</f>
        <v/>
      </c>
      <c r="E361" t="str">
        <f t="shared" si="34"/>
        <v/>
      </c>
      <c r="G361" s="5" t="str">
        <f t="shared" si="35"/>
        <v/>
      </c>
      <c r="I361" s="6" t="str">
        <f t="shared" si="33"/>
        <v>0</v>
      </c>
      <c r="O361" t="s">
        <v>321</v>
      </c>
      <c r="P361">
        <f>IF(C361&lt;&gt;"",C361,_xlfn.XLOOKUP(B361,AI_NAMES!D:D,AI_NAMES!E:E,"",0))</f>
        <v>0</v>
      </c>
    </row>
    <row r="362" spans="1:16" x14ac:dyDescent="0.2">
      <c r="A362" t="s">
        <v>456</v>
      </c>
      <c r="B362" t="str">
        <f>IF(O362&lt;&gt;"",O362,_xlfn.XLOOKUP(A362,AI_NAMES!C:C,AI_NAMES!D:D,"",0))</f>
        <v>TeamAvatar_UpdateLoop_AI_TBC</v>
      </c>
      <c r="E362" t="str">
        <f t="shared" si="34"/>
        <v/>
      </c>
      <c r="G362" s="5" t="str">
        <f t="shared" si="35"/>
        <v/>
      </c>
      <c r="I362" s="6" t="str">
        <f t="shared" si="33"/>
        <v>0</v>
      </c>
      <c r="O362" t="s">
        <v>321</v>
      </c>
      <c r="P362">
        <f>IF(C362&lt;&gt;"",C362,_xlfn.XLOOKUP(B362,AI_NAMES!D:D,AI_NAMES!E:E,"",0))</f>
        <v>0</v>
      </c>
    </row>
    <row r="363" spans="1:16" x14ac:dyDescent="0.2">
      <c r="A363" t="s">
        <v>457</v>
      </c>
      <c r="B363" t="str">
        <f>IF(O363&lt;&gt;"",O363,_xlfn.XLOOKUP(A363,AI_NAMES!C:C,AI_NAMES!D:D,"",0))</f>
        <v/>
      </c>
      <c r="E363" t="str">
        <f t="shared" si="34"/>
        <v/>
      </c>
      <c r="G363" s="5" t="str">
        <f t="shared" si="35"/>
        <v/>
      </c>
      <c r="I363" s="6" t="str">
        <f t="shared" si="33"/>
        <v>0</v>
      </c>
      <c r="O363" t="s">
        <v>321</v>
      </c>
      <c r="P363">
        <f>IF(C363&lt;&gt;"",C363,_xlfn.XLOOKUP(B363,AI_NAMES!D:D,AI_NAMES!E:E,"",0))</f>
        <v>0</v>
      </c>
    </row>
    <row r="364" spans="1:16" x14ac:dyDescent="0.2">
      <c r="A364" t="s">
        <v>458</v>
      </c>
      <c r="B364" t="str">
        <f>IF(O364&lt;&gt;"",O364,_xlfn.XLOOKUP(A364,AI_NAMES!C:C,AI_NAMES!D:D,"",0))</f>
        <v>TriggerState_Reset_AI_TBC</v>
      </c>
      <c r="E364" t="str">
        <f t="shared" si="34"/>
        <v/>
      </c>
      <c r="G364" s="5" t="str">
        <f t="shared" si="35"/>
        <v/>
      </c>
      <c r="I364" s="6" t="str">
        <f t="shared" si="33"/>
        <v>0</v>
      </c>
      <c r="O364" t="s">
        <v>321</v>
      </c>
      <c r="P364">
        <f>IF(C364&lt;&gt;"",C364,_xlfn.XLOOKUP(B364,AI_NAMES!D:D,AI_NAMES!E:E,"",0))</f>
        <v>0</v>
      </c>
    </row>
    <row r="365" spans="1:16" x14ac:dyDescent="0.2">
      <c r="A365" t="s">
        <v>459</v>
      </c>
      <c r="B365" t="str">
        <f>IF(O365&lt;&gt;"",O365,_xlfn.XLOOKUP(A365,AI_NAMES!C:C,AI_NAMES!D:D,"",0))</f>
        <v/>
      </c>
      <c r="E365" t="str">
        <f t="shared" si="34"/>
        <v/>
      </c>
      <c r="G365" s="5" t="str">
        <f t="shared" si="35"/>
        <v/>
      </c>
      <c r="I365" s="6" t="str">
        <f t="shared" si="33"/>
        <v>0</v>
      </c>
      <c r="O365" t="s">
        <v>321</v>
      </c>
      <c r="P365">
        <f>IF(C365&lt;&gt;"",C365,_xlfn.XLOOKUP(B365,AI_NAMES!D:D,AI_NAMES!E:E,"",0))</f>
        <v>0</v>
      </c>
    </row>
    <row r="366" spans="1:16" x14ac:dyDescent="0.2">
      <c r="A366" t="s">
        <v>460</v>
      </c>
      <c r="B366" t="str">
        <f>IF(O366&lt;&gt;"",O366,_xlfn.XLOOKUP(A366,AI_NAMES!C:C,AI_NAMES!D:D,"",0))</f>
        <v>TriggerState_Check_AI_TBC</v>
      </c>
      <c r="E366" t="str">
        <f t="shared" si="34"/>
        <v/>
      </c>
      <c r="G366" s="5" t="str">
        <f t="shared" si="35"/>
        <v/>
      </c>
      <c r="I366" s="6" t="str">
        <f t="shared" si="33"/>
        <v>0</v>
      </c>
      <c r="O366" t="s">
        <v>321</v>
      </c>
      <c r="P366">
        <f>IF(C366&lt;&gt;"",C366,_xlfn.XLOOKUP(B366,AI_NAMES!D:D,AI_NAMES!E:E,"",0))</f>
        <v>0</v>
      </c>
    </row>
    <row r="367" spans="1:16" x14ac:dyDescent="0.2">
      <c r="A367" t="s">
        <v>461</v>
      </c>
      <c r="B367" t="str">
        <f>IF(O367&lt;&gt;"",O367,_xlfn.XLOOKUP(A367,AI_NAMES!C:C,AI_NAMES!D:D,"",0))</f>
        <v>FloorTrigger_Handler_AI_TBC</v>
      </c>
      <c r="E367" t="str">
        <f t="shared" si="34"/>
        <v/>
      </c>
      <c r="G367" s="5" t="str">
        <f t="shared" si="35"/>
        <v/>
      </c>
      <c r="I367" s="6" t="str">
        <f t="shared" si="33"/>
        <v>0</v>
      </c>
      <c r="O367" t="s">
        <v>321</v>
      </c>
      <c r="P367">
        <f>IF(C367&lt;&gt;"",C367,_xlfn.XLOOKUP(B367,AI_NAMES!D:D,AI_NAMES!E:E,"",0))</f>
        <v>0</v>
      </c>
    </row>
    <row r="368" spans="1:16" x14ac:dyDescent="0.2">
      <c r="A368" t="s">
        <v>462</v>
      </c>
      <c r="B368" t="str">
        <f>IF(O368&lt;&gt;"",O368,_xlfn.XLOOKUP(A368,AI_NAMES!C:C,AI_NAMES!D:D,"",0))</f>
        <v/>
      </c>
      <c r="E368" t="str">
        <f t="shared" si="34"/>
        <v/>
      </c>
      <c r="G368" s="5" t="str">
        <f t="shared" si="35"/>
        <v/>
      </c>
      <c r="I368" s="6" t="str">
        <f t="shared" si="33"/>
        <v>0</v>
      </c>
      <c r="O368" t="s">
        <v>321</v>
      </c>
      <c r="P368">
        <f>IF(C368&lt;&gt;"",C368,_xlfn.XLOOKUP(B368,AI_NAMES!D:D,AI_NAMES!E:E,"",0))</f>
        <v>0</v>
      </c>
    </row>
    <row r="369" spans="1:16" x14ac:dyDescent="0.2">
      <c r="A369" t="s">
        <v>463</v>
      </c>
      <c r="B369" t="str">
        <f>IF(O369&lt;&gt;"",O369,_xlfn.XLOOKUP(A369,AI_NAMES!C:C,AI_NAMES!D:D,"",0))</f>
        <v/>
      </c>
      <c r="E369" t="str">
        <f t="shared" si="34"/>
        <v/>
      </c>
      <c r="G369" s="5" t="str">
        <f t="shared" si="35"/>
        <v/>
      </c>
      <c r="I369" s="6" t="str">
        <f t="shared" si="33"/>
        <v>0</v>
      </c>
      <c r="O369" t="s">
        <v>321</v>
      </c>
      <c r="P369">
        <f>IF(C369&lt;&gt;"",C369,_xlfn.XLOOKUP(B369,AI_NAMES!D:D,AI_NAMES!E:E,"",0))</f>
        <v>0</v>
      </c>
    </row>
    <row r="370" spans="1:16" x14ac:dyDescent="0.2">
      <c r="A370" t="s">
        <v>464</v>
      </c>
      <c r="B370" t="str">
        <f>IF(O370&lt;&gt;"",O370,_xlfn.XLOOKUP(A370,AI_NAMES!C:C,AI_NAMES!D:D,"",0))</f>
        <v/>
      </c>
      <c r="E370" t="str">
        <f t="shared" si="34"/>
        <v/>
      </c>
      <c r="G370" s="5" t="str">
        <f t="shared" si="35"/>
        <v/>
      </c>
      <c r="I370" s="6" t="str">
        <f t="shared" si="33"/>
        <v>0</v>
      </c>
      <c r="O370" t="s">
        <v>321</v>
      </c>
      <c r="P370">
        <f>IF(C370&lt;&gt;"",C370,_xlfn.XLOOKUP(B370,AI_NAMES!D:D,AI_NAMES!E:E,"",0))</f>
        <v>0</v>
      </c>
    </row>
    <row r="371" spans="1:16" x14ac:dyDescent="0.2">
      <c r="A371" t="s">
        <v>465</v>
      </c>
      <c r="B371" t="str">
        <f>IF(O371&lt;&gt;"",O371,_xlfn.XLOOKUP(A371,AI_NAMES!C:C,AI_NAMES!D:D,"",0))</f>
        <v/>
      </c>
      <c r="E371" t="str">
        <f t="shared" si="34"/>
        <v/>
      </c>
      <c r="G371" s="5" t="str">
        <f t="shared" si="35"/>
        <v/>
      </c>
      <c r="I371" s="6" t="str">
        <f t="shared" si="33"/>
        <v>0</v>
      </c>
      <c r="O371" t="s">
        <v>321</v>
      </c>
      <c r="P371">
        <f>IF(C371&lt;&gt;"",C371,_xlfn.XLOOKUP(B371,AI_NAMES!D:D,AI_NAMES!E:E,"",0))</f>
        <v>0</v>
      </c>
    </row>
    <row r="372" spans="1:16" x14ac:dyDescent="0.2">
      <c r="A372" t="s">
        <v>466</v>
      </c>
      <c r="B372" t="str">
        <f>IF(O372&lt;&gt;"",O372,_xlfn.XLOOKUP(A372,AI_NAMES!C:C,AI_NAMES!D:D,"",0))</f>
        <v/>
      </c>
      <c r="E372" t="str">
        <f t="shared" si="34"/>
        <v/>
      </c>
      <c r="G372" s="5" t="str">
        <f t="shared" si="35"/>
        <v/>
      </c>
      <c r="I372" s="6" t="str">
        <f t="shared" si="33"/>
        <v>0</v>
      </c>
      <c r="O372" t="s">
        <v>321</v>
      </c>
      <c r="P372">
        <f>IF(C372&lt;&gt;"",C372,_xlfn.XLOOKUP(B372,AI_NAMES!D:D,AI_NAMES!E:E,"",0))</f>
        <v>0</v>
      </c>
    </row>
    <row r="373" spans="1:16" x14ac:dyDescent="0.2">
      <c r="A373" t="s">
        <v>467</v>
      </c>
      <c r="B373" t="str">
        <f>IF(O373&lt;&gt;"",O373,_xlfn.XLOOKUP(A373,AI_NAMES!C:C,AI_NAMES!D:D,"",0))</f>
        <v/>
      </c>
      <c r="E373" t="str">
        <f t="shared" si="34"/>
        <v/>
      </c>
      <c r="G373" s="5" t="str">
        <f t="shared" si="35"/>
        <v/>
      </c>
      <c r="I373" s="6" t="str">
        <f t="shared" si="33"/>
        <v>0</v>
      </c>
      <c r="O373" t="s">
        <v>321</v>
      </c>
      <c r="P373">
        <f>IF(C373&lt;&gt;"",C373,_xlfn.XLOOKUP(B373,AI_NAMES!D:D,AI_NAMES!E:E,"",0))</f>
        <v>0</v>
      </c>
    </row>
    <row r="374" spans="1:16" x14ac:dyDescent="0.2">
      <c r="A374" t="s">
        <v>468</v>
      </c>
      <c r="B374" t="str">
        <f>IF(O374&lt;&gt;"",O374,_xlfn.XLOOKUP(A374,AI_NAMES!C:C,AI_NAMES!D:D,"",0))</f>
        <v/>
      </c>
      <c r="E374" t="str">
        <f t="shared" si="34"/>
        <v/>
      </c>
      <c r="G374" s="5" t="str">
        <f t="shared" si="35"/>
        <v/>
      </c>
      <c r="I374" s="6" t="str">
        <f t="shared" si="33"/>
        <v>0</v>
      </c>
      <c r="O374" t="s">
        <v>321</v>
      </c>
      <c r="P374">
        <f>IF(C374&lt;&gt;"",C374,_xlfn.XLOOKUP(B374,AI_NAMES!D:D,AI_NAMES!E:E,"",0))</f>
        <v>0</v>
      </c>
    </row>
    <row r="375" spans="1:16" x14ac:dyDescent="0.2">
      <c r="A375" t="s">
        <v>469</v>
      </c>
      <c r="B375" t="str">
        <f>IF(O375&lt;&gt;"",O375,_xlfn.XLOOKUP(A375,AI_NAMES!C:C,AI_NAMES!D:D,"",0))</f>
        <v/>
      </c>
      <c r="E375" t="str">
        <f t="shared" si="34"/>
        <v/>
      </c>
      <c r="G375" s="5" t="str">
        <f t="shared" si="35"/>
        <v/>
      </c>
      <c r="I375" s="6" t="str">
        <f t="shared" si="33"/>
        <v>0</v>
      </c>
      <c r="O375" t="s">
        <v>321</v>
      </c>
      <c r="P375">
        <f>IF(C375&lt;&gt;"",C375,_xlfn.XLOOKUP(B375,AI_NAMES!D:D,AI_NAMES!E:E,"",0))</f>
        <v>0</v>
      </c>
    </row>
    <row r="376" spans="1:16" x14ac:dyDescent="0.2">
      <c r="A376" t="s">
        <v>470</v>
      </c>
      <c r="B376" t="str">
        <f>IF(O376&lt;&gt;"",O376,_xlfn.XLOOKUP(A376,AI_NAMES!C:C,AI_NAMES!D:D,"",0))</f>
        <v/>
      </c>
      <c r="E376" t="str">
        <f t="shared" si="34"/>
        <v/>
      </c>
      <c r="G376" s="5" t="str">
        <f t="shared" si="35"/>
        <v/>
      </c>
      <c r="I376" s="6" t="str">
        <f t="shared" si="33"/>
        <v>0</v>
      </c>
      <c r="O376" t="s">
        <v>321</v>
      </c>
      <c r="P376">
        <f>IF(C376&lt;&gt;"",C376,_xlfn.XLOOKUP(B376,AI_NAMES!D:D,AI_NAMES!E:E,"",0))</f>
        <v>0</v>
      </c>
    </row>
    <row r="377" spans="1:16" x14ac:dyDescent="0.2">
      <c r="A377" t="s">
        <v>471</v>
      </c>
      <c r="B377" t="str">
        <f>IF(O377&lt;&gt;"",O377,_xlfn.XLOOKUP(A377,AI_NAMES!C:C,AI_NAMES!D:D,"",0))</f>
        <v/>
      </c>
      <c r="E377" t="str">
        <f t="shared" si="34"/>
        <v/>
      </c>
      <c r="G377" s="5" t="str">
        <f t="shared" si="35"/>
        <v/>
      </c>
      <c r="I377" s="6" t="str">
        <f t="shared" si="33"/>
        <v>0</v>
      </c>
      <c r="O377" t="s">
        <v>321</v>
      </c>
      <c r="P377">
        <f>IF(C377&lt;&gt;"",C377,_xlfn.XLOOKUP(B377,AI_NAMES!D:D,AI_NAMES!E:E,"",0))</f>
        <v>0</v>
      </c>
    </row>
    <row r="378" spans="1:16" x14ac:dyDescent="0.2">
      <c r="A378" t="s">
        <v>472</v>
      </c>
      <c r="B378" t="str">
        <f>IF(O378&lt;&gt;"",O378,_xlfn.XLOOKUP(A378,AI_NAMES!C:C,AI_NAMES!D:D,"",0))</f>
        <v/>
      </c>
      <c r="E378" t="str">
        <f t="shared" si="34"/>
        <v/>
      </c>
      <c r="G378" s="5" t="str">
        <f t="shared" si="35"/>
        <v/>
      </c>
      <c r="I378" s="6" t="str">
        <f t="shared" si="33"/>
        <v>0</v>
      </c>
      <c r="O378" t="s">
        <v>321</v>
      </c>
      <c r="P378">
        <f>IF(C378&lt;&gt;"",C378,_xlfn.XLOOKUP(B378,AI_NAMES!D:D,AI_NAMES!E:E,"",0))</f>
        <v>0</v>
      </c>
    </row>
    <row r="379" spans="1:16" x14ac:dyDescent="0.2">
      <c r="A379" t="s">
        <v>473</v>
      </c>
      <c r="B379" t="str">
        <f>IF(O379&lt;&gt;"",O379,_xlfn.XLOOKUP(A379,AI_NAMES!C:C,AI_NAMES!D:D,"",0))</f>
        <v/>
      </c>
      <c r="E379" t="str">
        <f t="shared" si="34"/>
        <v/>
      </c>
      <c r="G379" s="5" t="str">
        <f t="shared" si="35"/>
        <v/>
      </c>
      <c r="I379" s="6" t="str">
        <f t="shared" si="33"/>
        <v>0</v>
      </c>
      <c r="O379" t="s">
        <v>321</v>
      </c>
      <c r="P379">
        <f>IF(C379&lt;&gt;"",C379,_xlfn.XLOOKUP(B379,AI_NAMES!D:D,AI_NAMES!E:E,"",0))</f>
        <v>0</v>
      </c>
    </row>
    <row r="380" spans="1:16" x14ac:dyDescent="0.2">
      <c r="A380" t="s">
        <v>474</v>
      </c>
      <c r="B380" t="str">
        <f>IF(O380&lt;&gt;"",O380,_xlfn.XLOOKUP(A380,AI_NAMES!C:C,AI_NAMES!D:D,"",0))</f>
        <v/>
      </c>
      <c r="E380" t="str">
        <f t="shared" si="34"/>
        <v/>
      </c>
      <c r="G380" s="5" t="str">
        <f t="shared" si="35"/>
        <v/>
      </c>
      <c r="I380" s="6" t="str">
        <f t="shared" si="33"/>
        <v>0</v>
      </c>
      <c r="O380" t="s">
        <v>321</v>
      </c>
      <c r="P380">
        <f>IF(C380&lt;&gt;"",C380,_xlfn.XLOOKUP(B380,AI_NAMES!D:D,AI_NAMES!E:E,"",0))</f>
        <v>0</v>
      </c>
    </row>
    <row r="381" spans="1:16" x14ac:dyDescent="0.2">
      <c r="A381" t="s">
        <v>475</v>
      </c>
      <c r="B381" t="str">
        <f>IF(O381&lt;&gt;"",O381,_xlfn.XLOOKUP(A381,AI_NAMES!C:C,AI_NAMES!D:D,"",0))</f>
        <v/>
      </c>
      <c r="E381" t="str">
        <f t="shared" si="34"/>
        <v/>
      </c>
      <c r="G381" s="5" t="str">
        <f t="shared" si="35"/>
        <v/>
      </c>
      <c r="I381" s="6" t="str">
        <f t="shared" si="33"/>
        <v>0</v>
      </c>
      <c r="O381" t="s">
        <v>321</v>
      </c>
      <c r="P381">
        <f>IF(C381&lt;&gt;"",C381,_xlfn.XLOOKUP(B381,AI_NAMES!D:D,AI_NAMES!E:E,"",0))</f>
        <v>0</v>
      </c>
    </row>
    <row r="382" spans="1:16" x14ac:dyDescent="0.2">
      <c r="A382" t="s">
        <v>476</v>
      </c>
      <c r="B382" t="str">
        <f>IF(O382&lt;&gt;"",O382,_xlfn.XLOOKUP(A382,AI_NAMES!C:C,AI_NAMES!D:D,"",0))</f>
        <v/>
      </c>
      <c r="E382" t="str">
        <f t="shared" si="34"/>
        <v/>
      </c>
      <c r="G382" s="5" t="str">
        <f t="shared" si="35"/>
        <v/>
      </c>
      <c r="I382" s="6" t="str">
        <f t="shared" si="33"/>
        <v>0</v>
      </c>
      <c r="O382" t="s">
        <v>321</v>
      </c>
      <c r="P382">
        <f>IF(C382&lt;&gt;"",C382,_xlfn.XLOOKUP(B382,AI_NAMES!D:D,AI_NAMES!E:E,"",0))</f>
        <v>0</v>
      </c>
    </row>
    <row r="383" spans="1:16" x14ac:dyDescent="0.2">
      <c r="A383" t="s">
        <v>477</v>
      </c>
      <c r="B383" t="str">
        <f>IF(O383&lt;&gt;"",O383,_xlfn.XLOOKUP(A383,AI_NAMES!C:C,AI_NAMES!D:D,"",0))</f>
        <v/>
      </c>
      <c r="E383" t="str">
        <f t="shared" si="34"/>
        <v/>
      </c>
      <c r="G383" s="5" t="str">
        <f t="shared" si="35"/>
        <v/>
      </c>
      <c r="I383" s="6" t="str">
        <f t="shared" si="33"/>
        <v>0</v>
      </c>
      <c r="O383" t="s">
        <v>321</v>
      </c>
      <c r="P383">
        <f>IF(C383&lt;&gt;"",C383,_xlfn.XLOOKUP(B383,AI_NAMES!D:D,AI_NAMES!E:E,"",0))</f>
        <v>0</v>
      </c>
    </row>
    <row r="384" spans="1:16" x14ac:dyDescent="0.2">
      <c r="A384" t="s">
        <v>478</v>
      </c>
      <c r="B384" t="str">
        <f>IF(O384&lt;&gt;"",O384,_xlfn.XLOOKUP(A384,AI_NAMES!C:C,AI_NAMES!D:D,"",0))</f>
        <v/>
      </c>
      <c r="E384" t="str">
        <f t="shared" si="34"/>
        <v/>
      </c>
      <c r="G384" s="5" t="str">
        <f t="shared" si="35"/>
        <v/>
      </c>
      <c r="I384" s="6" t="str">
        <f t="shared" si="33"/>
        <v>0</v>
      </c>
      <c r="O384" t="s">
        <v>321</v>
      </c>
      <c r="P384">
        <f>IF(C384&lt;&gt;"",C384,_xlfn.XLOOKUP(B384,AI_NAMES!D:D,AI_NAMES!E:E,"",0))</f>
        <v>0</v>
      </c>
    </row>
    <row r="385" spans="1:16" x14ac:dyDescent="0.2">
      <c r="A385" t="s">
        <v>479</v>
      </c>
      <c r="B385" t="str">
        <f>IF(O385&lt;&gt;"",O385,_xlfn.XLOOKUP(A385,AI_NAMES!C:C,AI_NAMES!D:D,"",0))</f>
        <v/>
      </c>
      <c r="E385" t="str">
        <f t="shared" si="34"/>
        <v/>
      </c>
      <c r="G385" s="5" t="str">
        <f t="shared" si="35"/>
        <v/>
      </c>
      <c r="I385" s="6" t="str">
        <f t="shared" si="33"/>
        <v>0</v>
      </c>
      <c r="O385" t="s">
        <v>321</v>
      </c>
      <c r="P385">
        <f>IF(C385&lt;&gt;"",C385,_xlfn.XLOOKUP(B385,AI_NAMES!D:D,AI_NAMES!E:E,"",0))</f>
        <v>0</v>
      </c>
    </row>
    <row r="386" spans="1:16" x14ac:dyDescent="0.2">
      <c r="A386" t="s">
        <v>480</v>
      </c>
      <c r="B386" t="str">
        <f>IF(O386&lt;&gt;"",O386,_xlfn.XLOOKUP(A386,AI_NAMES!C:C,AI_NAMES!D:D,"",0))</f>
        <v/>
      </c>
      <c r="E386" t="str">
        <f t="shared" si="34"/>
        <v/>
      </c>
      <c r="G386" s="5" t="str">
        <f t="shared" si="35"/>
        <v/>
      </c>
      <c r="I386" s="6" t="str">
        <f t="shared" si="33"/>
        <v>0</v>
      </c>
      <c r="O386" t="s">
        <v>321</v>
      </c>
      <c r="P386">
        <f>IF(C386&lt;&gt;"",C386,_xlfn.XLOOKUP(B386,AI_NAMES!D:D,AI_NAMES!E:E,"",0))</f>
        <v>0</v>
      </c>
    </row>
    <row r="387" spans="1:16" x14ac:dyDescent="0.2">
      <c r="A387" t="s">
        <v>481</v>
      </c>
      <c r="B387" t="str">
        <f>IF(O387&lt;&gt;"",O387,_xlfn.XLOOKUP(A387,AI_NAMES!C:C,AI_NAMES!D:D,"",0))</f>
        <v/>
      </c>
      <c r="E387" t="str">
        <f t="shared" si="34"/>
        <v/>
      </c>
      <c r="G387" s="5" t="str">
        <f t="shared" si="35"/>
        <v/>
      </c>
      <c r="I387" s="6" t="str">
        <f t="shared" ref="I387:I450" si="36">IFERROR(DEC2HEX(H387),"")</f>
        <v>0</v>
      </c>
      <c r="O387" t="s">
        <v>321</v>
      </c>
      <c r="P387">
        <f>IF(C387&lt;&gt;"",C387,_xlfn.XLOOKUP(B387,AI_NAMES!D:D,AI_NAMES!E:E,"",0))</f>
        <v>0</v>
      </c>
    </row>
    <row r="388" spans="1:16" x14ac:dyDescent="0.2">
      <c r="A388" t="s">
        <v>482</v>
      </c>
      <c r="B388" t="str">
        <f>IF(O388&lt;&gt;"",O388,_xlfn.XLOOKUP(A388,AI_NAMES!C:C,AI_NAMES!D:D,"",0))</f>
        <v/>
      </c>
      <c r="E388" t="str">
        <f t="shared" ref="E388:E451" si="37">IF(D388&lt;&gt;"",C388&amp;"/"&amp;D388,"")</f>
        <v/>
      </c>
      <c r="G388" s="5" t="str">
        <f t="shared" si="35"/>
        <v/>
      </c>
      <c r="I388" s="6" t="str">
        <f t="shared" si="36"/>
        <v>0</v>
      </c>
      <c r="O388" t="s">
        <v>321</v>
      </c>
      <c r="P388">
        <f>IF(C388&lt;&gt;"",C388,_xlfn.XLOOKUP(B388,AI_NAMES!D:D,AI_NAMES!E:E,"",0))</f>
        <v>0</v>
      </c>
    </row>
    <row r="389" spans="1:16" x14ac:dyDescent="0.2">
      <c r="A389" t="s">
        <v>483</v>
      </c>
      <c r="B389" t="str">
        <f>IF(O389&lt;&gt;"",O389,_xlfn.XLOOKUP(A389,AI_NAMES!C:C,AI_NAMES!D:D,"",0))</f>
        <v/>
      </c>
      <c r="E389" t="str">
        <f t="shared" si="37"/>
        <v/>
      </c>
      <c r="G389" s="5" t="str">
        <f t="shared" si="35"/>
        <v/>
      </c>
      <c r="I389" s="6" t="str">
        <f t="shared" si="36"/>
        <v>0</v>
      </c>
      <c r="O389" t="s">
        <v>321</v>
      </c>
      <c r="P389">
        <f>IF(C389&lt;&gt;"",C389,_xlfn.XLOOKUP(B389,AI_NAMES!D:D,AI_NAMES!E:E,"",0))</f>
        <v>0</v>
      </c>
    </row>
    <row r="390" spans="1:16" x14ac:dyDescent="0.2">
      <c r="A390" t="s">
        <v>484</v>
      </c>
      <c r="B390" t="str">
        <f>IF(O390&lt;&gt;"",O390,_xlfn.XLOOKUP(A390,AI_NAMES!C:C,AI_NAMES!D:D,"",0))</f>
        <v/>
      </c>
      <c r="E390" t="str">
        <f t="shared" si="37"/>
        <v/>
      </c>
      <c r="G390" s="5" t="str">
        <f t="shared" si="35"/>
        <v/>
      </c>
      <c r="I390" s="6" t="str">
        <f t="shared" si="36"/>
        <v>0</v>
      </c>
      <c r="O390" t="s">
        <v>321</v>
      </c>
      <c r="P390">
        <f>IF(C390&lt;&gt;"",C390,_xlfn.XLOOKUP(B390,AI_NAMES!D:D,AI_NAMES!E:E,"",0))</f>
        <v>0</v>
      </c>
    </row>
    <row r="391" spans="1:16" x14ac:dyDescent="0.2">
      <c r="A391" t="s">
        <v>485</v>
      </c>
      <c r="B391" t="str">
        <f>IF(O391&lt;&gt;"",O391,_xlfn.XLOOKUP(A391,AI_NAMES!C:C,AI_NAMES!D:D,"",0))</f>
        <v/>
      </c>
      <c r="E391" t="str">
        <f t="shared" si="37"/>
        <v/>
      </c>
      <c r="G391" s="5" t="str">
        <f t="shared" si="35"/>
        <v/>
      </c>
      <c r="I391" s="6" t="str">
        <f t="shared" si="36"/>
        <v>0</v>
      </c>
      <c r="O391" t="s">
        <v>321</v>
      </c>
      <c r="P391">
        <f>IF(C391&lt;&gt;"",C391,_xlfn.XLOOKUP(B391,AI_NAMES!D:D,AI_NAMES!E:E,"",0))</f>
        <v>0</v>
      </c>
    </row>
    <row r="392" spans="1:16" x14ac:dyDescent="0.2">
      <c r="A392" t="s">
        <v>486</v>
      </c>
      <c r="B392" t="str">
        <f>IF(O392&lt;&gt;"",O392,_xlfn.XLOOKUP(A392,AI_NAMES!C:C,AI_NAMES!D:D,"",0))</f>
        <v/>
      </c>
      <c r="E392" t="str">
        <f t="shared" si="37"/>
        <v/>
      </c>
      <c r="G392" s="5" t="str">
        <f t="shared" si="35"/>
        <v/>
      </c>
      <c r="I392" s="6" t="str">
        <f t="shared" si="36"/>
        <v>0</v>
      </c>
      <c r="O392" t="s">
        <v>321</v>
      </c>
      <c r="P392">
        <f>IF(C392&lt;&gt;"",C392,_xlfn.XLOOKUP(B392,AI_NAMES!D:D,AI_NAMES!E:E,"",0))</f>
        <v>0</v>
      </c>
    </row>
    <row r="393" spans="1:16" x14ac:dyDescent="0.2">
      <c r="A393" t="s">
        <v>487</v>
      </c>
      <c r="B393" t="str">
        <f>IF(O393&lt;&gt;"",O393,_xlfn.XLOOKUP(A393,AI_NAMES!C:C,AI_NAMES!D:D,"",0))</f>
        <v/>
      </c>
      <c r="E393" t="str">
        <f t="shared" si="37"/>
        <v/>
      </c>
      <c r="G393" s="5" t="str">
        <f t="shared" ref="G393:G456" si="38">IF(F393&lt;&gt;"",HEX2DEC(SUBSTITUTE(SUBSTITUTE(F393,"adrEA",""),"$","")),"")</f>
        <v/>
      </c>
      <c r="I393" s="6" t="str">
        <f t="shared" si="36"/>
        <v>0</v>
      </c>
      <c r="O393" t="s">
        <v>321</v>
      </c>
      <c r="P393">
        <f>IF(C393&lt;&gt;"",C393,_xlfn.XLOOKUP(B393,AI_NAMES!D:D,AI_NAMES!E:E,"",0))</f>
        <v>0</v>
      </c>
    </row>
    <row r="394" spans="1:16" x14ac:dyDescent="0.2">
      <c r="A394" t="s">
        <v>488</v>
      </c>
      <c r="B394" t="str">
        <f>IF(O394&lt;&gt;"",O394,_xlfn.XLOOKUP(A394,AI_NAMES!C:C,AI_NAMES!D:D,"",0))</f>
        <v/>
      </c>
      <c r="E394" t="str">
        <f t="shared" si="37"/>
        <v/>
      </c>
      <c r="G394" s="5" t="str">
        <f t="shared" si="38"/>
        <v/>
      </c>
      <c r="I394" s="6" t="str">
        <f t="shared" si="36"/>
        <v>0</v>
      </c>
      <c r="O394" t="s">
        <v>321</v>
      </c>
      <c r="P394">
        <f>IF(C394&lt;&gt;"",C394,_xlfn.XLOOKUP(B394,AI_NAMES!D:D,AI_NAMES!E:E,"",0))</f>
        <v>0</v>
      </c>
    </row>
    <row r="395" spans="1:16" x14ac:dyDescent="0.2">
      <c r="A395" t="s">
        <v>489</v>
      </c>
      <c r="B395" t="str">
        <f>IF(O395&lt;&gt;"",O395,_xlfn.XLOOKUP(A395,AI_NAMES!C:C,AI_NAMES!D:D,"",0))</f>
        <v/>
      </c>
      <c r="E395" t="str">
        <f t="shared" si="37"/>
        <v/>
      </c>
      <c r="G395" s="5" t="str">
        <f t="shared" si="38"/>
        <v/>
      </c>
      <c r="I395" s="6" t="str">
        <f t="shared" si="36"/>
        <v>0</v>
      </c>
      <c r="O395" t="s">
        <v>321</v>
      </c>
      <c r="P395">
        <f>IF(C395&lt;&gt;"",C395,_xlfn.XLOOKUP(B395,AI_NAMES!D:D,AI_NAMES!E:E,"",0))</f>
        <v>0</v>
      </c>
    </row>
    <row r="396" spans="1:16" x14ac:dyDescent="0.2">
      <c r="A396" t="s">
        <v>490</v>
      </c>
      <c r="B396" t="str">
        <f>IF(O396&lt;&gt;"",O396,_xlfn.XLOOKUP(A396,AI_NAMES!C:C,AI_NAMES!D:D,"",0))</f>
        <v/>
      </c>
      <c r="E396" t="str">
        <f t="shared" si="37"/>
        <v/>
      </c>
      <c r="G396" s="5" t="str">
        <f t="shared" si="38"/>
        <v/>
      </c>
      <c r="I396" s="6" t="str">
        <f t="shared" si="36"/>
        <v>0</v>
      </c>
      <c r="O396" t="s">
        <v>321</v>
      </c>
      <c r="P396">
        <f>IF(C396&lt;&gt;"",C396,_xlfn.XLOOKUP(B396,AI_NAMES!D:D,AI_NAMES!E:E,"",0))</f>
        <v>0</v>
      </c>
    </row>
    <row r="397" spans="1:16" x14ac:dyDescent="0.2">
      <c r="A397" t="s">
        <v>491</v>
      </c>
      <c r="B397" t="str">
        <f>IF(O397&lt;&gt;"",O397,_xlfn.XLOOKUP(A397,AI_NAMES!C:C,AI_NAMES!D:D,"",0))</f>
        <v/>
      </c>
      <c r="E397" t="str">
        <f t="shared" si="37"/>
        <v/>
      </c>
      <c r="G397" s="5" t="str">
        <f t="shared" si="38"/>
        <v/>
      </c>
      <c r="I397" s="6" t="str">
        <f t="shared" si="36"/>
        <v>0</v>
      </c>
      <c r="O397" t="s">
        <v>321</v>
      </c>
      <c r="P397">
        <f>IF(C397&lt;&gt;"",C397,_xlfn.XLOOKUP(B397,AI_NAMES!D:D,AI_NAMES!E:E,"",0))</f>
        <v>0</v>
      </c>
    </row>
    <row r="398" spans="1:16" x14ac:dyDescent="0.2">
      <c r="A398" t="s">
        <v>492</v>
      </c>
      <c r="B398" t="str">
        <f>IF(O398&lt;&gt;"",O398,_xlfn.XLOOKUP(A398,AI_NAMES!C:C,AI_NAMES!D:D,"",0))</f>
        <v/>
      </c>
      <c r="E398" t="str">
        <f t="shared" si="37"/>
        <v/>
      </c>
      <c r="G398" s="5" t="str">
        <f t="shared" si="38"/>
        <v/>
      </c>
      <c r="I398" s="6" t="str">
        <f t="shared" si="36"/>
        <v>0</v>
      </c>
      <c r="O398" t="s">
        <v>321</v>
      </c>
      <c r="P398">
        <f>IF(C398&lt;&gt;"",C398,_xlfn.XLOOKUP(B398,AI_NAMES!D:D,AI_NAMES!E:E,"",0))</f>
        <v>0</v>
      </c>
    </row>
    <row r="399" spans="1:16" x14ac:dyDescent="0.2">
      <c r="A399" t="s">
        <v>493</v>
      </c>
      <c r="B399" t="str">
        <f>IF(O399&lt;&gt;"",O399,_xlfn.XLOOKUP(A399,AI_NAMES!C:C,AI_NAMES!D:D,"",0))</f>
        <v/>
      </c>
      <c r="E399" t="str">
        <f t="shared" si="37"/>
        <v/>
      </c>
      <c r="G399" s="5" t="str">
        <f t="shared" si="38"/>
        <v/>
      </c>
      <c r="I399" s="6" t="str">
        <f t="shared" si="36"/>
        <v>0</v>
      </c>
      <c r="O399" t="s">
        <v>321</v>
      </c>
      <c r="P399">
        <f>IF(C399&lt;&gt;"",C399,_xlfn.XLOOKUP(B399,AI_NAMES!D:D,AI_NAMES!E:E,"",0))</f>
        <v>0</v>
      </c>
    </row>
    <row r="400" spans="1:16" x14ac:dyDescent="0.2">
      <c r="A400" t="s">
        <v>494</v>
      </c>
      <c r="B400" t="str">
        <f>IF(O400&lt;&gt;"",O400,_xlfn.XLOOKUP(A400,AI_NAMES!C:C,AI_NAMES!D:D,"",0))</f>
        <v/>
      </c>
      <c r="E400" t="str">
        <f t="shared" si="37"/>
        <v/>
      </c>
      <c r="G400" s="5" t="str">
        <f t="shared" si="38"/>
        <v/>
      </c>
      <c r="I400" s="6" t="str">
        <f t="shared" si="36"/>
        <v>0</v>
      </c>
      <c r="O400" t="s">
        <v>321</v>
      </c>
      <c r="P400">
        <f>IF(C400&lt;&gt;"",C400,_xlfn.XLOOKUP(B400,AI_NAMES!D:D,AI_NAMES!E:E,"",0))</f>
        <v>0</v>
      </c>
    </row>
    <row r="401" spans="1:16" x14ac:dyDescent="0.2">
      <c r="A401" t="s">
        <v>495</v>
      </c>
      <c r="B401" t="str">
        <f>IF(O401&lt;&gt;"",O401,_xlfn.XLOOKUP(A401,AI_NAMES!C:C,AI_NAMES!D:D,"",0))</f>
        <v/>
      </c>
      <c r="E401" t="str">
        <f t="shared" si="37"/>
        <v/>
      </c>
      <c r="G401" s="5" t="str">
        <f t="shared" si="38"/>
        <v/>
      </c>
      <c r="I401" s="6" t="str">
        <f t="shared" si="36"/>
        <v>0</v>
      </c>
      <c r="O401" t="s">
        <v>321</v>
      </c>
      <c r="P401">
        <f>IF(C401&lt;&gt;"",C401,_xlfn.XLOOKUP(B401,AI_NAMES!D:D,AI_NAMES!E:E,"",0))</f>
        <v>0</v>
      </c>
    </row>
    <row r="402" spans="1:16" x14ac:dyDescent="0.2">
      <c r="A402" t="s">
        <v>496</v>
      </c>
      <c r="B402" t="str">
        <f>IF(O402&lt;&gt;"",O402,_xlfn.XLOOKUP(A402,AI_NAMES!C:C,AI_NAMES!D:D,"",0))</f>
        <v/>
      </c>
      <c r="E402" t="str">
        <f t="shared" si="37"/>
        <v/>
      </c>
      <c r="G402" s="5" t="str">
        <f t="shared" si="38"/>
        <v/>
      </c>
      <c r="I402" s="6" t="str">
        <f t="shared" si="36"/>
        <v>0</v>
      </c>
      <c r="O402" t="s">
        <v>321</v>
      </c>
      <c r="P402">
        <f>IF(C402&lt;&gt;"",C402,_xlfn.XLOOKUP(B402,AI_NAMES!D:D,AI_NAMES!E:E,"",0))</f>
        <v>0</v>
      </c>
    </row>
    <row r="403" spans="1:16" x14ac:dyDescent="0.2">
      <c r="A403" t="s">
        <v>497</v>
      </c>
      <c r="B403" t="str">
        <f>IF(O403&lt;&gt;"",O403,_xlfn.XLOOKUP(A403,AI_NAMES!C:C,AI_NAMES!D:D,"",0))</f>
        <v/>
      </c>
      <c r="E403" t="str">
        <f t="shared" si="37"/>
        <v/>
      </c>
      <c r="G403" s="5" t="str">
        <f t="shared" si="38"/>
        <v/>
      </c>
      <c r="I403" s="6" t="str">
        <f t="shared" si="36"/>
        <v>0</v>
      </c>
      <c r="O403" t="s">
        <v>321</v>
      </c>
      <c r="P403">
        <f>IF(C403&lt;&gt;"",C403,_xlfn.XLOOKUP(B403,AI_NAMES!D:D,AI_NAMES!E:E,"",0))</f>
        <v>0</v>
      </c>
    </row>
    <row r="404" spans="1:16" x14ac:dyDescent="0.2">
      <c r="A404" t="s">
        <v>498</v>
      </c>
      <c r="B404" t="str">
        <f>IF(O404&lt;&gt;"",O404,_xlfn.XLOOKUP(A404,AI_NAMES!C:C,AI_NAMES!D:D,"",0))</f>
        <v/>
      </c>
      <c r="E404" t="str">
        <f t="shared" si="37"/>
        <v/>
      </c>
      <c r="G404" s="5" t="str">
        <f t="shared" si="38"/>
        <v/>
      </c>
      <c r="I404" s="6" t="str">
        <f t="shared" si="36"/>
        <v>0</v>
      </c>
      <c r="O404" t="s">
        <v>321</v>
      </c>
      <c r="P404">
        <f>IF(C404&lt;&gt;"",C404,_xlfn.XLOOKUP(B404,AI_NAMES!D:D,AI_NAMES!E:E,"",0))</f>
        <v>0</v>
      </c>
    </row>
    <row r="405" spans="1:16" x14ac:dyDescent="0.2">
      <c r="A405" t="s">
        <v>499</v>
      </c>
      <c r="B405" t="str">
        <f>IF(O405&lt;&gt;"",O405,_xlfn.XLOOKUP(A405,AI_NAMES!C:C,AI_NAMES!D:D,"",0))</f>
        <v/>
      </c>
      <c r="E405" t="str">
        <f t="shared" si="37"/>
        <v/>
      </c>
      <c r="G405" s="5" t="str">
        <f t="shared" si="38"/>
        <v/>
      </c>
      <c r="I405" s="6" t="str">
        <f t="shared" si="36"/>
        <v>0</v>
      </c>
      <c r="O405" t="s">
        <v>321</v>
      </c>
      <c r="P405">
        <f>IF(C405&lt;&gt;"",C405,_xlfn.XLOOKUP(B405,AI_NAMES!D:D,AI_NAMES!E:E,"",0))</f>
        <v>0</v>
      </c>
    </row>
    <row r="406" spans="1:16" x14ac:dyDescent="0.2">
      <c r="A406" t="s">
        <v>500</v>
      </c>
      <c r="B406" t="str">
        <f>IF(O406&lt;&gt;"",O406,_xlfn.XLOOKUP(A406,AI_NAMES!C:C,AI_NAMES!D:D,"",0))</f>
        <v/>
      </c>
      <c r="E406" t="str">
        <f t="shared" si="37"/>
        <v/>
      </c>
      <c r="G406" s="5" t="str">
        <f t="shared" si="38"/>
        <v/>
      </c>
      <c r="I406" s="6" t="str">
        <f t="shared" si="36"/>
        <v>0</v>
      </c>
      <c r="O406" t="s">
        <v>321</v>
      </c>
      <c r="P406">
        <f>IF(C406&lt;&gt;"",C406,_xlfn.XLOOKUP(B406,AI_NAMES!D:D,AI_NAMES!E:E,"",0))</f>
        <v>0</v>
      </c>
    </row>
    <row r="407" spans="1:16" x14ac:dyDescent="0.2">
      <c r="A407" t="s">
        <v>501</v>
      </c>
      <c r="B407" t="str">
        <f>IF(O407&lt;&gt;"",O407,_xlfn.XLOOKUP(A407,AI_NAMES!C:C,AI_NAMES!D:D,"",0))</f>
        <v/>
      </c>
      <c r="E407" t="str">
        <f t="shared" si="37"/>
        <v/>
      </c>
      <c r="G407" s="5" t="str">
        <f t="shared" si="38"/>
        <v/>
      </c>
      <c r="I407" s="6" t="str">
        <f t="shared" si="36"/>
        <v>0</v>
      </c>
      <c r="O407" t="s">
        <v>321</v>
      </c>
      <c r="P407">
        <f>IF(C407&lt;&gt;"",C407,_xlfn.XLOOKUP(B407,AI_NAMES!D:D,AI_NAMES!E:E,"",0))</f>
        <v>0</v>
      </c>
    </row>
    <row r="408" spans="1:16" x14ac:dyDescent="0.2">
      <c r="A408" t="s">
        <v>502</v>
      </c>
      <c r="B408" t="str">
        <f>IF(O408&lt;&gt;"",O408,_xlfn.XLOOKUP(A408,AI_NAMES!C:C,AI_NAMES!D:D,"",0))</f>
        <v/>
      </c>
      <c r="E408" t="str">
        <f t="shared" si="37"/>
        <v/>
      </c>
      <c r="G408" s="5" t="str">
        <f t="shared" si="38"/>
        <v/>
      </c>
      <c r="I408" s="6" t="str">
        <f t="shared" si="36"/>
        <v>0</v>
      </c>
      <c r="O408" t="s">
        <v>321</v>
      </c>
      <c r="P408">
        <f>IF(C408&lt;&gt;"",C408,_xlfn.XLOOKUP(B408,AI_NAMES!D:D,AI_NAMES!E:E,"",0))</f>
        <v>0</v>
      </c>
    </row>
    <row r="409" spans="1:16" x14ac:dyDescent="0.2">
      <c r="A409" t="s">
        <v>503</v>
      </c>
      <c r="B409" t="str">
        <f>IF(O409&lt;&gt;"",O409,_xlfn.XLOOKUP(A409,AI_NAMES!C:C,AI_NAMES!D:D,"",0))</f>
        <v/>
      </c>
      <c r="E409" t="str">
        <f t="shared" si="37"/>
        <v/>
      </c>
      <c r="G409" s="5" t="str">
        <f t="shared" si="38"/>
        <v/>
      </c>
      <c r="I409" s="6" t="str">
        <f t="shared" si="36"/>
        <v>0</v>
      </c>
      <c r="O409" t="s">
        <v>321</v>
      </c>
      <c r="P409">
        <f>IF(C409&lt;&gt;"",C409,_xlfn.XLOOKUP(B409,AI_NAMES!D:D,AI_NAMES!E:E,"",0))</f>
        <v>0</v>
      </c>
    </row>
    <row r="410" spans="1:16" x14ac:dyDescent="0.2">
      <c r="A410" t="s">
        <v>504</v>
      </c>
      <c r="B410" t="str">
        <f>IF(O410&lt;&gt;"",O410,_xlfn.XLOOKUP(A410,AI_NAMES!C:C,AI_NAMES!D:D,"",0))</f>
        <v/>
      </c>
      <c r="E410" t="str">
        <f t="shared" si="37"/>
        <v/>
      </c>
      <c r="G410" s="5" t="str">
        <f t="shared" si="38"/>
        <v/>
      </c>
      <c r="I410" s="6" t="str">
        <f t="shared" si="36"/>
        <v>0</v>
      </c>
      <c r="O410" t="s">
        <v>321</v>
      </c>
      <c r="P410">
        <f>IF(C410&lt;&gt;"",C410,_xlfn.XLOOKUP(B410,AI_NAMES!D:D,AI_NAMES!E:E,"",0))</f>
        <v>0</v>
      </c>
    </row>
    <row r="411" spans="1:16" x14ac:dyDescent="0.2">
      <c r="A411" t="s">
        <v>505</v>
      </c>
      <c r="B411" t="str">
        <f>IF(O411&lt;&gt;"",O411,_xlfn.XLOOKUP(A411,AI_NAMES!C:C,AI_NAMES!D:D,"",0))</f>
        <v/>
      </c>
      <c r="E411" t="str">
        <f t="shared" si="37"/>
        <v/>
      </c>
      <c r="G411" s="5" t="str">
        <f t="shared" si="38"/>
        <v/>
      </c>
      <c r="I411" s="6" t="str">
        <f t="shared" si="36"/>
        <v>0</v>
      </c>
      <c r="O411" t="s">
        <v>321</v>
      </c>
      <c r="P411">
        <f>IF(C411&lt;&gt;"",C411,_xlfn.XLOOKUP(B411,AI_NAMES!D:D,AI_NAMES!E:E,"",0))</f>
        <v>0</v>
      </c>
    </row>
    <row r="412" spans="1:16" x14ac:dyDescent="0.2">
      <c r="A412" t="s">
        <v>506</v>
      </c>
      <c r="B412" t="str">
        <f>IF(O412&lt;&gt;"",O412,_xlfn.XLOOKUP(A412,AI_NAMES!C:C,AI_NAMES!D:D,"",0))</f>
        <v/>
      </c>
      <c r="E412" t="str">
        <f t="shared" si="37"/>
        <v/>
      </c>
      <c r="G412" s="5" t="str">
        <f t="shared" si="38"/>
        <v/>
      </c>
      <c r="I412" s="6" t="str">
        <f t="shared" si="36"/>
        <v>0</v>
      </c>
      <c r="O412" t="s">
        <v>321</v>
      </c>
      <c r="P412">
        <f>IF(C412&lt;&gt;"",C412,_xlfn.XLOOKUP(B412,AI_NAMES!D:D,AI_NAMES!E:E,"",0))</f>
        <v>0</v>
      </c>
    </row>
    <row r="413" spans="1:16" x14ac:dyDescent="0.2">
      <c r="A413" t="s">
        <v>507</v>
      </c>
      <c r="B413" t="str">
        <f>IF(O413&lt;&gt;"",O413,_xlfn.XLOOKUP(A413,AI_NAMES!C:C,AI_NAMES!D:D,"",0))</f>
        <v/>
      </c>
      <c r="E413" t="str">
        <f t="shared" si="37"/>
        <v/>
      </c>
      <c r="G413" s="5" t="str">
        <f t="shared" si="38"/>
        <v/>
      </c>
      <c r="I413" s="6" t="str">
        <f t="shared" si="36"/>
        <v>0</v>
      </c>
      <c r="O413" t="s">
        <v>321</v>
      </c>
      <c r="P413">
        <f>IF(C413&lt;&gt;"",C413,_xlfn.XLOOKUP(B413,AI_NAMES!D:D,AI_NAMES!E:E,"",0))</f>
        <v>0</v>
      </c>
    </row>
    <row r="414" spans="1:16" x14ac:dyDescent="0.2">
      <c r="A414" t="s">
        <v>508</v>
      </c>
      <c r="B414" t="str">
        <f>IF(O414&lt;&gt;"",O414,_xlfn.XLOOKUP(A414,AI_NAMES!C:C,AI_NAMES!D:D,"",0))</f>
        <v/>
      </c>
      <c r="E414" t="str">
        <f t="shared" si="37"/>
        <v/>
      </c>
      <c r="G414" s="5" t="str">
        <f t="shared" si="38"/>
        <v/>
      </c>
      <c r="I414" s="6" t="str">
        <f t="shared" si="36"/>
        <v>0</v>
      </c>
      <c r="O414" t="s">
        <v>321</v>
      </c>
      <c r="P414">
        <f>IF(C414&lt;&gt;"",C414,_xlfn.XLOOKUP(B414,AI_NAMES!D:D,AI_NAMES!E:E,"",0))</f>
        <v>0</v>
      </c>
    </row>
    <row r="415" spans="1:16" x14ac:dyDescent="0.2">
      <c r="A415" t="s">
        <v>509</v>
      </c>
      <c r="B415" t="str">
        <f>IF(O415&lt;&gt;"",O415,_xlfn.XLOOKUP(A415,AI_NAMES!C:C,AI_NAMES!D:D,"",0))</f>
        <v/>
      </c>
      <c r="E415" t="str">
        <f t="shared" si="37"/>
        <v/>
      </c>
      <c r="G415" s="5" t="str">
        <f t="shared" si="38"/>
        <v/>
      </c>
      <c r="I415" s="6" t="str">
        <f t="shared" si="36"/>
        <v>0</v>
      </c>
      <c r="O415" t="s">
        <v>321</v>
      </c>
      <c r="P415">
        <f>IF(C415&lt;&gt;"",C415,_xlfn.XLOOKUP(B415,AI_NAMES!D:D,AI_NAMES!E:E,"",0))</f>
        <v>0</v>
      </c>
    </row>
    <row r="416" spans="1:16" x14ac:dyDescent="0.2">
      <c r="A416" t="s">
        <v>510</v>
      </c>
      <c r="B416" t="str">
        <f>IF(O416&lt;&gt;"",O416,_xlfn.XLOOKUP(A416,AI_NAMES!C:C,AI_NAMES!D:D,"",0))</f>
        <v/>
      </c>
      <c r="E416" t="str">
        <f t="shared" si="37"/>
        <v/>
      </c>
      <c r="G416" s="5" t="str">
        <f t="shared" si="38"/>
        <v/>
      </c>
      <c r="I416" s="6" t="str">
        <f t="shared" si="36"/>
        <v>0</v>
      </c>
      <c r="O416" t="s">
        <v>321</v>
      </c>
      <c r="P416">
        <f>IF(C416&lt;&gt;"",C416,_xlfn.XLOOKUP(B416,AI_NAMES!D:D,AI_NAMES!E:E,"",0))</f>
        <v>0</v>
      </c>
    </row>
    <row r="417" spans="1:16" x14ac:dyDescent="0.2">
      <c r="A417" t="s">
        <v>511</v>
      </c>
      <c r="B417" t="str">
        <f>IF(O417&lt;&gt;"",O417,_xlfn.XLOOKUP(A417,AI_NAMES!C:C,AI_NAMES!D:D,"",0))</f>
        <v/>
      </c>
      <c r="E417" t="str">
        <f t="shared" si="37"/>
        <v/>
      </c>
      <c r="G417" s="5" t="str">
        <f t="shared" si="38"/>
        <v/>
      </c>
      <c r="I417" s="6" t="str">
        <f t="shared" si="36"/>
        <v>0</v>
      </c>
      <c r="O417" t="s">
        <v>321</v>
      </c>
      <c r="P417">
        <f>IF(C417&lt;&gt;"",C417,_xlfn.XLOOKUP(B417,AI_NAMES!D:D,AI_NAMES!E:E,"",0))</f>
        <v>0</v>
      </c>
    </row>
    <row r="418" spans="1:16" x14ac:dyDescent="0.2">
      <c r="A418" t="s">
        <v>512</v>
      </c>
      <c r="B418" t="str">
        <f>IF(O418&lt;&gt;"",O418,_xlfn.XLOOKUP(A418,AI_NAMES!C:C,AI_NAMES!D:D,"",0))</f>
        <v/>
      </c>
      <c r="E418" t="str">
        <f t="shared" si="37"/>
        <v/>
      </c>
      <c r="G418" s="5" t="str">
        <f t="shared" si="38"/>
        <v/>
      </c>
      <c r="I418" s="6" t="str">
        <f t="shared" si="36"/>
        <v>0</v>
      </c>
      <c r="O418" t="s">
        <v>321</v>
      </c>
      <c r="P418">
        <f>IF(C418&lt;&gt;"",C418,_xlfn.XLOOKUP(B418,AI_NAMES!D:D,AI_NAMES!E:E,"",0))</f>
        <v>0</v>
      </c>
    </row>
    <row r="419" spans="1:16" x14ac:dyDescent="0.2">
      <c r="A419" t="s">
        <v>513</v>
      </c>
      <c r="B419" t="str">
        <f>IF(O419&lt;&gt;"",O419,_xlfn.XLOOKUP(A419,AI_NAMES!C:C,AI_NAMES!D:D,"",0))</f>
        <v/>
      </c>
      <c r="E419" t="str">
        <f t="shared" si="37"/>
        <v/>
      </c>
      <c r="G419" s="5" t="str">
        <f t="shared" si="38"/>
        <v/>
      </c>
      <c r="I419" s="6" t="str">
        <f t="shared" si="36"/>
        <v>0</v>
      </c>
      <c r="O419" t="s">
        <v>321</v>
      </c>
      <c r="P419">
        <f>IF(C419&lt;&gt;"",C419,_xlfn.XLOOKUP(B419,AI_NAMES!D:D,AI_NAMES!E:E,"",0))</f>
        <v>0</v>
      </c>
    </row>
    <row r="420" spans="1:16" x14ac:dyDescent="0.2">
      <c r="A420" t="s">
        <v>514</v>
      </c>
      <c r="B420" t="str">
        <f>IF(O420&lt;&gt;"",O420,_xlfn.XLOOKUP(A420,AI_NAMES!C:C,AI_NAMES!D:D,"",0))</f>
        <v/>
      </c>
      <c r="E420" t="str">
        <f t="shared" si="37"/>
        <v/>
      </c>
      <c r="G420" s="5" t="str">
        <f t="shared" si="38"/>
        <v/>
      </c>
      <c r="I420" s="6" t="str">
        <f t="shared" si="36"/>
        <v>0</v>
      </c>
      <c r="O420" t="s">
        <v>321</v>
      </c>
      <c r="P420">
        <f>IF(C420&lt;&gt;"",C420,_xlfn.XLOOKUP(B420,AI_NAMES!D:D,AI_NAMES!E:E,"",0))</f>
        <v>0</v>
      </c>
    </row>
    <row r="421" spans="1:16" x14ac:dyDescent="0.2">
      <c r="A421" t="s">
        <v>515</v>
      </c>
      <c r="B421" t="str">
        <f>IF(O421&lt;&gt;"",O421,_xlfn.XLOOKUP(A421,AI_NAMES!C:C,AI_NAMES!D:D,"",0))</f>
        <v/>
      </c>
      <c r="E421" t="str">
        <f t="shared" si="37"/>
        <v/>
      </c>
      <c r="G421" s="5" t="str">
        <f t="shared" si="38"/>
        <v/>
      </c>
      <c r="I421" s="6" t="str">
        <f t="shared" si="36"/>
        <v>0</v>
      </c>
      <c r="O421" t="s">
        <v>321</v>
      </c>
      <c r="P421">
        <f>IF(C421&lt;&gt;"",C421,_xlfn.XLOOKUP(B421,AI_NAMES!D:D,AI_NAMES!E:E,"",0))</f>
        <v>0</v>
      </c>
    </row>
    <row r="422" spans="1:16" x14ac:dyDescent="0.2">
      <c r="A422" t="s">
        <v>516</v>
      </c>
      <c r="B422" t="str">
        <f>IF(O422&lt;&gt;"",O422,_xlfn.XLOOKUP(A422,AI_NAMES!C:C,AI_NAMES!D:D,"",0))</f>
        <v/>
      </c>
      <c r="E422" t="str">
        <f t="shared" si="37"/>
        <v/>
      </c>
      <c r="G422" s="5" t="str">
        <f t="shared" si="38"/>
        <v/>
      </c>
      <c r="I422" s="6" t="str">
        <f t="shared" si="36"/>
        <v>0</v>
      </c>
      <c r="O422" t="s">
        <v>321</v>
      </c>
      <c r="P422">
        <f>IF(C422&lt;&gt;"",C422,_xlfn.XLOOKUP(B422,AI_NAMES!D:D,AI_NAMES!E:E,"",0))</f>
        <v>0</v>
      </c>
    </row>
    <row r="423" spans="1:16" x14ac:dyDescent="0.2">
      <c r="A423" t="s">
        <v>517</v>
      </c>
      <c r="B423" t="str">
        <f>IF(O423&lt;&gt;"",O423,_xlfn.XLOOKUP(A423,AI_NAMES!C:C,AI_NAMES!D:D,"",0))</f>
        <v/>
      </c>
      <c r="E423" t="str">
        <f t="shared" si="37"/>
        <v/>
      </c>
      <c r="G423" s="5" t="str">
        <f t="shared" si="38"/>
        <v/>
      </c>
      <c r="I423" s="6" t="str">
        <f t="shared" si="36"/>
        <v>0</v>
      </c>
      <c r="O423" t="s">
        <v>321</v>
      </c>
      <c r="P423">
        <f>IF(C423&lt;&gt;"",C423,_xlfn.XLOOKUP(B423,AI_NAMES!D:D,AI_NAMES!E:E,"",0))</f>
        <v>0</v>
      </c>
    </row>
    <row r="424" spans="1:16" x14ac:dyDescent="0.2">
      <c r="A424" t="s">
        <v>518</v>
      </c>
      <c r="B424" t="str">
        <f>IF(O424&lt;&gt;"",O424,_xlfn.XLOOKUP(A424,AI_NAMES!C:C,AI_NAMES!D:D,"",0))</f>
        <v/>
      </c>
      <c r="E424" t="str">
        <f t="shared" si="37"/>
        <v/>
      </c>
      <c r="G424" s="5" t="str">
        <f t="shared" si="38"/>
        <v/>
      </c>
      <c r="I424" s="6" t="str">
        <f t="shared" si="36"/>
        <v>0</v>
      </c>
      <c r="O424" t="s">
        <v>321</v>
      </c>
      <c r="P424">
        <f>IF(C424&lt;&gt;"",C424,_xlfn.XLOOKUP(B424,AI_NAMES!D:D,AI_NAMES!E:E,"",0))</f>
        <v>0</v>
      </c>
    </row>
    <row r="425" spans="1:16" x14ac:dyDescent="0.2">
      <c r="A425" t="s">
        <v>519</v>
      </c>
      <c r="B425" t="str">
        <f>IF(O425&lt;&gt;"",O425,_xlfn.XLOOKUP(A425,AI_NAMES!C:C,AI_NAMES!D:D,"",0))</f>
        <v/>
      </c>
      <c r="E425" t="str">
        <f t="shared" si="37"/>
        <v/>
      </c>
      <c r="G425" s="5" t="str">
        <f t="shared" si="38"/>
        <v/>
      </c>
      <c r="I425" s="6" t="str">
        <f t="shared" si="36"/>
        <v>0</v>
      </c>
      <c r="O425" t="s">
        <v>321</v>
      </c>
      <c r="P425">
        <f>IF(C425&lt;&gt;"",C425,_xlfn.XLOOKUP(B425,AI_NAMES!D:D,AI_NAMES!E:E,"",0))</f>
        <v>0</v>
      </c>
    </row>
    <row r="426" spans="1:16" x14ac:dyDescent="0.2">
      <c r="A426" t="s">
        <v>520</v>
      </c>
      <c r="B426" t="str">
        <f>IF(O426&lt;&gt;"",O426,_xlfn.XLOOKUP(A426,AI_NAMES!C:C,AI_NAMES!D:D,"",0))</f>
        <v/>
      </c>
      <c r="E426" t="str">
        <f t="shared" si="37"/>
        <v/>
      </c>
      <c r="G426" s="5" t="str">
        <f t="shared" si="38"/>
        <v/>
      </c>
      <c r="I426" s="6" t="str">
        <f t="shared" si="36"/>
        <v>0</v>
      </c>
      <c r="O426" t="s">
        <v>321</v>
      </c>
      <c r="P426">
        <f>IF(C426&lt;&gt;"",C426,_xlfn.XLOOKUP(B426,AI_NAMES!D:D,AI_NAMES!E:E,"",0))</f>
        <v>0</v>
      </c>
    </row>
    <row r="427" spans="1:16" x14ac:dyDescent="0.2">
      <c r="A427" t="s">
        <v>521</v>
      </c>
      <c r="B427" t="str">
        <f>IF(O427&lt;&gt;"",O427,_xlfn.XLOOKUP(A427,AI_NAMES!C:C,AI_NAMES!D:D,"",0))</f>
        <v/>
      </c>
      <c r="E427" t="str">
        <f t="shared" si="37"/>
        <v/>
      </c>
      <c r="G427" s="5" t="str">
        <f t="shared" si="38"/>
        <v/>
      </c>
      <c r="I427" s="6" t="str">
        <f t="shared" si="36"/>
        <v>0</v>
      </c>
      <c r="O427" t="s">
        <v>321</v>
      </c>
      <c r="P427">
        <f>IF(C427&lt;&gt;"",C427,_xlfn.XLOOKUP(B427,AI_NAMES!D:D,AI_NAMES!E:E,"",0))</f>
        <v>0</v>
      </c>
    </row>
    <row r="428" spans="1:16" x14ac:dyDescent="0.2">
      <c r="A428" t="s">
        <v>522</v>
      </c>
      <c r="B428" t="str">
        <f>IF(O428&lt;&gt;"",O428,_xlfn.XLOOKUP(A428,AI_NAMES!C:C,AI_NAMES!D:D,"",0))</f>
        <v/>
      </c>
      <c r="E428" t="str">
        <f t="shared" si="37"/>
        <v/>
      </c>
      <c r="G428" s="5" t="str">
        <f t="shared" si="38"/>
        <v/>
      </c>
      <c r="I428" s="6" t="str">
        <f t="shared" si="36"/>
        <v>0</v>
      </c>
      <c r="O428" t="s">
        <v>321</v>
      </c>
      <c r="P428">
        <f>IF(C428&lt;&gt;"",C428,_xlfn.XLOOKUP(B428,AI_NAMES!D:D,AI_NAMES!E:E,"",0))</f>
        <v>0</v>
      </c>
    </row>
    <row r="429" spans="1:16" x14ac:dyDescent="0.2">
      <c r="A429" t="s">
        <v>523</v>
      </c>
      <c r="B429" t="str">
        <f>IF(O429&lt;&gt;"",O429,_xlfn.XLOOKUP(A429,AI_NAMES!C:C,AI_NAMES!D:D,"",0))</f>
        <v/>
      </c>
      <c r="E429" t="str">
        <f t="shared" si="37"/>
        <v/>
      </c>
      <c r="G429" s="5" t="str">
        <f t="shared" si="38"/>
        <v/>
      </c>
      <c r="I429" s="6" t="str">
        <f t="shared" si="36"/>
        <v>0</v>
      </c>
      <c r="O429" t="s">
        <v>321</v>
      </c>
      <c r="P429">
        <f>IF(C429&lt;&gt;"",C429,_xlfn.XLOOKUP(B429,AI_NAMES!D:D,AI_NAMES!E:E,"",0))</f>
        <v>0</v>
      </c>
    </row>
    <row r="430" spans="1:16" x14ac:dyDescent="0.2">
      <c r="A430" t="s">
        <v>524</v>
      </c>
      <c r="B430" t="str">
        <f>IF(O430&lt;&gt;"",O430,_xlfn.XLOOKUP(A430,AI_NAMES!C:C,AI_NAMES!D:D,"",0))</f>
        <v/>
      </c>
      <c r="E430" t="str">
        <f t="shared" si="37"/>
        <v/>
      </c>
      <c r="G430" s="5" t="str">
        <f t="shared" si="38"/>
        <v/>
      </c>
      <c r="I430" s="6" t="str">
        <f t="shared" si="36"/>
        <v>0</v>
      </c>
      <c r="O430" t="s">
        <v>321</v>
      </c>
      <c r="P430">
        <f>IF(C430&lt;&gt;"",C430,_xlfn.XLOOKUP(B430,AI_NAMES!D:D,AI_NAMES!E:E,"",0))</f>
        <v>0</v>
      </c>
    </row>
    <row r="431" spans="1:16" x14ac:dyDescent="0.2">
      <c r="A431" t="s">
        <v>525</v>
      </c>
      <c r="B431" t="str">
        <f>IF(O431&lt;&gt;"",O431,_xlfn.XLOOKUP(A431,AI_NAMES!C:C,AI_NAMES!D:D,"",0))</f>
        <v/>
      </c>
      <c r="E431" t="str">
        <f t="shared" si="37"/>
        <v/>
      </c>
      <c r="G431" s="5" t="str">
        <f t="shared" si="38"/>
        <v/>
      </c>
      <c r="I431" s="6" t="str">
        <f t="shared" si="36"/>
        <v>0</v>
      </c>
      <c r="O431" t="s">
        <v>321</v>
      </c>
      <c r="P431">
        <f>IF(C431&lt;&gt;"",C431,_xlfn.XLOOKUP(B431,AI_NAMES!D:D,AI_NAMES!E:E,"",0))</f>
        <v>0</v>
      </c>
    </row>
    <row r="432" spans="1:16" x14ac:dyDescent="0.2">
      <c r="A432" t="s">
        <v>526</v>
      </c>
      <c r="B432" t="str">
        <f>IF(O432&lt;&gt;"",O432,_xlfn.XLOOKUP(A432,AI_NAMES!C:C,AI_NAMES!D:D,"",0))</f>
        <v/>
      </c>
      <c r="E432" t="str">
        <f t="shared" si="37"/>
        <v/>
      </c>
      <c r="G432" s="5" t="str">
        <f t="shared" si="38"/>
        <v/>
      </c>
      <c r="I432" s="6" t="str">
        <f t="shared" si="36"/>
        <v>0</v>
      </c>
      <c r="O432" t="s">
        <v>321</v>
      </c>
      <c r="P432">
        <f>IF(C432&lt;&gt;"",C432,_xlfn.XLOOKUP(B432,AI_NAMES!D:D,AI_NAMES!E:E,"",0))</f>
        <v>0</v>
      </c>
    </row>
    <row r="433" spans="1:16" x14ac:dyDescent="0.2">
      <c r="A433" t="s">
        <v>527</v>
      </c>
      <c r="B433" t="str">
        <f>IF(O433&lt;&gt;"",O433,_xlfn.XLOOKUP(A433,AI_NAMES!C:C,AI_NAMES!D:D,"",0))</f>
        <v/>
      </c>
      <c r="E433" t="str">
        <f t="shared" si="37"/>
        <v/>
      </c>
      <c r="G433" s="5" t="str">
        <f t="shared" si="38"/>
        <v/>
      </c>
      <c r="I433" s="6" t="str">
        <f t="shared" si="36"/>
        <v>0</v>
      </c>
      <c r="O433" t="s">
        <v>321</v>
      </c>
      <c r="P433">
        <f>IF(C433&lt;&gt;"",C433,_xlfn.XLOOKUP(B433,AI_NAMES!D:D,AI_NAMES!E:E,"",0))</f>
        <v>0</v>
      </c>
    </row>
    <row r="434" spans="1:16" x14ac:dyDescent="0.2">
      <c r="A434" t="s">
        <v>528</v>
      </c>
      <c r="B434" t="str">
        <f>IF(O434&lt;&gt;"",O434,_xlfn.XLOOKUP(A434,AI_NAMES!C:C,AI_NAMES!D:D,"",0))</f>
        <v/>
      </c>
      <c r="E434" t="str">
        <f t="shared" si="37"/>
        <v/>
      </c>
      <c r="G434" s="5" t="str">
        <f t="shared" si="38"/>
        <v/>
      </c>
      <c r="I434" s="6" t="str">
        <f t="shared" si="36"/>
        <v>0</v>
      </c>
      <c r="O434" t="s">
        <v>321</v>
      </c>
      <c r="P434">
        <f>IF(C434&lt;&gt;"",C434,_xlfn.XLOOKUP(B434,AI_NAMES!D:D,AI_NAMES!E:E,"",0))</f>
        <v>0</v>
      </c>
    </row>
    <row r="435" spans="1:16" x14ac:dyDescent="0.2">
      <c r="A435" t="s">
        <v>529</v>
      </c>
      <c r="B435" t="str">
        <f>IF(O435&lt;&gt;"",O435,_xlfn.XLOOKUP(A435,AI_NAMES!C:C,AI_NAMES!D:D,"",0))</f>
        <v/>
      </c>
      <c r="E435" t="str">
        <f t="shared" si="37"/>
        <v/>
      </c>
      <c r="G435" s="5" t="str">
        <f t="shared" si="38"/>
        <v/>
      </c>
      <c r="I435" s="6" t="str">
        <f t="shared" si="36"/>
        <v>0</v>
      </c>
      <c r="O435" t="s">
        <v>321</v>
      </c>
      <c r="P435">
        <f>IF(C435&lt;&gt;"",C435,_xlfn.XLOOKUP(B435,AI_NAMES!D:D,AI_NAMES!E:E,"",0))</f>
        <v>0</v>
      </c>
    </row>
    <row r="436" spans="1:16" x14ac:dyDescent="0.2">
      <c r="A436" t="s">
        <v>530</v>
      </c>
      <c r="B436" t="str">
        <f>IF(O436&lt;&gt;"",O436,_xlfn.XLOOKUP(A436,AI_NAMES!C:C,AI_NAMES!D:D,"",0))</f>
        <v/>
      </c>
      <c r="E436" t="str">
        <f t="shared" si="37"/>
        <v/>
      </c>
      <c r="G436" s="5" t="str">
        <f t="shared" si="38"/>
        <v/>
      </c>
      <c r="I436" s="6" t="str">
        <f t="shared" si="36"/>
        <v>0</v>
      </c>
      <c r="O436" t="s">
        <v>321</v>
      </c>
      <c r="P436">
        <f>IF(C436&lt;&gt;"",C436,_xlfn.XLOOKUP(B436,AI_NAMES!D:D,AI_NAMES!E:E,"",0))</f>
        <v>0</v>
      </c>
    </row>
    <row r="437" spans="1:16" x14ac:dyDescent="0.2">
      <c r="A437" t="s">
        <v>531</v>
      </c>
      <c r="B437" t="str">
        <f>IF(O437&lt;&gt;"",O437,_xlfn.XLOOKUP(A437,AI_NAMES!C:C,AI_NAMES!D:D,"",0))</f>
        <v/>
      </c>
      <c r="E437" t="str">
        <f t="shared" si="37"/>
        <v/>
      </c>
      <c r="G437" s="5" t="str">
        <f t="shared" si="38"/>
        <v/>
      </c>
      <c r="I437" s="6" t="str">
        <f t="shared" si="36"/>
        <v>0</v>
      </c>
      <c r="O437" t="s">
        <v>321</v>
      </c>
      <c r="P437">
        <f>IF(C437&lt;&gt;"",C437,_xlfn.XLOOKUP(B437,AI_NAMES!D:D,AI_NAMES!E:E,"",0))</f>
        <v>0</v>
      </c>
    </row>
    <row r="438" spans="1:16" x14ac:dyDescent="0.2">
      <c r="A438" t="s">
        <v>532</v>
      </c>
      <c r="B438" t="str">
        <f>IF(O438&lt;&gt;"",O438,_xlfn.XLOOKUP(A438,AI_NAMES!C:C,AI_NAMES!D:D,"",0))</f>
        <v/>
      </c>
      <c r="E438" t="str">
        <f t="shared" si="37"/>
        <v/>
      </c>
      <c r="G438" s="5" t="str">
        <f t="shared" si="38"/>
        <v/>
      </c>
      <c r="I438" s="6" t="str">
        <f t="shared" si="36"/>
        <v>0</v>
      </c>
      <c r="O438" t="s">
        <v>321</v>
      </c>
      <c r="P438">
        <f>IF(C438&lt;&gt;"",C438,_xlfn.XLOOKUP(B438,AI_NAMES!D:D,AI_NAMES!E:E,"",0))</f>
        <v>0</v>
      </c>
    </row>
    <row r="439" spans="1:16" x14ac:dyDescent="0.2">
      <c r="A439" t="s">
        <v>533</v>
      </c>
      <c r="B439" t="str">
        <f>IF(O439&lt;&gt;"",O439,_xlfn.XLOOKUP(A439,AI_NAMES!C:C,AI_NAMES!D:D,"",0))</f>
        <v/>
      </c>
      <c r="E439" t="str">
        <f t="shared" si="37"/>
        <v/>
      </c>
      <c r="G439" s="5" t="str">
        <f t="shared" si="38"/>
        <v/>
      </c>
      <c r="I439" s="6" t="str">
        <f t="shared" si="36"/>
        <v>0</v>
      </c>
      <c r="O439" t="s">
        <v>321</v>
      </c>
      <c r="P439">
        <f>IF(C439&lt;&gt;"",C439,_xlfn.XLOOKUP(B439,AI_NAMES!D:D,AI_NAMES!E:E,"",0))</f>
        <v>0</v>
      </c>
    </row>
    <row r="440" spans="1:16" x14ac:dyDescent="0.2">
      <c r="A440" t="s">
        <v>534</v>
      </c>
      <c r="B440" t="str">
        <f>IF(O440&lt;&gt;"",O440,_xlfn.XLOOKUP(A440,AI_NAMES!C:C,AI_NAMES!D:D,"",0))</f>
        <v/>
      </c>
      <c r="E440" t="str">
        <f t="shared" si="37"/>
        <v/>
      </c>
      <c r="G440" s="5" t="str">
        <f t="shared" si="38"/>
        <v/>
      </c>
      <c r="I440" s="6" t="str">
        <f t="shared" si="36"/>
        <v>0</v>
      </c>
      <c r="O440" t="s">
        <v>321</v>
      </c>
      <c r="P440">
        <f>IF(C440&lt;&gt;"",C440,_xlfn.XLOOKUP(B440,AI_NAMES!D:D,AI_NAMES!E:E,"",0))</f>
        <v>0</v>
      </c>
    </row>
    <row r="441" spans="1:16" x14ac:dyDescent="0.2">
      <c r="A441" t="s">
        <v>535</v>
      </c>
      <c r="B441" t="str">
        <f>IF(O441&lt;&gt;"",O441,_xlfn.XLOOKUP(A441,AI_NAMES!C:C,AI_NAMES!D:D,"",0))</f>
        <v/>
      </c>
      <c r="E441" t="str">
        <f t="shared" si="37"/>
        <v/>
      </c>
      <c r="G441" s="5" t="str">
        <f t="shared" si="38"/>
        <v/>
      </c>
      <c r="I441" s="6" t="str">
        <f t="shared" si="36"/>
        <v>0</v>
      </c>
      <c r="O441" t="s">
        <v>321</v>
      </c>
      <c r="P441">
        <f>IF(C441&lt;&gt;"",C441,_xlfn.XLOOKUP(B441,AI_NAMES!D:D,AI_NAMES!E:E,"",0))</f>
        <v>0</v>
      </c>
    </row>
    <row r="442" spans="1:16" x14ac:dyDescent="0.2">
      <c r="A442" t="s">
        <v>536</v>
      </c>
      <c r="B442" t="str">
        <f>IF(O442&lt;&gt;"",O442,_xlfn.XLOOKUP(A442,AI_NAMES!C:C,AI_NAMES!D:D,"",0))</f>
        <v/>
      </c>
      <c r="E442" t="str">
        <f t="shared" si="37"/>
        <v/>
      </c>
      <c r="G442" s="5" t="str">
        <f t="shared" si="38"/>
        <v/>
      </c>
      <c r="I442" s="6" t="str">
        <f t="shared" si="36"/>
        <v>0</v>
      </c>
      <c r="O442" t="s">
        <v>321</v>
      </c>
      <c r="P442">
        <f>IF(C442&lt;&gt;"",C442,_xlfn.XLOOKUP(B442,AI_NAMES!D:D,AI_NAMES!E:E,"",0))</f>
        <v>0</v>
      </c>
    </row>
    <row r="443" spans="1:16" x14ac:dyDescent="0.2">
      <c r="A443" t="s">
        <v>537</v>
      </c>
      <c r="B443" t="str">
        <f>IF(O443&lt;&gt;"",O443,_xlfn.XLOOKUP(A443,AI_NAMES!C:C,AI_NAMES!D:D,"",0))</f>
        <v/>
      </c>
      <c r="E443" t="str">
        <f t="shared" si="37"/>
        <v/>
      </c>
      <c r="G443" s="5" t="str">
        <f t="shared" si="38"/>
        <v/>
      </c>
      <c r="I443" s="6" t="str">
        <f t="shared" si="36"/>
        <v>0</v>
      </c>
      <c r="O443" t="s">
        <v>321</v>
      </c>
      <c r="P443">
        <f>IF(C443&lt;&gt;"",C443,_xlfn.XLOOKUP(B443,AI_NAMES!D:D,AI_NAMES!E:E,"",0))</f>
        <v>0</v>
      </c>
    </row>
    <row r="444" spans="1:16" x14ac:dyDescent="0.2">
      <c r="A444" t="s">
        <v>538</v>
      </c>
      <c r="B444" t="str">
        <f>IF(O444&lt;&gt;"",O444,_xlfn.XLOOKUP(A444,AI_NAMES!C:C,AI_NAMES!D:D,"",0))</f>
        <v>MonsterAttackTypeTable</v>
      </c>
      <c r="E444" t="str">
        <f t="shared" si="37"/>
        <v/>
      </c>
      <c r="G444" s="5" t="str">
        <f t="shared" si="38"/>
        <v/>
      </c>
      <c r="I444" s="6" t="str">
        <f t="shared" si="36"/>
        <v>0</v>
      </c>
      <c r="O444" t="s">
        <v>3363</v>
      </c>
      <c r="P444" t="str">
        <f>IF(C444&lt;&gt;"",C444,_xlfn.XLOOKUP(B444,AI_NAMES!D:D,AI_NAMES!E:E,"",0))</f>
        <v/>
      </c>
    </row>
    <row r="445" spans="1:16" x14ac:dyDescent="0.2">
      <c r="A445" t="s">
        <v>539</v>
      </c>
      <c r="B445" t="str">
        <f>IF(O445&lt;&gt;"",O445,_xlfn.XLOOKUP(A445,AI_NAMES!C:C,AI_NAMES!D:D,"",0))</f>
        <v>AttackType_DroneSpells</v>
      </c>
      <c r="E445" t="str">
        <f t="shared" si="37"/>
        <v/>
      </c>
      <c r="G445" s="5" t="str">
        <f t="shared" si="38"/>
        <v/>
      </c>
      <c r="I445" s="6" t="str">
        <f t="shared" si="36"/>
        <v>0</v>
      </c>
      <c r="O445" t="s">
        <v>3367</v>
      </c>
      <c r="P445" t="str">
        <f>IF(C445&lt;&gt;"",C445,_xlfn.XLOOKUP(B445,AI_NAMES!D:D,AI_NAMES!E:E,"",0))</f>
        <v/>
      </c>
    </row>
    <row r="446" spans="1:16" x14ac:dyDescent="0.2">
      <c r="A446" t="s">
        <v>540</v>
      </c>
      <c r="B446" t="str">
        <f>IF(O446&lt;&gt;"",O446,_xlfn.XLOOKUP(A446,AI_NAMES!C:C,AI_NAMES!D:D,"",0))</f>
        <v>MonsterAttackSpells</v>
      </c>
      <c r="C446" s="5" t="s">
        <v>48</v>
      </c>
      <c r="D446" t="s">
        <v>3340</v>
      </c>
      <c r="E446" t="str">
        <f t="shared" si="37"/>
        <v>data/monsters.spellbook.block</v>
      </c>
      <c r="F446" t="s">
        <v>3339</v>
      </c>
      <c r="G446" s="5">
        <f t="shared" si="38"/>
        <v>4674</v>
      </c>
      <c r="H446" s="5">
        <v>16</v>
      </c>
      <c r="I446" s="6" t="str">
        <f t="shared" si="36"/>
        <v>10</v>
      </c>
      <c r="O446" t="s">
        <v>3338</v>
      </c>
      <c r="P446" t="str">
        <f>IF(C446&lt;&gt;"",C446,_xlfn.XLOOKUP(B446,AI_NAMES!D:D,AI_NAMES!E:E,"",0))</f>
        <v>data</v>
      </c>
    </row>
    <row r="447" spans="1:16" x14ac:dyDescent="0.2">
      <c r="A447" t="s">
        <v>541</v>
      </c>
      <c r="B447" t="str">
        <f>IF(O447&lt;&gt;"",O447,_xlfn.XLOOKUP(A447,AI_NAMES!C:C,AI_NAMES!D:D,"",0))</f>
        <v>AttackType_Spells</v>
      </c>
      <c r="E447" t="str">
        <f t="shared" si="37"/>
        <v/>
      </c>
      <c r="G447" s="5" t="str">
        <f t="shared" si="38"/>
        <v/>
      </c>
      <c r="I447" s="6" t="str">
        <f t="shared" si="36"/>
        <v>0</v>
      </c>
      <c r="O447" t="s">
        <v>3365</v>
      </c>
      <c r="P447" t="str">
        <f>IF(C447&lt;&gt;"",C447,_xlfn.XLOOKUP(B447,AI_NAMES!D:D,AI_NAMES!E:E,"",0))</f>
        <v/>
      </c>
    </row>
    <row r="448" spans="1:16" x14ac:dyDescent="0.2">
      <c r="A448" t="s">
        <v>542</v>
      </c>
      <c r="B448" t="str">
        <f>IF(O448&lt;&gt;"",O448,_xlfn.XLOOKUP(A448,AI_NAMES!C:C,AI_NAMES!D:D,"",0))</f>
        <v/>
      </c>
      <c r="E448" t="str">
        <f t="shared" si="37"/>
        <v/>
      </c>
      <c r="G448" s="5" t="str">
        <f t="shared" si="38"/>
        <v/>
      </c>
      <c r="I448" s="6" t="str">
        <f t="shared" si="36"/>
        <v>0</v>
      </c>
      <c r="O448" t="s">
        <v>321</v>
      </c>
      <c r="P448">
        <f>IF(C448&lt;&gt;"",C448,_xlfn.XLOOKUP(B448,AI_NAMES!D:D,AI_NAMES!E:E,"",0))</f>
        <v>0</v>
      </c>
    </row>
    <row r="449" spans="1:16" x14ac:dyDescent="0.2">
      <c r="A449" t="s">
        <v>543</v>
      </c>
      <c r="B449" t="str">
        <f>IF(O449&lt;&gt;"",O449,_xlfn.XLOOKUP(A449,AI_NAMES!C:C,AI_NAMES!D:D,"",0))</f>
        <v/>
      </c>
      <c r="E449" t="str">
        <f t="shared" si="37"/>
        <v/>
      </c>
      <c r="G449" s="5" t="str">
        <f t="shared" si="38"/>
        <v/>
      </c>
      <c r="I449" s="6" t="str">
        <f t="shared" si="36"/>
        <v>0</v>
      </c>
      <c r="O449" t="s">
        <v>321</v>
      </c>
      <c r="P449">
        <f>IF(C449&lt;&gt;"",C449,_xlfn.XLOOKUP(B449,AI_NAMES!D:D,AI_NAMES!E:E,"",0))</f>
        <v>0</v>
      </c>
    </row>
    <row r="450" spans="1:16" x14ac:dyDescent="0.2">
      <c r="A450" t="s">
        <v>544</v>
      </c>
      <c r="B450" t="str">
        <f>IF(O450&lt;&gt;"",O450,_xlfn.XLOOKUP(A450,AI_NAMES!C:C,AI_NAMES!D:D,"",0))</f>
        <v/>
      </c>
      <c r="E450" t="str">
        <f t="shared" si="37"/>
        <v/>
      </c>
      <c r="G450" s="5" t="str">
        <f t="shared" si="38"/>
        <v/>
      </c>
      <c r="I450" s="6" t="str">
        <f t="shared" si="36"/>
        <v>0</v>
      </c>
      <c r="O450" t="s">
        <v>321</v>
      </c>
      <c r="P450">
        <f>IF(C450&lt;&gt;"",C450,_xlfn.XLOOKUP(B450,AI_NAMES!D:D,AI_NAMES!E:E,"",0))</f>
        <v>0</v>
      </c>
    </row>
    <row r="451" spans="1:16" x14ac:dyDescent="0.2">
      <c r="A451" t="s">
        <v>545</v>
      </c>
      <c r="B451" t="str">
        <f>IF(O451&lt;&gt;"",O451,_xlfn.XLOOKUP(A451,AI_NAMES!C:C,AI_NAMES!D:D,"",0))</f>
        <v/>
      </c>
      <c r="E451" t="str">
        <f t="shared" si="37"/>
        <v/>
      </c>
      <c r="G451" s="5" t="str">
        <f t="shared" si="38"/>
        <v/>
      </c>
      <c r="I451" s="6" t="str">
        <f t="shared" ref="I451:I514" si="39">IFERROR(DEC2HEX(H451),"")</f>
        <v>0</v>
      </c>
      <c r="O451" t="s">
        <v>321</v>
      </c>
      <c r="P451">
        <f>IF(C451&lt;&gt;"",C451,_xlfn.XLOOKUP(B451,AI_NAMES!D:D,AI_NAMES!E:E,"",0))</f>
        <v>0</v>
      </c>
    </row>
    <row r="452" spans="1:16" x14ac:dyDescent="0.2">
      <c r="A452" t="s">
        <v>546</v>
      </c>
      <c r="B452" t="str">
        <f>IF(O452&lt;&gt;"",O452,_xlfn.XLOOKUP(A452,AI_NAMES!C:C,AI_NAMES!D:D,"",0))</f>
        <v>AttackType_NoSpells</v>
      </c>
      <c r="E452" t="str">
        <f t="shared" ref="E452:E515" si="40">IF(D452&lt;&gt;"",C452&amp;"/"&amp;D452,"")</f>
        <v/>
      </c>
      <c r="G452" s="5" t="str">
        <f t="shared" si="38"/>
        <v/>
      </c>
      <c r="I452" s="6" t="str">
        <f t="shared" si="39"/>
        <v>0</v>
      </c>
      <c r="O452" t="s">
        <v>3364</v>
      </c>
      <c r="P452" t="str">
        <f>IF(C452&lt;&gt;"",C452,_xlfn.XLOOKUP(B452,AI_NAMES!D:D,AI_NAMES!E:E,"",0))</f>
        <v/>
      </c>
    </row>
    <row r="453" spans="1:16" x14ac:dyDescent="0.2">
      <c r="A453" t="s">
        <v>547</v>
      </c>
      <c r="B453" t="str">
        <f>IF(O453&lt;&gt;"",O453,_xlfn.XLOOKUP(A453,AI_NAMES!C:C,AI_NAMES!D:D,"",0))</f>
        <v>AttackType_ArcBoltMachine</v>
      </c>
      <c r="E453" t="str">
        <f t="shared" si="40"/>
        <v/>
      </c>
      <c r="G453" s="5" t="str">
        <f t="shared" si="38"/>
        <v/>
      </c>
      <c r="I453" s="6" t="str">
        <f t="shared" si="39"/>
        <v>0</v>
      </c>
      <c r="O453" t="s">
        <v>3368</v>
      </c>
      <c r="P453" t="str">
        <f>IF(C453&lt;&gt;"",C453,_xlfn.XLOOKUP(B453,AI_NAMES!D:D,AI_NAMES!E:E,"",0))</f>
        <v/>
      </c>
    </row>
    <row r="454" spans="1:16" x14ac:dyDescent="0.2">
      <c r="A454" t="s">
        <v>548</v>
      </c>
      <c r="B454" t="str">
        <f>IF(O454&lt;&gt;"",O454,_xlfn.XLOOKUP(A454,AI_NAMES!C:C,AI_NAMES!D:D,"",0))</f>
        <v/>
      </c>
      <c r="E454" t="str">
        <f t="shared" si="40"/>
        <v/>
      </c>
      <c r="G454" s="5" t="str">
        <f t="shared" si="38"/>
        <v/>
      </c>
      <c r="I454" s="6" t="str">
        <f t="shared" si="39"/>
        <v>0</v>
      </c>
      <c r="O454" t="s">
        <v>321</v>
      </c>
      <c r="P454">
        <f>IF(C454&lt;&gt;"",C454,_xlfn.XLOOKUP(B454,AI_NAMES!D:D,AI_NAMES!E:E,"",0))</f>
        <v>0</v>
      </c>
    </row>
    <row r="455" spans="1:16" x14ac:dyDescent="0.2">
      <c r="A455" t="s">
        <v>549</v>
      </c>
      <c r="B455" t="str">
        <f>IF(O455&lt;&gt;"",O455,_xlfn.XLOOKUP(A455,AI_NAMES!C:C,AI_NAMES!D:D,"",0))</f>
        <v/>
      </c>
      <c r="E455" t="str">
        <f t="shared" si="40"/>
        <v/>
      </c>
      <c r="G455" s="5" t="str">
        <f t="shared" si="38"/>
        <v/>
      </c>
      <c r="I455" s="6" t="str">
        <f t="shared" si="39"/>
        <v>0</v>
      </c>
      <c r="O455" t="s">
        <v>321</v>
      </c>
      <c r="P455">
        <f>IF(C455&lt;&gt;"",C455,_xlfn.XLOOKUP(B455,AI_NAMES!D:D,AI_NAMES!E:E,"",0))</f>
        <v>0</v>
      </c>
    </row>
    <row r="456" spans="1:16" x14ac:dyDescent="0.2">
      <c r="A456" t="s">
        <v>550</v>
      </c>
      <c r="B456" t="str">
        <f>IF(O456&lt;&gt;"",O456,_xlfn.XLOOKUP(A456,AI_NAMES!C:C,AI_NAMES!D:D,"",0))</f>
        <v/>
      </c>
      <c r="E456" t="str">
        <f t="shared" si="40"/>
        <v/>
      </c>
      <c r="G456" s="5" t="str">
        <f t="shared" si="38"/>
        <v/>
      </c>
      <c r="I456" s="6" t="str">
        <f t="shared" si="39"/>
        <v>0</v>
      </c>
      <c r="O456" t="s">
        <v>321</v>
      </c>
      <c r="P456">
        <f>IF(C456&lt;&gt;"",C456,_xlfn.XLOOKUP(B456,AI_NAMES!D:D,AI_NAMES!E:E,"",0))</f>
        <v>0</v>
      </c>
    </row>
    <row r="457" spans="1:16" x14ac:dyDescent="0.2">
      <c r="A457" t="s">
        <v>551</v>
      </c>
      <c r="B457" t="str">
        <f>IF(O457&lt;&gt;"",O457,_xlfn.XLOOKUP(A457,AI_NAMES!C:C,AI_NAMES!D:D,"",0))</f>
        <v/>
      </c>
      <c r="E457" t="str">
        <f t="shared" si="40"/>
        <v/>
      </c>
      <c r="G457" s="5" t="str">
        <f t="shared" ref="G457:G520" si="41">IF(F457&lt;&gt;"",HEX2DEC(SUBSTITUTE(SUBSTITUTE(F457,"adrEA",""),"$","")),"")</f>
        <v/>
      </c>
      <c r="I457" s="6" t="str">
        <f t="shared" si="39"/>
        <v>0</v>
      </c>
      <c r="O457" t="s">
        <v>321</v>
      </c>
      <c r="P457">
        <f>IF(C457&lt;&gt;"",C457,_xlfn.XLOOKUP(B457,AI_NAMES!D:D,AI_NAMES!E:E,"",0))</f>
        <v>0</v>
      </c>
    </row>
    <row r="458" spans="1:16" x14ac:dyDescent="0.2">
      <c r="A458" t="s">
        <v>552</v>
      </c>
      <c r="B458" t="str">
        <f>IF(O458&lt;&gt;"",O458,_xlfn.XLOOKUP(A458,AI_NAMES!C:C,AI_NAMES!D:D,"",0))</f>
        <v/>
      </c>
      <c r="E458" t="str">
        <f t="shared" si="40"/>
        <v/>
      </c>
      <c r="G458" s="5" t="str">
        <f t="shared" si="41"/>
        <v/>
      </c>
      <c r="I458" s="6" t="str">
        <f t="shared" si="39"/>
        <v>0</v>
      </c>
      <c r="O458" t="s">
        <v>321</v>
      </c>
      <c r="P458">
        <f>IF(C458&lt;&gt;"",C458,_xlfn.XLOOKUP(B458,AI_NAMES!D:D,AI_NAMES!E:E,"",0))</f>
        <v>0</v>
      </c>
    </row>
    <row r="459" spans="1:16" x14ac:dyDescent="0.2">
      <c r="A459" t="s">
        <v>553</v>
      </c>
      <c r="B459" t="str">
        <f>IF(O459&lt;&gt;"",O459,_xlfn.XLOOKUP(A459,AI_NAMES!C:C,AI_NAMES!D:D,"",0))</f>
        <v/>
      </c>
      <c r="E459" t="str">
        <f t="shared" si="40"/>
        <v/>
      </c>
      <c r="G459" s="5" t="str">
        <f t="shared" si="41"/>
        <v/>
      </c>
      <c r="I459" s="6" t="str">
        <f t="shared" si="39"/>
        <v>0</v>
      </c>
      <c r="O459" t="s">
        <v>321</v>
      </c>
      <c r="P459">
        <f>IF(C459&lt;&gt;"",C459,_xlfn.XLOOKUP(B459,AI_NAMES!D:D,AI_NAMES!E:E,"",0))</f>
        <v>0</v>
      </c>
    </row>
    <row r="460" spans="1:16" x14ac:dyDescent="0.2">
      <c r="A460" t="s">
        <v>554</v>
      </c>
      <c r="B460" t="str">
        <f>IF(O460&lt;&gt;"",O460,_xlfn.XLOOKUP(A460,AI_NAMES!C:C,AI_NAMES!D:D,"",0))</f>
        <v/>
      </c>
      <c r="E460" t="str">
        <f t="shared" si="40"/>
        <v/>
      </c>
      <c r="G460" s="5" t="str">
        <f t="shared" si="41"/>
        <v/>
      </c>
      <c r="I460" s="6" t="str">
        <f t="shared" si="39"/>
        <v>0</v>
      </c>
      <c r="O460" t="s">
        <v>321</v>
      </c>
      <c r="P460">
        <f>IF(C460&lt;&gt;"",C460,_xlfn.XLOOKUP(B460,AI_NAMES!D:D,AI_NAMES!E:E,"",0))</f>
        <v>0</v>
      </c>
    </row>
    <row r="461" spans="1:16" x14ac:dyDescent="0.2">
      <c r="A461" t="s">
        <v>555</v>
      </c>
      <c r="B461" t="str">
        <f>IF(O461&lt;&gt;"",O461,_xlfn.XLOOKUP(A461,AI_NAMES!C:C,AI_NAMES!D:D,"",0))</f>
        <v>AttackType_Drone</v>
      </c>
      <c r="E461" t="str">
        <f t="shared" si="40"/>
        <v/>
      </c>
      <c r="G461" s="5" t="str">
        <f t="shared" si="41"/>
        <v/>
      </c>
      <c r="I461" s="6" t="str">
        <f t="shared" si="39"/>
        <v>0</v>
      </c>
      <c r="O461" t="s">
        <v>3366</v>
      </c>
      <c r="P461" t="str">
        <f>IF(C461&lt;&gt;"",C461,_xlfn.XLOOKUP(B461,AI_NAMES!D:D,AI_NAMES!E:E,"",0))</f>
        <v/>
      </c>
    </row>
    <row r="462" spans="1:16" x14ac:dyDescent="0.2">
      <c r="A462" t="s">
        <v>556</v>
      </c>
      <c r="B462" t="str">
        <f>IF(O462&lt;&gt;"",O462,_xlfn.XLOOKUP(A462,AI_NAMES!C:C,AI_NAMES!D:D,"",0))</f>
        <v/>
      </c>
      <c r="E462" t="str">
        <f t="shared" si="40"/>
        <v/>
      </c>
      <c r="G462" s="5" t="str">
        <f t="shared" si="41"/>
        <v/>
      </c>
      <c r="I462" s="6" t="str">
        <f t="shared" si="39"/>
        <v>0</v>
      </c>
      <c r="O462" t="s">
        <v>321</v>
      </c>
      <c r="P462">
        <f>IF(C462&lt;&gt;"",C462,_xlfn.XLOOKUP(B462,AI_NAMES!D:D,AI_NAMES!E:E,"",0))</f>
        <v>0</v>
      </c>
    </row>
    <row r="463" spans="1:16" x14ac:dyDescent="0.2">
      <c r="A463" t="s">
        <v>557</v>
      </c>
      <c r="B463" t="str">
        <f>IF(O463&lt;&gt;"",O463,_xlfn.XLOOKUP(A463,AI_NAMES!C:C,AI_NAMES!D:D,"",0))</f>
        <v/>
      </c>
      <c r="E463" t="str">
        <f t="shared" si="40"/>
        <v/>
      </c>
      <c r="G463" s="5" t="str">
        <f t="shared" si="41"/>
        <v/>
      </c>
      <c r="I463" s="6" t="str">
        <f t="shared" si="39"/>
        <v>0</v>
      </c>
      <c r="O463" t="s">
        <v>321</v>
      </c>
      <c r="P463">
        <f>IF(C463&lt;&gt;"",C463,_xlfn.XLOOKUP(B463,AI_NAMES!D:D,AI_NAMES!E:E,"",0))</f>
        <v>0</v>
      </c>
    </row>
    <row r="464" spans="1:16" x14ac:dyDescent="0.2">
      <c r="A464" t="s">
        <v>558</v>
      </c>
      <c r="B464" t="str">
        <f>IF(O464&lt;&gt;"",O464,_xlfn.XLOOKUP(A464,AI_NAMES!C:C,AI_NAMES!D:D,"",0))</f>
        <v/>
      </c>
      <c r="E464" t="str">
        <f t="shared" si="40"/>
        <v/>
      </c>
      <c r="G464" s="5" t="str">
        <f t="shared" si="41"/>
        <v/>
      </c>
      <c r="I464" s="6" t="str">
        <f t="shared" si="39"/>
        <v>0</v>
      </c>
      <c r="O464" t="s">
        <v>321</v>
      </c>
      <c r="P464">
        <f>IF(C464&lt;&gt;"",C464,_xlfn.XLOOKUP(B464,AI_NAMES!D:D,AI_NAMES!E:E,"",0))</f>
        <v>0</v>
      </c>
    </row>
    <row r="465" spans="1:16" x14ac:dyDescent="0.2">
      <c r="A465" t="s">
        <v>559</v>
      </c>
      <c r="B465" t="str">
        <f>IF(O465&lt;&gt;"",O465,_xlfn.XLOOKUP(A465,AI_NAMES!C:C,AI_NAMES!D:D,"",0))</f>
        <v/>
      </c>
      <c r="E465" t="str">
        <f t="shared" si="40"/>
        <v/>
      </c>
      <c r="G465" s="5" t="str">
        <f t="shared" si="41"/>
        <v/>
      </c>
      <c r="I465" s="6" t="str">
        <f t="shared" si="39"/>
        <v>0</v>
      </c>
      <c r="O465" t="s">
        <v>321</v>
      </c>
      <c r="P465">
        <f>IF(C465&lt;&gt;"",C465,_xlfn.XLOOKUP(B465,AI_NAMES!D:D,AI_NAMES!E:E,"",0))</f>
        <v>0</v>
      </c>
    </row>
    <row r="466" spans="1:16" x14ac:dyDescent="0.2">
      <c r="A466" t="s">
        <v>560</v>
      </c>
      <c r="B466" t="str">
        <f>IF(O466&lt;&gt;"",O466,_xlfn.XLOOKUP(A466,AI_NAMES!C:C,AI_NAMES!D:D,"",0))</f>
        <v/>
      </c>
      <c r="E466" t="str">
        <f t="shared" si="40"/>
        <v/>
      </c>
      <c r="G466" s="5" t="str">
        <f t="shared" si="41"/>
        <v/>
      </c>
      <c r="I466" s="6" t="str">
        <f t="shared" si="39"/>
        <v>0</v>
      </c>
      <c r="O466" t="s">
        <v>321</v>
      </c>
      <c r="P466">
        <f>IF(C466&lt;&gt;"",C466,_xlfn.XLOOKUP(B466,AI_NAMES!D:D,AI_NAMES!E:E,"",0))</f>
        <v>0</v>
      </c>
    </row>
    <row r="467" spans="1:16" x14ac:dyDescent="0.2">
      <c r="A467" t="s">
        <v>561</v>
      </c>
      <c r="B467" t="str">
        <f>IF(O467&lt;&gt;"",O467,_xlfn.XLOOKUP(A467,AI_NAMES!C:C,AI_NAMES!D:D,"",0))</f>
        <v/>
      </c>
      <c r="E467" t="str">
        <f t="shared" si="40"/>
        <v/>
      </c>
      <c r="G467" s="5" t="str">
        <f t="shared" si="41"/>
        <v/>
      </c>
      <c r="I467" s="6" t="str">
        <f t="shared" si="39"/>
        <v>0</v>
      </c>
      <c r="O467" t="s">
        <v>321</v>
      </c>
      <c r="P467">
        <f>IF(C467&lt;&gt;"",C467,_xlfn.XLOOKUP(B467,AI_NAMES!D:D,AI_NAMES!E:E,"",0))</f>
        <v>0</v>
      </c>
    </row>
    <row r="468" spans="1:16" x14ac:dyDescent="0.2">
      <c r="A468" t="s">
        <v>562</v>
      </c>
      <c r="B468" t="str">
        <f>IF(O468&lt;&gt;"",O468,_xlfn.XLOOKUP(A468,AI_NAMES!C:C,AI_NAMES!D:D,"",0))</f>
        <v/>
      </c>
      <c r="E468" t="str">
        <f t="shared" si="40"/>
        <v/>
      </c>
      <c r="G468" s="5" t="str">
        <f t="shared" si="41"/>
        <v/>
      </c>
      <c r="I468" s="6" t="str">
        <f t="shared" si="39"/>
        <v>0</v>
      </c>
      <c r="O468" t="s">
        <v>321</v>
      </c>
      <c r="P468">
        <f>IF(C468&lt;&gt;"",C468,_xlfn.XLOOKUP(B468,AI_NAMES!D:D,AI_NAMES!E:E,"",0))</f>
        <v>0</v>
      </c>
    </row>
    <row r="469" spans="1:16" x14ac:dyDescent="0.2">
      <c r="A469" t="s">
        <v>563</v>
      </c>
      <c r="B469" t="str">
        <f>IF(O469&lt;&gt;"",O469,_xlfn.XLOOKUP(A469,AI_NAMES!C:C,AI_NAMES!D:D,"",0))</f>
        <v>Monster_Movement_DataTable</v>
      </c>
      <c r="E469" t="str">
        <f t="shared" si="40"/>
        <v/>
      </c>
      <c r="G469" s="5" t="str">
        <f t="shared" si="41"/>
        <v/>
      </c>
      <c r="I469" s="6" t="str">
        <f t="shared" si="39"/>
        <v>0</v>
      </c>
      <c r="O469" t="s">
        <v>3369</v>
      </c>
      <c r="P469" t="str">
        <f>IF(C469&lt;&gt;"",C469,_xlfn.XLOOKUP(B469,AI_NAMES!D:D,AI_NAMES!E:E,"",0))</f>
        <v/>
      </c>
    </row>
    <row r="470" spans="1:16" x14ac:dyDescent="0.2">
      <c r="A470" t="s">
        <v>564</v>
      </c>
      <c r="B470" t="str">
        <f>IF(O470&lt;&gt;"",O470,_xlfn.XLOOKUP(A470,AI_NAMES!C:C,AI_NAMES!D:D,"",0))</f>
        <v/>
      </c>
      <c r="E470" t="str">
        <f t="shared" si="40"/>
        <v/>
      </c>
      <c r="G470" s="5" t="str">
        <f t="shared" si="41"/>
        <v/>
      </c>
      <c r="I470" s="6" t="str">
        <f t="shared" si="39"/>
        <v>0</v>
      </c>
      <c r="O470" t="s">
        <v>321</v>
      </c>
      <c r="P470">
        <f>IF(C470&lt;&gt;"",C470,_xlfn.XLOOKUP(B470,AI_NAMES!D:D,AI_NAMES!E:E,"",0))</f>
        <v>0</v>
      </c>
    </row>
    <row r="471" spans="1:16" x14ac:dyDescent="0.2">
      <c r="A471" t="s">
        <v>565</v>
      </c>
      <c r="B471" t="str">
        <f>IF(O471&lt;&gt;"",O471,_xlfn.XLOOKUP(A471,AI_NAMES!C:C,AI_NAMES!D:D,"",0))</f>
        <v/>
      </c>
      <c r="E471" t="str">
        <f t="shared" si="40"/>
        <v/>
      </c>
      <c r="G471" s="5" t="str">
        <f t="shared" si="41"/>
        <v/>
      </c>
      <c r="I471" s="6" t="str">
        <f t="shared" si="39"/>
        <v>0</v>
      </c>
      <c r="O471" t="s">
        <v>321</v>
      </c>
      <c r="P471">
        <f>IF(C471&lt;&gt;"",C471,_xlfn.XLOOKUP(B471,AI_NAMES!D:D,AI_NAMES!E:E,"",0))</f>
        <v>0</v>
      </c>
    </row>
    <row r="472" spans="1:16" x14ac:dyDescent="0.2">
      <c r="A472" t="s">
        <v>566</v>
      </c>
      <c r="B472" t="str">
        <f>IF(O472&lt;&gt;"",O472,_xlfn.XLOOKUP(A472,AI_NAMES!C:C,AI_NAMES!D:D,"",0))</f>
        <v/>
      </c>
      <c r="E472" t="str">
        <f t="shared" si="40"/>
        <v/>
      </c>
      <c r="G472" s="5" t="str">
        <f t="shared" si="41"/>
        <v/>
      </c>
      <c r="I472" s="6" t="str">
        <f t="shared" si="39"/>
        <v>0</v>
      </c>
      <c r="O472" t="s">
        <v>321</v>
      </c>
      <c r="P472">
        <f>IF(C472&lt;&gt;"",C472,_xlfn.XLOOKUP(B472,AI_NAMES!D:D,AI_NAMES!E:E,"",0))</f>
        <v>0</v>
      </c>
    </row>
    <row r="473" spans="1:16" x14ac:dyDescent="0.2">
      <c r="A473" t="s">
        <v>567</v>
      </c>
      <c r="B473" t="str">
        <f>IF(O473&lt;&gt;"",O473,_xlfn.XLOOKUP(A473,AI_NAMES!C:C,AI_NAMES!D:D,"",0))</f>
        <v/>
      </c>
      <c r="E473" t="str">
        <f t="shared" si="40"/>
        <v/>
      </c>
      <c r="G473" s="5" t="str">
        <f t="shared" si="41"/>
        <v/>
      </c>
      <c r="I473" s="6" t="str">
        <f t="shared" si="39"/>
        <v>0</v>
      </c>
      <c r="O473" t="s">
        <v>321</v>
      </c>
      <c r="P473">
        <f>IF(C473&lt;&gt;"",C473,_xlfn.XLOOKUP(B473,AI_NAMES!D:D,AI_NAMES!E:E,"",0))</f>
        <v>0</v>
      </c>
    </row>
    <row r="474" spans="1:16" x14ac:dyDescent="0.2">
      <c r="A474" t="s">
        <v>568</v>
      </c>
      <c r="B474" t="str">
        <f>IF(O474&lt;&gt;"",O474,_xlfn.XLOOKUP(A474,AI_NAMES!C:C,AI_NAMES!D:D,"",0))</f>
        <v/>
      </c>
      <c r="E474" t="str">
        <f t="shared" si="40"/>
        <v/>
      </c>
      <c r="G474" s="5" t="str">
        <f t="shared" si="41"/>
        <v/>
      </c>
      <c r="I474" s="6" t="str">
        <f t="shared" si="39"/>
        <v>0</v>
      </c>
      <c r="O474" t="s">
        <v>321</v>
      </c>
      <c r="P474">
        <f>IF(C474&lt;&gt;"",C474,_xlfn.XLOOKUP(B474,AI_NAMES!D:D,AI_NAMES!E:E,"",0))</f>
        <v>0</v>
      </c>
    </row>
    <row r="475" spans="1:16" x14ac:dyDescent="0.2">
      <c r="A475" t="s">
        <v>569</v>
      </c>
      <c r="B475" t="str">
        <f>IF(O475&lt;&gt;"",O475,_xlfn.XLOOKUP(A475,AI_NAMES!C:C,AI_NAMES!D:D,"",0))</f>
        <v/>
      </c>
      <c r="E475" t="str">
        <f t="shared" si="40"/>
        <v/>
      </c>
      <c r="G475" s="5" t="str">
        <f t="shared" si="41"/>
        <v/>
      </c>
      <c r="I475" s="6" t="str">
        <f t="shared" si="39"/>
        <v>0</v>
      </c>
      <c r="O475" t="s">
        <v>321</v>
      </c>
      <c r="P475">
        <f>IF(C475&lt;&gt;"",C475,_xlfn.XLOOKUP(B475,AI_NAMES!D:D,AI_NAMES!E:E,"",0))</f>
        <v>0</v>
      </c>
    </row>
    <row r="476" spans="1:16" x14ac:dyDescent="0.2">
      <c r="A476" t="s">
        <v>570</v>
      </c>
      <c r="B476" t="str">
        <f>IF(O476&lt;&gt;"",O476,_xlfn.XLOOKUP(A476,AI_NAMES!C:C,AI_NAMES!D:D,"",0))</f>
        <v/>
      </c>
      <c r="E476" t="str">
        <f t="shared" si="40"/>
        <v/>
      </c>
      <c r="G476" s="5" t="str">
        <f t="shared" si="41"/>
        <v/>
      </c>
      <c r="I476" s="6" t="str">
        <f t="shared" si="39"/>
        <v>0</v>
      </c>
      <c r="O476" t="s">
        <v>321</v>
      </c>
      <c r="P476">
        <f>IF(C476&lt;&gt;"",C476,_xlfn.XLOOKUP(B476,AI_NAMES!D:D,AI_NAMES!E:E,"",0))</f>
        <v>0</v>
      </c>
    </row>
    <row r="477" spans="1:16" x14ac:dyDescent="0.2">
      <c r="A477" t="s">
        <v>571</v>
      </c>
      <c r="B477" t="str">
        <f>IF(O477&lt;&gt;"",O477,_xlfn.XLOOKUP(A477,AI_NAMES!C:C,AI_NAMES!D:D,"",0))</f>
        <v/>
      </c>
      <c r="E477" t="str">
        <f t="shared" si="40"/>
        <v/>
      </c>
      <c r="G477" s="5" t="str">
        <f t="shared" si="41"/>
        <v/>
      </c>
      <c r="I477" s="6" t="str">
        <f t="shared" si="39"/>
        <v>0</v>
      </c>
      <c r="O477" t="s">
        <v>321</v>
      </c>
      <c r="P477">
        <f>IF(C477&lt;&gt;"",C477,_xlfn.XLOOKUP(B477,AI_NAMES!D:D,AI_NAMES!E:E,"",0))</f>
        <v>0</v>
      </c>
    </row>
    <row r="478" spans="1:16" x14ac:dyDescent="0.2">
      <c r="A478" t="s">
        <v>572</v>
      </c>
      <c r="B478" t="str">
        <f>IF(O478&lt;&gt;"",O478,_xlfn.XLOOKUP(A478,AI_NAMES!C:C,AI_NAMES!D:D,"",0))</f>
        <v/>
      </c>
      <c r="E478" t="str">
        <f t="shared" si="40"/>
        <v/>
      </c>
      <c r="G478" s="5" t="str">
        <f t="shared" si="41"/>
        <v/>
      </c>
      <c r="I478" s="6" t="str">
        <f t="shared" si="39"/>
        <v>0</v>
      </c>
      <c r="O478" t="s">
        <v>321</v>
      </c>
      <c r="P478">
        <f>IF(C478&lt;&gt;"",C478,_xlfn.XLOOKUP(B478,AI_NAMES!D:D,AI_NAMES!E:E,"",0))</f>
        <v>0</v>
      </c>
    </row>
    <row r="479" spans="1:16" x14ac:dyDescent="0.2">
      <c r="A479" t="s">
        <v>573</v>
      </c>
      <c r="B479" t="str">
        <f>IF(O479&lt;&gt;"",O479,_xlfn.XLOOKUP(A479,AI_NAMES!C:C,AI_NAMES!D:D,"",0))</f>
        <v/>
      </c>
      <c r="E479" t="str">
        <f t="shared" si="40"/>
        <v/>
      </c>
      <c r="G479" s="5" t="str">
        <f t="shared" si="41"/>
        <v/>
      </c>
      <c r="I479" s="6" t="str">
        <f t="shared" si="39"/>
        <v>0</v>
      </c>
      <c r="O479" t="s">
        <v>321</v>
      </c>
      <c r="P479">
        <f>IF(C479&lt;&gt;"",C479,_xlfn.XLOOKUP(B479,AI_NAMES!D:D,AI_NAMES!E:E,"",0))</f>
        <v>0</v>
      </c>
    </row>
    <row r="480" spans="1:16" x14ac:dyDescent="0.2">
      <c r="A480" t="s">
        <v>574</v>
      </c>
      <c r="B480" t="str">
        <f>IF(O480&lt;&gt;"",O480,_xlfn.XLOOKUP(A480,AI_NAMES!C:C,AI_NAMES!D:D,"",0))</f>
        <v/>
      </c>
      <c r="E480" t="str">
        <f t="shared" si="40"/>
        <v/>
      </c>
      <c r="G480" s="5" t="str">
        <f t="shared" si="41"/>
        <v/>
      </c>
      <c r="I480" s="6" t="str">
        <f t="shared" si="39"/>
        <v>0</v>
      </c>
      <c r="O480" t="s">
        <v>321</v>
      </c>
      <c r="P480">
        <f>IF(C480&lt;&gt;"",C480,_xlfn.XLOOKUP(B480,AI_NAMES!D:D,AI_NAMES!E:E,"",0))</f>
        <v>0</v>
      </c>
    </row>
    <row r="481" spans="1:16" x14ac:dyDescent="0.2">
      <c r="A481" t="s">
        <v>575</v>
      </c>
      <c r="B481" t="str">
        <f>IF(O481&lt;&gt;"",O481,_xlfn.XLOOKUP(A481,AI_NAMES!C:C,AI_NAMES!D:D,"",0))</f>
        <v/>
      </c>
      <c r="E481" t="str">
        <f t="shared" si="40"/>
        <v/>
      </c>
      <c r="G481" s="5" t="str">
        <f t="shared" si="41"/>
        <v/>
      </c>
      <c r="I481" s="6" t="str">
        <f t="shared" si="39"/>
        <v>0</v>
      </c>
      <c r="O481" t="s">
        <v>321</v>
      </c>
      <c r="P481">
        <f>IF(C481&lt;&gt;"",C481,_xlfn.XLOOKUP(B481,AI_NAMES!D:D,AI_NAMES!E:E,"",0))</f>
        <v>0</v>
      </c>
    </row>
    <row r="482" spans="1:16" x14ac:dyDescent="0.2">
      <c r="A482" t="s">
        <v>576</v>
      </c>
      <c r="B482" t="str">
        <f>IF(O482&lt;&gt;"",O482,_xlfn.XLOOKUP(A482,AI_NAMES!C:C,AI_NAMES!D:D,"",0))</f>
        <v/>
      </c>
      <c r="E482" t="str">
        <f t="shared" si="40"/>
        <v/>
      </c>
      <c r="G482" s="5" t="str">
        <f t="shared" si="41"/>
        <v/>
      </c>
      <c r="I482" s="6" t="str">
        <f t="shared" si="39"/>
        <v>0</v>
      </c>
      <c r="O482" t="s">
        <v>321</v>
      </c>
      <c r="P482">
        <f>IF(C482&lt;&gt;"",C482,_xlfn.XLOOKUP(B482,AI_NAMES!D:D,AI_NAMES!E:E,"",0))</f>
        <v>0</v>
      </c>
    </row>
    <row r="483" spans="1:16" x14ac:dyDescent="0.2">
      <c r="A483" t="s">
        <v>577</v>
      </c>
      <c r="B483" t="str">
        <f>IF(O483&lt;&gt;"",O483,_xlfn.XLOOKUP(A483,AI_NAMES!C:C,AI_NAMES!D:D,"",0))</f>
        <v/>
      </c>
      <c r="E483" t="str">
        <f t="shared" si="40"/>
        <v/>
      </c>
      <c r="G483" s="5" t="str">
        <f t="shared" si="41"/>
        <v/>
      </c>
      <c r="I483" s="6" t="str">
        <f t="shared" si="39"/>
        <v>0</v>
      </c>
      <c r="O483" t="s">
        <v>321</v>
      </c>
      <c r="P483">
        <f>IF(C483&lt;&gt;"",C483,_xlfn.XLOOKUP(B483,AI_NAMES!D:D,AI_NAMES!E:E,"",0))</f>
        <v>0</v>
      </c>
    </row>
    <row r="484" spans="1:16" x14ac:dyDescent="0.2">
      <c r="A484" t="s">
        <v>578</v>
      </c>
      <c r="B484" t="str">
        <f>IF(O484&lt;&gt;"",O484,_xlfn.XLOOKUP(A484,AI_NAMES!C:C,AI_NAMES!D:D,"",0))</f>
        <v/>
      </c>
      <c r="E484" t="str">
        <f t="shared" si="40"/>
        <v/>
      </c>
      <c r="G484" s="5" t="str">
        <f t="shared" si="41"/>
        <v/>
      </c>
      <c r="I484" s="6" t="str">
        <f t="shared" si="39"/>
        <v>0</v>
      </c>
      <c r="O484" t="s">
        <v>321</v>
      </c>
      <c r="P484">
        <f>IF(C484&lt;&gt;"",C484,_xlfn.XLOOKUP(B484,AI_NAMES!D:D,AI_NAMES!E:E,"",0))</f>
        <v>0</v>
      </c>
    </row>
    <row r="485" spans="1:16" x14ac:dyDescent="0.2">
      <c r="A485" t="s">
        <v>579</v>
      </c>
      <c r="B485" t="str">
        <f>IF(O485&lt;&gt;"",O485,_xlfn.XLOOKUP(A485,AI_NAMES!C:C,AI_NAMES!D:D,"",0))</f>
        <v/>
      </c>
      <c r="E485" t="str">
        <f t="shared" si="40"/>
        <v/>
      </c>
      <c r="G485" s="5" t="str">
        <f t="shared" si="41"/>
        <v/>
      </c>
      <c r="I485" s="6" t="str">
        <f t="shared" si="39"/>
        <v>0</v>
      </c>
      <c r="O485" t="s">
        <v>321</v>
      </c>
      <c r="P485">
        <f>IF(C485&lt;&gt;"",C485,_xlfn.XLOOKUP(B485,AI_NAMES!D:D,AI_NAMES!E:E,"",0))</f>
        <v>0</v>
      </c>
    </row>
    <row r="486" spans="1:16" x14ac:dyDescent="0.2">
      <c r="A486" t="s">
        <v>580</v>
      </c>
      <c r="B486" t="str">
        <f>IF(O486&lt;&gt;"",O486,_xlfn.XLOOKUP(A486,AI_NAMES!C:C,AI_NAMES!D:D,"",0))</f>
        <v/>
      </c>
      <c r="E486" t="str">
        <f t="shared" si="40"/>
        <v/>
      </c>
      <c r="G486" s="5" t="str">
        <f t="shared" si="41"/>
        <v/>
      </c>
      <c r="I486" s="6" t="str">
        <f t="shared" si="39"/>
        <v>0</v>
      </c>
      <c r="O486" t="s">
        <v>321</v>
      </c>
      <c r="P486">
        <f>IF(C486&lt;&gt;"",C486,_xlfn.XLOOKUP(B486,AI_NAMES!D:D,AI_NAMES!E:E,"",0))</f>
        <v>0</v>
      </c>
    </row>
    <row r="487" spans="1:16" x14ac:dyDescent="0.2">
      <c r="A487" t="s">
        <v>581</v>
      </c>
      <c r="B487" t="str">
        <f>IF(O487&lt;&gt;"",O487,_xlfn.XLOOKUP(A487,AI_NAMES!C:C,AI_NAMES!D:D,"",0))</f>
        <v/>
      </c>
      <c r="E487" t="str">
        <f t="shared" si="40"/>
        <v/>
      </c>
      <c r="G487" s="5" t="str">
        <f t="shared" si="41"/>
        <v/>
      </c>
      <c r="I487" s="6" t="str">
        <f t="shared" si="39"/>
        <v>0</v>
      </c>
      <c r="O487" t="s">
        <v>321</v>
      </c>
      <c r="P487">
        <f>IF(C487&lt;&gt;"",C487,_xlfn.XLOOKUP(B487,AI_NAMES!D:D,AI_NAMES!E:E,"",0))</f>
        <v>0</v>
      </c>
    </row>
    <row r="488" spans="1:16" x14ac:dyDescent="0.2">
      <c r="A488" t="s">
        <v>582</v>
      </c>
      <c r="B488" t="str">
        <f>IF(O488&lt;&gt;"",O488,_xlfn.XLOOKUP(A488,AI_NAMES!C:C,AI_NAMES!D:D,"",0))</f>
        <v/>
      </c>
      <c r="E488" t="str">
        <f t="shared" si="40"/>
        <v/>
      </c>
      <c r="G488" s="5" t="str">
        <f t="shared" si="41"/>
        <v/>
      </c>
      <c r="I488" s="6" t="str">
        <f t="shared" si="39"/>
        <v>0</v>
      </c>
      <c r="O488" t="s">
        <v>321</v>
      </c>
      <c r="P488">
        <f>IF(C488&lt;&gt;"",C488,_xlfn.XLOOKUP(B488,AI_NAMES!D:D,AI_NAMES!E:E,"",0))</f>
        <v>0</v>
      </c>
    </row>
    <row r="489" spans="1:16" x14ac:dyDescent="0.2">
      <c r="A489" t="s">
        <v>583</v>
      </c>
      <c r="B489" t="str">
        <f>IF(O489&lt;&gt;"",O489,_xlfn.XLOOKUP(A489,AI_NAMES!C:C,AI_NAMES!D:D,"",0))</f>
        <v/>
      </c>
      <c r="E489" t="str">
        <f t="shared" si="40"/>
        <v/>
      </c>
      <c r="G489" s="5" t="str">
        <f t="shared" si="41"/>
        <v/>
      </c>
      <c r="I489" s="6" t="str">
        <f t="shared" si="39"/>
        <v>0</v>
      </c>
      <c r="O489" t="s">
        <v>321</v>
      </c>
      <c r="P489">
        <f>IF(C489&lt;&gt;"",C489,_xlfn.XLOOKUP(B489,AI_NAMES!D:D,AI_NAMES!E:E,"",0))</f>
        <v>0</v>
      </c>
    </row>
    <row r="490" spans="1:16" x14ac:dyDescent="0.2">
      <c r="A490" t="s">
        <v>584</v>
      </c>
      <c r="B490" t="str">
        <f>IF(O490&lt;&gt;"",O490,_xlfn.XLOOKUP(A490,AI_NAMES!C:C,AI_NAMES!D:D,"",0))</f>
        <v/>
      </c>
      <c r="E490" t="str">
        <f t="shared" si="40"/>
        <v/>
      </c>
      <c r="G490" s="5" t="str">
        <f t="shared" si="41"/>
        <v/>
      </c>
      <c r="I490" s="6" t="str">
        <f t="shared" si="39"/>
        <v>0</v>
      </c>
      <c r="O490" t="s">
        <v>321</v>
      </c>
      <c r="P490">
        <f>IF(C490&lt;&gt;"",C490,_xlfn.XLOOKUP(B490,AI_NAMES!D:D,AI_NAMES!E:E,"",0))</f>
        <v>0</v>
      </c>
    </row>
    <row r="491" spans="1:16" x14ac:dyDescent="0.2">
      <c r="A491" t="s">
        <v>585</v>
      </c>
      <c r="B491" t="str">
        <f>IF(O491&lt;&gt;"",O491,_xlfn.XLOOKUP(A491,AI_NAMES!C:C,AI_NAMES!D:D,"",0))</f>
        <v/>
      </c>
      <c r="E491" t="str">
        <f t="shared" si="40"/>
        <v/>
      </c>
      <c r="G491" s="5" t="str">
        <f t="shared" si="41"/>
        <v/>
      </c>
      <c r="I491" s="6" t="str">
        <f t="shared" si="39"/>
        <v>0</v>
      </c>
      <c r="O491" t="s">
        <v>321</v>
      </c>
      <c r="P491">
        <f>IF(C491&lt;&gt;"",C491,_xlfn.XLOOKUP(B491,AI_NAMES!D:D,AI_NAMES!E:E,"",0))</f>
        <v>0</v>
      </c>
    </row>
    <row r="492" spans="1:16" x14ac:dyDescent="0.2">
      <c r="A492" t="s">
        <v>586</v>
      </c>
      <c r="B492" t="str">
        <f>IF(O492&lt;&gt;"",O492,_xlfn.XLOOKUP(A492,AI_NAMES!C:C,AI_NAMES!D:D,"",0))</f>
        <v/>
      </c>
      <c r="E492" t="str">
        <f t="shared" si="40"/>
        <v/>
      </c>
      <c r="G492" s="5" t="str">
        <f t="shared" si="41"/>
        <v/>
      </c>
      <c r="I492" s="6" t="str">
        <f t="shared" si="39"/>
        <v>0</v>
      </c>
      <c r="O492" t="s">
        <v>321</v>
      </c>
      <c r="P492">
        <f>IF(C492&lt;&gt;"",C492,_xlfn.XLOOKUP(B492,AI_NAMES!D:D,AI_NAMES!E:E,"",0))</f>
        <v>0</v>
      </c>
    </row>
    <row r="493" spans="1:16" x14ac:dyDescent="0.2">
      <c r="A493" t="s">
        <v>587</v>
      </c>
      <c r="B493" t="str">
        <f>IF(O493&lt;&gt;"",O493,_xlfn.XLOOKUP(A493,AI_NAMES!C:C,AI_NAMES!D:D,"",0))</f>
        <v/>
      </c>
      <c r="E493" t="str">
        <f t="shared" si="40"/>
        <v/>
      </c>
      <c r="G493" s="5" t="str">
        <f t="shared" si="41"/>
        <v/>
      </c>
      <c r="I493" s="6" t="str">
        <f t="shared" si="39"/>
        <v>0</v>
      </c>
      <c r="O493" t="s">
        <v>321</v>
      </c>
      <c r="P493">
        <f>IF(C493&lt;&gt;"",C493,_xlfn.XLOOKUP(B493,AI_NAMES!D:D,AI_NAMES!E:E,"",0))</f>
        <v>0</v>
      </c>
    </row>
    <row r="494" spans="1:16" x14ac:dyDescent="0.2">
      <c r="A494" t="s">
        <v>588</v>
      </c>
      <c r="B494" t="str">
        <f>IF(O494&lt;&gt;"",O494,_xlfn.XLOOKUP(A494,AI_NAMES!C:C,AI_NAMES!D:D,"",0))</f>
        <v/>
      </c>
      <c r="E494" t="str">
        <f t="shared" si="40"/>
        <v/>
      </c>
      <c r="G494" s="5" t="str">
        <f t="shared" si="41"/>
        <v/>
      </c>
      <c r="I494" s="6" t="str">
        <f t="shared" si="39"/>
        <v>0</v>
      </c>
      <c r="O494" t="s">
        <v>321</v>
      </c>
      <c r="P494">
        <f>IF(C494&lt;&gt;"",C494,_xlfn.XLOOKUP(B494,AI_NAMES!D:D,AI_NAMES!E:E,"",0))</f>
        <v>0</v>
      </c>
    </row>
    <row r="495" spans="1:16" x14ac:dyDescent="0.2">
      <c r="A495" t="s">
        <v>589</v>
      </c>
      <c r="B495" t="str">
        <f>IF(O495&lt;&gt;"",O495,_xlfn.XLOOKUP(A495,AI_NAMES!C:C,AI_NAMES!D:D,"",0))</f>
        <v/>
      </c>
      <c r="E495" t="str">
        <f t="shared" si="40"/>
        <v/>
      </c>
      <c r="G495" s="5" t="str">
        <f t="shared" si="41"/>
        <v/>
      </c>
      <c r="I495" s="6" t="str">
        <f t="shared" si="39"/>
        <v>0</v>
      </c>
      <c r="O495" t="s">
        <v>321</v>
      </c>
      <c r="P495">
        <f>IF(C495&lt;&gt;"",C495,_xlfn.XLOOKUP(B495,AI_NAMES!D:D,AI_NAMES!E:E,"",0))</f>
        <v>0</v>
      </c>
    </row>
    <row r="496" spans="1:16" x14ac:dyDescent="0.2">
      <c r="A496" t="s">
        <v>590</v>
      </c>
      <c r="B496" t="str">
        <f>IF(O496&lt;&gt;"",O496,_xlfn.XLOOKUP(A496,AI_NAMES!C:C,AI_NAMES!D:D,"",0))</f>
        <v/>
      </c>
      <c r="E496" t="str">
        <f t="shared" si="40"/>
        <v/>
      </c>
      <c r="G496" s="5" t="str">
        <f t="shared" si="41"/>
        <v/>
      </c>
      <c r="I496" s="6" t="str">
        <f t="shared" si="39"/>
        <v>0</v>
      </c>
      <c r="O496" t="s">
        <v>321</v>
      </c>
      <c r="P496">
        <f>IF(C496&lt;&gt;"",C496,_xlfn.XLOOKUP(B496,AI_NAMES!D:D,AI_NAMES!E:E,"",0))</f>
        <v>0</v>
      </c>
    </row>
    <row r="497" spans="1:16" x14ac:dyDescent="0.2">
      <c r="A497" t="s">
        <v>591</v>
      </c>
      <c r="B497" t="str">
        <f>IF(O497&lt;&gt;"",O497,_xlfn.XLOOKUP(A497,AI_NAMES!C:C,AI_NAMES!D:D,"",0))</f>
        <v/>
      </c>
      <c r="E497" t="str">
        <f t="shared" si="40"/>
        <v/>
      </c>
      <c r="G497" s="5" t="str">
        <f t="shared" si="41"/>
        <v/>
      </c>
      <c r="I497" s="6" t="str">
        <f t="shared" si="39"/>
        <v>0</v>
      </c>
      <c r="O497" t="s">
        <v>321</v>
      </c>
      <c r="P497">
        <f>IF(C497&lt;&gt;"",C497,_xlfn.XLOOKUP(B497,AI_NAMES!D:D,AI_NAMES!E:E,"",0))</f>
        <v>0</v>
      </c>
    </row>
    <row r="498" spans="1:16" x14ac:dyDescent="0.2">
      <c r="A498" t="s">
        <v>592</v>
      </c>
      <c r="B498" t="str">
        <f>IF(O498&lt;&gt;"",O498,_xlfn.XLOOKUP(A498,AI_NAMES!C:C,AI_NAMES!D:D,"",0))</f>
        <v/>
      </c>
      <c r="E498" t="str">
        <f t="shared" si="40"/>
        <v/>
      </c>
      <c r="G498" s="5" t="str">
        <f t="shared" si="41"/>
        <v/>
      </c>
      <c r="I498" s="6" t="str">
        <f t="shared" si="39"/>
        <v>0</v>
      </c>
      <c r="O498" t="s">
        <v>321</v>
      </c>
      <c r="P498">
        <f>IF(C498&lt;&gt;"",C498,_xlfn.XLOOKUP(B498,AI_NAMES!D:D,AI_NAMES!E:E,"",0))</f>
        <v>0</v>
      </c>
    </row>
    <row r="499" spans="1:16" x14ac:dyDescent="0.2">
      <c r="A499" t="s">
        <v>593</v>
      </c>
      <c r="B499" t="str">
        <f>IF(O499&lt;&gt;"",O499,_xlfn.XLOOKUP(A499,AI_NAMES!C:C,AI_NAMES!D:D,"",0))</f>
        <v/>
      </c>
      <c r="E499" t="str">
        <f t="shared" si="40"/>
        <v/>
      </c>
      <c r="G499" s="5" t="str">
        <f t="shared" si="41"/>
        <v/>
      </c>
      <c r="I499" s="6" t="str">
        <f t="shared" si="39"/>
        <v>0</v>
      </c>
      <c r="O499" t="s">
        <v>321</v>
      </c>
      <c r="P499">
        <f>IF(C499&lt;&gt;"",C499,_xlfn.XLOOKUP(B499,AI_NAMES!D:D,AI_NAMES!E:E,"",0))</f>
        <v>0</v>
      </c>
    </row>
    <row r="500" spans="1:16" x14ac:dyDescent="0.2">
      <c r="A500" t="s">
        <v>594</v>
      </c>
      <c r="B500" t="str">
        <f>IF(O500&lt;&gt;"",O500,_xlfn.XLOOKUP(A500,AI_NAMES!C:C,AI_NAMES!D:D,"",0))</f>
        <v/>
      </c>
      <c r="E500" t="str">
        <f t="shared" si="40"/>
        <v/>
      </c>
      <c r="G500" s="5" t="str">
        <f t="shared" si="41"/>
        <v/>
      </c>
      <c r="I500" s="6" t="str">
        <f t="shared" si="39"/>
        <v>0</v>
      </c>
      <c r="O500" t="s">
        <v>321</v>
      </c>
      <c r="P500">
        <f>IF(C500&lt;&gt;"",C500,_xlfn.XLOOKUP(B500,AI_NAMES!D:D,AI_NAMES!E:E,"",0))</f>
        <v>0</v>
      </c>
    </row>
    <row r="501" spans="1:16" x14ac:dyDescent="0.2">
      <c r="A501" t="s">
        <v>595</v>
      </c>
      <c r="B501" t="str">
        <f>IF(O501&lt;&gt;"",O501,_xlfn.XLOOKUP(A501,AI_NAMES!C:C,AI_NAMES!D:D,"",0))</f>
        <v/>
      </c>
      <c r="E501" t="str">
        <f t="shared" si="40"/>
        <v/>
      </c>
      <c r="G501" s="5" t="str">
        <f t="shared" si="41"/>
        <v/>
      </c>
      <c r="I501" s="6" t="str">
        <f t="shared" si="39"/>
        <v>0</v>
      </c>
      <c r="O501" t="s">
        <v>321</v>
      </c>
      <c r="P501">
        <f>IF(C501&lt;&gt;"",C501,_xlfn.XLOOKUP(B501,AI_NAMES!D:D,AI_NAMES!E:E,"",0))</f>
        <v>0</v>
      </c>
    </row>
    <row r="502" spans="1:16" x14ac:dyDescent="0.2">
      <c r="A502" t="s">
        <v>596</v>
      </c>
      <c r="B502" t="str">
        <f>IF(O502&lt;&gt;"",O502,_xlfn.XLOOKUP(A502,AI_NAMES!C:C,AI_NAMES!D:D,"",0))</f>
        <v/>
      </c>
      <c r="E502" t="str">
        <f t="shared" si="40"/>
        <v/>
      </c>
      <c r="G502" s="5" t="str">
        <f t="shared" si="41"/>
        <v/>
      </c>
      <c r="I502" s="6" t="str">
        <f t="shared" si="39"/>
        <v>0</v>
      </c>
      <c r="O502" t="s">
        <v>321</v>
      </c>
      <c r="P502">
        <f>IF(C502&lt;&gt;"",C502,_xlfn.XLOOKUP(B502,AI_NAMES!D:D,AI_NAMES!E:E,"",0))</f>
        <v>0</v>
      </c>
    </row>
    <row r="503" spans="1:16" x14ac:dyDescent="0.2">
      <c r="A503" t="s">
        <v>597</v>
      </c>
      <c r="B503" t="str">
        <f>IF(O503&lt;&gt;"",O503,_xlfn.XLOOKUP(A503,AI_NAMES!C:C,AI_NAMES!D:D,"",0))</f>
        <v/>
      </c>
      <c r="E503" t="str">
        <f t="shared" si="40"/>
        <v/>
      </c>
      <c r="G503" s="5" t="str">
        <f t="shared" si="41"/>
        <v/>
      </c>
      <c r="I503" s="6" t="str">
        <f t="shared" si="39"/>
        <v>0</v>
      </c>
      <c r="O503" t="s">
        <v>321</v>
      </c>
      <c r="P503">
        <f>IF(C503&lt;&gt;"",C503,_xlfn.XLOOKUP(B503,AI_NAMES!D:D,AI_NAMES!E:E,"",0))</f>
        <v>0</v>
      </c>
    </row>
    <row r="504" spans="1:16" x14ac:dyDescent="0.2">
      <c r="A504" t="s">
        <v>598</v>
      </c>
      <c r="B504" t="str">
        <f>IF(O504&lt;&gt;"",O504,_xlfn.XLOOKUP(A504,AI_NAMES!C:C,AI_NAMES!D:D,"",0))</f>
        <v/>
      </c>
      <c r="E504" t="str">
        <f t="shared" si="40"/>
        <v/>
      </c>
      <c r="G504" s="5" t="str">
        <f t="shared" si="41"/>
        <v/>
      </c>
      <c r="I504" s="6" t="str">
        <f t="shared" si="39"/>
        <v>0</v>
      </c>
      <c r="O504" t="s">
        <v>321</v>
      </c>
      <c r="P504">
        <f>IF(C504&lt;&gt;"",C504,_xlfn.XLOOKUP(B504,AI_NAMES!D:D,AI_NAMES!E:E,"",0))</f>
        <v>0</v>
      </c>
    </row>
    <row r="505" spans="1:16" x14ac:dyDescent="0.2">
      <c r="A505" t="s">
        <v>599</v>
      </c>
      <c r="B505" t="str">
        <f>IF(O505&lt;&gt;"",O505,_xlfn.XLOOKUP(A505,AI_NAMES!C:C,AI_NAMES!D:D,"",0))</f>
        <v/>
      </c>
      <c r="E505" t="str">
        <f t="shared" si="40"/>
        <v/>
      </c>
      <c r="G505" s="5" t="str">
        <f t="shared" si="41"/>
        <v/>
      </c>
      <c r="I505" s="6" t="str">
        <f t="shared" si="39"/>
        <v>0</v>
      </c>
      <c r="O505" t="s">
        <v>321</v>
      </c>
      <c r="P505">
        <f>IF(C505&lt;&gt;"",C505,_xlfn.XLOOKUP(B505,AI_NAMES!D:D,AI_NAMES!E:E,"",0))</f>
        <v>0</v>
      </c>
    </row>
    <row r="506" spans="1:16" x14ac:dyDescent="0.2">
      <c r="A506" t="s">
        <v>600</v>
      </c>
      <c r="B506" t="str">
        <f>IF(O506&lt;&gt;"",O506,_xlfn.XLOOKUP(A506,AI_NAMES!C:C,AI_NAMES!D:D,"",0))</f>
        <v/>
      </c>
      <c r="E506" t="str">
        <f t="shared" si="40"/>
        <v/>
      </c>
      <c r="G506" s="5" t="str">
        <f t="shared" si="41"/>
        <v/>
      </c>
      <c r="I506" s="6" t="str">
        <f t="shared" si="39"/>
        <v>0</v>
      </c>
      <c r="O506" t="s">
        <v>321</v>
      </c>
      <c r="P506">
        <f>IF(C506&lt;&gt;"",C506,_xlfn.XLOOKUP(B506,AI_NAMES!D:D,AI_NAMES!E:E,"",0))</f>
        <v>0</v>
      </c>
    </row>
    <row r="507" spans="1:16" x14ac:dyDescent="0.2">
      <c r="A507" t="s">
        <v>601</v>
      </c>
      <c r="B507" t="str">
        <f>IF(O507&lt;&gt;"",O507,_xlfn.XLOOKUP(A507,AI_NAMES!C:C,AI_NAMES!D:D,"",0))</f>
        <v>HandleArmorSubroutine_AI_TBC</v>
      </c>
      <c r="E507" t="str">
        <f t="shared" si="40"/>
        <v/>
      </c>
      <c r="G507" s="5" t="str">
        <f t="shared" si="41"/>
        <v/>
      </c>
      <c r="I507" s="6" t="str">
        <f t="shared" si="39"/>
        <v>0</v>
      </c>
      <c r="O507" t="s">
        <v>321</v>
      </c>
      <c r="P507">
        <f>IF(C507&lt;&gt;"",C507,_xlfn.XLOOKUP(B507,AI_NAMES!D:D,AI_NAMES!E:E,"",0))</f>
        <v>0</v>
      </c>
    </row>
    <row r="508" spans="1:16" x14ac:dyDescent="0.2">
      <c r="A508" t="s">
        <v>602</v>
      </c>
      <c r="B508" t="str">
        <f>IF(O508&lt;&gt;"",O508,_xlfn.XLOOKUP(A508,AI_NAMES!C:C,AI_NAMES!D:D,"",0))</f>
        <v>CheckAndToggleProcessedFlag_AI_TBC</v>
      </c>
      <c r="E508" t="str">
        <f t="shared" si="40"/>
        <v/>
      </c>
      <c r="G508" s="5" t="str">
        <f t="shared" si="41"/>
        <v/>
      </c>
      <c r="I508" s="6" t="str">
        <f t="shared" si="39"/>
        <v>0</v>
      </c>
      <c r="O508" t="s">
        <v>321</v>
      </c>
      <c r="P508">
        <f>IF(C508&lt;&gt;"",C508,_xlfn.XLOOKUP(B508,AI_NAMES!D:D,AI_NAMES!E:E,"",0))</f>
        <v>0</v>
      </c>
    </row>
    <row r="509" spans="1:16" x14ac:dyDescent="0.2">
      <c r="A509" t="s">
        <v>603</v>
      </c>
      <c r="B509" t="str">
        <f>IF(O509&lt;&gt;"",O509,_xlfn.XLOOKUP(A509,AI_NAMES!C:C,AI_NAMES!D:D,"",0))</f>
        <v>EquipStateOrArmorHandler_AI_TBC</v>
      </c>
      <c r="E509" t="str">
        <f t="shared" si="40"/>
        <v/>
      </c>
      <c r="G509" s="5" t="str">
        <f t="shared" si="41"/>
        <v/>
      </c>
      <c r="I509" s="6" t="str">
        <f t="shared" si="39"/>
        <v>0</v>
      </c>
      <c r="O509" t="s">
        <v>321</v>
      </c>
      <c r="P509">
        <f>IF(C509&lt;&gt;"",C509,_xlfn.XLOOKUP(B509,AI_NAMES!D:D,AI_NAMES!E:E,"",0))</f>
        <v>0</v>
      </c>
    </row>
    <row r="510" spans="1:16" x14ac:dyDescent="0.2">
      <c r="A510" t="s">
        <v>604</v>
      </c>
      <c r="B510" t="str">
        <f>IF(O510&lt;&gt;"",O510,_xlfn.XLOOKUP(A510,AI_NAMES!C:C,AI_NAMES!D:D,"",0))</f>
        <v>ClearOrTogglePlayerBit_AI_TBC</v>
      </c>
      <c r="E510" t="str">
        <f t="shared" si="40"/>
        <v/>
      </c>
      <c r="G510" s="5" t="str">
        <f t="shared" si="41"/>
        <v/>
      </c>
      <c r="I510" s="6" t="str">
        <f t="shared" si="39"/>
        <v>0</v>
      </c>
      <c r="O510" t="s">
        <v>321</v>
      </c>
      <c r="P510">
        <f>IF(C510&lt;&gt;"",C510,_xlfn.XLOOKUP(B510,AI_NAMES!D:D,AI_NAMES!E:E,"",0))</f>
        <v>0</v>
      </c>
    </row>
    <row r="511" spans="1:16" x14ac:dyDescent="0.2">
      <c r="A511" t="s">
        <v>605</v>
      </c>
      <c r="B511" t="str">
        <f>IF(O511&lt;&gt;"",O511,_xlfn.XLOOKUP(A511,AI_NAMES!C:C,AI_NAMES!D:D,"",0))</f>
        <v>CompareLastBlockedVSEquipCode_AI_TBC</v>
      </c>
      <c r="E511" t="str">
        <f t="shared" si="40"/>
        <v/>
      </c>
      <c r="G511" s="5" t="str">
        <f t="shared" si="41"/>
        <v/>
      </c>
      <c r="I511" s="6" t="str">
        <f t="shared" si="39"/>
        <v>0</v>
      </c>
      <c r="O511" t="s">
        <v>321</v>
      </c>
      <c r="P511">
        <f>IF(C511&lt;&gt;"",C511,_xlfn.XLOOKUP(B511,AI_NAMES!D:D,AI_NAMES!E:E,"",0))</f>
        <v>0</v>
      </c>
    </row>
    <row r="512" spans="1:16" x14ac:dyDescent="0.2">
      <c r="A512" t="s">
        <v>606</v>
      </c>
      <c r="B512" t="str">
        <f>IF(O512&lt;&gt;"",O512,_xlfn.XLOOKUP(A512,AI_NAMES!C:C,AI_NAMES!D:D,"",0))</f>
        <v>EquipOrArmorDecisionLoop_AI_TBC</v>
      </c>
      <c r="E512" t="str">
        <f t="shared" si="40"/>
        <v/>
      </c>
      <c r="G512" s="5" t="str">
        <f t="shared" si="41"/>
        <v/>
      </c>
      <c r="I512" s="6" t="str">
        <f t="shared" si="39"/>
        <v>0</v>
      </c>
      <c r="O512" t="s">
        <v>321</v>
      </c>
      <c r="P512">
        <f>IF(C512&lt;&gt;"",C512,_xlfn.XLOOKUP(B512,AI_NAMES!D:D,AI_NAMES!E:E,"",0))</f>
        <v>0</v>
      </c>
    </row>
    <row r="513" spans="1:16" x14ac:dyDescent="0.2">
      <c r="A513" t="s">
        <v>607</v>
      </c>
      <c r="B513" t="str">
        <f>IF(O513&lt;&gt;"",O513,_xlfn.XLOOKUP(A513,AI_NAMES!C:C,AI_NAMES!D:D,"",0))</f>
        <v>MarkMapCellProcessedFlag_AI_TBC</v>
      </c>
      <c r="E513" t="str">
        <f t="shared" si="40"/>
        <v/>
      </c>
      <c r="G513" s="5" t="str">
        <f t="shared" si="41"/>
        <v/>
      </c>
      <c r="I513" s="6" t="str">
        <f t="shared" si="39"/>
        <v>0</v>
      </c>
      <c r="O513" t="s">
        <v>321</v>
      </c>
      <c r="P513">
        <f>IF(C513&lt;&gt;"",C513,_xlfn.XLOOKUP(B513,AI_NAMES!D:D,AI_NAMES!E:E,"",0))</f>
        <v>0</v>
      </c>
    </row>
    <row r="514" spans="1:16" x14ac:dyDescent="0.2">
      <c r="A514" t="s">
        <v>608</v>
      </c>
      <c r="B514" t="str">
        <f>IF(O514&lt;&gt;"",O514,_xlfn.XLOOKUP(A514,AI_NAMES!C:C,AI_NAMES!D:D,"",0))</f>
        <v>CheckEquipCostsAndAttrs_AI_TBC</v>
      </c>
      <c r="E514" t="str">
        <f t="shared" si="40"/>
        <v/>
      </c>
      <c r="G514" s="5" t="str">
        <f t="shared" si="41"/>
        <v/>
      </c>
      <c r="I514" s="6" t="str">
        <f t="shared" si="39"/>
        <v>0</v>
      </c>
      <c r="O514" t="s">
        <v>321</v>
      </c>
      <c r="P514">
        <f>IF(C514&lt;&gt;"",C514,_xlfn.XLOOKUP(B514,AI_NAMES!D:D,AI_NAMES!E:E,"",0))</f>
        <v>0</v>
      </c>
    </row>
    <row r="515" spans="1:16" x14ac:dyDescent="0.2">
      <c r="A515" t="s">
        <v>609</v>
      </c>
      <c r="B515" t="str">
        <f>IF(O515&lt;&gt;"",O515,_xlfn.XLOOKUP(A515,AI_NAMES!C:C,AI_NAMES!D:D,"",0))</f>
        <v>ClampEquipOrTeleportCode_AI_TBC</v>
      </c>
      <c r="E515" t="str">
        <f t="shared" si="40"/>
        <v/>
      </c>
      <c r="G515" s="5" t="str">
        <f t="shared" si="41"/>
        <v/>
      </c>
      <c r="I515" s="6" t="str">
        <f t="shared" ref="I515:I578" si="42">IFERROR(DEC2HEX(H515),"")</f>
        <v>0</v>
      </c>
      <c r="O515" t="s">
        <v>321</v>
      </c>
      <c r="P515">
        <f>IF(C515&lt;&gt;"",C515,_xlfn.XLOOKUP(B515,AI_NAMES!D:D,AI_NAMES!E:E,"",0))</f>
        <v>0</v>
      </c>
    </row>
    <row r="516" spans="1:16" x14ac:dyDescent="0.2">
      <c r="A516" t="s">
        <v>610</v>
      </c>
      <c r="B516" t="str">
        <f>IF(O516&lt;&gt;"",O516,_xlfn.XLOOKUP(A516,AI_NAMES!C:C,AI_NAMES!D:D,"",0))</f>
        <v>PrepareTeleportOrEquipValue_AI_TBC</v>
      </c>
      <c r="E516" t="str">
        <f t="shared" ref="E516:E579" si="43">IF(D516&lt;&gt;"",C516&amp;"/"&amp;D516,"")</f>
        <v/>
      </c>
      <c r="G516" s="5" t="str">
        <f t="shared" si="41"/>
        <v/>
      </c>
      <c r="I516" s="6" t="str">
        <f t="shared" si="42"/>
        <v>0</v>
      </c>
      <c r="O516" t="s">
        <v>321</v>
      </c>
      <c r="P516">
        <f>IF(C516&lt;&gt;"",C516,_xlfn.XLOOKUP(B516,AI_NAMES!D:D,AI_NAMES!E:E,"",0))</f>
        <v>0</v>
      </c>
    </row>
    <row r="517" spans="1:16" x14ac:dyDescent="0.2">
      <c r="A517" t="s">
        <v>611</v>
      </c>
      <c r="B517" t="str">
        <f>IF(O517&lt;&gt;"",O517,_xlfn.XLOOKUP(A517,AI_NAMES!C:C,AI_NAMES!D:D,"",0))</f>
        <v/>
      </c>
      <c r="E517" t="str">
        <f t="shared" si="43"/>
        <v/>
      </c>
      <c r="G517" s="5" t="str">
        <f t="shared" si="41"/>
        <v/>
      </c>
      <c r="I517" s="6" t="str">
        <f t="shared" si="42"/>
        <v>0</v>
      </c>
      <c r="O517" t="s">
        <v>321</v>
      </c>
      <c r="P517">
        <f>IF(C517&lt;&gt;"",C517,_xlfn.XLOOKUP(B517,AI_NAMES!D:D,AI_NAMES!E:E,"",0))</f>
        <v>0</v>
      </c>
    </row>
    <row r="518" spans="1:16" x14ac:dyDescent="0.2">
      <c r="A518" t="s">
        <v>612</v>
      </c>
      <c r="B518" t="str">
        <f>IF(O518&lt;&gt;"",O518,_xlfn.XLOOKUP(A518,AI_NAMES!C:C,AI_NAMES!D:D,"",0))</f>
        <v/>
      </c>
      <c r="E518" t="str">
        <f t="shared" si="43"/>
        <v/>
      </c>
      <c r="G518" s="5" t="str">
        <f t="shared" si="41"/>
        <v/>
      </c>
      <c r="I518" s="6" t="str">
        <f t="shared" si="42"/>
        <v>0</v>
      </c>
      <c r="O518" t="s">
        <v>321</v>
      </c>
      <c r="P518">
        <f>IF(C518&lt;&gt;"",C518,_xlfn.XLOOKUP(B518,AI_NAMES!D:D,AI_NAMES!E:E,"",0))</f>
        <v>0</v>
      </c>
    </row>
    <row r="519" spans="1:16" x14ac:dyDescent="0.2">
      <c r="A519" t="s">
        <v>613</v>
      </c>
      <c r="B519" t="str">
        <f>IF(O519&lt;&gt;"",O519,_xlfn.XLOOKUP(A519,AI_NAMES!C:C,AI_NAMES!D:D,"",0))</f>
        <v/>
      </c>
      <c r="E519" t="str">
        <f t="shared" si="43"/>
        <v/>
      </c>
      <c r="G519" s="5" t="str">
        <f t="shared" si="41"/>
        <v/>
      </c>
      <c r="I519" s="6" t="str">
        <f t="shared" si="42"/>
        <v>0</v>
      </c>
      <c r="O519" t="s">
        <v>321</v>
      </c>
      <c r="P519">
        <f>IF(C519&lt;&gt;"",C519,_xlfn.XLOOKUP(B519,AI_NAMES!D:D,AI_NAMES!E:E,"",0))</f>
        <v>0</v>
      </c>
    </row>
    <row r="520" spans="1:16" x14ac:dyDescent="0.2">
      <c r="A520" t="s">
        <v>614</v>
      </c>
      <c r="B520" t="str">
        <f>IF(O520&lt;&gt;"",O520,_xlfn.XLOOKUP(A520,AI_NAMES!C:C,AI_NAMES!D:D,"",0))</f>
        <v/>
      </c>
      <c r="E520" t="str">
        <f t="shared" si="43"/>
        <v/>
      </c>
      <c r="G520" s="5" t="str">
        <f t="shared" si="41"/>
        <v/>
      </c>
      <c r="I520" s="6" t="str">
        <f t="shared" si="42"/>
        <v>0</v>
      </c>
      <c r="O520" t="s">
        <v>321</v>
      </c>
      <c r="P520">
        <f>IF(C520&lt;&gt;"",C520,_xlfn.XLOOKUP(B520,AI_NAMES!D:D,AI_NAMES!E:E,"",0))</f>
        <v>0</v>
      </c>
    </row>
    <row r="521" spans="1:16" x14ac:dyDescent="0.2">
      <c r="A521" t="s">
        <v>615</v>
      </c>
      <c r="B521" t="str">
        <f>IF(O521&lt;&gt;"",O521,_xlfn.XLOOKUP(A521,AI_NAMES!C:C,AI_NAMES!D:D,"",0))</f>
        <v/>
      </c>
      <c r="E521" t="str">
        <f t="shared" si="43"/>
        <v/>
      </c>
      <c r="G521" s="5" t="str">
        <f t="shared" ref="G521:G584" si="44">IF(F521&lt;&gt;"",HEX2DEC(SUBSTITUTE(SUBSTITUTE(F521,"adrEA",""),"$","")),"")</f>
        <v/>
      </c>
      <c r="I521" s="6" t="str">
        <f t="shared" si="42"/>
        <v>0</v>
      </c>
      <c r="O521" t="s">
        <v>321</v>
      </c>
      <c r="P521">
        <f>IF(C521&lt;&gt;"",C521,_xlfn.XLOOKUP(B521,AI_NAMES!D:D,AI_NAMES!E:E,"",0))</f>
        <v>0</v>
      </c>
    </row>
    <row r="522" spans="1:16" x14ac:dyDescent="0.2">
      <c r="A522" t="s">
        <v>616</v>
      </c>
      <c r="B522" t="str">
        <f>IF(O522&lt;&gt;"",O522,_xlfn.XLOOKUP(A522,AI_NAMES!C:C,AI_NAMES!D:D,"",0))</f>
        <v/>
      </c>
      <c r="E522" t="str">
        <f t="shared" si="43"/>
        <v/>
      </c>
      <c r="G522" s="5" t="str">
        <f t="shared" si="44"/>
        <v/>
      </c>
      <c r="I522" s="6" t="str">
        <f t="shared" si="42"/>
        <v>0</v>
      </c>
      <c r="O522" t="s">
        <v>321</v>
      </c>
      <c r="P522">
        <f>IF(C522&lt;&gt;"",C522,_xlfn.XLOOKUP(B522,AI_NAMES!D:D,AI_NAMES!E:E,"",0))</f>
        <v>0</v>
      </c>
    </row>
    <row r="523" spans="1:16" x14ac:dyDescent="0.2">
      <c r="A523" t="s">
        <v>617</v>
      </c>
      <c r="B523" t="str">
        <f>IF(O523&lt;&gt;"",O523,_xlfn.XLOOKUP(A523,AI_NAMES!C:C,AI_NAMES!D:D,"",0))</f>
        <v/>
      </c>
      <c r="E523" t="str">
        <f t="shared" si="43"/>
        <v/>
      </c>
      <c r="G523" s="5" t="str">
        <f t="shared" si="44"/>
        <v/>
      </c>
      <c r="I523" s="6" t="str">
        <f t="shared" si="42"/>
        <v>0</v>
      </c>
      <c r="O523" t="s">
        <v>321</v>
      </c>
      <c r="P523">
        <f>IF(C523&lt;&gt;"",C523,_xlfn.XLOOKUP(B523,AI_NAMES!D:D,AI_NAMES!E:E,"",0))</f>
        <v>0</v>
      </c>
    </row>
    <row r="524" spans="1:16" x14ac:dyDescent="0.2">
      <c r="A524" t="s">
        <v>618</v>
      </c>
      <c r="B524" t="str">
        <f>IF(O524&lt;&gt;"",O524,_xlfn.XLOOKUP(A524,AI_NAMES!C:C,AI_NAMES!D:D,"",0))</f>
        <v/>
      </c>
      <c r="E524" t="str">
        <f t="shared" si="43"/>
        <v/>
      </c>
      <c r="G524" s="5" t="str">
        <f t="shared" si="44"/>
        <v/>
      </c>
      <c r="I524" s="6" t="str">
        <f t="shared" si="42"/>
        <v>0</v>
      </c>
      <c r="O524" t="s">
        <v>321</v>
      </c>
      <c r="P524">
        <f>IF(C524&lt;&gt;"",C524,_xlfn.XLOOKUP(B524,AI_NAMES!D:D,AI_NAMES!E:E,"",0))</f>
        <v>0</v>
      </c>
    </row>
    <row r="525" spans="1:16" x14ac:dyDescent="0.2">
      <c r="A525" t="s">
        <v>619</v>
      </c>
      <c r="B525" t="str">
        <f>IF(O525&lt;&gt;"",O525,_xlfn.XLOOKUP(A525,AI_NAMES!C:C,AI_NAMES!D:D,"",0))</f>
        <v/>
      </c>
      <c r="E525" t="str">
        <f t="shared" si="43"/>
        <v/>
      </c>
      <c r="G525" s="5" t="str">
        <f t="shared" si="44"/>
        <v/>
      </c>
      <c r="I525" s="6" t="str">
        <f t="shared" si="42"/>
        <v>0</v>
      </c>
      <c r="O525" t="s">
        <v>321</v>
      </c>
      <c r="P525">
        <f>IF(C525&lt;&gt;"",C525,_xlfn.XLOOKUP(B525,AI_NAMES!D:D,AI_NAMES!E:E,"",0))</f>
        <v>0</v>
      </c>
    </row>
    <row r="526" spans="1:16" x14ac:dyDescent="0.2">
      <c r="A526" t="s">
        <v>620</v>
      </c>
      <c r="B526" t="str">
        <f>IF(O526&lt;&gt;"",O526,_xlfn.XLOOKUP(A526,AI_NAMES!C:C,AI_NAMES!D:D,"",0))</f>
        <v/>
      </c>
      <c r="E526" t="str">
        <f t="shared" si="43"/>
        <v/>
      </c>
      <c r="G526" s="5" t="str">
        <f t="shared" si="44"/>
        <v/>
      </c>
      <c r="I526" s="6" t="str">
        <f t="shared" si="42"/>
        <v>0</v>
      </c>
      <c r="O526" t="s">
        <v>321</v>
      </c>
      <c r="P526">
        <f>IF(C526&lt;&gt;"",C526,_xlfn.XLOOKUP(B526,AI_NAMES!D:D,AI_NAMES!E:E,"",0))</f>
        <v>0</v>
      </c>
    </row>
    <row r="527" spans="1:16" x14ac:dyDescent="0.2">
      <c r="A527" t="s">
        <v>621</v>
      </c>
      <c r="B527" t="str">
        <f>IF(O527&lt;&gt;"",O527,_xlfn.XLOOKUP(A527,AI_NAMES!C:C,AI_NAMES!D:D,"",0))</f>
        <v/>
      </c>
      <c r="E527" t="str">
        <f t="shared" si="43"/>
        <v/>
      </c>
      <c r="G527" s="5" t="str">
        <f t="shared" si="44"/>
        <v/>
      </c>
      <c r="I527" s="6" t="str">
        <f t="shared" si="42"/>
        <v>0</v>
      </c>
      <c r="O527" t="s">
        <v>321</v>
      </c>
      <c r="P527">
        <f>IF(C527&lt;&gt;"",C527,_xlfn.XLOOKUP(B527,AI_NAMES!D:D,AI_NAMES!E:E,"",0))</f>
        <v>0</v>
      </c>
    </row>
    <row r="528" spans="1:16" x14ac:dyDescent="0.2">
      <c r="A528" t="s">
        <v>622</v>
      </c>
      <c r="B528" t="str">
        <f>IF(O528&lt;&gt;"",O528,_xlfn.XLOOKUP(A528,AI_NAMES!C:C,AI_NAMES!D:D,"",0))</f>
        <v/>
      </c>
      <c r="E528" t="str">
        <f t="shared" si="43"/>
        <v/>
      </c>
      <c r="G528" s="5" t="str">
        <f t="shared" si="44"/>
        <v/>
      </c>
      <c r="I528" s="6" t="str">
        <f t="shared" si="42"/>
        <v>0</v>
      </c>
      <c r="O528" t="s">
        <v>321</v>
      </c>
      <c r="P528">
        <f>IF(C528&lt;&gt;"",C528,_xlfn.XLOOKUP(B528,AI_NAMES!D:D,AI_NAMES!E:E,"",0))</f>
        <v>0</v>
      </c>
    </row>
    <row r="529" spans="1:16" x14ac:dyDescent="0.2">
      <c r="A529" t="s">
        <v>623</v>
      </c>
      <c r="B529" t="str">
        <f>IF(O529&lt;&gt;"",O529,_xlfn.XLOOKUP(A529,AI_NAMES!C:C,AI_NAMES!D:D,"",0))</f>
        <v/>
      </c>
      <c r="E529" t="str">
        <f t="shared" si="43"/>
        <v/>
      </c>
      <c r="G529" s="5" t="str">
        <f t="shared" si="44"/>
        <v/>
      </c>
      <c r="I529" s="6" t="str">
        <f t="shared" si="42"/>
        <v>0</v>
      </c>
      <c r="O529" t="s">
        <v>321</v>
      </c>
      <c r="P529">
        <f>IF(C529&lt;&gt;"",C529,_xlfn.XLOOKUP(B529,AI_NAMES!D:D,AI_NAMES!E:E,"",0))</f>
        <v>0</v>
      </c>
    </row>
    <row r="530" spans="1:16" x14ac:dyDescent="0.2">
      <c r="A530" t="s">
        <v>624</v>
      </c>
      <c r="B530" t="str">
        <f>IF(O530&lt;&gt;"",O530,_xlfn.XLOOKUP(A530,AI_NAMES!C:C,AI_NAMES!D:D,"",0))</f>
        <v/>
      </c>
      <c r="E530" t="str">
        <f t="shared" si="43"/>
        <v/>
      </c>
      <c r="G530" s="5" t="str">
        <f t="shared" si="44"/>
        <v/>
      </c>
      <c r="I530" s="6" t="str">
        <f t="shared" si="42"/>
        <v>0</v>
      </c>
      <c r="O530" t="s">
        <v>321</v>
      </c>
      <c r="P530">
        <f>IF(C530&lt;&gt;"",C530,_xlfn.XLOOKUP(B530,AI_NAMES!D:D,AI_NAMES!E:E,"",0))</f>
        <v>0</v>
      </c>
    </row>
    <row r="531" spans="1:16" x14ac:dyDescent="0.2">
      <c r="A531" t="s">
        <v>625</v>
      </c>
      <c r="B531" t="str">
        <f>IF(O531&lt;&gt;"",O531,_xlfn.XLOOKUP(A531,AI_NAMES!C:C,AI_NAMES!D:D,"",0))</f>
        <v/>
      </c>
      <c r="E531" t="str">
        <f t="shared" si="43"/>
        <v/>
      </c>
      <c r="G531" s="5" t="str">
        <f t="shared" si="44"/>
        <v/>
      </c>
      <c r="I531" s="6" t="str">
        <f t="shared" si="42"/>
        <v>0</v>
      </c>
      <c r="O531" t="s">
        <v>321</v>
      </c>
      <c r="P531">
        <f>IF(C531&lt;&gt;"",C531,_xlfn.XLOOKUP(B531,AI_NAMES!D:D,AI_NAMES!E:E,"",0))</f>
        <v>0</v>
      </c>
    </row>
    <row r="532" spans="1:16" x14ac:dyDescent="0.2">
      <c r="A532" t="s">
        <v>626</v>
      </c>
      <c r="B532" t="str">
        <f>IF(O532&lt;&gt;"",O532,_xlfn.XLOOKUP(A532,AI_NAMES!C:C,AI_NAMES!D:D,"",0))</f>
        <v/>
      </c>
      <c r="E532" t="str">
        <f t="shared" si="43"/>
        <v/>
      </c>
      <c r="G532" s="5" t="str">
        <f t="shared" si="44"/>
        <v/>
      </c>
      <c r="I532" s="6" t="str">
        <f t="shared" si="42"/>
        <v>0</v>
      </c>
      <c r="O532" t="s">
        <v>321</v>
      </c>
      <c r="P532">
        <f>IF(C532&lt;&gt;"",C532,_xlfn.XLOOKUP(B532,AI_NAMES!D:D,AI_NAMES!E:E,"",0))</f>
        <v>0</v>
      </c>
    </row>
    <row r="533" spans="1:16" x14ac:dyDescent="0.2">
      <c r="A533" t="s">
        <v>627</v>
      </c>
      <c r="B533" t="str">
        <f>IF(O533&lt;&gt;"",O533,_xlfn.XLOOKUP(A533,AI_NAMES!C:C,AI_NAMES!D:D,"",0))</f>
        <v/>
      </c>
      <c r="E533" t="str">
        <f t="shared" si="43"/>
        <v/>
      </c>
      <c r="G533" s="5" t="str">
        <f t="shared" si="44"/>
        <v/>
      </c>
      <c r="I533" s="6" t="str">
        <f t="shared" si="42"/>
        <v>0</v>
      </c>
      <c r="O533" t="s">
        <v>321</v>
      </c>
      <c r="P533">
        <f>IF(C533&lt;&gt;"",C533,_xlfn.XLOOKUP(B533,AI_NAMES!D:D,AI_NAMES!E:E,"",0))</f>
        <v>0</v>
      </c>
    </row>
    <row r="534" spans="1:16" x14ac:dyDescent="0.2">
      <c r="A534" t="s">
        <v>628</v>
      </c>
      <c r="B534" t="str">
        <f>IF(O534&lt;&gt;"",O534,_xlfn.XLOOKUP(A534,AI_NAMES!C:C,AI_NAMES!D:D,"",0))</f>
        <v/>
      </c>
      <c r="E534" t="str">
        <f t="shared" si="43"/>
        <v/>
      </c>
      <c r="G534" s="5" t="str">
        <f t="shared" si="44"/>
        <v/>
      </c>
      <c r="I534" s="6" t="str">
        <f t="shared" si="42"/>
        <v>0</v>
      </c>
      <c r="O534" t="s">
        <v>321</v>
      </c>
      <c r="P534">
        <f>IF(C534&lt;&gt;"",C534,_xlfn.XLOOKUP(B534,AI_NAMES!D:D,AI_NAMES!E:E,"",0))</f>
        <v>0</v>
      </c>
    </row>
    <row r="535" spans="1:16" x14ac:dyDescent="0.2">
      <c r="A535" t="s">
        <v>629</v>
      </c>
      <c r="B535" t="str">
        <f>IF(O535&lt;&gt;"",O535,_xlfn.XLOOKUP(A535,AI_NAMES!C:C,AI_NAMES!D:D,"",0))</f>
        <v/>
      </c>
      <c r="E535" t="str">
        <f t="shared" si="43"/>
        <v/>
      </c>
      <c r="G535" s="5" t="str">
        <f t="shared" si="44"/>
        <v/>
      </c>
      <c r="I535" s="6" t="str">
        <f t="shared" si="42"/>
        <v>0</v>
      </c>
      <c r="O535" t="s">
        <v>321</v>
      </c>
      <c r="P535">
        <f>IF(C535&lt;&gt;"",C535,_xlfn.XLOOKUP(B535,AI_NAMES!D:D,AI_NAMES!E:E,"",0))</f>
        <v>0</v>
      </c>
    </row>
    <row r="536" spans="1:16" x14ac:dyDescent="0.2">
      <c r="A536" t="s">
        <v>630</v>
      </c>
      <c r="B536" t="str">
        <f>IF(O536&lt;&gt;"",O536,_xlfn.XLOOKUP(A536,AI_NAMES!C:C,AI_NAMES!D:D,"",0))</f>
        <v/>
      </c>
      <c r="E536" t="str">
        <f t="shared" si="43"/>
        <v/>
      </c>
      <c r="G536" s="5" t="str">
        <f t="shared" si="44"/>
        <v/>
      </c>
      <c r="I536" s="6" t="str">
        <f t="shared" si="42"/>
        <v>0</v>
      </c>
      <c r="O536" t="s">
        <v>321</v>
      </c>
      <c r="P536">
        <f>IF(C536&lt;&gt;"",C536,_xlfn.XLOOKUP(B536,AI_NAMES!D:D,AI_NAMES!E:E,"",0))</f>
        <v>0</v>
      </c>
    </row>
    <row r="537" spans="1:16" x14ac:dyDescent="0.2">
      <c r="A537" t="s">
        <v>631</v>
      </c>
      <c r="B537" t="str">
        <f>IF(O537&lt;&gt;"",O537,_xlfn.XLOOKUP(A537,AI_NAMES!C:C,AI_NAMES!D:D,"",0))</f>
        <v/>
      </c>
      <c r="E537" t="str">
        <f t="shared" si="43"/>
        <v/>
      </c>
      <c r="G537" s="5" t="str">
        <f t="shared" si="44"/>
        <v/>
      </c>
      <c r="I537" s="6" t="str">
        <f t="shared" si="42"/>
        <v>0</v>
      </c>
      <c r="O537" t="s">
        <v>321</v>
      </c>
      <c r="P537">
        <f>IF(C537&lt;&gt;"",C537,_xlfn.XLOOKUP(B537,AI_NAMES!D:D,AI_NAMES!E:E,"",0))</f>
        <v>0</v>
      </c>
    </row>
    <row r="538" spans="1:16" x14ac:dyDescent="0.2">
      <c r="A538" t="s">
        <v>632</v>
      </c>
      <c r="B538" t="str">
        <f>IF(O538&lt;&gt;"",O538,_xlfn.XLOOKUP(A538,AI_NAMES!C:C,AI_NAMES!D:D,"",0))</f>
        <v/>
      </c>
      <c r="E538" t="str">
        <f t="shared" si="43"/>
        <v/>
      </c>
      <c r="G538" s="5" t="str">
        <f t="shared" si="44"/>
        <v/>
      </c>
      <c r="I538" s="6" t="str">
        <f t="shared" si="42"/>
        <v>0</v>
      </c>
      <c r="O538" t="s">
        <v>321</v>
      </c>
      <c r="P538">
        <f>IF(C538&lt;&gt;"",C538,_xlfn.XLOOKUP(B538,AI_NAMES!D:D,AI_NAMES!E:E,"",0))</f>
        <v>0</v>
      </c>
    </row>
    <row r="539" spans="1:16" x14ac:dyDescent="0.2">
      <c r="A539" t="s">
        <v>633</v>
      </c>
      <c r="B539" t="str">
        <f>IF(O539&lt;&gt;"",O539,_xlfn.XLOOKUP(A539,AI_NAMES!C:C,AI_NAMES!D:D,"",0))</f>
        <v/>
      </c>
      <c r="E539" t="str">
        <f t="shared" si="43"/>
        <v/>
      </c>
      <c r="G539" s="5" t="str">
        <f t="shared" si="44"/>
        <v/>
      </c>
      <c r="I539" s="6" t="str">
        <f t="shared" si="42"/>
        <v>0</v>
      </c>
      <c r="O539" t="s">
        <v>321</v>
      </c>
      <c r="P539">
        <f>IF(C539&lt;&gt;"",C539,_xlfn.XLOOKUP(B539,AI_NAMES!D:D,AI_NAMES!E:E,"",0))</f>
        <v>0</v>
      </c>
    </row>
    <row r="540" spans="1:16" x14ac:dyDescent="0.2">
      <c r="A540" t="s">
        <v>634</v>
      </c>
      <c r="B540" t="str">
        <f>IF(O540&lt;&gt;"",O540,_xlfn.XLOOKUP(A540,AI_NAMES!C:C,AI_NAMES!D:D,"",0))</f>
        <v/>
      </c>
      <c r="E540" t="str">
        <f t="shared" si="43"/>
        <v/>
      </c>
      <c r="G540" s="5" t="str">
        <f t="shared" si="44"/>
        <v/>
      </c>
      <c r="I540" s="6" t="str">
        <f t="shared" si="42"/>
        <v>0</v>
      </c>
      <c r="O540" t="s">
        <v>321</v>
      </c>
      <c r="P540">
        <f>IF(C540&lt;&gt;"",C540,_xlfn.XLOOKUP(B540,AI_NAMES!D:D,AI_NAMES!E:E,"",0))</f>
        <v>0</v>
      </c>
    </row>
    <row r="541" spans="1:16" x14ac:dyDescent="0.2">
      <c r="A541" t="s">
        <v>635</v>
      </c>
      <c r="B541" t="str">
        <f>IF(O541&lt;&gt;"",O541,_xlfn.XLOOKUP(A541,AI_NAMES!C:C,AI_NAMES!D:D,"",0))</f>
        <v/>
      </c>
      <c r="E541" t="str">
        <f t="shared" si="43"/>
        <v/>
      </c>
      <c r="G541" s="5" t="str">
        <f t="shared" si="44"/>
        <v/>
      </c>
      <c r="I541" s="6" t="str">
        <f t="shared" si="42"/>
        <v>0</v>
      </c>
      <c r="O541" t="s">
        <v>321</v>
      </c>
      <c r="P541">
        <f>IF(C541&lt;&gt;"",C541,_xlfn.XLOOKUP(B541,AI_NAMES!D:D,AI_NAMES!E:E,"",0))</f>
        <v>0</v>
      </c>
    </row>
    <row r="542" spans="1:16" x14ac:dyDescent="0.2">
      <c r="A542" t="s">
        <v>636</v>
      </c>
      <c r="B542" t="str">
        <f>IF(O542&lt;&gt;"",O542,_xlfn.XLOOKUP(A542,AI_NAMES!C:C,AI_NAMES!D:D,"",0))</f>
        <v/>
      </c>
      <c r="E542" t="str">
        <f t="shared" si="43"/>
        <v/>
      </c>
      <c r="G542" s="5" t="str">
        <f t="shared" si="44"/>
        <v/>
      </c>
      <c r="I542" s="6" t="str">
        <f t="shared" si="42"/>
        <v>0</v>
      </c>
      <c r="O542" t="s">
        <v>321</v>
      </c>
      <c r="P542">
        <f>IF(C542&lt;&gt;"",C542,_xlfn.XLOOKUP(B542,AI_NAMES!D:D,AI_NAMES!E:E,"",0))</f>
        <v>0</v>
      </c>
    </row>
    <row r="543" spans="1:16" x14ac:dyDescent="0.2">
      <c r="A543" t="s">
        <v>637</v>
      </c>
      <c r="B543" t="str">
        <f>IF(O543&lt;&gt;"",O543,_xlfn.XLOOKUP(A543,AI_NAMES!C:C,AI_NAMES!D:D,"",0))</f>
        <v/>
      </c>
      <c r="E543" t="str">
        <f t="shared" si="43"/>
        <v/>
      </c>
      <c r="G543" s="5" t="str">
        <f t="shared" si="44"/>
        <v/>
      </c>
      <c r="I543" s="6" t="str">
        <f t="shared" si="42"/>
        <v>0</v>
      </c>
      <c r="O543" t="s">
        <v>321</v>
      </c>
      <c r="P543">
        <f>IF(C543&lt;&gt;"",C543,_xlfn.XLOOKUP(B543,AI_NAMES!D:D,AI_NAMES!E:E,"",0))</f>
        <v>0</v>
      </c>
    </row>
    <row r="544" spans="1:16" x14ac:dyDescent="0.2">
      <c r="A544" t="s">
        <v>638</v>
      </c>
      <c r="B544" t="str">
        <f>IF(O544&lt;&gt;"",O544,_xlfn.XLOOKUP(A544,AI_NAMES!C:C,AI_NAMES!D:D,"",0))</f>
        <v/>
      </c>
      <c r="E544" t="str">
        <f t="shared" si="43"/>
        <v/>
      </c>
      <c r="G544" s="5" t="str">
        <f t="shared" si="44"/>
        <v/>
      </c>
      <c r="I544" s="6" t="str">
        <f t="shared" si="42"/>
        <v>0</v>
      </c>
      <c r="O544" t="s">
        <v>321</v>
      </c>
      <c r="P544">
        <f>IF(C544&lt;&gt;"",C544,_xlfn.XLOOKUP(B544,AI_NAMES!D:D,AI_NAMES!E:E,"",0))</f>
        <v>0</v>
      </c>
    </row>
    <row r="545" spans="1:16" x14ac:dyDescent="0.2">
      <c r="A545" t="s">
        <v>639</v>
      </c>
      <c r="B545" t="str">
        <f>IF(O545&lt;&gt;"",O545,_xlfn.XLOOKUP(A545,AI_NAMES!C:C,AI_NAMES!D:D,"",0))</f>
        <v/>
      </c>
      <c r="E545" t="str">
        <f t="shared" si="43"/>
        <v/>
      </c>
      <c r="G545" s="5" t="str">
        <f t="shared" si="44"/>
        <v/>
      </c>
      <c r="I545" s="6" t="str">
        <f t="shared" si="42"/>
        <v>0</v>
      </c>
      <c r="O545" t="s">
        <v>321</v>
      </c>
      <c r="P545">
        <f>IF(C545&lt;&gt;"",C545,_xlfn.XLOOKUP(B545,AI_NAMES!D:D,AI_NAMES!E:E,"",0))</f>
        <v>0</v>
      </c>
    </row>
    <row r="546" spans="1:16" x14ac:dyDescent="0.2">
      <c r="A546" t="s">
        <v>640</v>
      </c>
      <c r="B546" t="str">
        <f>IF(O546&lt;&gt;"",O546,_xlfn.XLOOKUP(A546,AI_NAMES!C:C,AI_NAMES!D:D,"",0))</f>
        <v/>
      </c>
      <c r="E546" t="str">
        <f t="shared" si="43"/>
        <v/>
      </c>
      <c r="G546" s="5" t="str">
        <f t="shared" si="44"/>
        <v/>
      </c>
      <c r="I546" s="6" t="str">
        <f t="shared" si="42"/>
        <v>0</v>
      </c>
      <c r="O546" t="s">
        <v>321</v>
      </c>
      <c r="P546">
        <f>IF(C546&lt;&gt;"",C546,_xlfn.XLOOKUP(B546,AI_NAMES!D:D,AI_NAMES!E:E,"",0))</f>
        <v>0</v>
      </c>
    </row>
    <row r="547" spans="1:16" x14ac:dyDescent="0.2">
      <c r="A547" t="s">
        <v>641</v>
      </c>
      <c r="B547" t="str">
        <f>IF(O547&lt;&gt;"",O547,_xlfn.XLOOKUP(A547,AI_NAMES!C:C,AI_NAMES!D:D,"",0))</f>
        <v/>
      </c>
      <c r="E547" t="str">
        <f t="shared" si="43"/>
        <v/>
      </c>
      <c r="G547" s="5" t="str">
        <f t="shared" si="44"/>
        <v/>
      </c>
      <c r="I547" s="6" t="str">
        <f t="shared" si="42"/>
        <v>0</v>
      </c>
      <c r="O547" t="s">
        <v>321</v>
      </c>
      <c r="P547">
        <f>IF(C547&lt;&gt;"",C547,_xlfn.XLOOKUP(B547,AI_NAMES!D:D,AI_NAMES!E:E,"",0))</f>
        <v>0</v>
      </c>
    </row>
    <row r="548" spans="1:16" x14ac:dyDescent="0.2">
      <c r="A548" t="s">
        <v>642</v>
      </c>
      <c r="B548" t="str">
        <f>IF(O548&lt;&gt;"",O548,_xlfn.XLOOKUP(A548,AI_NAMES!C:C,AI_NAMES!D:D,"",0))</f>
        <v/>
      </c>
      <c r="E548" t="str">
        <f t="shared" si="43"/>
        <v/>
      </c>
      <c r="G548" s="5" t="str">
        <f t="shared" si="44"/>
        <v/>
      </c>
      <c r="I548" s="6" t="str">
        <f t="shared" si="42"/>
        <v>0</v>
      </c>
      <c r="O548" t="s">
        <v>321</v>
      </c>
      <c r="P548">
        <f>IF(C548&lt;&gt;"",C548,_xlfn.XLOOKUP(B548,AI_NAMES!D:D,AI_NAMES!E:E,"",0))</f>
        <v>0</v>
      </c>
    </row>
    <row r="549" spans="1:16" x14ac:dyDescent="0.2">
      <c r="A549" t="s">
        <v>643</v>
      </c>
      <c r="B549" t="str">
        <f>IF(O549&lt;&gt;"",O549,_xlfn.XLOOKUP(A549,AI_NAMES!C:C,AI_NAMES!D:D,"",0))</f>
        <v/>
      </c>
      <c r="E549" t="str">
        <f t="shared" si="43"/>
        <v/>
      </c>
      <c r="G549" s="5" t="str">
        <f t="shared" si="44"/>
        <v/>
      </c>
      <c r="I549" s="6" t="str">
        <f t="shared" si="42"/>
        <v>0</v>
      </c>
      <c r="O549" t="s">
        <v>321</v>
      </c>
      <c r="P549">
        <f>IF(C549&lt;&gt;"",C549,_xlfn.XLOOKUP(B549,AI_NAMES!D:D,AI_NAMES!E:E,"",0))</f>
        <v>0</v>
      </c>
    </row>
    <row r="550" spans="1:16" x14ac:dyDescent="0.2">
      <c r="A550" t="s">
        <v>644</v>
      </c>
      <c r="B550" t="str">
        <f>IF(O550&lt;&gt;"",O550,_xlfn.XLOOKUP(A550,AI_NAMES!C:C,AI_NAMES!D:D,"",0))</f>
        <v/>
      </c>
      <c r="E550" t="str">
        <f t="shared" si="43"/>
        <v/>
      </c>
      <c r="G550" s="5" t="str">
        <f t="shared" si="44"/>
        <v/>
      </c>
      <c r="I550" s="6" t="str">
        <f t="shared" si="42"/>
        <v>0</v>
      </c>
      <c r="O550" t="s">
        <v>321</v>
      </c>
      <c r="P550">
        <f>IF(C550&lt;&gt;"",C550,_xlfn.XLOOKUP(B550,AI_NAMES!D:D,AI_NAMES!E:E,"",0))</f>
        <v>0</v>
      </c>
    </row>
    <row r="551" spans="1:16" x14ac:dyDescent="0.2">
      <c r="A551" t="s">
        <v>645</v>
      </c>
      <c r="B551" t="str">
        <f>IF(O551&lt;&gt;"",O551,_xlfn.XLOOKUP(A551,AI_NAMES!C:C,AI_NAMES!D:D,"",0))</f>
        <v/>
      </c>
      <c r="E551" t="str">
        <f t="shared" si="43"/>
        <v/>
      </c>
      <c r="G551" s="5" t="str">
        <f t="shared" si="44"/>
        <v/>
      </c>
      <c r="I551" s="6" t="str">
        <f t="shared" si="42"/>
        <v>0</v>
      </c>
      <c r="O551" t="s">
        <v>321</v>
      </c>
      <c r="P551">
        <f>IF(C551&lt;&gt;"",C551,_xlfn.XLOOKUP(B551,AI_NAMES!D:D,AI_NAMES!E:E,"",0))</f>
        <v>0</v>
      </c>
    </row>
    <row r="552" spans="1:16" x14ac:dyDescent="0.2">
      <c r="A552" t="s">
        <v>646</v>
      </c>
      <c r="B552" t="str">
        <f>IF(O552&lt;&gt;"",O552,_xlfn.XLOOKUP(A552,AI_NAMES!C:C,AI_NAMES!D:D,"",0))</f>
        <v/>
      </c>
      <c r="E552" t="str">
        <f t="shared" si="43"/>
        <v/>
      </c>
      <c r="G552" s="5" t="str">
        <f t="shared" si="44"/>
        <v/>
      </c>
      <c r="I552" s="6" t="str">
        <f t="shared" si="42"/>
        <v>0</v>
      </c>
      <c r="O552" t="s">
        <v>321</v>
      </c>
      <c r="P552">
        <f>IF(C552&lt;&gt;"",C552,_xlfn.XLOOKUP(B552,AI_NAMES!D:D,AI_NAMES!E:E,"",0))</f>
        <v>0</v>
      </c>
    </row>
    <row r="553" spans="1:16" x14ac:dyDescent="0.2">
      <c r="A553" t="s">
        <v>647</v>
      </c>
      <c r="B553" t="str">
        <f>IF(O553&lt;&gt;"",O553,_xlfn.XLOOKUP(A553,AI_NAMES!C:C,AI_NAMES!D:D,"",0))</f>
        <v/>
      </c>
      <c r="E553" t="str">
        <f t="shared" si="43"/>
        <v/>
      </c>
      <c r="G553" s="5" t="str">
        <f t="shared" si="44"/>
        <v/>
      </c>
      <c r="I553" s="6" t="str">
        <f t="shared" si="42"/>
        <v>0</v>
      </c>
      <c r="O553" t="s">
        <v>321</v>
      </c>
      <c r="P553">
        <f>IF(C553&lt;&gt;"",C553,_xlfn.XLOOKUP(B553,AI_NAMES!D:D,AI_NAMES!E:E,"",0))</f>
        <v>0</v>
      </c>
    </row>
    <row r="554" spans="1:16" x14ac:dyDescent="0.2">
      <c r="A554" t="s">
        <v>648</v>
      </c>
      <c r="B554" t="str">
        <f>IF(O554&lt;&gt;"",O554,_xlfn.XLOOKUP(A554,AI_NAMES!C:C,AI_NAMES!D:D,"",0))</f>
        <v/>
      </c>
      <c r="E554" t="str">
        <f t="shared" si="43"/>
        <v/>
      </c>
      <c r="G554" s="5" t="str">
        <f t="shared" si="44"/>
        <v/>
      </c>
      <c r="I554" s="6" t="str">
        <f t="shared" si="42"/>
        <v>0</v>
      </c>
      <c r="O554" t="s">
        <v>321</v>
      </c>
      <c r="P554">
        <f>IF(C554&lt;&gt;"",C554,_xlfn.XLOOKUP(B554,AI_NAMES!D:D,AI_NAMES!E:E,"",0))</f>
        <v>0</v>
      </c>
    </row>
    <row r="555" spans="1:16" x14ac:dyDescent="0.2">
      <c r="A555" t="s">
        <v>649</v>
      </c>
      <c r="B555" t="str">
        <f>IF(O555&lt;&gt;"",O555,_xlfn.XLOOKUP(A555,AI_NAMES!C:C,AI_NAMES!D:D,"",0))</f>
        <v/>
      </c>
      <c r="E555" t="str">
        <f t="shared" si="43"/>
        <v/>
      </c>
      <c r="G555" s="5" t="str">
        <f t="shared" si="44"/>
        <v/>
      </c>
      <c r="I555" s="6" t="str">
        <f t="shared" si="42"/>
        <v>0</v>
      </c>
      <c r="O555" t="s">
        <v>321</v>
      </c>
      <c r="P555">
        <f>IF(C555&lt;&gt;"",C555,_xlfn.XLOOKUP(B555,AI_NAMES!D:D,AI_NAMES!E:E,"",0))</f>
        <v>0</v>
      </c>
    </row>
    <row r="556" spans="1:16" x14ac:dyDescent="0.2">
      <c r="A556" t="s">
        <v>650</v>
      </c>
      <c r="B556" t="str">
        <f>IF(O556&lt;&gt;"",O556,_xlfn.XLOOKUP(A556,AI_NAMES!C:C,AI_NAMES!D:D,"",0))</f>
        <v/>
      </c>
      <c r="E556" t="str">
        <f t="shared" si="43"/>
        <v/>
      </c>
      <c r="G556" s="5" t="str">
        <f t="shared" si="44"/>
        <v/>
      </c>
      <c r="I556" s="6" t="str">
        <f t="shared" si="42"/>
        <v>0</v>
      </c>
      <c r="O556" t="s">
        <v>321</v>
      </c>
      <c r="P556">
        <f>IF(C556&lt;&gt;"",C556,_xlfn.XLOOKUP(B556,AI_NAMES!D:D,AI_NAMES!E:E,"",0))</f>
        <v>0</v>
      </c>
    </row>
    <row r="557" spans="1:16" x14ac:dyDescent="0.2">
      <c r="A557" t="s">
        <v>651</v>
      </c>
      <c r="B557" t="str">
        <f>IF(O557&lt;&gt;"",O557,_xlfn.XLOOKUP(A557,AI_NAMES!C:C,AI_NAMES!D:D,"",0))</f>
        <v/>
      </c>
      <c r="E557" t="str">
        <f t="shared" si="43"/>
        <v/>
      </c>
      <c r="G557" s="5" t="str">
        <f t="shared" si="44"/>
        <v/>
      </c>
      <c r="I557" s="6" t="str">
        <f t="shared" si="42"/>
        <v>0</v>
      </c>
      <c r="O557" t="s">
        <v>321</v>
      </c>
      <c r="P557">
        <f>IF(C557&lt;&gt;"",C557,_xlfn.XLOOKUP(B557,AI_NAMES!D:D,AI_NAMES!E:E,"",0))</f>
        <v>0</v>
      </c>
    </row>
    <row r="558" spans="1:16" x14ac:dyDescent="0.2">
      <c r="A558" t="s">
        <v>652</v>
      </c>
      <c r="B558" t="str">
        <f>IF(O558&lt;&gt;"",O558,_xlfn.XLOOKUP(A558,AI_NAMES!C:C,AI_NAMES!D:D,"",0))</f>
        <v/>
      </c>
      <c r="E558" t="str">
        <f t="shared" si="43"/>
        <v/>
      </c>
      <c r="G558" s="5" t="str">
        <f t="shared" si="44"/>
        <v/>
      </c>
      <c r="I558" s="6" t="str">
        <f t="shared" si="42"/>
        <v>0</v>
      </c>
      <c r="O558" t="s">
        <v>321</v>
      </c>
      <c r="P558">
        <f>IF(C558&lt;&gt;"",C558,_xlfn.XLOOKUP(B558,AI_NAMES!D:D,AI_NAMES!E:E,"",0))</f>
        <v>0</v>
      </c>
    </row>
    <row r="559" spans="1:16" x14ac:dyDescent="0.2">
      <c r="A559" t="s">
        <v>653</v>
      </c>
      <c r="B559" t="str">
        <f>IF(O559&lt;&gt;"",O559,_xlfn.XLOOKUP(A559,AI_NAMES!C:C,AI_NAMES!D:D,"",0))</f>
        <v/>
      </c>
      <c r="E559" t="str">
        <f t="shared" si="43"/>
        <v/>
      </c>
      <c r="G559" s="5" t="str">
        <f t="shared" si="44"/>
        <v/>
      </c>
      <c r="I559" s="6" t="str">
        <f t="shared" si="42"/>
        <v>0</v>
      </c>
      <c r="O559" t="s">
        <v>321</v>
      </c>
      <c r="P559">
        <f>IF(C559&lt;&gt;"",C559,_xlfn.XLOOKUP(B559,AI_NAMES!D:D,AI_NAMES!E:E,"",0))</f>
        <v>0</v>
      </c>
    </row>
    <row r="560" spans="1:16" x14ac:dyDescent="0.2">
      <c r="A560" t="s">
        <v>654</v>
      </c>
      <c r="B560" t="str">
        <f>IF(O560&lt;&gt;"",O560,_xlfn.XLOOKUP(A560,AI_NAMES!C:C,AI_NAMES!D:D,"",0))</f>
        <v/>
      </c>
      <c r="E560" t="str">
        <f t="shared" si="43"/>
        <v/>
      </c>
      <c r="G560" s="5" t="str">
        <f t="shared" si="44"/>
        <v/>
      </c>
      <c r="I560" s="6" t="str">
        <f t="shared" si="42"/>
        <v>0</v>
      </c>
      <c r="O560" t="s">
        <v>321</v>
      </c>
      <c r="P560">
        <f>IF(C560&lt;&gt;"",C560,_xlfn.XLOOKUP(B560,AI_NAMES!D:D,AI_NAMES!E:E,"",0))</f>
        <v>0</v>
      </c>
    </row>
    <row r="561" spans="1:16" x14ac:dyDescent="0.2">
      <c r="A561" t="s">
        <v>655</v>
      </c>
      <c r="B561" t="str">
        <f>IF(O561&lt;&gt;"",O561,_xlfn.XLOOKUP(A561,AI_NAMES!C:C,AI_NAMES!D:D,"",0))</f>
        <v/>
      </c>
      <c r="E561" t="str">
        <f t="shared" si="43"/>
        <v/>
      </c>
      <c r="G561" s="5" t="str">
        <f t="shared" si="44"/>
        <v/>
      </c>
      <c r="I561" s="6" t="str">
        <f t="shared" si="42"/>
        <v>0</v>
      </c>
      <c r="O561" t="s">
        <v>321</v>
      </c>
      <c r="P561">
        <f>IF(C561&lt;&gt;"",C561,_xlfn.XLOOKUP(B561,AI_NAMES!D:D,AI_NAMES!E:E,"",0))</f>
        <v>0</v>
      </c>
    </row>
    <row r="562" spans="1:16" x14ac:dyDescent="0.2">
      <c r="A562" t="s">
        <v>656</v>
      </c>
      <c r="B562" t="str">
        <f>IF(O562&lt;&gt;"",O562,_xlfn.XLOOKUP(A562,AI_NAMES!C:C,AI_NAMES!D:D,"",0))</f>
        <v/>
      </c>
      <c r="E562" t="str">
        <f t="shared" si="43"/>
        <v/>
      </c>
      <c r="G562" s="5" t="str">
        <f t="shared" si="44"/>
        <v/>
      </c>
      <c r="I562" s="6" t="str">
        <f t="shared" si="42"/>
        <v>0</v>
      </c>
      <c r="O562" t="s">
        <v>321</v>
      </c>
      <c r="P562">
        <f>IF(C562&lt;&gt;"",C562,_xlfn.XLOOKUP(B562,AI_NAMES!D:D,AI_NAMES!E:E,"",0))</f>
        <v>0</v>
      </c>
    </row>
    <row r="563" spans="1:16" x14ac:dyDescent="0.2">
      <c r="A563" t="s">
        <v>657</v>
      </c>
      <c r="B563" t="str">
        <f>IF(O563&lt;&gt;"",O563,_xlfn.XLOOKUP(A563,AI_NAMES!C:C,AI_NAMES!D:D,"",0))</f>
        <v/>
      </c>
      <c r="E563" t="str">
        <f t="shared" si="43"/>
        <v/>
      </c>
      <c r="G563" s="5" t="str">
        <f t="shared" si="44"/>
        <v/>
      </c>
      <c r="I563" s="6" t="str">
        <f t="shared" si="42"/>
        <v>0</v>
      </c>
      <c r="O563" t="s">
        <v>321</v>
      </c>
      <c r="P563">
        <f>IF(C563&lt;&gt;"",C563,_xlfn.XLOOKUP(B563,AI_NAMES!D:D,AI_NAMES!E:E,"",0))</f>
        <v>0</v>
      </c>
    </row>
    <row r="564" spans="1:16" x14ac:dyDescent="0.2">
      <c r="A564" t="s">
        <v>658</v>
      </c>
      <c r="B564" t="str">
        <f>IF(O564&lt;&gt;"",O564,_xlfn.XLOOKUP(A564,AI_NAMES!C:C,AI_NAMES!D:D,"",0))</f>
        <v/>
      </c>
      <c r="E564" t="str">
        <f t="shared" si="43"/>
        <v/>
      </c>
      <c r="G564" s="5" t="str">
        <f t="shared" si="44"/>
        <v/>
      </c>
      <c r="I564" s="6" t="str">
        <f t="shared" si="42"/>
        <v>0</v>
      </c>
      <c r="O564" t="s">
        <v>321</v>
      </c>
      <c r="P564">
        <f>IF(C564&lt;&gt;"",C564,_xlfn.XLOOKUP(B564,AI_NAMES!D:D,AI_NAMES!E:E,"",0))</f>
        <v>0</v>
      </c>
    </row>
    <row r="565" spans="1:16" x14ac:dyDescent="0.2">
      <c r="A565" t="s">
        <v>659</v>
      </c>
      <c r="B565" t="str">
        <f>IF(O565&lt;&gt;"",O565,_xlfn.XLOOKUP(A565,AI_NAMES!C:C,AI_NAMES!D:D,"",0))</f>
        <v/>
      </c>
      <c r="E565" t="str">
        <f t="shared" si="43"/>
        <v/>
      </c>
      <c r="G565" s="5" t="str">
        <f t="shared" si="44"/>
        <v/>
      </c>
      <c r="I565" s="6" t="str">
        <f t="shared" si="42"/>
        <v>0</v>
      </c>
      <c r="O565" t="s">
        <v>321</v>
      </c>
      <c r="P565">
        <f>IF(C565&lt;&gt;"",C565,_xlfn.XLOOKUP(B565,AI_NAMES!D:D,AI_NAMES!E:E,"",0))</f>
        <v>0</v>
      </c>
    </row>
    <row r="566" spans="1:16" x14ac:dyDescent="0.2">
      <c r="A566" t="s">
        <v>660</v>
      </c>
      <c r="B566" t="str">
        <f>IF(O566&lt;&gt;"",O566,_xlfn.XLOOKUP(A566,AI_NAMES!C:C,AI_NAMES!D:D,"",0))</f>
        <v/>
      </c>
      <c r="E566" t="str">
        <f t="shared" si="43"/>
        <v/>
      </c>
      <c r="G566" s="5" t="str">
        <f t="shared" si="44"/>
        <v/>
      </c>
      <c r="I566" s="6" t="str">
        <f t="shared" si="42"/>
        <v>0</v>
      </c>
      <c r="O566" t="s">
        <v>321</v>
      </c>
      <c r="P566">
        <f>IF(C566&lt;&gt;"",C566,_xlfn.XLOOKUP(B566,AI_NAMES!D:D,AI_NAMES!E:E,"",0))</f>
        <v>0</v>
      </c>
    </row>
    <row r="567" spans="1:16" x14ac:dyDescent="0.2">
      <c r="A567" t="s">
        <v>661</v>
      </c>
      <c r="B567" t="str">
        <f>IF(O567&lt;&gt;"",O567,_xlfn.XLOOKUP(A567,AI_NAMES!C:C,AI_NAMES!D:D,"",0))</f>
        <v/>
      </c>
      <c r="E567" t="str">
        <f t="shared" si="43"/>
        <v/>
      </c>
      <c r="G567" s="5" t="str">
        <f t="shared" si="44"/>
        <v/>
      </c>
      <c r="I567" s="6" t="str">
        <f t="shared" si="42"/>
        <v>0</v>
      </c>
      <c r="O567" t="s">
        <v>321</v>
      </c>
      <c r="P567">
        <f>IF(C567&lt;&gt;"",C567,_xlfn.XLOOKUP(B567,AI_NAMES!D:D,AI_NAMES!E:E,"",0))</f>
        <v>0</v>
      </c>
    </row>
    <row r="568" spans="1:16" x14ac:dyDescent="0.2">
      <c r="A568" t="s">
        <v>662</v>
      </c>
      <c r="B568" t="str">
        <f>IF(O568&lt;&gt;"",O568,_xlfn.XLOOKUP(A568,AI_NAMES!C:C,AI_NAMES!D:D,"",0))</f>
        <v/>
      </c>
      <c r="E568" t="str">
        <f t="shared" si="43"/>
        <v/>
      </c>
      <c r="G568" s="5" t="str">
        <f t="shared" si="44"/>
        <v/>
      </c>
      <c r="I568" s="6" t="str">
        <f t="shared" si="42"/>
        <v>0</v>
      </c>
      <c r="O568" t="s">
        <v>321</v>
      </c>
      <c r="P568">
        <f>IF(C568&lt;&gt;"",C568,_xlfn.XLOOKUP(B568,AI_NAMES!D:D,AI_NAMES!E:E,"",0))</f>
        <v>0</v>
      </c>
    </row>
    <row r="569" spans="1:16" x14ac:dyDescent="0.2">
      <c r="A569" t="s">
        <v>663</v>
      </c>
      <c r="B569" t="str">
        <f>IF(O569&lt;&gt;"",O569,_xlfn.XLOOKUP(A569,AI_NAMES!C:C,AI_NAMES!D:D,"",0))</f>
        <v/>
      </c>
      <c r="E569" t="str">
        <f t="shared" si="43"/>
        <v/>
      </c>
      <c r="G569" s="5" t="str">
        <f t="shared" si="44"/>
        <v/>
      </c>
      <c r="I569" s="6" t="str">
        <f t="shared" si="42"/>
        <v>0</v>
      </c>
      <c r="O569" t="s">
        <v>321</v>
      </c>
      <c r="P569">
        <f>IF(C569&lt;&gt;"",C569,_xlfn.XLOOKUP(B569,AI_NAMES!D:D,AI_NAMES!E:E,"",0))</f>
        <v>0</v>
      </c>
    </row>
    <row r="570" spans="1:16" x14ac:dyDescent="0.2">
      <c r="A570" t="s">
        <v>664</v>
      </c>
      <c r="B570" t="str">
        <f>IF(O570&lt;&gt;"",O570,_xlfn.XLOOKUP(A570,AI_NAMES!C:C,AI_NAMES!D:D,"",0))</f>
        <v/>
      </c>
      <c r="E570" t="str">
        <f t="shared" si="43"/>
        <v/>
      </c>
      <c r="G570" s="5" t="str">
        <f t="shared" si="44"/>
        <v/>
      </c>
      <c r="I570" s="6" t="str">
        <f t="shared" si="42"/>
        <v>0</v>
      </c>
      <c r="O570" t="s">
        <v>321</v>
      </c>
      <c r="P570">
        <f>IF(C570&lt;&gt;"",C570,_xlfn.XLOOKUP(B570,AI_NAMES!D:D,AI_NAMES!E:E,"",0))</f>
        <v>0</v>
      </c>
    </row>
    <row r="571" spans="1:16" x14ac:dyDescent="0.2">
      <c r="A571" t="s">
        <v>665</v>
      </c>
      <c r="B571" t="str">
        <f>IF(O571&lt;&gt;"",O571,_xlfn.XLOOKUP(A571,AI_NAMES!C:C,AI_NAMES!D:D,"",0))</f>
        <v/>
      </c>
      <c r="E571" t="str">
        <f t="shared" si="43"/>
        <v/>
      </c>
      <c r="G571" s="5" t="str">
        <f t="shared" si="44"/>
        <v/>
      </c>
      <c r="I571" s="6" t="str">
        <f t="shared" si="42"/>
        <v>0</v>
      </c>
      <c r="O571" t="s">
        <v>321</v>
      </c>
      <c r="P571">
        <f>IF(C571&lt;&gt;"",C571,_xlfn.XLOOKUP(B571,AI_NAMES!D:D,AI_NAMES!E:E,"",0))</f>
        <v>0</v>
      </c>
    </row>
    <row r="572" spans="1:16" x14ac:dyDescent="0.2">
      <c r="A572" t="s">
        <v>666</v>
      </c>
      <c r="B572" t="str">
        <f>IF(O572&lt;&gt;"",O572,_xlfn.XLOOKUP(A572,AI_NAMES!C:C,AI_NAMES!D:D,"",0))</f>
        <v/>
      </c>
      <c r="E572" t="str">
        <f t="shared" si="43"/>
        <v/>
      </c>
      <c r="G572" s="5" t="str">
        <f t="shared" si="44"/>
        <v/>
      </c>
      <c r="I572" s="6" t="str">
        <f t="shared" si="42"/>
        <v>0</v>
      </c>
      <c r="O572" t="s">
        <v>321</v>
      </c>
      <c r="P572">
        <f>IF(C572&lt;&gt;"",C572,_xlfn.XLOOKUP(B572,AI_NAMES!D:D,AI_NAMES!E:E,"",0))</f>
        <v>0</v>
      </c>
    </row>
    <row r="573" spans="1:16" x14ac:dyDescent="0.2">
      <c r="A573" t="s">
        <v>667</v>
      </c>
      <c r="B573" t="str">
        <f>IF(O573&lt;&gt;"",O573,_xlfn.XLOOKUP(A573,AI_NAMES!C:C,AI_NAMES!D:D,"",0))</f>
        <v/>
      </c>
      <c r="E573" t="str">
        <f t="shared" si="43"/>
        <v/>
      </c>
      <c r="G573" s="5" t="str">
        <f t="shared" si="44"/>
        <v/>
      </c>
      <c r="I573" s="6" t="str">
        <f t="shared" si="42"/>
        <v>0</v>
      </c>
      <c r="O573" t="s">
        <v>321</v>
      </c>
      <c r="P573">
        <f>IF(C573&lt;&gt;"",C573,_xlfn.XLOOKUP(B573,AI_NAMES!D:D,AI_NAMES!E:E,"",0))</f>
        <v>0</v>
      </c>
    </row>
    <row r="574" spans="1:16" x14ac:dyDescent="0.2">
      <c r="A574" t="s">
        <v>668</v>
      </c>
      <c r="B574" t="str">
        <f>IF(O574&lt;&gt;"",O574,_xlfn.XLOOKUP(A574,AI_NAMES!C:C,AI_NAMES!D:D,"",0))</f>
        <v/>
      </c>
      <c r="E574" t="str">
        <f t="shared" si="43"/>
        <v/>
      </c>
      <c r="G574" s="5" t="str">
        <f t="shared" si="44"/>
        <v/>
      </c>
      <c r="I574" s="6" t="str">
        <f t="shared" si="42"/>
        <v>0</v>
      </c>
      <c r="O574" t="s">
        <v>321</v>
      </c>
      <c r="P574">
        <f>IF(C574&lt;&gt;"",C574,_xlfn.XLOOKUP(B574,AI_NAMES!D:D,AI_NAMES!E:E,"",0))</f>
        <v>0</v>
      </c>
    </row>
    <row r="575" spans="1:16" x14ac:dyDescent="0.2">
      <c r="A575" t="s">
        <v>669</v>
      </c>
      <c r="B575" t="str">
        <f>IF(O575&lt;&gt;"",O575,_xlfn.XLOOKUP(A575,AI_NAMES!C:C,AI_NAMES!D:D,"",0))</f>
        <v/>
      </c>
      <c r="E575" t="str">
        <f t="shared" si="43"/>
        <v/>
      </c>
      <c r="G575" s="5" t="str">
        <f t="shared" si="44"/>
        <v/>
      </c>
      <c r="I575" s="6" t="str">
        <f t="shared" si="42"/>
        <v>0</v>
      </c>
      <c r="O575" t="s">
        <v>321</v>
      </c>
      <c r="P575">
        <f>IF(C575&lt;&gt;"",C575,_xlfn.XLOOKUP(B575,AI_NAMES!D:D,AI_NAMES!E:E,"",0))</f>
        <v>0</v>
      </c>
    </row>
    <row r="576" spans="1:16" x14ac:dyDescent="0.2">
      <c r="A576" t="s">
        <v>670</v>
      </c>
      <c r="B576" t="str">
        <f>IF(O576&lt;&gt;"",O576,_xlfn.XLOOKUP(A576,AI_NAMES!C:C,AI_NAMES!D:D,"",0))</f>
        <v/>
      </c>
      <c r="E576" t="str">
        <f t="shared" si="43"/>
        <v/>
      </c>
      <c r="G576" s="5" t="str">
        <f t="shared" si="44"/>
        <v/>
      </c>
      <c r="I576" s="6" t="str">
        <f t="shared" si="42"/>
        <v>0</v>
      </c>
      <c r="O576" t="s">
        <v>321</v>
      </c>
      <c r="P576">
        <f>IF(C576&lt;&gt;"",C576,_xlfn.XLOOKUP(B576,AI_NAMES!D:D,AI_NAMES!E:E,"",0))</f>
        <v>0</v>
      </c>
    </row>
    <row r="577" spans="1:16" x14ac:dyDescent="0.2">
      <c r="A577" t="s">
        <v>671</v>
      </c>
      <c r="B577" t="str">
        <f>IF(O577&lt;&gt;"",O577,_xlfn.XLOOKUP(A577,AI_NAMES!C:C,AI_NAMES!D:D,"",0))</f>
        <v/>
      </c>
      <c r="E577" t="str">
        <f t="shared" si="43"/>
        <v/>
      </c>
      <c r="G577" s="5" t="str">
        <f t="shared" si="44"/>
        <v/>
      </c>
      <c r="I577" s="6" t="str">
        <f t="shared" si="42"/>
        <v>0</v>
      </c>
      <c r="O577" t="s">
        <v>321</v>
      </c>
      <c r="P577">
        <f>IF(C577&lt;&gt;"",C577,_xlfn.XLOOKUP(B577,AI_NAMES!D:D,AI_NAMES!E:E,"",0))</f>
        <v>0</v>
      </c>
    </row>
    <row r="578" spans="1:16" x14ac:dyDescent="0.2">
      <c r="A578" t="s">
        <v>672</v>
      </c>
      <c r="B578" t="str">
        <f>IF(O578&lt;&gt;"",O578,_xlfn.XLOOKUP(A578,AI_NAMES!C:C,AI_NAMES!D:D,"",0))</f>
        <v/>
      </c>
      <c r="E578" t="str">
        <f t="shared" si="43"/>
        <v/>
      </c>
      <c r="G578" s="5" t="str">
        <f t="shared" si="44"/>
        <v/>
      </c>
      <c r="I578" s="6" t="str">
        <f t="shared" si="42"/>
        <v>0</v>
      </c>
      <c r="O578" t="s">
        <v>321</v>
      </c>
      <c r="P578">
        <f>IF(C578&lt;&gt;"",C578,_xlfn.XLOOKUP(B578,AI_NAMES!D:D,AI_NAMES!E:E,"",0))</f>
        <v>0</v>
      </c>
    </row>
    <row r="579" spans="1:16" x14ac:dyDescent="0.2">
      <c r="A579" t="s">
        <v>673</v>
      </c>
      <c r="B579" t="str">
        <f>IF(O579&lt;&gt;"",O579,_xlfn.XLOOKUP(A579,AI_NAMES!C:C,AI_NAMES!D:D,"",0))</f>
        <v/>
      </c>
      <c r="E579" t="str">
        <f t="shared" si="43"/>
        <v/>
      </c>
      <c r="G579" s="5" t="str">
        <f t="shared" si="44"/>
        <v/>
      </c>
      <c r="I579" s="6" t="str">
        <f t="shared" ref="I579:I642" si="45">IFERROR(DEC2HEX(H579),"")</f>
        <v>0</v>
      </c>
      <c r="O579" t="s">
        <v>321</v>
      </c>
      <c r="P579">
        <f>IF(C579&lt;&gt;"",C579,_xlfn.XLOOKUP(B579,AI_NAMES!D:D,AI_NAMES!E:E,"",0))</f>
        <v>0</v>
      </c>
    </row>
    <row r="580" spans="1:16" x14ac:dyDescent="0.2">
      <c r="A580" t="s">
        <v>674</v>
      </c>
      <c r="B580" t="str">
        <f>IF(O580&lt;&gt;"",O580,_xlfn.XLOOKUP(A580,AI_NAMES!C:C,AI_NAMES!D:D,"",0))</f>
        <v/>
      </c>
      <c r="E580" t="str">
        <f t="shared" ref="E580:E643" si="46">IF(D580&lt;&gt;"",C580&amp;"/"&amp;D580,"")</f>
        <v/>
      </c>
      <c r="G580" s="5" t="str">
        <f t="shared" si="44"/>
        <v/>
      </c>
      <c r="I580" s="6" t="str">
        <f t="shared" si="45"/>
        <v>0</v>
      </c>
      <c r="O580" t="s">
        <v>321</v>
      </c>
      <c r="P580">
        <f>IF(C580&lt;&gt;"",C580,_xlfn.XLOOKUP(B580,AI_NAMES!D:D,AI_NAMES!E:E,"",0))</f>
        <v>0</v>
      </c>
    </row>
    <row r="581" spans="1:16" x14ac:dyDescent="0.2">
      <c r="A581" t="s">
        <v>675</v>
      </c>
      <c r="B581" t="str">
        <f>IF(O581&lt;&gt;"",O581,_xlfn.XLOOKUP(A581,AI_NAMES!C:C,AI_NAMES!D:D,"",0))</f>
        <v/>
      </c>
      <c r="E581" t="str">
        <f t="shared" si="46"/>
        <v/>
      </c>
      <c r="G581" s="5" t="str">
        <f t="shared" si="44"/>
        <v/>
      </c>
      <c r="I581" s="6" t="str">
        <f t="shared" si="45"/>
        <v>0</v>
      </c>
      <c r="O581" t="s">
        <v>321</v>
      </c>
      <c r="P581">
        <f>IF(C581&lt;&gt;"",C581,_xlfn.XLOOKUP(B581,AI_NAMES!D:D,AI_NAMES!E:E,"",0))</f>
        <v>0</v>
      </c>
    </row>
    <row r="582" spans="1:16" x14ac:dyDescent="0.2">
      <c r="A582" t="s">
        <v>676</v>
      </c>
      <c r="B582" t="str">
        <f>IF(O582&lt;&gt;"",O582,_xlfn.XLOOKUP(A582,AI_NAMES!C:C,AI_NAMES!D:D,"",0))</f>
        <v/>
      </c>
      <c r="E582" t="str">
        <f t="shared" si="46"/>
        <v/>
      </c>
      <c r="G582" s="5" t="str">
        <f t="shared" si="44"/>
        <v/>
      </c>
      <c r="I582" s="6" t="str">
        <f t="shared" si="45"/>
        <v>0</v>
      </c>
      <c r="O582" t="s">
        <v>321</v>
      </c>
      <c r="P582">
        <f>IF(C582&lt;&gt;"",C582,_xlfn.XLOOKUP(B582,AI_NAMES!D:D,AI_NAMES!E:E,"",0))</f>
        <v>0</v>
      </c>
    </row>
    <row r="583" spans="1:16" x14ac:dyDescent="0.2">
      <c r="A583" t="s">
        <v>677</v>
      </c>
      <c r="B583" t="str">
        <f>IF(O583&lt;&gt;"",O583,_xlfn.XLOOKUP(A583,AI_NAMES!C:C,AI_NAMES!D:D,"",0))</f>
        <v/>
      </c>
      <c r="E583" t="str">
        <f t="shared" si="46"/>
        <v/>
      </c>
      <c r="G583" s="5" t="str">
        <f t="shared" si="44"/>
        <v/>
      </c>
      <c r="I583" s="6" t="str">
        <f t="shared" si="45"/>
        <v>0</v>
      </c>
      <c r="O583" t="s">
        <v>321</v>
      </c>
      <c r="P583">
        <f>IF(C583&lt;&gt;"",C583,_xlfn.XLOOKUP(B583,AI_NAMES!D:D,AI_NAMES!E:E,"",0))</f>
        <v>0</v>
      </c>
    </row>
    <row r="584" spans="1:16" x14ac:dyDescent="0.2">
      <c r="A584" t="s">
        <v>678</v>
      </c>
      <c r="B584" t="str">
        <f>IF(O584&lt;&gt;"",O584,_xlfn.XLOOKUP(A584,AI_NAMES!C:C,AI_NAMES!D:D,"",0))</f>
        <v/>
      </c>
      <c r="E584" t="str">
        <f t="shared" si="46"/>
        <v/>
      </c>
      <c r="G584" s="5" t="str">
        <f t="shared" si="44"/>
        <v/>
      </c>
      <c r="I584" s="6" t="str">
        <f t="shared" si="45"/>
        <v>0</v>
      </c>
      <c r="O584" t="s">
        <v>321</v>
      </c>
      <c r="P584">
        <f>IF(C584&lt;&gt;"",C584,_xlfn.XLOOKUP(B584,AI_NAMES!D:D,AI_NAMES!E:E,"",0))</f>
        <v>0</v>
      </c>
    </row>
    <row r="585" spans="1:16" x14ac:dyDescent="0.2">
      <c r="A585" t="s">
        <v>679</v>
      </c>
      <c r="B585" t="str">
        <f>IF(O585&lt;&gt;"",O585,_xlfn.XLOOKUP(A585,AI_NAMES!C:C,AI_NAMES!D:D,"",0))</f>
        <v/>
      </c>
      <c r="E585" t="str">
        <f t="shared" si="46"/>
        <v/>
      </c>
      <c r="G585" s="5" t="str">
        <f t="shared" ref="G585:G648" si="47">IF(F585&lt;&gt;"",HEX2DEC(SUBSTITUTE(SUBSTITUTE(F585,"adrEA",""),"$","")),"")</f>
        <v/>
      </c>
      <c r="I585" s="6" t="str">
        <f t="shared" si="45"/>
        <v>0</v>
      </c>
      <c r="O585" t="s">
        <v>321</v>
      </c>
      <c r="P585">
        <f>IF(C585&lt;&gt;"",C585,_xlfn.XLOOKUP(B585,AI_NAMES!D:D,AI_NAMES!E:E,"",0))</f>
        <v>0</v>
      </c>
    </row>
    <row r="586" spans="1:16" x14ac:dyDescent="0.2">
      <c r="A586" t="s">
        <v>680</v>
      </c>
      <c r="B586" t="str">
        <f>IF(O586&lt;&gt;"",O586,_xlfn.XLOOKUP(A586,AI_NAMES!C:C,AI_NAMES!D:D,"",0))</f>
        <v/>
      </c>
      <c r="E586" t="str">
        <f t="shared" si="46"/>
        <v/>
      </c>
      <c r="G586" s="5" t="str">
        <f t="shared" si="47"/>
        <v/>
      </c>
      <c r="I586" s="6" t="str">
        <f t="shared" si="45"/>
        <v>0</v>
      </c>
      <c r="O586" t="s">
        <v>321</v>
      </c>
      <c r="P586">
        <f>IF(C586&lt;&gt;"",C586,_xlfn.XLOOKUP(B586,AI_NAMES!D:D,AI_NAMES!E:E,"",0))</f>
        <v>0</v>
      </c>
    </row>
    <row r="587" spans="1:16" x14ac:dyDescent="0.2">
      <c r="A587" t="s">
        <v>681</v>
      </c>
      <c r="B587" t="str">
        <f>IF(O587&lt;&gt;"",O587,_xlfn.XLOOKUP(A587,AI_NAMES!C:C,AI_NAMES!D:D,"",0))</f>
        <v/>
      </c>
      <c r="E587" t="str">
        <f t="shared" si="46"/>
        <v/>
      </c>
      <c r="G587" s="5" t="str">
        <f t="shared" si="47"/>
        <v/>
      </c>
      <c r="I587" s="6" t="str">
        <f t="shared" si="45"/>
        <v>0</v>
      </c>
      <c r="O587" t="s">
        <v>321</v>
      </c>
      <c r="P587">
        <f>IF(C587&lt;&gt;"",C587,_xlfn.XLOOKUP(B587,AI_NAMES!D:D,AI_NAMES!E:E,"",0))</f>
        <v>0</v>
      </c>
    </row>
    <row r="588" spans="1:16" x14ac:dyDescent="0.2">
      <c r="A588" t="s">
        <v>682</v>
      </c>
      <c r="B588" t="str">
        <f>IF(O588&lt;&gt;"",O588,_xlfn.XLOOKUP(A588,AI_NAMES!C:C,AI_NAMES!D:D,"",0))</f>
        <v/>
      </c>
      <c r="E588" t="str">
        <f t="shared" si="46"/>
        <v/>
      </c>
      <c r="G588" s="5" t="str">
        <f t="shared" si="47"/>
        <v/>
      </c>
      <c r="I588" s="6" t="str">
        <f t="shared" si="45"/>
        <v>0</v>
      </c>
      <c r="O588" t="s">
        <v>321</v>
      </c>
      <c r="P588">
        <f>IF(C588&lt;&gt;"",C588,_xlfn.XLOOKUP(B588,AI_NAMES!D:D,AI_NAMES!E:E,"",0))</f>
        <v>0</v>
      </c>
    </row>
    <row r="589" spans="1:16" x14ac:dyDescent="0.2">
      <c r="A589" t="s">
        <v>683</v>
      </c>
      <c r="B589" t="str">
        <f>IF(O589&lt;&gt;"",O589,_xlfn.XLOOKUP(A589,AI_NAMES!C:C,AI_NAMES!D:D,"",0))</f>
        <v/>
      </c>
      <c r="E589" t="str">
        <f t="shared" si="46"/>
        <v/>
      </c>
      <c r="G589" s="5" t="str">
        <f t="shared" si="47"/>
        <v/>
      </c>
      <c r="I589" s="6" t="str">
        <f t="shared" si="45"/>
        <v>0</v>
      </c>
      <c r="O589" t="s">
        <v>321</v>
      </c>
      <c r="P589">
        <f>IF(C589&lt;&gt;"",C589,_xlfn.XLOOKUP(B589,AI_NAMES!D:D,AI_NAMES!E:E,"",0))</f>
        <v>0</v>
      </c>
    </row>
    <row r="590" spans="1:16" x14ac:dyDescent="0.2">
      <c r="A590" t="s">
        <v>684</v>
      </c>
      <c r="B590" t="str">
        <f>IF(O590&lt;&gt;"",O590,_xlfn.XLOOKUP(A590,AI_NAMES!C:C,AI_NAMES!D:D,"",0))</f>
        <v/>
      </c>
      <c r="E590" t="str">
        <f t="shared" si="46"/>
        <v/>
      </c>
      <c r="G590" s="5" t="str">
        <f t="shared" si="47"/>
        <v/>
      </c>
      <c r="I590" s="6" t="str">
        <f t="shared" si="45"/>
        <v>0</v>
      </c>
      <c r="O590" t="s">
        <v>321</v>
      </c>
      <c r="P590">
        <f>IF(C590&lt;&gt;"",C590,_xlfn.XLOOKUP(B590,AI_NAMES!D:D,AI_NAMES!E:E,"",0))</f>
        <v>0</v>
      </c>
    </row>
    <row r="591" spans="1:16" x14ac:dyDescent="0.2">
      <c r="A591" t="s">
        <v>685</v>
      </c>
      <c r="B591" t="str">
        <f>IF(O591&lt;&gt;"",O591,_xlfn.XLOOKUP(A591,AI_NAMES!C:C,AI_NAMES!D:D,"",0))</f>
        <v/>
      </c>
      <c r="E591" t="str">
        <f t="shared" si="46"/>
        <v/>
      </c>
      <c r="G591" s="5" t="str">
        <f t="shared" si="47"/>
        <v/>
      </c>
      <c r="I591" s="6" t="str">
        <f t="shared" si="45"/>
        <v>0</v>
      </c>
      <c r="O591" t="s">
        <v>321</v>
      </c>
      <c r="P591">
        <f>IF(C591&lt;&gt;"",C591,_xlfn.XLOOKUP(B591,AI_NAMES!D:D,AI_NAMES!E:E,"",0))</f>
        <v>0</v>
      </c>
    </row>
    <row r="592" spans="1:16" x14ac:dyDescent="0.2">
      <c r="A592" t="s">
        <v>686</v>
      </c>
      <c r="B592" t="str">
        <f>IF(O592&lt;&gt;"",O592,_xlfn.XLOOKUP(A592,AI_NAMES!C:C,AI_NAMES!D:D,"",0))</f>
        <v/>
      </c>
      <c r="E592" t="str">
        <f t="shared" si="46"/>
        <v/>
      </c>
      <c r="G592" s="5" t="str">
        <f t="shared" si="47"/>
        <v/>
      </c>
      <c r="I592" s="6" t="str">
        <f t="shared" si="45"/>
        <v>0</v>
      </c>
      <c r="O592" t="s">
        <v>321</v>
      </c>
      <c r="P592">
        <f>IF(C592&lt;&gt;"",C592,_xlfn.XLOOKUP(B592,AI_NAMES!D:D,AI_NAMES!E:E,"",0))</f>
        <v>0</v>
      </c>
    </row>
    <row r="593" spans="1:16" x14ac:dyDescent="0.2">
      <c r="A593" t="s">
        <v>687</v>
      </c>
      <c r="B593" t="str">
        <f>IF(O593&lt;&gt;"",O593,_xlfn.XLOOKUP(A593,AI_NAMES!C:C,AI_NAMES!D:D,"",0))</f>
        <v/>
      </c>
      <c r="E593" t="str">
        <f t="shared" si="46"/>
        <v/>
      </c>
      <c r="G593" s="5" t="str">
        <f t="shared" si="47"/>
        <v/>
      </c>
      <c r="I593" s="6" t="str">
        <f t="shared" si="45"/>
        <v>0</v>
      </c>
      <c r="O593" t="s">
        <v>321</v>
      </c>
      <c r="P593">
        <f>IF(C593&lt;&gt;"",C593,_xlfn.XLOOKUP(B593,AI_NAMES!D:D,AI_NAMES!E:E,"",0))</f>
        <v>0</v>
      </c>
    </row>
    <row r="594" spans="1:16" x14ac:dyDescent="0.2">
      <c r="A594" t="s">
        <v>688</v>
      </c>
      <c r="B594" t="str">
        <f>IF(O594&lt;&gt;"",O594,_xlfn.XLOOKUP(A594,AI_NAMES!C:C,AI_NAMES!D:D,"",0))</f>
        <v/>
      </c>
      <c r="E594" t="str">
        <f t="shared" si="46"/>
        <v/>
      </c>
      <c r="G594" s="5" t="str">
        <f t="shared" si="47"/>
        <v/>
      </c>
      <c r="I594" s="6" t="str">
        <f t="shared" si="45"/>
        <v>0</v>
      </c>
      <c r="O594" t="s">
        <v>321</v>
      </c>
      <c r="P594">
        <f>IF(C594&lt;&gt;"",C594,_xlfn.XLOOKUP(B594,AI_NAMES!D:D,AI_NAMES!E:E,"",0))</f>
        <v>0</v>
      </c>
    </row>
    <row r="595" spans="1:16" x14ac:dyDescent="0.2">
      <c r="A595" t="s">
        <v>689</v>
      </c>
      <c r="B595" t="str">
        <f>IF(O595&lt;&gt;"",O595,_xlfn.XLOOKUP(A595,AI_NAMES!C:C,AI_NAMES!D:D,"",0))</f>
        <v/>
      </c>
      <c r="E595" t="str">
        <f t="shared" si="46"/>
        <v/>
      </c>
      <c r="G595" s="5" t="str">
        <f t="shared" si="47"/>
        <v/>
      </c>
      <c r="I595" s="6" t="str">
        <f t="shared" si="45"/>
        <v>0</v>
      </c>
      <c r="O595" t="s">
        <v>321</v>
      </c>
      <c r="P595">
        <f>IF(C595&lt;&gt;"",C595,_xlfn.XLOOKUP(B595,AI_NAMES!D:D,AI_NAMES!E:E,"",0))</f>
        <v>0</v>
      </c>
    </row>
    <row r="596" spans="1:16" x14ac:dyDescent="0.2">
      <c r="A596" t="s">
        <v>690</v>
      </c>
      <c r="B596" t="str">
        <f>IF(O596&lt;&gt;"",O596,_xlfn.XLOOKUP(A596,AI_NAMES!C:C,AI_NAMES!D:D,"",0))</f>
        <v/>
      </c>
      <c r="E596" t="str">
        <f t="shared" si="46"/>
        <v/>
      </c>
      <c r="G596" s="5" t="str">
        <f t="shared" si="47"/>
        <v/>
      </c>
      <c r="I596" s="6" t="str">
        <f t="shared" si="45"/>
        <v>0</v>
      </c>
      <c r="O596" t="s">
        <v>321</v>
      </c>
      <c r="P596">
        <f>IF(C596&lt;&gt;"",C596,_xlfn.XLOOKUP(B596,AI_NAMES!D:D,AI_NAMES!E:E,"",0))</f>
        <v>0</v>
      </c>
    </row>
    <row r="597" spans="1:16" x14ac:dyDescent="0.2">
      <c r="A597" t="s">
        <v>691</v>
      </c>
      <c r="B597" t="str">
        <f>IF(O597&lt;&gt;"",O597,_xlfn.XLOOKUP(A597,AI_NAMES!C:C,AI_NAMES!D:D,"",0))</f>
        <v/>
      </c>
      <c r="E597" t="str">
        <f t="shared" si="46"/>
        <v/>
      </c>
      <c r="G597" s="5" t="str">
        <f t="shared" si="47"/>
        <v/>
      </c>
      <c r="I597" s="6" t="str">
        <f t="shared" si="45"/>
        <v>0</v>
      </c>
      <c r="O597" t="s">
        <v>321</v>
      </c>
      <c r="P597">
        <f>IF(C597&lt;&gt;"",C597,_xlfn.XLOOKUP(B597,AI_NAMES!D:D,AI_NAMES!E:E,"",0))</f>
        <v>0</v>
      </c>
    </row>
    <row r="598" spans="1:16" x14ac:dyDescent="0.2">
      <c r="A598" t="s">
        <v>692</v>
      </c>
      <c r="B598" t="str">
        <f>IF(O598&lt;&gt;"",O598,_xlfn.XLOOKUP(A598,AI_NAMES!C:C,AI_NAMES!D:D,"",0))</f>
        <v/>
      </c>
      <c r="E598" t="str">
        <f t="shared" si="46"/>
        <v/>
      </c>
      <c r="G598" s="5" t="str">
        <f t="shared" si="47"/>
        <v/>
      </c>
      <c r="I598" s="6" t="str">
        <f t="shared" si="45"/>
        <v>0</v>
      </c>
      <c r="O598" t="s">
        <v>321</v>
      </c>
      <c r="P598">
        <f>IF(C598&lt;&gt;"",C598,_xlfn.XLOOKUP(B598,AI_NAMES!D:D,AI_NAMES!E:E,"",0))</f>
        <v>0</v>
      </c>
    </row>
    <row r="599" spans="1:16" x14ac:dyDescent="0.2">
      <c r="A599" t="s">
        <v>693</v>
      </c>
      <c r="B599" t="str">
        <f>IF(O599&lt;&gt;"",O599,_xlfn.XLOOKUP(A599,AI_NAMES!C:C,AI_NAMES!D:D,"",0))</f>
        <v/>
      </c>
      <c r="E599" t="str">
        <f t="shared" si="46"/>
        <v/>
      </c>
      <c r="G599" s="5" t="str">
        <f t="shared" si="47"/>
        <v/>
      </c>
      <c r="I599" s="6" t="str">
        <f t="shared" si="45"/>
        <v>0</v>
      </c>
      <c r="O599" t="s">
        <v>321</v>
      </c>
      <c r="P599">
        <f>IF(C599&lt;&gt;"",C599,_xlfn.XLOOKUP(B599,AI_NAMES!D:D,AI_NAMES!E:E,"",0))</f>
        <v>0</v>
      </c>
    </row>
    <row r="600" spans="1:16" x14ac:dyDescent="0.2">
      <c r="A600" t="s">
        <v>694</v>
      </c>
      <c r="B600" t="str">
        <f>IF(O600&lt;&gt;"",O600,_xlfn.XLOOKUP(A600,AI_NAMES!C:C,AI_NAMES!D:D,"",0))</f>
        <v/>
      </c>
      <c r="E600" t="str">
        <f t="shared" si="46"/>
        <v/>
      </c>
      <c r="G600" s="5" t="str">
        <f t="shared" si="47"/>
        <v/>
      </c>
      <c r="I600" s="6" t="str">
        <f t="shared" si="45"/>
        <v>0</v>
      </c>
      <c r="O600" t="s">
        <v>321</v>
      </c>
      <c r="P600">
        <f>IF(C600&lt;&gt;"",C600,_xlfn.XLOOKUP(B600,AI_NAMES!D:D,AI_NAMES!E:E,"",0))</f>
        <v>0</v>
      </c>
    </row>
    <row r="601" spans="1:16" x14ac:dyDescent="0.2">
      <c r="A601" t="s">
        <v>695</v>
      </c>
      <c r="B601" t="str">
        <f>IF(O601&lt;&gt;"",O601,_xlfn.XLOOKUP(A601,AI_NAMES!C:C,AI_NAMES!D:D,"",0))</f>
        <v/>
      </c>
      <c r="E601" t="str">
        <f t="shared" si="46"/>
        <v/>
      </c>
      <c r="G601" s="5" t="str">
        <f t="shared" si="47"/>
        <v/>
      </c>
      <c r="I601" s="6" t="str">
        <f t="shared" si="45"/>
        <v>0</v>
      </c>
      <c r="O601" t="s">
        <v>321</v>
      </c>
      <c r="P601">
        <f>IF(C601&lt;&gt;"",C601,_xlfn.XLOOKUP(B601,AI_NAMES!D:D,AI_NAMES!E:E,"",0))</f>
        <v>0</v>
      </c>
    </row>
    <row r="602" spans="1:16" x14ac:dyDescent="0.2">
      <c r="A602" t="s">
        <v>696</v>
      </c>
      <c r="B602" t="str">
        <f>IF(O602&lt;&gt;"",O602,_xlfn.XLOOKUP(A602,AI_NAMES!C:C,AI_NAMES!D:D,"",0))</f>
        <v/>
      </c>
      <c r="E602" t="str">
        <f t="shared" si="46"/>
        <v/>
      </c>
      <c r="G602" s="5" t="str">
        <f t="shared" si="47"/>
        <v/>
      </c>
      <c r="I602" s="6" t="str">
        <f t="shared" si="45"/>
        <v>0</v>
      </c>
      <c r="O602" t="s">
        <v>321</v>
      </c>
      <c r="P602">
        <f>IF(C602&lt;&gt;"",C602,_xlfn.XLOOKUP(B602,AI_NAMES!D:D,AI_NAMES!E:E,"",0))</f>
        <v>0</v>
      </c>
    </row>
    <row r="603" spans="1:16" x14ac:dyDescent="0.2">
      <c r="A603" t="s">
        <v>697</v>
      </c>
      <c r="B603" t="str">
        <f>IF(O603&lt;&gt;"",O603,_xlfn.XLOOKUP(A603,AI_NAMES!C:C,AI_NAMES!D:D,"",0))</f>
        <v/>
      </c>
      <c r="E603" t="str">
        <f t="shared" si="46"/>
        <v/>
      </c>
      <c r="G603" s="5" t="str">
        <f t="shared" si="47"/>
        <v/>
      </c>
      <c r="I603" s="6" t="str">
        <f t="shared" si="45"/>
        <v>0</v>
      </c>
      <c r="O603" t="s">
        <v>321</v>
      </c>
      <c r="P603">
        <f>IF(C603&lt;&gt;"",C603,_xlfn.XLOOKUP(B603,AI_NAMES!D:D,AI_NAMES!E:E,"",0))</f>
        <v>0</v>
      </c>
    </row>
    <row r="604" spans="1:16" x14ac:dyDescent="0.2">
      <c r="A604" t="s">
        <v>698</v>
      </c>
      <c r="B604" t="s">
        <v>3665</v>
      </c>
      <c r="E604" t="str">
        <f t="shared" si="46"/>
        <v/>
      </c>
      <c r="G604" s="5" t="str">
        <f t="shared" si="47"/>
        <v/>
      </c>
      <c r="I604" s="6" t="str">
        <f t="shared" si="45"/>
        <v>0</v>
      </c>
      <c r="O604" t="s">
        <v>3371</v>
      </c>
      <c r="P604" t="str">
        <f>IF(C604&lt;&gt;"",C604,_xlfn.XLOOKUP(B604,AI_NAMES!D:D,AI_NAMES!E:E,"",0))</f>
        <v/>
      </c>
    </row>
    <row r="605" spans="1:16" x14ac:dyDescent="0.2">
      <c r="A605" t="s">
        <v>699</v>
      </c>
      <c r="B605" t="str">
        <f>IF(O605&lt;&gt;"",O605,_xlfn.XLOOKUP(A605,AI_NAMES!C:C,AI_NAMES!D:D,"",0))</f>
        <v>DroppedObjects_DataTable</v>
      </c>
      <c r="E605" t="str">
        <f t="shared" si="46"/>
        <v/>
      </c>
      <c r="G605" s="5" t="str">
        <f t="shared" si="47"/>
        <v/>
      </c>
      <c r="I605" s="6" t="str">
        <f t="shared" si="45"/>
        <v>0</v>
      </c>
      <c r="O605" t="s">
        <v>3370</v>
      </c>
      <c r="P605" t="str">
        <f>IF(C605&lt;&gt;"",C605,_xlfn.XLOOKUP(B605,AI_NAMES!D:D,AI_NAMES!E:E,"",0))</f>
        <v/>
      </c>
    </row>
    <row r="606" spans="1:16" x14ac:dyDescent="0.2">
      <c r="A606" t="s">
        <v>700</v>
      </c>
      <c r="B606" t="str">
        <f>IF(O606&lt;&gt;"",O606,_xlfn.XLOOKUP(A606,AI_NAMES!C:C,AI_NAMES!D:D,"",0))</f>
        <v/>
      </c>
      <c r="E606" t="str">
        <f t="shared" si="46"/>
        <v/>
      </c>
      <c r="G606" s="5" t="str">
        <f t="shared" si="47"/>
        <v/>
      </c>
      <c r="I606" s="6" t="str">
        <f t="shared" si="45"/>
        <v>0</v>
      </c>
      <c r="O606" t="s">
        <v>321</v>
      </c>
      <c r="P606">
        <f>IF(C606&lt;&gt;"",C606,_xlfn.XLOOKUP(B606,AI_NAMES!D:D,AI_NAMES!E:E,"",0))</f>
        <v>0</v>
      </c>
    </row>
    <row r="607" spans="1:16" x14ac:dyDescent="0.2">
      <c r="A607" t="s">
        <v>701</v>
      </c>
      <c r="B607" t="str">
        <f>IF(O607&lt;&gt;"",O607,_xlfn.XLOOKUP(A607,AI_NAMES!C:C,AI_NAMES!D:D,"",0))</f>
        <v/>
      </c>
      <c r="E607" t="str">
        <f t="shared" si="46"/>
        <v/>
      </c>
      <c r="G607" s="5" t="str">
        <f t="shared" si="47"/>
        <v/>
      </c>
      <c r="I607" s="6" t="str">
        <f t="shared" si="45"/>
        <v>0</v>
      </c>
      <c r="O607" t="s">
        <v>321</v>
      </c>
      <c r="P607">
        <f>IF(C607&lt;&gt;"",C607,_xlfn.XLOOKUP(B607,AI_NAMES!D:D,AI_NAMES!E:E,"",0))</f>
        <v>0</v>
      </c>
    </row>
    <row r="608" spans="1:16" x14ac:dyDescent="0.2">
      <c r="A608" t="s">
        <v>702</v>
      </c>
      <c r="B608" t="str">
        <f>IF(O608&lt;&gt;"",O608,_xlfn.XLOOKUP(A608,AI_NAMES!C:C,AI_NAMES!D:D,"",0))</f>
        <v/>
      </c>
      <c r="E608" t="str">
        <f t="shared" si="46"/>
        <v/>
      </c>
      <c r="G608" s="5" t="str">
        <f t="shared" si="47"/>
        <v/>
      </c>
      <c r="I608" s="6" t="str">
        <f t="shared" si="45"/>
        <v>0</v>
      </c>
      <c r="O608" t="s">
        <v>321</v>
      </c>
      <c r="P608">
        <f>IF(C608&lt;&gt;"",C608,_xlfn.XLOOKUP(B608,AI_NAMES!D:D,AI_NAMES!E:E,"",0))</f>
        <v>0</v>
      </c>
    </row>
    <row r="609" spans="1:16" x14ac:dyDescent="0.2">
      <c r="A609" t="s">
        <v>703</v>
      </c>
      <c r="B609" t="str">
        <f>IF(O609&lt;&gt;"",O609,_xlfn.XLOOKUP(A609,AI_NAMES!C:C,AI_NAMES!D:D,"",0))</f>
        <v/>
      </c>
      <c r="E609" t="str">
        <f t="shared" si="46"/>
        <v/>
      </c>
      <c r="G609" s="5" t="str">
        <f t="shared" si="47"/>
        <v/>
      </c>
      <c r="I609" s="6" t="str">
        <f t="shared" si="45"/>
        <v>0</v>
      </c>
      <c r="O609" t="s">
        <v>321</v>
      </c>
      <c r="P609">
        <f>IF(C609&lt;&gt;"",C609,_xlfn.XLOOKUP(B609,AI_NAMES!D:D,AI_NAMES!E:E,"",0))</f>
        <v>0</v>
      </c>
    </row>
    <row r="610" spans="1:16" x14ac:dyDescent="0.2">
      <c r="A610" t="s">
        <v>704</v>
      </c>
      <c r="B610" t="str">
        <f>IF(O610&lt;&gt;"",O610,_xlfn.XLOOKUP(A610,AI_NAMES!C:C,AI_NAMES!D:D,"",0))</f>
        <v/>
      </c>
      <c r="E610" t="str">
        <f t="shared" si="46"/>
        <v/>
      </c>
      <c r="G610" s="5" t="str">
        <f t="shared" si="47"/>
        <v/>
      </c>
      <c r="I610" s="6" t="str">
        <f t="shared" si="45"/>
        <v>0</v>
      </c>
      <c r="O610" t="s">
        <v>321</v>
      </c>
      <c r="P610">
        <f>IF(C610&lt;&gt;"",C610,_xlfn.XLOOKUP(B610,AI_NAMES!D:D,AI_NAMES!E:E,"",0))</f>
        <v>0</v>
      </c>
    </row>
    <row r="611" spans="1:16" x14ac:dyDescent="0.2">
      <c r="A611" t="s">
        <v>705</v>
      </c>
      <c r="B611" t="str">
        <f>IF(O611&lt;&gt;"",O611,_xlfn.XLOOKUP(A611,AI_NAMES!C:C,AI_NAMES!D:D,"",0))</f>
        <v/>
      </c>
      <c r="E611" t="str">
        <f t="shared" si="46"/>
        <v/>
      </c>
      <c r="G611" s="5" t="str">
        <f t="shared" si="47"/>
        <v/>
      </c>
      <c r="I611" s="6" t="str">
        <f t="shared" si="45"/>
        <v>0</v>
      </c>
      <c r="O611" t="s">
        <v>321</v>
      </c>
      <c r="P611">
        <f>IF(C611&lt;&gt;"",C611,_xlfn.XLOOKUP(B611,AI_NAMES!D:D,AI_NAMES!E:E,"",0))</f>
        <v>0</v>
      </c>
    </row>
    <row r="612" spans="1:16" x14ac:dyDescent="0.2">
      <c r="A612" t="s">
        <v>706</v>
      </c>
      <c r="B612" t="str">
        <f>IF(O612&lt;&gt;"",O612,_xlfn.XLOOKUP(A612,AI_NAMES!C:C,AI_NAMES!D:D,"",0))</f>
        <v/>
      </c>
      <c r="E612" t="str">
        <f t="shared" si="46"/>
        <v/>
      </c>
      <c r="G612" s="5" t="str">
        <f t="shared" si="47"/>
        <v/>
      </c>
      <c r="I612" s="6" t="str">
        <f t="shared" si="45"/>
        <v>0</v>
      </c>
      <c r="O612" t="s">
        <v>321</v>
      </c>
      <c r="P612">
        <f>IF(C612&lt;&gt;"",C612,_xlfn.XLOOKUP(B612,AI_NAMES!D:D,AI_NAMES!E:E,"",0))</f>
        <v>0</v>
      </c>
    </row>
    <row r="613" spans="1:16" x14ac:dyDescent="0.2">
      <c r="A613" t="s">
        <v>707</v>
      </c>
      <c r="B613" t="str">
        <f>IF(O613&lt;&gt;"",O613,_xlfn.XLOOKUP(A613,AI_NAMES!C:C,AI_NAMES!D:D,"",0))</f>
        <v/>
      </c>
      <c r="E613" t="str">
        <f t="shared" si="46"/>
        <v/>
      </c>
      <c r="G613" s="5" t="str">
        <f t="shared" si="47"/>
        <v/>
      </c>
      <c r="I613" s="6" t="str">
        <f t="shared" si="45"/>
        <v>0</v>
      </c>
      <c r="O613" t="s">
        <v>321</v>
      </c>
      <c r="P613">
        <f>IF(C613&lt;&gt;"",C613,_xlfn.XLOOKUP(B613,AI_NAMES!D:D,AI_NAMES!E:E,"",0))</f>
        <v>0</v>
      </c>
    </row>
    <row r="614" spans="1:16" x14ac:dyDescent="0.2">
      <c r="A614" t="s">
        <v>708</v>
      </c>
      <c r="B614" t="str">
        <f>IF(O614&lt;&gt;"",O614,_xlfn.XLOOKUP(A614,AI_NAMES!C:C,AI_NAMES!D:D,"",0))</f>
        <v/>
      </c>
      <c r="E614" t="str">
        <f t="shared" si="46"/>
        <v/>
      </c>
      <c r="G614" s="5" t="str">
        <f t="shared" si="47"/>
        <v/>
      </c>
      <c r="I614" s="6" t="str">
        <f t="shared" si="45"/>
        <v>0</v>
      </c>
      <c r="O614" t="s">
        <v>321</v>
      </c>
      <c r="P614">
        <f>IF(C614&lt;&gt;"",C614,_xlfn.XLOOKUP(B614,AI_NAMES!D:D,AI_NAMES!E:E,"",0))</f>
        <v>0</v>
      </c>
    </row>
    <row r="615" spans="1:16" x14ac:dyDescent="0.2">
      <c r="A615" t="s">
        <v>709</v>
      </c>
      <c r="B615" t="str">
        <f>IF(O615&lt;&gt;"",O615,_xlfn.XLOOKUP(A615,AI_NAMES!C:C,AI_NAMES!D:D,"",0))</f>
        <v/>
      </c>
      <c r="E615" t="str">
        <f t="shared" si="46"/>
        <v/>
      </c>
      <c r="G615" s="5" t="str">
        <f t="shared" si="47"/>
        <v/>
      </c>
      <c r="I615" s="6" t="str">
        <f t="shared" si="45"/>
        <v>0</v>
      </c>
      <c r="O615" t="s">
        <v>321</v>
      </c>
      <c r="P615">
        <f>IF(C615&lt;&gt;"",C615,_xlfn.XLOOKUP(B615,AI_NAMES!D:D,AI_NAMES!E:E,"",0))</f>
        <v>0</v>
      </c>
    </row>
    <row r="616" spans="1:16" x14ac:dyDescent="0.2">
      <c r="A616" t="s">
        <v>710</v>
      </c>
      <c r="B616" t="str">
        <f>IF(O616&lt;&gt;"",O616,_xlfn.XLOOKUP(A616,AI_NAMES!C:C,AI_NAMES!D:D,"",0))</f>
        <v/>
      </c>
      <c r="E616" t="str">
        <f t="shared" si="46"/>
        <v/>
      </c>
      <c r="G616" s="5" t="str">
        <f t="shared" si="47"/>
        <v/>
      </c>
      <c r="I616" s="6" t="str">
        <f t="shared" si="45"/>
        <v>0</v>
      </c>
      <c r="O616" t="s">
        <v>321</v>
      </c>
      <c r="P616">
        <f>IF(C616&lt;&gt;"",C616,_xlfn.XLOOKUP(B616,AI_NAMES!D:D,AI_NAMES!E:E,"",0))</f>
        <v>0</v>
      </c>
    </row>
    <row r="617" spans="1:16" x14ac:dyDescent="0.2">
      <c r="A617" t="s">
        <v>711</v>
      </c>
      <c r="B617" t="str">
        <f>IF(O617&lt;&gt;"",O617,_xlfn.XLOOKUP(A617,AI_NAMES!C:C,AI_NAMES!D:D,"",0))</f>
        <v/>
      </c>
      <c r="E617" t="str">
        <f t="shared" si="46"/>
        <v/>
      </c>
      <c r="G617" s="5" t="str">
        <f t="shared" si="47"/>
        <v/>
      </c>
      <c r="I617" s="6" t="str">
        <f t="shared" si="45"/>
        <v>0</v>
      </c>
      <c r="O617" t="s">
        <v>321</v>
      </c>
      <c r="P617">
        <f>IF(C617&lt;&gt;"",C617,_xlfn.XLOOKUP(B617,AI_NAMES!D:D,AI_NAMES!E:E,"",0))</f>
        <v>0</v>
      </c>
    </row>
    <row r="618" spans="1:16" x14ac:dyDescent="0.2">
      <c r="A618" t="s">
        <v>712</v>
      </c>
      <c r="B618" t="str">
        <f>IF(O618&lt;&gt;"",O618,_xlfn.XLOOKUP(A618,AI_NAMES!C:C,AI_NAMES!D:D,"",0))</f>
        <v>Loop_CheckSpecialFlag06_AI_TBC</v>
      </c>
      <c r="E618" t="str">
        <f t="shared" si="46"/>
        <v/>
      </c>
      <c r="G618" s="5" t="str">
        <f t="shared" si="47"/>
        <v/>
      </c>
      <c r="I618" s="6" t="str">
        <f t="shared" si="45"/>
        <v>0</v>
      </c>
      <c r="O618" t="s">
        <v>321</v>
      </c>
      <c r="P618">
        <f>IF(C618&lt;&gt;"",C618,_xlfn.XLOOKUP(B618,AI_NAMES!D:D,AI_NAMES!E:E,"",0))</f>
        <v>0</v>
      </c>
    </row>
    <row r="619" spans="1:16" x14ac:dyDescent="0.2">
      <c r="A619" t="s">
        <v>713</v>
      </c>
      <c r="B619" t="str">
        <f>IF(O619&lt;&gt;"",O619,_xlfn.XLOOKUP(A619,AI_NAMES!C:C,AI_NAMES!D:D,"",0))</f>
        <v>Handle_SpecialFlag06_AI_TBC</v>
      </c>
      <c r="E619" t="str">
        <f t="shared" si="46"/>
        <v/>
      </c>
      <c r="G619" s="5" t="str">
        <f t="shared" si="47"/>
        <v/>
      </c>
      <c r="I619" s="6" t="str">
        <f t="shared" si="45"/>
        <v>0</v>
      </c>
      <c r="O619" t="s">
        <v>321</v>
      </c>
      <c r="P619">
        <f>IF(C619&lt;&gt;"",C619,_xlfn.XLOOKUP(B619,AI_NAMES!D:D,AI_NAMES!E:E,"",0))</f>
        <v>0</v>
      </c>
    </row>
    <row r="620" spans="1:16" x14ac:dyDescent="0.2">
      <c r="A620" t="s">
        <v>714</v>
      </c>
      <c r="B620" t="str">
        <f>IF(O620&lt;&gt;"",O620,_xlfn.XLOOKUP(A620,AI_NAMES!C:C,AI_NAMES!D:D,"",0))</f>
        <v>Loop_InventoryAction_AI_TBC</v>
      </c>
      <c r="E620" t="str">
        <f t="shared" si="46"/>
        <v/>
      </c>
      <c r="G620" s="5" t="str">
        <f t="shared" si="47"/>
        <v/>
      </c>
      <c r="I620" s="6" t="str">
        <f t="shared" si="45"/>
        <v>0</v>
      </c>
      <c r="O620" t="s">
        <v>321</v>
      </c>
      <c r="P620">
        <f>IF(C620&lt;&gt;"",C620,_xlfn.XLOOKUP(B620,AI_NAMES!D:D,AI_NAMES!E:E,"",0))</f>
        <v>0</v>
      </c>
    </row>
    <row r="621" spans="1:16" x14ac:dyDescent="0.2">
      <c r="A621" t="s">
        <v>715</v>
      </c>
      <c r="B621" t="str">
        <f>IF(O621&lt;&gt;"",O621,_xlfn.XLOOKUP(A621,AI_NAMES!C:C,AI_NAMES!D:D,"",0))</f>
        <v>Init_InventorySwap_AI_TBC</v>
      </c>
      <c r="E621" t="str">
        <f t="shared" si="46"/>
        <v/>
      </c>
      <c r="G621" s="5" t="str">
        <f t="shared" si="47"/>
        <v/>
      </c>
      <c r="I621" s="6" t="str">
        <f t="shared" si="45"/>
        <v>0</v>
      </c>
      <c r="O621" t="s">
        <v>321</v>
      </c>
      <c r="P621">
        <f>IF(C621&lt;&gt;"",C621,_xlfn.XLOOKUP(B621,AI_NAMES!D:D,AI_NAMES!E:E,"",0))</f>
        <v>0</v>
      </c>
    </row>
    <row r="622" spans="1:16" x14ac:dyDescent="0.2">
      <c r="A622" t="s">
        <v>716</v>
      </c>
      <c r="B622" t="str">
        <f>IF(O622&lt;&gt;"",O622,_xlfn.XLOOKUP(A622,AI_NAMES!C:C,AI_NAMES!D:D,"",0))</f>
        <v>Adjust_InventoryIndex_AI_TBC</v>
      </c>
      <c r="E622" t="str">
        <f t="shared" si="46"/>
        <v/>
      </c>
      <c r="G622" s="5" t="str">
        <f t="shared" si="47"/>
        <v/>
      </c>
      <c r="I622" s="6" t="str">
        <f t="shared" si="45"/>
        <v>0</v>
      </c>
      <c r="O622" t="s">
        <v>321</v>
      </c>
      <c r="P622">
        <f>IF(C622&lt;&gt;"",C622,_xlfn.XLOOKUP(B622,AI_NAMES!D:D,AI_NAMES!E:E,"",0))</f>
        <v>0</v>
      </c>
    </row>
    <row r="623" spans="1:16" x14ac:dyDescent="0.2">
      <c r="A623" t="s">
        <v>717</v>
      </c>
      <c r="B623" t="str">
        <f>IF(O623&lt;&gt;"",O623,_xlfn.XLOOKUP(A623,AI_NAMES!C:C,AI_NAMES!D:D,"",0))</f>
        <v/>
      </c>
      <c r="E623" t="str">
        <f t="shared" si="46"/>
        <v/>
      </c>
      <c r="G623" s="5" t="str">
        <f t="shared" si="47"/>
        <v/>
      </c>
      <c r="I623" s="6" t="str">
        <f t="shared" si="45"/>
        <v>0</v>
      </c>
      <c r="O623" t="s">
        <v>321</v>
      </c>
      <c r="P623">
        <f>IF(C623&lt;&gt;"",C623,_xlfn.XLOOKUP(B623,AI_NAMES!D:D,AI_NAMES!E:E,"",0))</f>
        <v>0</v>
      </c>
    </row>
    <row r="624" spans="1:16" x14ac:dyDescent="0.2">
      <c r="A624" t="s">
        <v>718</v>
      </c>
      <c r="B624" t="str">
        <f>IF(O624&lt;&gt;"",O624,_xlfn.XLOOKUP(A624,AI_NAMES!C:C,AI_NAMES!D:D,"",0))</f>
        <v>Store_InventoryState_AI_TBC</v>
      </c>
      <c r="E624" t="str">
        <f t="shared" si="46"/>
        <v/>
      </c>
      <c r="G624" s="5" t="str">
        <f t="shared" si="47"/>
        <v/>
      </c>
      <c r="I624" s="6" t="str">
        <f t="shared" si="45"/>
        <v>0</v>
      </c>
      <c r="O624" t="s">
        <v>321</v>
      </c>
      <c r="P624">
        <f>IF(C624&lt;&gt;"",C624,_xlfn.XLOOKUP(B624,AI_NAMES!D:D,AI_NAMES!E:E,"",0))</f>
        <v>0</v>
      </c>
    </row>
    <row r="625" spans="1:16" x14ac:dyDescent="0.2">
      <c r="A625" t="s">
        <v>719</v>
      </c>
      <c r="B625" t="str">
        <f>IF(O625&lt;&gt;"",O625,_xlfn.XLOOKUP(A625,AI_NAMES!C:C,AI_NAMES!D:D,"",0))</f>
        <v>End_InventoryLoop_AI_TBC</v>
      </c>
      <c r="E625" t="str">
        <f t="shared" si="46"/>
        <v/>
      </c>
      <c r="G625" s="5" t="str">
        <f t="shared" si="47"/>
        <v/>
      </c>
      <c r="I625" s="6" t="str">
        <f t="shared" si="45"/>
        <v>0</v>
      </c>
      <c r="O625" t="s">
        <v>321</v>
      </c>
      <c r="P625">
        <f>IF(C625&lt;&gt;"",C625,_xlfn.XLOOKUP(B625,AI_NAMES!D:D,AI_NAMES!E:E,"",0))</f>
        <v>0</v>
      </c>
    </row>
    <row r="626" spans="1:16" x14ac:dyDescent="0.2">
      <c r="A626" t="s">
        <v>720</v>
      </c>
      <c r="B626" t="str">
        <f>IF(O626&lt;&gt;"",O626,_xlfn.XLOOKUP(A626,AI_NAMES!C:C,AI_NAMES!D:D,"",0))</f>
        <v>Dispatch_PartyAction_AI_TBC</v>
      </c>
      <c r="E626" t="str">
        <f t="shared" si="46"/>
        <v/>
      </c>
      <c r="G626" s="5" t="str">
        <f t="shared" si="47"/>
        <v/>
      </c>
      <c r="I626" s="6" t="str">
        <f t="shared" si="45"/>
        <v>0</v>
      </c>
      <c r="O626" t="s">
        <v>321</v>
      </c>
      <c r="P626">
        <f>IF(C626&lt;&gt;"",C626,_xlfn.XLOOKUP(B626,AI_NAMES!D:D,AI_NAMES!E:E,"",0))</f>
        <v>0</v>
      </c>
    </row>
    <row r="627" spans="1:16" x14ac:dyDescent="0.2">
      <c r="A627" t="s">
        <v>721</v>
      </c>
      <c r="B627" t="str">
        <f>IF(O627&lt;&gt;"",O627,_xlfn.XLOOKUP(A627,AI_NAMES!C:C,AI_NAMES!D:D,"",0))</f>
        <v>Clear_PartyActionState_AI_TBC</v>
      </c>
      <c r="E627" t="str">
        <f t="shared" si="46"/>
        <v/>
      </c>
      <c r="G627" s="5" t="str">
        <f t="shared" si="47"/>
        <v/>
      </c>
      <c r="I627" s="6" t="str">
        <f t="shared" si="45"/>
        <v>0</v>
      </c>
      <c r="O627" t="s">
        <v>321</v>
      </c>
      <c r="P627">
        <f>IF(C627&lt;&gt;"",C627,_xlfn.XLOOKUP(B627,AI_NAMES!D:D,AI_NAMES!E:E,"",0))</f>
        <v>0</v>
      </c>
    </row>
    <row r="628" spans="1:16" x14ac:dyDescent="0.2">
      <c r="A628" t="s">
        <v>722</v>
      </c>
      <c r="B628" t="str">
        <f>IF(O628&lt;&gt;"",O628,_xlfn.XLOOKUP(A628,AI_NAMES!C:C,AI_NAMES!D:D,"",0))</f>
        <v>Finalize_PartyAction_AI_TBC</v>
      </c>
      <c r="E628" t="str">
        <f t="shared" si="46"/>
        <v/>
      </c>
      <c r="G628" s="5" t="str">
        <f t="shared" si="47"/>
        <v/>
      </c>
      <c r="I628" s="6" t="str">
        <f t="shared" si="45"/>
        <v>0</v>
      </c>
      <c r="O628" t="s">
        <v>321</v>
      </c>
      <c r="P628">
        <f>IF(C628&lt;&gt;"",C628,_xlfn.XLOOKUP(B628,AI_NAMES!D:D,AI_NAMES!E:E,"",0))</f>
        <v>0</v>
      </c>
    </row>
    <row r="629" spans="1:16" x14ac:dyDescent="0.2">
      <c r="A629" t="s">
        <v>723</v>
      </c>
      <c r="B629" t="str">
        <f>IF(O629&lt;&gt;"",O629,_xlfn.XLOOKUP(A629,AI_NAMES!C:C,AI_NAMES!D:D,"",0))</f>
        <v>Clear_TriggerProcessed_AI_TBC</v>
      </c>
      <c r="E629" t="str">
        <f t="shared" si="46"/>
        <v/>
      </c>
      <c r="G629" s="5" t="str">
        <f t="shared" si="47"/>
        <v/>
      </c>
      <c r="I629" s="6" t="str">
        <f t="shared" si="45"/>
        <v>0</v>
      </c>
      <c r="O629" t="s">
        <v>321</v>
      </c>
      <c r="P629">
        <f>IF(C629&lt;&gt;"",C629,_xlfn.XLOOKUP(B629,AI_NAMES!D:D,AI_NAMES!E:E,"",0))</f>
        <v>0</v>
      </c>
    </row>
    <row r="630" spans="1:16" x14ac:dyDescent="0.2">
      <c r="A630" t="s">
        <v>724</v>
      </c>
      <c r="B630" t="str">
        <f>IF(O630&lt;&gt;"",O630,_xlfn.XLOOKUP(A630,AI_NAMES!C:C,AI_NAMES!D:D,"",0))</f>
        <v/>
      </c>
      <c r="E630" t="str">
        <f t="shared" si="46"/>
        <v/>
      </c>
      <c r="G630" s="5" t="str">
        <f t="shared" si="47"/>
        <v/>
      </c>
      <c r="I630" s="6" t="str">
        <f t="shared" si="45"/>
        <v>0</v>
      </c>
      <c r="O630" t="s">
        <v>321</v>
      </c>
      <c r="P630">
        <f>IF(C630&lt;&gt;"",C630,_xlfn.XLOOKUP(B630,AI_NAMES!D:D,AI_NAMES!E:E,"",0))</f>
        <v>0</v>
      </c>
    </row>
    <row r="631" spans="1:16" x14ac:dyDescent="0.2">
      <c r="A631" t="s">
        <v>725</v>
      </c>
      <c r="B631" t="str">
        <f>IF(O631&lt;&gt;"",O631,_xlfn.XLOOKUP(A631,AI_NAMES!C:C,AI_NAMES!D:D,"",0))</f>
        <v>Mark_TeamAvatarSlot_AI_TBC</v>
      </c>
      <c r="E631" t="str">
        <f t="shared" si="46"/>
        <v/>
      </c>
      <c r="G631" s="5" t="str">
        <f t="shared" si="47"/>
        <v/>
      </c>
      <c r="I631" s="6" t="str">
        <f t="shared" si="45"/>
        <v>0</v>
      </c>
      <c r="O631" t="s">
        <v>321</v>
      </c>
      <c r="P631">
        <f>IF(C631&lt;&gt;"",C631,_xlfn.XLOOKUP(B631,AI_NAMES!D:D,AI_NAMES!E:E,"",0))</f>
        <v>0</v>
      </c>
    </row>
    <row r="632" spans="1:16" x14ac:dyDescent="0.2">
      <c r="A632" t="s">
        <v>726</v>
      </c>
      <c r="B632" t="str">
        <f>IF(O632&lt;&gt;"",O632,_xlfn.XLOOKUP(A632,AI_NAMES!C:C,AI_NAMES!D:D,"",0))</f>
        <v>Loop_TeamAvatarSlots_AI_TBC</v>
      </c>
      <c r="E632" t="str">
        <f t="shared" si="46"/>
        <v/>
      </c>
      <c r="G632" s="5" t="str">
        <f t="shared" si="47"/>
        <v/>
      </c>
      <c r="I632" s="6" t="str">
        <f t="shared" si="45"/>
        <v>0</v>
      </c>
      <c r="O632" t="s">
        <v>321</v>
      </c>
      <c r="P632">
        <f>IF(C632&lt;&gt;"",C632,_xlfn.XLOOKUP(B632,AI_NAMES!D:D,AI_NAMES!E:E,"",0))</f>
        <v>0</v>
      </c>
    </row>
    <row r="633" spans="1:16" x14ac:dyDescent="0.2">
      <c r="A633" t="s">
        <v>727</v>
      </c>
      <c r="B633" t="str">
        <f>IF(O633&lt;&gt;"",O633,_xlfn.XLOOKUP(A633,AI_NAMES!C:C,AI_NAMES!D:D,"",0))</f>
        <v/>
      </c>
      <c r="E633" t="str">
        <f t="shared" si="46"/>
        <v/>
      </c>
      <c r="G633" s="5" t="str">
        <f t="shared" si="47"/>
        <v/>
      </c>
      <c r="I633" s="6" t="str">
        <f t="shared" si="45"/>
        <v>0</v>
      </c>
      <c r="O633" t="s">
        <v>321</v>
      </c>
      <c r="P633">
        <f>IF(C633&lt;&gt;"",C633,_xlfn.XLOOKUP(B633,AI_NAMES!D:D,AI_NAMES!E:E,"",0))</f>
        <v>0</v>
      </c>
    </row>
    <row r="634" spans="1:16" x14ac:dyDescent="0.2">
      <c r="A634" t="s">
        <v>728</v>
      </c>
      <c r="B634" t="str">
        <f>IF(O634&lt;&gt;"",O634,_xlfn.XLOOKUP(A634,AI_NAMES!C:C,AI_NAMES!D:D,"",0))</f>
        <v>Eval_TeamAvatarSlot_AI_TBC</v>
      </c>
      <c r="E634" t="str">
        <f t="shared" si="46"/>
        <v/>
      </c>
      <c r="G634" s="5" t="str">
        <f t="shared" si="47"/>
        <v/>
      </c>
      <c r="I634" s="6" t="str">
        <f t="shared" si="45"/>
        <v>0</v>
      </c>
      <c r="O634" t="s">
        <v>321</v>
      </c>
      <c r="P634">
        <f>IF(C634&lt;&gt;"",C634,_xlfn.XLOOKUP(B634,AI_NAMES!D:D,AI_NAMES!E:E,"",0))</f>
        <v>0</v>
      </c>
    </row>
    <row r="635" spans="1:16" x14ac:dyDescent="0.2">
      <c r="A635" t="s">
        <v>729</v>
      </c>
      <c r="B635" t="str">
        <f>IF(O635&lt;&gt;"",O635,_xlfn.XLOOKUP(A635,AI_NAMES!C:C,AI_NAMES!D:D,"",0))</f>
        <v/>
      </c>
      <c r="E635" t="str">
        <f t="shared" si="46"/>
        <v/>
      </c>
      <c r="G635" s="5" t="str">
        <f t="shared" si="47"/>
        <v/>
      </c>
      <c r="I635" s="6" t="str">
        <f t="shared" si="45"/>
        <v>0</v>
      </c>
      <c r="O635" t="s">
        <v>321</v>
      </c>
      <c r="P635">
        <f>IF(C635&lt;&gt;"",C635,_xlfn.XLOOKUP(B635,AI_NAMES!D:D,AI_NAMES!E:E,"",0))</f>
        <v>0</v>
      </c>
    </row>
    <row r="636" spans="1:16" x14ac:dyDescent="0.2">
      <c r="A636" t="s">
        <v>730</v>
      </c>
      <c r="B636" t="str">
        <f>IF(O636&lt;&gt;"",O636,_xlfn.XLOOKUP(A636,AI_NAMES!C:C,AI_NAMES!D:D,"",0))</f>
        <v>Quickstart_FallbackHandler_AI_TBC</v>
      </c>
      <c r="E636" t="str">
        <f t="shared" si="46"/>
        <v/>
      </c>
      <c r="G636" s="5" t="str">
        <f t="shared" si="47"/>
        <v/>
      </c>
      <c r="I636" s="6" t="str">
        <f t="shared" si="45"/>
        <v>0</v>
      </c>
      <c r="O636" t="s">
        <v>321</v>
      </c>
      <c r="P636">
        <f>IF(C636&lt;&gt;"",C636,_xlfn.XLOOKUP(B636,AI_NAMES!D:D,AI_NAMES!E:E,"",0))</f>
        <v>0</v>
      </c>
    </row>
    <row r="637" spans="1:16" x14ac:dyDescent="0.2">
      <c r="A637" t="s">
        <v>731</v>
      </c>
      <c r="B637" t="str">
        <f>IF(O637&lt;&gt;"",O637,_xlfn.XLOOKUP(A637,AI_NAMES!C:C,AI_NAMES!D:D,"",0))</f>
        <v/>
      </c>
      <c r="E637" t="str">
        <f t="shared" si="46"/>
        <v/>
      </c>
      <c r="G637" s="5" t="str">
        <f t="shared" si="47"/>
        <v/>
      </c>
      <c r="I637" s="6" t="str">
        <f t="shared" si="45"/>
        <v>0</v>
      </c>
      <c r="O637" t="s">
        <v>321</v>
      </c>
      <c r="P637">
        <f>IF(C637&lt;&gt;"",C637,_xlfn.XLOOKUP(B637,AI_NAMES!D:D,AI_NAMES!E:E,"",0))</f>
        <v>0</v>
      </c>
    </row>
    <row r="638" spans="1:16" x14ac:dyDescent="0.2">
      <c r="A638" t="s">
        <v>732</v>
      </c>
      <c r="B638" t="str">
        <f>IF(O638&lt;&gt;"",O638,_xlfn.XLOOKUP(A638,AI_NAMES!C:C,AI_NAMES!D:D,"",0))</f>
        <v/>
      </c>
      <c r="E638" t="str">
        <f t="shared" si="46"/>
        <v/>
      </c>
      <c r="G638" s="5" t="str">
        <f t="shared" si="47"/>
        <v/>
      </c>
      <c r="I638" s="6" t="str">
        <f t="shared" si="45"/>
        <v>0</v>
      </c>
      <c r="O638" t="s">
        <v>321</v>
      </c>
      <c r="P638">
        <f>IF(C638&lt;&gt;"",C638,_xlfn.XLOOKUP(B638,AI_NAMES!D:D,AI_NAMES!E:E,"",0))</f>
        <v>0</v>
      </c>
    </row>
    <row r="639" spans="1:16" x14ac:dyDescent="0.2">
      <c r="A639" t="s">
        <v>733</v>
      </c>
      <c r="B639" t="str">
        <f>IF(O639&lt;&gt;"",O639,_xlfn.XLOOKUP(A639,AI_NAMES!C:C,AI_NAMES!D:D,"",0))</f>
        <v/>
      </c>
      <c r="E639" t="str">
        <f t="shared" si="46"/>
        <v/>
      </c>
      <c r="G639" s="5" t="str">
        <f t="shared" si="47"/>
        <v/>
      </c>
      <c r="I639" s="6" t="str">
        <f t="shared" si="45"/>
        <v>0</v>
      </c>
      <c r="O639" t="s">
        <v>321</v>
      </c>
      <c r="P639">
        <f>IF(C639&lt;&gt;"",C639,_xlfn.XLOOKUP(B639,AI_NAMES!D:D,AI_NAMES!E:E,"",0))</f>
        <v>0</v>
      </c>
    </row>
    <row r="640" spans="1:16" x14ac:dyDescent="0.2">
      <c r="A640" t="s">
        <v>734</v>
      </c>
      <c r="B640" t="str">
        <f>IF(O640&lt;&gt;"",O640,_xlfn.XLOOKUP(A640,AI_NAMES!C:C,AI_NAMES!D:D,"",0))</f>
        <v/>
      </c>
      <c r="E640" t="str">
        <f t="shared" si="46"/>
        <v/>
      </c>
      <c r="G640" s="5" t="str">
        <f t="shared" si="47"/>
        <v/>
      </c>
      <c r="I640" s="6" t="str">
        <f t="shared" si="45"/>
        <v>0</v>
      </c>
      <c r="O640" t="s">
        <v>321</v>
      </c>
      <c r="P640">
        <f>IF(C640&lt;&gt;"",C640,_xlfn.XLOOKUP(B640,AI_NAMES!D:D,AI_NAMES!E:E,"",0))</f>
        <v>0</v>
      </c>
    </row>
    <row r="641" spans="1:16" x14ac:dyDescent="0.2">
      <c r="A641" t="s">
        <v>735</v>
      </c>
      <c r="B641" t="str">
        <f>IF(O641&lt;&gt;"",O641,_xlfn.XLOOKUP(A641,AI_NAMES!C:C,AI_NAMES!D:D,"",0))</f>
        <v/>
      </c>
      <c r="E641" t="str">
        <f t="shared" si="46"/>
        <v/>
      </c>
      <c r="G641" s="5" t="str">
        <f t="shared" si="47"/>
        <v/>
      </c>
      <c r="I641" s="6" t="str">
        <f t="shared" si="45"/>
        <v>0</v>
      </c>
      <c r="O641" t="s">
        <v>321</v>
      </c>
      <c r="P641">
        <f>IF(C641&lt;&gt;"",C641,_xlfn.XLOOKUP(B641,AI_NAMES!D:D,AI_NAMES!E:E,"",0))</f>
        <v>0</v>
      </c>
    </row>
    <row r="642" spans="1:16" x14ac:dyDescent="0.2">
      <c r="A642" t="s">
        <v>736</v>
      </c>
      <c r="B642" t="str">
        <f>IF(O642&lt;&gt;"",O642,_xlfn.XLOOKUP(A642,AI_NAMES!C:C,AI_NAMES!D:D,"",0))</f>
        <v>ThouArtDead</v>
      </c>
      <c r="E642" t="str">
        <f t="shared" si="46"/>
        <v/>
      </c>
      <c r="G642" s="5" t="str">
        <f t="shared" si="47"/>
        <v/>
      </c>
      <c r="I642" s="6" t="str">
        <f t="shared" si="45"/>
        <v>0</v>
      </c>
      <c r="O642" t="s">
        <v>737</v>
      </c>
      <c r="P642" t="str">
        <f>IF(C642&lt;&gt;"",C642,_xlfn.XLOOKUP(B642,AI_NAMES!D:D,AI_NAMES!E:E,"",0))</f>
        <v/>
      </c>
    </row>
    <row r="643" spans="1:16" x14ac:dyDescent="0.2">
      <c r="A643" t="s">
        <v>738</v>
      </c>
      <c r="B643" t="str">
        <f>IF(O643&lt;&gt;"",O643,_xlfn.XLOOKUP(A643,AI_NAMES!C:C,AI_NAMES!D:D,"",0))</f>
        <v/>
      </c>
      <c r="E643" t="str">
        <f t="shared" si="46"/>
        <v/>
      </c>
      <c r="G643" s="5" t="str">
        <f t="shared" si="47"/>
        <v/>
      </c>
      <c r="I643" s="6" t="str">
        <f t="shared" ref="I643:I706" si="48">IFERROR(DEC2HEX(H643),"")</f>
        <v>0</v>
      </c>
      <c r="O643" t="s">
        <v>321</v>
      </c>
      <c r="P643">
        <f>IF(C643&lt;&gt;"",C643,_xlfn.XLOOKUP(B643,AI_NAMES!D:D,AI_NAMES!E:E,"",0))</f>
        <v>0</v>
      </c>
    </row>
    <row r="644" spans="1:16" x14ac:dyDescent="0.2">
      <c r="A644" t="s">
        <v>739</v>
      </c>
      <c r="B644" t="str">
        <f>IF(O644&lt;&gt;"",O644,_xlfn.XLOOKUP(A644,AI_NAMES!C:C,AI_NAMES!D:D,"",0))</f>
        <v/>
      </c>
      <c r="E644" t="str">
        <f t="shared" ref="E644:E707" si="49">IF(D644&lt;&gt;"",C644&amp;"/"&amp;D644,"")</f>
        <v/>
      </c>
      <c r="G644" s="5" t="str">
        <f t="shared" si="47"/>
        <v/>
      </c>
      <c r="I644" s="6" t="str">
        <f t="shared" si="48"/>
        <v>0</v>
      </c>
      <c r="O644" t="s">
        <v>321</v>
      </c>
      <c r="P644">
        <f>IF(C644&lt;&gt;"",C644,_xlfn.XLOOKUP(B644,AI_NAMES!D:D,AI_NAMES!E:E,"",0))</f>
        <v>0</v>
      </c>
    </row>
    <row r="645" spans="1:16" x14ac:dyDescent="0.2">
      <c r="A645" t="s">
        <v>740</v>
      </c>
      <c r="B645" t="str">
        <f>IF(O645&lt;&gt;"",O645,_xlfn.XLOOKUP(A645,AI_NAMES!C:C,AI_NAMES!D:D,"",0))</f>
        <v/>
      </c>
      <c r="E645" t="str">
        <f t="shared" si="49"/>
        <v/>
      </c>
      <c r="G645" s="5" t="str">
        <f t="shared" si="47"/>
        <v/>
      </c>
      <c r="I645" s="6" t="str">
        <f t="shared" si="48"/>
        <v>0</v>
      </c>
      <c r="O645" t="s">
        <v>321</v>
      </c>
      <c r="P645">
        <f>IF(C645&lt;&gt;"",C645,_xlfn.XLOOKUP(B645,AI_NAMES!D:D,AI_NAMES!E:E,"",0))</f>
        <v>0</v>
      </c>
    </row>
    <row r="646" spans="1:16" x14ac:dyDescent="0.2">
      <c r="A646" t="s">
        <v>741</v>
      </c>
      <c r="B646" t="str">
        <f>IF(O646&lt;&gt;"",O646,_xlfn.XLOOKUP(A646,AI_NAMES!C:C,AI_NAMES!D:D,"",0))</f>
        <v/>
      </c>
      <c r="E646" t="str">
        <f t="shared" si="49"/>
        <v/>
      </c>
      <c r="G646" s="5" t="str">
        <f t="shared" si="47"/>
        <v/>
      </c>
      <c r="I646" s="6" t="str">
        <f t="shared" si="48"/>
        <v>0</v>
      </c>
      <c r="O646" t="s">
        <v>321</v>
      </c>
      <c r="P646">
        <f>IF(C646&lt;&gt;"",C646,_xlfn.XLOOKUP(B646,AI_NAMES!D:D,AI_NAMES!E:E,"",0))</f>
        <v>0</v>
      </c>
    </row>
    <row r="647" spans="1:16" x14ac:dyDescent="0.2">
      <c r="A647" t="s">
        <v>742</v>
      </c>
      <c r="B647" t="str">
        <f>IF(O647&lt;&gt;"",O647,_xlfn.XLOOKUP(A647,AI_NAMES!C:C,AI_NAMES!D:D,"",0))</f>
        <v/>
      </c>
      <c r="E647" t="str">
        <f t="shared" si="49"/>
        <v/>
      </c>
      <c r="G647" s="5" t="str">
        <f t="shared" si="47"/>
        <v/>
      </c>
      <c r="I647" s="6" t="str">
        <f t="shared" si="48"/>
        <v>0</v>
      </c>
      <c r="O647" t="s">
        <v>321</v>
      </c>
      <c r="P647">
        <f>IF(C647&lt;&gt;"",C647,_xlfn.XLOOKUP(B647,AI_NAMES!D:D,AI_NAMES!E:E,"",0))</f>
        <v>0</v>
      </c>
    </row>
    <row r="648" spans="1:16" x14ac:dyDescent="0.2">
      <c r="A648" t="s">
        <v>743</v>
      </c>
      <c r="B648" t="str">
        <f>IF(O648&lt;&gt;"",O648,_xlfn.XLOOKUP(A648,AI_NAMES!C:C,AI_NAMES!D:D,"",0))</f>
        <v/>
      </c>
      <c r="E648" t="str">
        <f t="shared" si="49"/>
        <v/>
      </c>
      <c r="G648" s="5" t="str">
        <f t="shared" si="47"/>
        <v/>
      </c>
      <c r="I648" s="6" t="str">
        <f t="shared" si="48"/>
        <v>0</v>
      </c>
      <c r="O648" t="s">
        <v>321</v>
      </c>
      <c r="P648">
        <f>IF(C648&lt;&gt;"",C648,_xlfn.XLOOKUP(B648,AI_NAMES!D:D,AI_NAMES!E:E,"",0))</f>
        <v>0</v>
      </c>
    </row>
    <row r="649" spans="1:16" x14ac:dyDescent="0.2">
      <c r="A649" t="s">
        <v>744</v>
      </c>
      <c r="B649" t="str">
        <f>IF(O649&lt;&gt;"",O649,_xlfn.XLOOKUP(A649,AI_NAMES!C:C,AI_NAMES!D:D,"",0))</f>
        <v/>
      </c>
      <c r="E649" t="str">
        <f t="shared" si="49"/>
        <v/>
      </c>
      <c r="G649" s="5" t="str">
        <f t="shared" ref="G649:G712" si="50">IF(F649&lt;&gt;"",HEX2DEC(SUBSTITUTE(SUBSTITUTE(F649,"adrEA",""),"$","")),"")</f>
        <v/>
      </c>
      <c r="I649" s="6" t="str">
        <f t="shared" si="48"/>
        <v>0</v>
      </c>
      <c r="O649" t="s">
        <v>321</v>
      </c>
      <c r="P649">
        <f>IF(C649&lt;&gt;"",C649,_xlfn.XLOOKUP(B649,AI_NAMES!D:D,AI_NAMES!E:E,"",0))</f>
        <v>0</v>
      </c>
    </row>
    <row r="650" spans="1:16" x14ac:dyDescent="0.2">
      <c r="A650" t="s">
        <v>745</v>
      </c>
      <c r="B650" t="str">
        <f>IF(O650&lt;&gt;"",O650,_xlfn.XLOOKUP(A650,AI_NAMES!C:C,AI_NAMES!D:D,"",0))</f>
        <v/>
      </c>
      <c r="E650" t="str">
        <f t="shared" si="49"/>
        <v/>
      </c>
      <c r="G650" s="5" t="str">
        <f t="shared" si="50"/>
        <v/>
      </c>
      <c r="I650" s="6" t="str">
        <f t="shared" si="48"/>
        <v>0</v>
      </c>
      <c r="O650" t="s">
        <v>321</v>
      </c>
      <c r="P650">
        <f>IF(C650&lt;&gt;"",C650,_xlfn.XLOOKUP(B650,AI_NAMES!D:D,AI_NAMES!E:E,"",0))</f>
        <v>0</v>
      </c>
    </row>
    <row r="651" spans="1:16" x14ac:dyDescent="0.2">
      <c r="A651" t="s">
        <v>746</v>
      </c>
      <c r="B651" t="str">
        <f>IF(O651&lt;&gt;"",O651,_xlfn.XLOOKUP(A651,AI_NAMES!C:C,AI_NAMES!D:D,"",0))</f>
        <v/>
      </c>
      <c r="E651" t="str">
        <f t="shared" si="49"/>
        <v/>
      </c>
      <c r="G651" s="5" t="str">
        <f t="shared" si="50"/>
        <v/>
      </c>
      <c r="I651" s="6" t="str">
        <f t="shared" si="48"/>
        <v>0</v>
      </c>
      <c r="O651" t="s">
        <v>321</v>
      </c>
      <c r="P651">
        <f>IF(C651&lt;&gt;"",C651,_xlfn.XLOOKUP(B651,AI_NAMES!D:D,AI_NAMES!E:E,"",0))</f>
        <v>0</v>
      </c>
    </row>
    <row r="652" spans="1:16" x14ac:dyDescent="0.2">
      <c r="A652" t="s">
        <v>747</v>
      </c>
      <c r="B652" t="str">
        <f>IF(O652&lt;&gt;"",O652,_xlfn.XLOOKUP(A652,AI_NAMES!C:C,AI_NAMES!D:D,"",0))</f>
        <v/>
      </c>
      <c r="E652" t="str">
        <f t="shared" si="49"/>
        <v/>
      </c>
      <c r="G652" s="5" t="str">
        <f t="shared" si="50"/>
        <v/>
      </c>
      <c r="I652" s="6" t="str">
        <f t="shared" si="48"/>
        <v>0</v>
      </c>
      <c r="O652" t="s">
        <v>321</v>
      </c>
      <c r="P652">
        <f>IF(C652&lt;&gt;"",C652,_xlfn.XLOOKUP(B652,AI_NAMES!D:D,AI_NAMES!E:E,"",0))</f>
        <v>0</v>
      </c>
    </row>
    <row r="653" spans="1:16" x14ac:dyDescent="0.2">
      <c r="A653" t="s">
        <v>748</v>
      </c>
      <c r="B653" t="str">
        <f>IF(O653&lt;&gt;"",O653,_xlfn.XLOOKUP(A653,AI_NAMES!C:C,AI_NAMES!D:D,"",0))</f>
        <v/>
      </c>
      <c r="E653" t="str">
        <f t="shared" si="49"/>
        <v/>
      </c>
      <c r="G653" s="5" t="str">
        <f t="shared" si="50"/>
        <v/>
      </c>
      <c r="I653" s="6" t="str">
        <f t="shared" si="48"/>
        <v>0</v>
      </c>
      <c r="O653" t="s">
        <v>321</v>
      </c>
      <c r="P653">
        <f>IF(C653&lt;&gt;"",C653,_xlfn.XLOOKUP(B653,AI_NAMES!D:D,AI_NAMES!E:E,"",0))</f>
        <v>0</v>
      </c>
    </row>
    <row r="654" spans="1:16" x14ac:dyDescent="0.2">
      <c r="A654" t="s">
        <v>749</v>
      </c>
      <c r="B654" t="str">
        <f>IF(O654&lt;&gt;"",O654,_xlfn.XLOOKUP(A654,AI_NAMES!C:C,AI_NAMES!D:D,"",0))</f>
        <v/>
      </c>
      <c r="E654" t="str">
        <f t="shared" si="49"/>
        <v/>
      </c>
      <c r="G654" s="5" t="str">
        <f t="shared" si="50"/>
        <v/>
      </c>
      <c r="I654" s="6" t="str">
        <f t="shared" si="48"/>
        <v>0</v>
      </c>
      <c r="O654" t="s">
        <v>321</v>
      </c>
      <c r="P654">
        <f>IF(C654&lt;&gt;"",C654,_xlfn.XLOOKUP(B654,AI_NAMES!D:D,AI_NAMES!E:E,"",0))</f>
        <v>0</v>
      </c>
    </row>
    <row r="655" spans="1:16" x14ac:dyDescent="0.2">
      <c r="A655" t="s">
        <v>750</v>
      </c>
      <c r="B655" t="str">
        <f>IF(O655&lt;&gt;"",O655,_xlfn.XLOOKUP(A655,AI_NAMES!C:C,AI_NAMES!D:D,"",0))</f>
        <v/>
      </c>
      <c r="E655" t="str">
        <f t="shared" si="49"/>
        <v/>
      </c>
      <c r="G655" s="5" t="str">
        <f t="shared" si="50"/>
        <v/>
      </c>
      <c r="I655" s="6" t="str">
        <f t="shared" si="48"/>
        <v>0</v>
      </c>
      <c r="O655" t="s">
        <v>321</v>
      </c>
      <c r="P655">
        <f>IF(C655&lt;&gt;"",C655,_xlfn.XLOOKUP(B655,AI_NAMES!D:D,AI_NAMES!E:E,"",0))</f>
        <v>0</v>
      </c>
    </row>
    <row r="656" spans="1:16" x14ac:dyDescent="0.2">
      <c r="A656" t="s">
        <v>751</v>
      </c>
      <c r="B656" t="str">
        <f>IF(O656&lt;&gt;"",O656,_xlfn.XLOOKUP(A656,AI_NAMES!C:C,AI_NAMES!D:D,"",0))</f>
        <v/>
      </c>
      <c r="E656" t="str">
        <f t="shared" si="49"/>
        <v/>
      </c>
      <c r="G656" s="5" t="str">
        <f t="shared" si="50"/>
        <v/>
      </c>
      <c r="I656" s="6" t="str">
        <f t="shared" si="48"/>
        <v>0</v>
      </c>
      <c r="O656" t="s">
        <v>321</v>
      </c>
      <c r="P656">
        <f>IF(C656&lt;&gt;"",C656,_xlfn.XLOOKUP(B656,AI_NAMES!D:D,AI_NAMES!E:E,"",0))</f>
        <v>0</v>
      </c>
    </row>
    <row r="657" spans="1:16" x14ac:dyDescent="0.2">
      <c r="A657" t="s">
        <v>752</v>
      </c>
      <c r="B657" t="str">
        <f>IF(O657&lt;&gt;"",O657,_xlfn.XLOOKUP(A657,AI_NAMES!C:C,AI_NAMES!D:D,"",0))</f>
        <v/>
      </c>
      <c r="E657" t="str">
        <f t="shared" si="49"/>
        <v/>
      </c>
      <c r="G657" s="5" t="str">
        <f t="shared" si="50"/>
        <v/>
      </c>
      <c r="I657" s="6" t="str">
        <f t="shared" si="48"/>
        <v>0</v>
      </c>
      <c r="O657" t="s">
        <v>321</v>
      </c>
      <c r="P657">
        <f>IF(C657&lt;&gt;"",C657,_xlfn.XLOOKUP(B657,AI_NAMES!D:D,AI_NAMES!E:E,"",0))</f>
        <v>0</v>
      </c>
    </row>
    <row r="658" spans="1:16" x14ac:dyDescent="0.2">
      <c r="A658" t="s">
        <v>753</v>
      </c>
      <c r="B658" t="str">
        <f>IF(O658&lt;&gt;"",O658,_xlfn.XLOOKUP(A658,AI_NAMES!C:C,AI_NAMES!D:D,"",0))</f>
        <v/>
      </c>
      <c r="E658" t="str">
        <f t="shared" si="49"/>
        <v/>
      </c>
      <c r="G658" s="5" t="str">
        <f t="shared" si="50"/>
        <v/>
      </c>
      <c r="I658" s="6" t="str">
        <f t="shared" si="48"/>
        <v>0</v>
      </c>
      <c r="O658" t="s">
        <v>321</v>
      </c>
      <c r="P658">
        <f>IF(C658&lt;&gt;"",C658,_xlfn.XLOOKUP(B658,AI_NAMES!D:D,AI_NAMES!E:E,"",0))</f>
        <v>0</v>
      </c>
    </row>
    <row r="659" spans="1:16" x14ac:dyDescent="0.2">
      <c r="A659" t="s">
        <v>754</v>
      </c>
      <c r="B659" t="str">
        <f>IF(O659&lt;&gt;"",O659,_xlfn.XLOOKUP(A659,AI_NAMES!C:C,AI_NAMES!D:D,"",0))</f>
        <v/>
      </c>
      <c r="E659" t="str">
        <f t="shared" si="49"/>
        <v/>
      </c>
      <c r="G659" s="5" t="str">
        <f t="shared" si="50"/>
        <v/>
      </c>
      <c r="I659" s="6" t="str">
        <f t="shared" si="48"/>
        <v>0</v>
      </c>
      <c r="O659" t="s">
        <v>321</v>
      </c>
      <c r="P659">
        <f>IF(C659&lt;&gt;"",C659,_xlfn.XLOOKUP(B659,AI_NAMES!D:D,AI_NAMES!E:E,"",0))</f>
        <v>0</v>
      </c>
    </row>
    <row r="660" spans="1:16" x14ac:dyDescent="0.2">
      <c r="A660" t="s">
        <v>755</v>
      </c>
      <c r="B660" t="str">
        <f>IF(O660&lt;&gt;"",O660,_xlfn.XLOOKUP(A660,AI_NAMES!C:C,AI_NAMES!D:D,"",0))</f>
        <v/>
      </c>
      <c r="E660" t="str">
        <f t="shared" si="49"/>
        <v/>
      </c>
      <c r="G660" s="5" t="str">
        <f t="shared" si="50"/>
        <v/>
      </c>
      <c r="I660" s="6" t="str">
        <f t="shared" si="48"/>
        <v>0</v>
      </c>
      <c r="O660" t="s">
        <v>321</v>
      </c>
      <c r="P660">
        <f>IF(C660&lt;&gt;"",C660,_xlfn.XLOOKUP(B660,AI_NAMES!D:D,AI_NAMES!E:E,"",0))</f>
        <v>0</v>
      </c>
    </row>
    <row r="661" spans="1:16" x14ac:dyDescent="0.2">
      <c r="A661" t="s">
        <v>756</v>
      </c>
      <c r="B661" t="str">
        <f>IF(O661&lt;&gt;"",O661,_xlfn.XLOOKUP(A661,AI_NAMES!C:C,AI_NAMES!D:D,"",0))</f>
        <v/>
      </c>
      <c r="E661" t="str">
        <f t="shared" si="49"/>
        <v/>
      </c>
      <c r="G661" s="5" t="str">
        <f t="shared" si="50"/>
        <v/>
      </c>
      <c r="I661" s="6" t="str">
        <f t="shared" si="48"/>
        <v>0</v>
      </c>
      <c r="O661" t="s">
        <v>321</v>
      </c>
      <c r="P661">
        <f>IF(C661&lt;&gt;"",C661,_xlfn.XLOOKUP(B661,AI_NAMES!D:D,AI_NAMES!E:E,"",0))</f>
        <v>0</v>
      </c>
    </row>
    <row r="662" spans="1:16" x14ac:dyDescent="0.2">
      <c r="A662" t="s">
        <v>757</v>
      </c>
      <c r="B662" t="str">
        <f>IF(O662&lt;&gt;"",O662,_xlfn.XLOOKUP(A662,AI_NAMES!C:C,AI_NAMES!D:D,"",0))</f>
        <v/>
      </c>
      <c r="E662" t="str">
        <f t="shared" si="49"/>
        <v/>
      </c>
      <c r="G662" s="5" t="str">
        <f t="shared" si="50"/>
        <v/>
      </c>
      <c r="I662" s="6" t="str">
        <f t="shared" si="48"/>
        <v>0</v>
      </c>
      <c r="O662" t="s">
        <v>321</v>
      </c>
      <c r="P662">
        <f>IF(C662&lt;&gt;"",C662,_xlfn.XLOOKUP(B662,AI_NAMES!D:D,AI_NAMES!E:E,"",0))</f>
        <v>0</v>
      </c>
    </row>
    <row r="663" spans="1:16" x14ac:dyDescent="0.2">
      <c r="A663" t="s">
        <v>758</v>
      </c>
      <c r="B663" t="str">
        <f>IF(O663&lt;&gt;"",O663,_xlfn.XLOOKUP(A663,AI_NAMES!C:C,AI_NAMES!D:D,"",0))</f>
        <v/>
      </c>
      <c r="E663" t="str">
        <f t="shared" si="49"/>
        <v/>
      </c>
      <c r="G663" s="5" t="str">
        <f t="shared" si="50"/>
        <v/>
      </c>
      <c r="I663" s="6" t="str">
        <f t="shared" si="48"/>
        <v>0</v>
      </c>
      <c r="O663" t="s">
        <v>321</v>
      </c>
      <c r="P663">
        <f>IF(C663&lt;&gt;"",C663,_xlfn.XLOOKUP(B663,AI_NAMES!D:D,AI_NAMES!E:E,"",0))</f>
        <v>0</v>
      </c>
    </row>
    <row r="664" spans="1:16" x14ac:dyDescent="0.2">
      <c r="A664" t="s">
        <v>759</v>
      </c>
      <c r="B664" t="str">
        <f>IF(O664&lt;&gt;"",O664,_xlfn.XLOOKUP(A664,AI_NAMES!C:C,AI_NAMES!D:D,"",0))</f>
        <v/>
      </c>
      <c r="E664" t="str">
        <f t="shared" si="49"/>
        <v/>
      </c>
      <c r="G664" s="5" t="str">
        <f t="shared" si="50"/>
        <v/>
      </c>
      <c r="I664" s="6" t="str">
        <f t="shared" si="48"/>
        <v>0</v>
      </c>
      <c r="O664" t="s">
        <v>321</v>
      </c>
      <c r="P664">
        <f>IF(C664&lt;&gt;"",C664,_xlfn.XLOOKUP(B664,AI_NAMES!D:D,AI_NAMES!E:E,"",0))</f>
        <v>0</v>
      </c>
    </row>
    <row r="665" spans="1:16" x14ac:dyDescent="0.2">
      <c r="A665" t="s">
        <v>760</v>
      </c>
      <c r="B665" t="str">
        <f>IF(O665&lt;&gt;"",O665,_xlfn.XLOOKUP(A665,AI_NAMES!C:C,AI_NAMES!D:D,"",0))</f>
        <v/>
      </c>
      <c r="E665" t="str">
        <f t="shared" si="49"/>
        <v/>
      </c>
      <c r="G665" s="5" t="str">
        <f t="shared" si="50"/>
        <v/>
      </c>
      <c r="I665" s="6" t="str">
        <f t="shared" si="48"/>
        <v>0</v>
      </c>
      <c r="O665" t="s">
        <v>321</v>
      </c>
      <c r="P665">
        <f>IF(C665&lt;&gt;"",C665,_xlfn.XLOOKUP(B665,AI_NAMES!D:D,AI_NAMES!E:E,"",0))</f>
        <v>0</v>
      </c>
    </row>
    <row r="666" spans="1:16" x14ac:dyDescent="0.2">
      <c r="A666" t="s">
        <v>761</v>
      </c>
      <c r="B666" t="str">
        <f>IF(O666&lt;&gt;"",O666,_xlfn.XLOOKUP(A666,AI_NAMES!C:C,AI_NAMES!D:D,"",0))</f>
        <v/>
      </c>
      <c r="E666" t="str">
        <f t="shared" si="49"/>
        <v/>
      </c>
      <c r="G666" s="5" t="str">
        <f t="shared" si="50"/>
        <v/>
      </c>
      <c r="I666" s="6" t="str">
        <f t="shared" si="48"/>
        <v>0</v>
      </c>
      <c r="O666" t="s">
        <v>321</v>
      </c>
      <c r="P666">
        <f>IF(C666&lt;&gt;"",C666,_xlfn.XLOOKUP(B666,AI_NAMES!D:D,AI_NAMES!E:E,"",0))</f>
        <v>0</v>
      </c>
    </row>
    <row r="667" spans="1:16" x14ac:dyDescent="0.2">
      <c r="A667" t="s">
        <v>762</v>
      </c>
      <c r="B667" t="str">
        <f>IF(O667&lt;&gt;"",O667,_xlfn.XLOOKUP(A667,AI_NAMES!C:C,AI_NAMES!D:D,"",0))</f>
        <v/>
      </c>
      <c r="E667" t="str">
        <f t="shared" si="49"/>
        <v/>
      </c>
      <c r="G667" s="5" t="str">
        <f t="shared" si="50"/>
        <v/>
      </c>
      <c r="I667" s="6" t="str">
        <f t="shared" si="48"/>
        <v>0</v>
      </c>
      <c r="O667" t="s">
        <v>321</v>
      </c>
      <c r="P667">
        <f>IF(C667&lt;&gt;"",C667,_xlfn.XLOOKUP(B667,AI_NAMES!D:D,AI_NAMES!E:E,"",0))</f>
        <v>0</v>
      </c>
    </row>
    <row r="668" spans="1:16" x14ac:dyDescent="0.2">
      <c r="A668" t="s">
        <v>763</v>
      </c>
      <c r="B668" t="str">
        <f>IF(O668&lt;&gt;"",O668,_xlfn.XLOOKUP(A668,AI_NAMES!C:C,AI_NAMES!D:D,"",0))</f>
        <v/>
      </c>
      <c r="E668" t="str">
        <f t="shared" si="49"/>
        <v/>
      </c>
      <c r="G668" s="5" t="str">
        <f t="shared" si="50"/>
        <v/>
      </c>
      <c r="I668" s="6" t="str">
        <f t="shared" si="48"/>
        <v>0</v>
      </c>
      <c r="O668" t="s">
        <v>321</v>
      </c>
      <c r="P668">
        <f>IF(C668&lt;&gt;"",C668,_xlfn.XLOOKUP(B668,AI_NAMES!D:D,AI_NAMES!E:E,"",0))</f>
        <v>0</v>
      </c>
    </row>
    <row r="669" spans="1:16" x14ac:dyDescent="0.2">
      <c r="A669" t="s">
        <v>764</v>
      </c>
      <c r="B669" t="str">
        <f>IF(O669&lt;&gt;"",O669,_xlfn.XLOOKUP(A669,AI_NAMES!C:C,AI_NAMES!D:D,"",0))</f>
        <v/>
      </c>
      <c r="E669" t="str">
        <f t="shared" si="49"/>
        <v/>
      </c>
      <c r="G669" s="5" t="str">
        <f t="shared" si="50"/>
        <v/>
      </c>
      <c r="I669" s="6" t="str">
        <f t="shared" si="48"/>
        <v>0</v>
      </c>
      <c r="O669" t="s">
        <v>321</v>
      </c>
      <c r="P669">
        <f>IF(C669&lt;&gt;"",C669,_xlfn.XLOOKUP(B669,AI_NAMES!D:D,AI_NAMES!E:E,"",0))</f>
        <v>0</v>
      </c>
    </row>
    <row r="670" spans="1:16" x14ac:dyDescent="0.2">
      <c r="A670" t="s">
        <v>765</v>
      </c>
      <c r="B670" t="str">
        <f>IF(O670&lt;&gt;"",O670,_xlfn.XLOOKUP(A670,AI_NAMES!C:C,AI_NAMES!D:D,"",0))</f>
        <v/>
      </c>
      <c r="E670" t="str">
        <f t="shared" si="49"/>
        <v/>
      </c>
      <c r="G670" s="5" t="str">
        <f t="shared" si="50"/>
        <v/>
      </c>
      <c r="I670" s="6" t="str">
        <f t="shared" si="48"/>
        <v>0</v>
      </c>
      <c r="O670" t="s">
        <v>321</v>
      </c>
      <c r="P670">
        <f>IF(C670&lt;&gt;"",C670,_xlfn.XLOOKUP(B670,AI_NAMES!D:D,AI_NAMES!E:E,"",0))</f>
        <v>0</v>
      </c>
    </row>
    <row r="671" spans="1:16" x14ac:dyDescent="0.2">
      <c r="A671" t="s">
        <v>766</v>
      </c>
      <c r="B671" t="str">
        <f>IF(O671&lt;&gt;"",O671,_xlfn.XLOOKUP(A671,AI_NAMES!C:C,AI_NAMES!D:D,"",0))</f>
        <v/>
      </c>
      <c r="E671" t="str">
        <f t="shared" si="49"/>
        <v/>
      </c>
      <c r="G671" s="5" t="str">
        <f t="shared" si="50"/>
        <v/>
      </c>
      <c r="I671" s="6" t="str">
        <f t="shared" si="48"/>
        <v>0</v>
      </c>
      <c r="O671" t="s">
        <v>321</v>
      </c>
      <c r="P671">
        <f>IF(C671&lt;&gt;"",C671,_xlfn.XLOOKUP(B671,AI_NAMES!D:D,AI_NAMES!E:E,"",0))</f>
        <v>0</v>
      </c>
    </row>
    <row r="672" spans="1:16" x14ac:dyDescent="0.2">
      <c r="A672" t="s">
        <v>767</v>
      </c>
      <c r="B672" t="str">
        <f>IF(O672&lt;&gt;"",O672,_xlfn.XLOOKUP(A672,AI_NAMES!C:C,AI_NAMES!D:D,"",0))</f>
        <v/>
      </c>
      <c r="E672" t="str">
        <f t="shared" si="49"/>
        <v/>
      </c>
      <c r="G672" s="5" t="str">
        <f t="shared" si="50"/>
        <v/>
      </c>
      <c r="I672" s="6" t="str">
        <f t="shared" si="48"/>
        <v>0</v>
      </c>
      <c r="O672" t="s">
        <v>321</v>
      </c>
      <c r="P672">
        <f>IF(C672&lt;&gt;"",C672,_xlfn.XLOOKUP(B672,AI_NAMES!D:D,AI_NAMES!E:E,"",0))</f>
        <v>0</v>
      </c>
    </row>
    <row r="673" spans="1:16" x14ac:dyDescent="0.2">
      <c r="A673" t="s">
        <v>768</v>
      </c>
      <c r="B673" t="str">
        <f>IF(O673&lt;&gt;"",O673,_xlfn.XLOOKUP(A673,AI_NAMES!C:C,AI_NAMES!D:D,"",0))</f>
        <v/>
      </c>
      <c r="E673" t="str">
        <f t="shared" si="49"/>
        <v/>
      </c>
      <c r="G673" s="5" t="str">
        <f t="shared" si="50"/>
        <v/>
      </c>
      <c r="I673" s="6" t="str">
        <f t="shared" si="48"/>
        <v>0</v>
      </c>
      <c r="O673" t="s">
        <v>321</v>
      </c>
      <c r="P673">
        <f>IF(C673&lt;&gt;"",C673,_xlfn.XLOOKUP(B673,AI_NAMES!D:D,AI_NAMES!E:E,"",0))</f>
        <v>0</v>
      </c>
    </row>
    <row r="674" spans="1:16" x14ac:dyDescent="0.2">
      <c r="A674" t="s">
        <v>769</v>
      </c>
      <c r="B674" t="str">
        <f>IF(O674&lt;&gt;"",O674,_xlfn.XLOOKUP(A674,AI_NAMES!C:C,AI_NAMES!D:D,"",0))</f>
        <v/>
      </c>
      <c r="E674" t="str">
        <f t="shared" si="49"/>
        <v/>
      </c>
      <c r="G674" s="5" t="str">
        <f t="shared" si="50"/>
        <v/>
      </c>
      <c r="I674" s="6" t="str">
        <f t="shared" si="48"/>
        <v>0</v>
      </c>
      <c r="O674" t="s">
        <v>321</v>
      </c>
      <c r="P674">
        <f>IF(C674&lt;&gt;"",C674,_xlfn.XLOOKUP(B674,AI_NAMES!D:D,AI_NAMES!E:E,"",0))</f>
        <v>0</v>
      </c>
    </row>
    <row r="675" spans="1:16" x14ac:dyDescent="0.2">
      <c r="A675" t="s">
        <v>770</v>
      </c>
      <c r="B675" t="str">
        <f>IF(O675&lt;&gt;"",O675,_xlfn.XLOOKUP(A675,AI_NAMES!C:C,AI_NAMES!D:D,"",0))</f>
        <v/>
      </c>
      <c r="E675" t="str">
        <f t="shared" si="49"/>
        <v/>
      </c>
      <c r="G675" s="5" t="str">
        <f t="shared" si="50"/>
        <v/>
      </c>
      <c r="I675" s="6" t="str">
        <f t="shared" si="48"/>
        <v>0</v>
      </c>
      <c r="O675" t="s">
        <v>321</v>
      </c>
      <c r="P675">
        <f>IF(C675&lt;&gt;"",C675,_xlfn.XLOOKUP(B675,AI_NAMES!D:D,AI_NAMES!E:E,"",0))</f>
        <v>0</v>
      </c>
    </row>
    <row r="676" spans="1:16" x14ac:dyDescent="0.2">
      <c r="A676" t="s">
        <v>771</v>
      </c>
      <c r="B676" t="str">
        <f>IF(O676&lt;&gt;"",O676,_xlfn.XLOOKUP(A676,AI_NAMES!C:C,AI_NAMES!D:D,"",0))</f>
        <v/>
      </c>
      <c r="E676" t="str">
        <f t="shared" si="49"/>
        <v/>
      </c>
      <c r="G676" s="5" t="str">
        <f t="shared" si="50"/>
        <v/>
      </c>
      <c r="I676" s="6" t="str">
        <f t="shared" si="48"/>
        <v>0</v>
      </c>
      <c r="O676" t="s">
        <v>321</v>
      </c>
      <c r="P676">
        <f>IF(C676&lt;&gt;"",C676,_xlfn.XLOOKUP(B676,AI_NAMES!D:D,AI_NAMES!E:E,"",0))</f>
        <v>0</v>
      </c>
    </row>
    <row r="677" spans="1:16" x14ac:dyDescent="0.2">
      <c r="A677" t="s">
        <v>772</v>
      </c>
      <c r="B677" t="str">
        <f>IF(O677&lt;&gt;"",O677,_xlfn.XLOOKUP(A677,AI_NAMES!C:C,AI_NAMES!D:D,"",0))</f>
        <v/>
      </c>
      <c r="E677" t="str">
        <f t="shared" si="49"/>
        <v/>
      </c>
      <c r="G677" s="5" t="str">
        <f t="shared" si="50"/>
        <v/>
      </c>
      <c r="I677" s="6" t="str">
        <f t="shared" si="48"/>
        <v>0</v>
      </c>
      <c r="O677" t="s">
        <v>321</v>
      </c>
      <c r="P677">
        <f>IF(C677&lt;&gt;"",C677,_xlfn.XLOOKUP(B677,AI_NAMES!D:D,AI_NAMES!E:E,"",0))</f>
        <v>0</v>
      </c>
    </row>
    <row r="678" spans="1:16" x14ac:dyDescent="0.2">
      <c r="A678" t="s">
        <v>773</v>
      </c>
      <c r="B678" t="str">
        <f>IF(O678&lt;&gt;"",O678,_xlfn.XLOOKUP(A678,AI_NAMES!C:C,AI_NAMES!D:D,"",0))</f>
        <v>Check_DoorToggle_AI_TBC</v>
      </c>
      <c r="E678" t="str">
        <f t="shared" si="49"/>
        <v/>
      </c>
      <c r="G678" s="5" t="str">
        <f t="shared" si="50"/>
        <v/>
      </c>
      <c r="I678" s="6" t="str">
        <f t="shared" si="48"/>
        <v>0</v>
      </c>
      <c r="O678" t="s">
        <v>321</v>
      </c>
      <c r="P678">
        <f>IF(C678&lt;&gt;"",C678,_xlfn.XLOOKUP(B678,AI_NAMES!D:D,AI_NAMES!E:E,"",0))</f>
        <v>0</v>
      </c>
    </row>
    <row r="679" spans="1:16" x14ac:dyDescent="0.2">
      <c r="A679" t="s">
        <v>774</v>
      </c>
      <c r="B679" t="str">
        <f>IF(O679&lt;&gt;"",O679,_xlfn.XLOOKUP(A679,AI_NAMES!C:C,AI_NAMES!D:D,"",0))</f>
        <v/>
      </c>
      <c r="E679" t="str">
        <f t="shared" si="49"/>
        <v/>
      </c>
      <c r="G679" s="5" t="str">
        <f t="shared" si="50"/>
        <v/>
      </c>
      <c r="I679" s="6" t="str">
        <f t="shared" si="48"/>
        <v>0</v>
      </c>
      <c r="O679" t="s">
        <v>321</v>
      </c>
      <c r="P679">
        <f>IF(C679&lt;&gt;"",C679,_xlfn.XLOOKUP(B679,AI_NAMES!D:D,AI_NAMES!E:E,"",0))</f>
        <v>0</v>
      </c>
    </row>
    <row r="680" spans="1:16" x14ac:dyDescent="0.2">
      <c r="A680" t="s">
        <v>775</v>
      </c>
      <c r="B680" t="str">
        <f>IF(O680&lt;&gt;"",O680,_xlfn.XLOOKUP(A680,AI_NAMES!C:C,AI_NAMES!D:D,"",0))</f>
        <v>DoorToggle_Lower_AI_TBC</v>
      </c>
      <c r="E680" t="str">
        <f t="shared" si="49"/>
        <v/>
      </c>
      <c r="G680" s="5" t="str">
        <f t="shared" si="50"/>
        <v/>
      </c>
      <c r="I680" s="6" t="str">
        <f t="shared" si="48"/>
        <v>0</v>
      </c>
      <c r="O680" t="s">
        <v>321</v>
      </c>
      <c r="P680">
        <f>IF(C680&lt;&gt;"",C680,_xlfn.XLOOKUP(B680,AI_NAMES!D:D,AI_NAMES!E:E,"",0))</f>
        <v>0</v>
      </c>
    </row>
    <row r="681" spans="1:16" x14ac:dyDescent="0.2">
      <c r="A681" t="s">
        <v>776</v>
      </c>
      <c r="B681" t="str">
        <f>IF(O681&lt;&gt;"",O681,_xlfn.XLOOKUP(A681,AI_NAMES!C:C,AI_NAMES!D:D,"",0))</f>
        <v>DoorToggle_Raise_AI_TBC</v>
      </c>
      <c r="E681" t="str">
        <f t="shared" si="49"/>
        <v/>
      </c>
      <c r="G681" s="5" t="str">
        <f t="shared" si="50"/>
        <v/>
      </c>
      <c r="I681" s="6" t="str">
        <f t="shared" si="48"/>
        <v>0</v>
      </c>
      <c r="O681" t="s">
        <v>321</v>
      </c>
      <c r="P681">
        <f>IF(C681&lt;&gt;"",C681,_xlfn.XLOOKUP(B681,AI_NAMES!D:D,AI_NAMES!E:E,"",0))</f>
        <v>0</v>
      </c>
    </row>
    <row r="682" spans="1:16" x14ac:dyDescent="0.2">
      <c r="A682" t="s">
        <v>777</v>
      </c>
      <c r="B682" t="str">
        <f>IF(O682&lt;&gt;"",O682,_xlfn.XLOOKUP(A682,AI_NAMES!C:C,AI_NAMES!D:D,"",0))</f>
        <v/>
      </c>
      <c r="E682" t="str">
        <f t="shared" si="49"/>
        <v/>
      </c>
      <c r="G682" s="5" t="str">
        <f t="shared" si="50"/>
        <v/>
      </c>
      <c r="I682" s="6" t="str">
        <f t="shared" si="48"/>
        <v>0</v>
      </c>
      <c r="O682" t="s">
        <v>321</v>
      </c>
      <c r="P682">
        <f>IF(C682&lt;&gt;"",C682,_xlfn.XLOOKUP(B682,AI_NAMES!D:D,AI_NAMES!E:E,"",0))</f>
        <v>0</v>
      </c>
    </row>
    <row r="683" spans="1:16" x14ac:dyDescent="0.2">
      <c r="A683" t="s">
        <v>778</v>
      </c>
      <c r="B683" t="str">
        <f>IF(O683&lt;&gt;"",O683,_xlfn.XLOOKUP(A683,AI_NAMES!C:C,AI_NAMES!D:D,"",0))</f>
        <v/>
      </c>
      <c r="E683" t="str">
        <f t="shared" si="49"/>
        <v/>
      </c>
      <c r="G683" s="5" t="str">
        <f t="shared" si="50"/>
        <v/>
      </c>
      <c r="I683" s="6" t="str">
        <f t="shared" si="48"/>
        <v>0</v>
      </c>
      <c r="O683" t="s">
        <v>321</v>
      </c>
      <c r="P683">
        <f>IF(C683&lt;&gt;"",C683,_xlfn.XLOOKUP(B683,AI_NAMES!D:D,AI_NAMES!E:E,"",0))</f>
        <v>0</v>
      </c>
    </row>
    <row r="684" spans="1:16" x14ac:dyDescent="0.2">
      <c r="A684" t="s">
        <v>779</v>
      </c>
      <c r="B684" t="str">
        <f>IF(O684&lt;&gt;"",O684,_xlfn.XLOOKUP(A684,AI_NAMES!C:C,AI_NAMES!D:D,"",0))</f>
        <v>Call_DoorToggleRoutine_AI_TBC</v>
      </c>
      <c r="E684" t="str">
        <f t="shared" si="49"/>
        <v/>
      </c>
      <c r="G684" s="5" t="str">
        <f t="shared" si="50"/>
        <v/>
      </c>
      <c r="I684" s="6" t="str">
        <f t="shared" si="48"/>
        <v>0</v>
      </c>
      <c r="O684" t="s">
        <v>321</v>
      </c>
      <c r="P684">
        <f>IF(C684&lt;&gt;"",C684,_xlfn.XLOOKUP(B684,AI_NAMES!D:D,AI_NAMES!E:E,"",0))</f>
        <v>0</v>
      </c>
    </row>
    <row r="685" spans="1:16" x14ac:dyDescent="0.2">
      <c r="A685" t="s">
        <v>780</v>
      </c>
      <c r="B685" t="str">
        <f>IF(O685&lt;&gt;"",O685,_xlfn.XLOOKUP(A685,AI_NAMES!C:C,AI_NAMES!D:D,"",0))</f>
        <v/>
      </c>
      <c r="E685" t="str">
        <f t="shared" si="49"/>
        <v/>
      </c>
      <c r="G685" s="5" t="str">
        <f t="shared" si="50"/>
        <v/>
      </c>
      <c r="I685" s="6" t="str">
        <f t="shared" si="48"/>
        <v>0</v>
      </c>
      <c r="O685" t="s">
        <v>321</v>
      </c>
      <c r="P685">
        <f>IF(C685&lt;&gt;"",C685,_xlfn.XLOOKUP(B685,AI_NAMES!D:D,AI_NAMES!E:E,"",0))</f>
        <v>0</v>
      </c>
    </row>
    <row r="686" spans="1:16" x14ac:dyDescent="0.2">
      <c r="A686" t="s">
        <v>781</v>
      </c>
      <c r="B686" t="str">
        <f>IF(O686&lt;&gt;"",O686,_xlfn.XLOOKUP(A686,AI_NAMES!C:C,AI_NAMES!D:D,"",0))</f>
        <v>PostDoorToggle_Enter_AI_TBC</v>
      </c>
      <c r="E686" t="str">
        <f t="shared" si="49"/>
        <v/>
      </c>
      <c r="G686" s="5" t="str">
        <f t="shared" si="50"/>
        <v/>
      </c>
      <c r="I686" s="6" t="str">
        <f t="shared" si="48"/>
        <v>0</v>
      </c>
      <c r="O686" t="s">
        <v>321</v>
      </c>
      <c r="P686">
        <f>IF(C686&lt;&gt;"",C686,_xlfn.XLOOKUP(B686,AI_NAMES!D:D,AI_NAMES!E:E,"",0))</f>
        <v>0</v>
      </c>
    </row>
    <row r="687" spans="1:16" x14ac:dyDescent="0.2">
      <c r="A687" t="s">
        <v>782</v>
      </c>
      <c r="B687" t="str">
        <f>IF(O687&lt;&gt;"",O687,_xlfn.XLOOKUP(A687,AI_NAMES!C:C,AI_NAMES!D:D,"",0))</f>
        <v>PostDoorToggle_CheckExit_AI_TBC</v>
      </c>
      <c r="E687" t="str">
        <f t="shared" si="49"/>
        <v/>
      </c>
      <c r="G687" s="5" t="str">
        <f t="shared" si="50"/>
        <v/>
      </c>
      <c r="I687" s="6" t="str">
        <f t="shared" si="48"/>
        <v>0</v>
      </c>
      <c r="O687" t="s">
        <v>321</v>
      </c>
      <c r="P687">
        <f>IF(C687&lt;&gt;"",C687,_xlfn.XLOOKUP(B687,AI_NAMES!D:D,AI_NAMES!E:E,"",0))</f>
        <v>0</v>
      </c>
    </row>
    <row r="688" spans="1:16" x14ac:dyDescent="0.2">
      <c r="A688" t="s">
        <v>783</v>
      </c>
      <c r="B688" t="str">
        <f>IF(O688&lt;&gt;"",O688,_xlfn.XLOOKUP(A688,AI_NAMES!C:C,AI_NAMES!D:D,"",0))</f>
        <v>PostDoorToggle_EndCase_AI_TBC</v>
      </c>
      <c r="E688" t="str">
        <f t="shared" si="49"/>
        <v/>
      </c>
      <c r="G688" s="5" t="str">
        <f t="shared" si="50"/>
        <v/>
      </c>
      <c r="I688" s="6" t="str">
        <f t="shared" si="48"/>
        <v>0</v>
      </c>
      <c r="O688" t="s">
        <v>321</v>
      </c>
      <c r="P688">
        <f>IF(C688&lt;&gt;"",C688,_xlfn.XLOOKUP(B688,AI_NAMES!D:D,AI_NAMES!E:E,"",0))</f>
        <v>0</v>
      </c>
    </row>
    <row r="689" spans="1:16" x14ac:dyDescent="0.2">
      <c r="A689" t="s">
        <v>784</v>
      </c>
      <c r="B689" t="str">
        <f>IF(O689&lt;&gt;"",O689,_xlfn.XLOOKUP(A689,AI_NAMES!C:C,AI_NAMES!D:D,"",0))</f>
        <v>PostDoorToggle_Default_AI_TBC</v>
      </c>
      <c r="E689" t="str">
        <f t="shared" si="49"/>
        <v/>
      </c>
      <c r="G689" s="5" t="str">
        <f t="shared" si="50"/>
        <v/>
      </c>
      <c r="I689" s="6" t="str">
        <f t="shared" si="48"/>
        <v>0</v>
      </c>
      <c r="O689" t="s">
        <v>321</v>
      </c>
      <c r="P689">
        <f>IF(C689&lt;&gt;"",C689,_xlfn.XLOOKUP(B689,AI_NAMES!D:D,AI_NAMES!E:E,"",0))</f>
        <v>0</v>
      </c>
    </row>
    <row r="690" spans="1:16" x14ac:dyDescent="0.2">
      <c r="A690" t="s">
        <v>785</v>
      </c>
      <c r="B690" t="str">
        <f>IF(O690&lt;&gt;"",O690,_xlfn.XLOOKUP(A690,AI_NAMES!C:C,AI_NAMES!D:D,"",0))</f>
        <v>Clear_LaunchPadFlag_AI_TBC</v>
      </c>
      <c r="E690" t="str">
        <f t="shared" si="49"/>
        <v/>
      </c>
      <c r="G690" s="5" t="str">
        <f t="shared" si="50"/>
        <v/>
      </c>
      <c r="I690" s="6" t="str">
        <f t="shared" si="48"/>
        <v>0</v>
      </c>
      <c r="O690" t="s">
        <v>321</v>
      </c>
      <c r="P690">
        <f>IF(C690&lt;&gt;"",C690,_xlfn.XLOOKUP(B690,AI_NAMES!D:D,AI_NAMES!E:E,"",0))</f>
        <v>0</v>
      </c>
    </row>
    <row r="691" spans="1:16" x14ac:dyDescent="0.2">
      <c r="A691" t="s">
        <v>786</v>
      </c>
      <c r="B691" t="str">
        <f>IF(O691&lt;&gt;"",O691,_xlfn.XLOOKUP(A691,AI_NAMES!C:C,AI_NAMES!D:D,"",0))</f>
        <v>Reset_LaunchPadPost_AI_TBC</v>
      </c>
      <c r="E691" t="str">
        <f t="shared" si="49"/>
        <v/>
      </c>
      <c r="G691" s="5" t="str">
        <f t="shared" si="50"/>
        <v/>
      </c>
      <c r="I691" s="6" t="str">
        <f t="shared" si="48"/>
        <v>0</v>
      </c>
      <c r="O691" t="s">
        <v>321</v>
      </c>
      <c r="P691">
        <f>IF(C691&lt;&gt;"",C691,_xlfn.XLOOKUP(B691,AI_NAMES!D:D,AI_NAMES!E:E,"",0))</f>
        <v>0</v>
      </c>
    </row>
    <row r="692" spans="1:16" x14ac:dyDescent="0.2">
      <c r="A692" t="s">
        <v>787</v>
      </c>
      <c r="B692" t="str">
        <f>IF(O692&lt;&gt;"",O692,_xlfn.XLOOKUP(A692,AI_NAMES!C:C,AI_NAMES!D:D,"",0))</f>
        <v/>
      </c>
      <c r="E692" t="str">
        <f t="shared" si="49"/>
        <v/>
      </c>
      <c r="G692" s="5" t="str">
        <f t="shared" si="50"/>
        <v/>
      </c>
      <c r="I692" s="6" t="str">
        <f t="shared" si="48"/>
        <v>0</v>
      </c>
      <c r="O692" t="s">
        <v>321</v>
      </c>
      <c r="P692">
        <f>IF(C692&lt;&gt;"",C692,_xlfn.XLOOKUP(B692,AI_NAMES!D:D,AI_NAMES!E:E,"",0))</f>
        <v>0</v>
      </c>
    </row>
    <row r="693" spans="1:16" x14ac:dyDescent="0.2">
      <c r="A693" t="s">
        <v>788</v>
      </c>
      <c r="B693" t="str">
        <f>IF(O693&lt;&gt;"",O693,_xlfn.XLOOKUP(A693,AI_NAMES!C:C,AI_NAMES!D:D,"",0))</f>
        <v>Restore_LaunchPadState_AI_TBC</v>
      </c>
      <c r="E693" t="str">
        <f t="shared" si="49"/>
        <v/>
      </c>
      <c r="G693" s="5" t="str">
        <f t="shared" si="50"/>
        <v/>
      </c>
      <c r="I693" s="6" t="str">
        <f t="shared" si="48"/>
        <v>0</v>
      </c>
      <c r="O693" t="s">
        <v>321</v>
      </c>
      <c r="P693">
        <f>IF(C693&lt;&gt;"",C693,_xlfn.XLOOKUP(B693,AI_NAMES!D:D,AI_NAMES!E:E,"",0))</f>
        <v>0</v>
      </c>
    </row>
    <row r="694" spans="1:16" x14ac:dyDescent="0.2">
      <c r="A694" t="s">
        <v>789</v>
      </c>
      <c r="B694" t="str">
        <f>IF(O694&lt;&gt;"",O694,_xlfn.XLOOKUP(A694,AI_NAMES!C:C,AI_NAMES!D:D,"",0))</f>
        <v/>
      </c>
      <c r="E694" t="str">
        <f t="shared" si="49"/>
        <v/>
      </c>
      <c r="G694" s="5" t="str">
        <f t="shared" si="50"/>
        <v/>
      </c>
      <c r="I694" s="6" t="str">
        <f t="shared" si="48"/>
        <v>0</v>
      </c>
      <c r="O694" t="s">
        <v>321</v>
      </c>
      <c r="P694">
        <f>IF(C694&lt;&gt;"",C694,_xlfn.XLOOKUP(B694,AI_NAMES!D:D,AI_NAMES!E:E,"",0))</f>
        <v>0</v>
      </c>
    </row>
    <row r="695" spans="1:16" x14ac:dyDescent="0.2">
      <c r="A695" t="s">
        <v>790</v>
      </c>
      <c r="B695" t="str">
        <f>IF(O695&lt;&gt;"",O695,_xlfn.XLOOKUP(A695,AI_NAMES!C:C,AI_NAMES!D:D,"",0))</f>
        <v/>
      </c>
      <c r="E695" t="str">
        <f t="shared" si="49"/>
        <v/>
      </c>
      <c r="G695" s="5" t="str">
        <f t="shared" si="50"/>
        <v/>
      </c>
      <c r="I695" s="6" t="str">
        <f t="shared" si="48"/>
        <v>0</v>
      </c>
      <c r="O695" t="s">
        <v>321</v>
      </c>
      <c r="P695">
        <f>IF(C695&lt;&gt;"",C695,_xlfn.XLOOKUP(B695,AI_NAMES!D:D,AI_NAMES!E:E,"",0))</f>
        <v>0</v>
      </c>
    </row>
    <row r="696" spans="1:16" x14ac:dyDescent="0.2">
      <c r="A696" t="s">
        <v>791</v>
      </c>
      <c r="B696" t="str">
        <f>IF(O696&lt;&gt;"",O696,_xlfn.XLOOKUP(A696,AI_NAMES!C:C,AI_NAMES!D:D,"",0))</f>
        <v/>
      </c>
      <c r="E696" t="str">
        <f t="shared" si="49"/>
        <v/>
      </c>
      <c r="G696" s="5" t="str">
        <f t="shared" si="50"/>
        <v/>
      </c>
      <c r="I696" s="6" t="str">
        <f t="shared" si="48"/>
        <v>0</v>
      </c>
      <c r="O696" t="s">
        <v>321</v>
      </c>
      <c r="P696">
        <f>IF(C696&lt;&gt;"",C696,_xlfn.XLOOKUP(B696,AI_NAMES!D:D,AI_NAMES!E:E,"",0))</f>
        <v>0</v>
      </c>
    </row>
    <row r="697" spans="1:16" x14ac:dyDescent="0.2">
      <c r="A697" t="s">
        <v>792</v>
      </c>
      <c r="B697" t="str">
        <f>IF(O697&lt;&gt;"",O697,_xlfn.XLOOKUP(A697,AI_NAMES!C:C,AI_NAMES!D:D,"",0))</f>
        <v/>
      </c>
      <c r="E697" t="str">
        <f t="shared" si="49"/>
        <v/>
      </c>
      <c r="G697" s="5" t="str">
        <f t="shared" si="50"/>
        <v/>
      </c>
      <c r="I697" s="6" t="str">
        <f t="shared" si="48"/>
        <v>0</v>
      </c>
      <c r="O697" t="s">
        <v>321</v>
      </c>
      <c r="P697">
        <f>IF(C697&lt;&gt;"",C697,_xlfn.XLOOKUP(B697,AI_NAMES!D:D,AI_NAMES!E:E,"",0))</f>
        <v>0</v>
      </c>
    </row>
    <row r="698" spans="1:16" x14ac:dyDescent="0.2">
      <c r="A698" t="s">
        <v>793</v>
      </c>
      <c r="B698" t="str">
        <f>IF(O698&lt;&gt;"",O698,_xlfn.XLOOKUP(A698,AI_NAMES!C:C,AI_NAMES!D:D,"",0))</f>
        <v/>
      </c>
      <c r="E698" t="str">
        <f t="shared" si="49"/>
        <v/>
      </c>
      <c r="G698" s="5" t="str">
        <f t="shared" si="50"/>
        <v/>
      </c>
      <c r="I698" s="6" t="str">
        <f t="shared" si="48"/>
        <v>0</v>
      </c>
      <c r="O698" t="s">
        <v>321</v>
      </c>
      <c r="P698">
        <f>IF(C698&lt;&gt;"",C698,_xlfn.XLOOKUP(B698,AI_NAMES!D:D,AI_NAMES!E:E,"",0))</f>
        <v>0</v>
      </c>
    </row>
    <row r="699" spans="1:16" x14ac:dyDescent="0.2">
      <c r="A699" t="s">
        <v>794</v>
      </c>
      <c r="B699" t="str">
        <f>IF(O699&lt;&gt;"",O699,_xlfn.XLOOKUP(A699,AI_NAMES!C:C,AI_NAMES!D:D,"",0))</f>
        <v/>
      </c>
      <c r="E699" t="str">
        <f t="shared" si="49"/>
        <v/>
      </c>
      <c r="G699" s="5" t="str">
        <f t="shared" si="50"/>
        <v/>
      </c>
      <c r="I699" s="6" t="str">
        <f t="shared" si="48"/>
        <v>0</v>
      </c>
      <c r="O699" t="s">
        <v>321</v>
      </c>
      <c r="P699">
        <f>IF(C699&lt;&gt;"",C699,_xlfn.XLOOKUP(B699,AI_NAMES!D:D,AI_NAMES!E:E,"",0))</f>
        <v>0</v>
      </c>
    </row>
    <row r="700" spans="1:16" x14ac:dyDescent="0.2">
      <c r="A700" t="s">
        <v>795</v>
      </c>
      <c r="B700" t="str">
        <f>IF(O700&lt;&gt;"",O700,_xlfn.XLOOKUP(A700,AI_NAMES!C:C,AI_NAMES!D:D,"",0))</f>
        <v/>
      </c>
      <c r="E700" t="str">
        <f t="shared" si="49"/>
        <v/>
      </c>
      <c r="G700" s="5" t="str">
        <f t="shared" si="50"/>
        <v/>
      </c>
      <c r="I700" s="6" t="str">
        <f t="shared" si="48"/>
        <v>0</v>
      </c>
      <c r="O700" t="s">
        <v>321</v>
      </c>
      <c r="P700">
        <f>IF(C700&lt;&gt;"",C700,_xlfn.XLOOKUP(B700,AI_NAMES!D:D,AI_NAMES!E:E,"",0))</f>
        <v>0</v>
      </c>
    </row>
    <row r="701" spans="1:16" x14ac:dyDescent="0.2">
      <c r="A701" t="s">
        <v>796</v>
      </c>
      <c r="B701" t="str">
        <f>IF(O701&lt;&gt;"",O701,_xlfn.XLOOKUP(A701,AI_NAMES!C:C,AI_NAMES!D:D,"",0))</f>
        <v/>
      </c>
      <c r="E701" t="str">
        <f t="shared" si="49"/>
        <v/>
      </c>
      <c r="G701" s="5" t="str">
        <f t="shared" si="50"/>
        <v/>
      </c>
      <c r="I701" s="6" t="str">
        <f t="shared" si="48"/>
        <v>0</v>
      </c>
      <c r="O701" t="s">
        <v>321</v>
      </c>
      <c r="P701">
        <f>IF(C701&lt;&gt;"",C701,_xlfn.XLOOKUP(B701,AI_NAMES!D:D,AI_NAMES!E:E,"",0))</f>
        <v>0</v>
      </c>
    </row>
    <row r="702" spans="1:16" x14ac:dyDescent="0.2">
      <c r="A702" t="s">
        <v>797</v>
      </c>
      <c r="B702" t="str">
        <f>IF(O702&lt;&gt;"",O702,_xlfn.XLOOKUP(A702,AI_NAMES!C:C,AI_NAMES!D:D,"",0))</f>
        <v/>
      </c>
      <c r="E702" t="str">
        <f t="shared" si="49"/>
        <v/>
      </c>
      <c r="G702" s="5" t="str">
        <f t="shared" si="50"/>
        <v/>
      </c>
      <c r="I702" s="6" t="str">
        <f t="shared" si="48"/>
        <v>0</v>
      </c>
      <c r="O702" t="s">
        <v>321</v>
      </c>
      <c r="P702">
        <f>IF(C702&lt;&gt;"",C702,_xlfn.XLOOKUP(B702,AI_NAMES!D:D,AI_NAMES!E:E,"",0))</f>
        <v>0</v>
      </c>
    </row>
    <row r="703" spans="1:16" x14ac:dyDescent="0.2">
      <c r="A703" t="s">
        <v>798</v>
      </c>
      <c r="B703" t="str">
        <f>IF(O703&lt;&gt;"",O703,_xlfn.XLOOKUP(A703,AI_NAMES!C:C,AI_NAMES!D:D,"",0))</f>
        <v/>
      </c>
      <c r="E703" t="str">
        <f t="shared" si="49"/>
        <v/>
      </c>
      <c r="G703" s="5" t="str">
        <f t="shared" si="50"/>
        <v/>
      </c>
      <c r="I703" s="6" t="str">
        <f t="shared" si="48"/>
        <v>0</v>
      </c>
      <c r="O703" t="s">
        <v>321</v>
      </c>
      <c r="P703">
        <f>IF(C703&lt;&gt;"",C703,_xlfn.XLOOKUP(B703,AI_NAMES!D:D,AI_NAMES!E:E,"",0))</f>
        <v>0</v>
      </c>
    </row>
    <row r="704" spans="1:16" x14ac:dyDescent="0.2">
      <c r="A704" t="s">
        <v>799</v>
      </c>
      <c r="B704" t="str">
        <f>IF(O704&lt;&gt;"",O704,_xlfn.XLOOKUP(A704,AI_NAMES!C:C,AI_NAMES!D:D,"",0))</f>
        <v/>
      </c>
      <c r="E704" t="str">
        <f t="shared" si="49"/>
        <v/>
      </c>
      <c r="G704" s="5" t="str">
        <f t="shared" si="50"/>
        <v/>
      </c>
      <c r="I704" s="6" t="str">
        <f t="shared" si="48"/>
        <v>0</v>
      </c>
      <c r="O704" t="s">
        <v>321</v>
      </c>
      <c r="P704">
        <f>IF(C704&lt;&gt;"",C704,_xlfn.XLOOKUP(B704,AI_NAMES!D:D,AI_NAMES!E:E,"",0))</f>
        <v>0</v>
      </c>
    </row>
    <row r="705" spans="1:16" x14ac:dyDescent="0.2">
      <c r="A705" t="s">
        <v>800</v>
      </c>
      <c r="B705" t="str">
        <f>IF(O705&lt;&gt;"",O705,_xlfn.XLOOKUP(A705,AI_NAMES!C:C,AI_NAMES!D:D,"",0))</f>
        <v/>
      </c>
      <c r="E705" t="str">
        <f t="shared" si="49"/>
        <v/>
      </c>
      <c r="G705" s="5" t="str">
        <f t="shared" si="50"/>
        <v/>
      </c>
      <c r="I705" s="6" t="str">
        <f t="shared" si="48"/>
        <v>0</v>
      </c>
      <c r="O705" t="s">
        <v>321</v>
      </c>
      <c r="P705">
        <f>IF(C705&lt;&gt;"",C705,_xlfn.XLOOKUP(B705,AI_NAMES!D:D,AI_NAMES!E:E,"",0))</f>
        <v>0</v>
      </c>
    </row>
    <row r="706" spans="1:16" x14ac:dyDescent="0.2">
      <c r="A706" t="s">
        <v>801</v>
      </c>
      <c r="B706" t="str">
        <f>IF(O706&lt;&gt;"",O706,_xlfn.XLOOKUP(A706,AI_NAMES!C:C,AI_NAMES!D:D,"",0))</f>
        <v/>
      </c>
      <c r="E706" t="str">
        <f t="shared" si="49"/>
        <v/>
      </c>
      <c r="G706" s="5" t="str">
        <f t="shared" si="50"/>
        <v/>
      </c>
      <c r="I706" s="6" t="str">
        <f t="shared" si="48"/>
        <v>0</v>
      </c>
      <c r="O706" t="s">
        <v>321</v>
      </c>
      <c r="P706">
        <f>IF(C706&lt;&gt;"",C706,_xlfn.XLOOKUP(B706,AI_NAMES!D:D,AI_NAMES!E:E,"",0))</f>
        <v>0</v>
      </c>
    </row>
    <row r="707" spans="1:16" x14ac:dyDescent="0.2">
      <c r="A707" t="s">
        <v>802</v>
      </c>
      <c r="B707" t="str">
        <f>IF(O707&lt;&gt;"",O707,_xlfn.XLOOKUP(A707,AI_NAMES!C:C,AI_NAMES!D:D,"",0))</f>
        <v/>
      </c>
      <c r="E707" t="str">
        <f t="shared" si="49"/>
        <v/>
      </c>
      <c r="G707" s="5" t="str">
        <f t="shared" si="50"/>
        <v/>
      </c>
      <c r="I707" s="6" t="str">
        <f t="shared" ref="I707:I770" si="51">IFERROR(DEC2HEX(H707),"")</f>
        <v>0</v>
      </c>
      <c r="O707" t="s">
        <v>321</v>
      </c>
      <c r="P707">
        <f>IF(C707&lt;&gt;"",C707,_xlfn.XLOOKUP(B707,AI_NAMES!D:D,AI_NAMES!E:E,"",0))</f>
        <v>0</v>
      </c>
    </row>
    <row r="708" spans="1:16" x14ac:dyDescent="0.2">
      <c r="A708" t="s">
        <v>803</v>
      </c>
      <c r="B708" t="str">
        <f>IF(O708&lt;&gt;"",O708,_xlfn.XLOOKUP(A708,AI_NAMES!C:C,AI_NAMES!D:D,"",0))</f>
        <v/>
      </c>
      <c r="E708" t="str">
        <f t="shared" ref="E708:E771" si="52">IF(D708&lt;&gt;"",C708&amp;"/"&amp;D708,"")</f>
        <v/>
      </c>
      <c r="G708" s="5" t="str">
        <f t="shared" si="50"/>
        <v/>
      </c>
      <c r="I708" s="6" t="str">
        <f t="shared" si="51"/>
        <v>0</v>
      </c>
      <c r="O708" t="s">
        <v>321</v>
      </c>
      <c r="P708">
        <f>IF(C708&lt;&gt;"",C708,_xlfn.XLOOKUP(B708,AI_NAMES!D:D,AI_NAMES!E:E,"",0))</f>
        <v>0</v>
      </c>
    </row>
    <row r="709" spans="1:16" x14ac:dyDescent="0.2">
      <c r="A709" t="s">
        <v>804</v>
      </c>
      <c r="B709" t="str">
        <f>IF(O709&lt;&gt;"",O709,_xlfn.XLOOKUP(A709,AI_NAMES!C:C,AI_NAMES!D:D,"",0))</f>
        <v/>
      </c>
      <c r="E709" t="str">
        <f t="shared" si="52"/>
        <v/>
      </c>
      <c r="G709" s="5" t="str">
        <f t="shared" si="50"/>
        <v/>
      </c>
      <c r="I709" s="6" t="str">
        <f t="shared" si="51"/>
        <v>0</v>
      </c>
      <c r="O709" t="s">
        <v>321</v>
      </c>
      <c r="P709">
        <f>IF(C709&lt;&gt;"",C709,_xlfn.XLOOKUP(B709,AI_NAMES!D:D,AI_NAMES!E:E,"",0))</f>
        <v>0</v>
      </c>
    </row>
    <row r="710" spans="1:16" x14ac:dyDescent="0.2">
      <c r="A710" t="s">
        <v>805</v>
      </c>
      <c r="B710" t="str">
        <f>IF(O710&lt;&gt;"",O710,_xlfn.XLOOKUP(A710,AI_NAMES!C:C,AI_NAMES!D:D,"",0))</f>
        <v/>
      </c>
      <c r="E710" t="str">
        <f t="shared" si="52"/>
        <v/>
      </c>
      <c r="G710" s="5" t="str">
        <f t="shared" si="50"/>
        <v/>
      </c>
      <c r="I710" s="6" t="str">
        <f t="shared" si="51"/>
        <v>0</v>
      </c>
      <c r="O710" t="s">
        <v>321</v>
      </c>
      <c r="P710">
        <f>IF(C710&lt;&gt;"",C710,_xlfn.XLOOKUP(B710,AI_NAMES!D:D,AI_NAMES!E:E,"",0))</f>
        <v>0</v>
      </c>
    </row>
    <row r="711" spans="1:16" x14ac:dyDescent="0.2">
      <c r="A711" t="s">
        <v>806</v>
      </c>
      <c r="B711" t="str">
        <f>IF(O711&lt;&gt;"",O711,_xlfn.XLOOKUP(A711,AI_NAMES!C:C,AI_NAMES!D:D,"",0))</f>
        <v/>
      </c>
      <c r="E711" t="str">
        <f t="shared" si="52"/>
        <v/>
      </c>
      <c r="G711" s="5" t="str">
        <f t="shared" si="50"/>
        <v/>
      </c>
      <c r="I711" s="6" t="str">
        <f t="shared" si="51"/>
        <v>0</v>
      </c>
      <c r="O711" t="s">
        <v>321</v>
      </c>
      <c r="P711">
        <f>IF(C711&lt;&gt;"",C711,_xlfn.XLOOKUP(B711,AI_NAMES!D:D,AI_NAMES!E:E,"",0))</f>
        <v>0</v>
      </c>
    </row>
    <row r="712" spans="1:16" x14ac:dyDescent="0.2">
      <c r="A712" t="s">
        <v>807</v>
      </c>
      <c r="B712" t="str">
        <f>IF(O712&lt;&gt;"",O712,_xlfn.XLOOKUP(A712,AI_NAMES!C:C,AI_NAMES!D:D,"",0))</f>
        <v/>
      </c>
      <c r="E712" t="str">
        <f t="shared" si="52"/>
        <v/>
      </c>
      <c r="G712" s="5" t="str">
        <f t="shared" si="50"/>
        <v/>
      </c>
      <c r="I712" s="6" t="str">
        <f t="shared" si="51"/>
        <v>0</v>
      </c>
      <c r="O712" t="s">
        <v>321</v>
      </c>
      <c r="P712">
        <f>IF(C712&lt;&gt;"",C712,_xlfn.XLOOKUP(B712,AI_NAMES!D:D,AI_NAMES!E:E,"",0))</f>
        <v>0</v>
      </c>
    </row>
    <row r="713" spans="1:16" x14ac:dyDescent="0.2">
      <c r="A713" t="s">
        <v>808</v>
      </c>
      <c r="B713" t="str">
        <f>IF(O713&lt;&gt;"",O713,_xlfn.XLOOKUP(A713,AI_NAMES!C:C,AI_NAMES!D:D,"",0))</f>
        <v/>
      </c>
      <c r="E713" t="str">
        <f t="shared" si="52"/>
        <v/>
      </c>
      <c r="G713" s="5" t="str">
        <f t="shared" ref="G713:G776" si="53">IF(F713&lt;&gt;"",HEX2DEC(SUBSTITUTE(SUBSTITUTE(F713,"adrEA",""),"$","")),"")</f>
        <v/>
      </c>
      <c r="I713" s="6" t="str">
        <f t="shared" si="51"/>
        <v>0</v>
      </c>
      <c r="O713" t="s">
        <v>321</v>
      </c>
      <c r="P713">
        <f>IF(C713&lt;&gt;"",C713,_xlfn.XLOOKUP(B713,AI_NAMES!D:D,AI_NAMES!E:E,"",0))</f>
        <v>0</v>
      </c>
    </row>
    <row r="714" spans="1:16" x14ac:dyDescent="0.2">
      <c r="A714" t="s">
        <v>809</v>
      </c>
      <c r="B714" t="str">
        <f>IF(O714&lt;&gt;"",O714,_xlfn.XLOOKUP(A714,AI_NAMES!C:C,AI_NAMES!D:D,"",0))</f>
        <v/>
      </c>
      <c r="E714" t="str">
        <f t="shared" si="52"/>
        <v/>
      </c>
      <c r="G714" s="5" t="str">
        <f t="shared" si="53"/>
        <v/>
      </c>
      <c r="I714" s="6" t="str">
        <f t="shared" si="51"/>
        <v>0</v>
      </c>
      <c r="O714" t="s">
        <v>321</v>
      </c>
      <c r="P714">
        <f>IF(C714&lt;&gt;"",C714,_xlfn.XLOOKUP(B714,AI_NAMES!D:D,AI_NAMES!E:E,"",0))</f>
        <v>0</v>
      </c>
    </row>
    <row r="715" spans="1:16" x14ac:dyDescent="0.2">
      <c r="A715" t="s">
        <v>810</v>
      </c>
      <c r="B715" t="str">
        <f>IF(O715&lt;&gt;"",O715,_xlfn.XLOOKUP(A715,AI_NAMES!C:C,AI_NAMES!D:D,"",0))</f>
        <v/>
      </c>
      <c r="E715" t="str">
        <f t="shared" si="52"/>
        <v/>
      </c>
      <c r="G715" s="5" t="str">
        <f t="shared" si="53"/>
        <v/>
      </c>
      <c r="I715" s="6" t="str">
        <f t="shared" si="51"/>
        <v>0</v>
      </c>
      <c r="O715" t="s">
        <v>321</v>
      </c>
      <c r="P715">
        <f>IF(C715&lt;&gt;"",C715,_xlfn.XLOOKUP(B715,AI_NAMES!D:D,AI_NAMES!E:E,"",0))</f>
        <v>0</v>
      </c>
    </row>
    <row r="716" spans="1:16" x14ac:dyDescent="0.2">
      <c r="A716" t="s">
        <v>811</v>
      </c>
      <c r="B716" t="str">
        <f>IF(O716&lt;&gt;"",O716,_xlfn.XLOOKUP(A716,AI_NAMES!C:C,AI_NAMES!D:D,"",0))</f>
        <v/>
      </c>
      <c r="E716" t="str">
        <f t="shared" si="52"/>
        <v/>
      </c>
      <c r="G716" s="5" t="str">
        <f t="shared" si="53"/>
        <v/>
      </c>
      <c r="I716" s="6" t="str">
        <f t="shared" si="51"/>
        <v>0</v>
      </c>
      <c r="O716" t="s">
        <v>321</v>
      </c>
      <c r="P716">
        <f>IF(C716&lt;&gt;"",C716,_xlfn.XLOOKUP(B716,AI_NAMES!D:D,AI_NAMES!E:E,"",0))</f>
        <v>0</v>
      </c>
    </row>
    <row r="717" spans="1:16" x14ac:dyDescent="0.2">
      <c r="A717" t="s">
        <v>812</v>
      </c>
      <c r="B717" t="str">
        <f>IF(O717&lt;&gt;"",O717,_xlfn.XLOOKUP(A717,AI_NAMES!C:C,AI_NAMES!D:D,"",0))</f>
        <v/>
      </c>
      <c r="E717" t="str">
        <f t="shared" si="52"/>
        <v/>
      </c>
      <c r="G717" s="5" t="str">
        <f t="shared" si="53"/>
        <v/>
      </c>
      <c r="I717" s="6" t="str">
        <f t="shared" si="51"/>
        <v>0</v>
      </c>
      <c r="O717" t="s">
        <v>321</v>
      </c>
      <c r="P717">
        <f>IF(C717&lt;&gt;"",C717,_xlfn.XLOOKUP(B717,AI_NAMES!D:D,AI_NAMES!E:E,"",0))</f>
        <v>0</v>
      </c>
    </row>
    <row r="718" spans="1:16" x14ac:dyDescent="0.2">
      <c r="A718" t="s">
        <v>813</v>
      </c>
      <c r="B718" t="str">
        <f>IF(O718&lt;&gt;"",O718,_xlfn.XLOOKUP(A718,AI_NAMES!C:C,AI_NAMES!D:D,"",0))</f>
        <v/>
      </c>
      <c r="E718" t="str">
        <f t="shared" si="52"/>
        <v/>
      </c>
      <c r="G718" s="5" t="str">
        <f t="shared" si="53"/>
        <v/>
      </c>
      <c r="I718" s="6" t="str">
        <f t="shared" si="51"/>
        <v>0</v>
      </c>
      <c r="O718" t="s">
        <v>321</v>
      </c>
      <c r="P718">
        <f>IF(C718&lt;&gt;"",C718,_xlfn.XLOOKUP(B718,AI_NAMES!D:D,AI_NAMES!E:E,"",0))</f>
        <v>0</v>
      </c>
    </row>
    <row r="719" spans="1:16" x14ac:dyDescent="0.2">
      <c r="A719" t="s">
        <v>814</v>
      </c>
      <c r="B719" t="str">
        <f>IF(O719&lt;&gt;"",O719,_xlfn.XLOOKUP(A719,AI_NAMES!C:C,AI_NAMES!D:D,"",0))</f>
        <v/>
      </c>
      <c r="E719" t="str">
        <f t="shared" si="52"/>
        <v/>
      </c>
      <c r="G719" s="5" t="str">
        <f t="shared" si="53"/>
        <v/>
      </c>
      <c r="I719" s="6" t="str">
        <f t="shared" si="51"/>
        <v>0</v>
      </c>
      <c r="O719" t="s">
        <v>321</v>
      </c>
      <c r="P719">
        <f>IF(C719&lt;&gt;"",C719,_xlfn.XLOOKUP(B719,AI_NAMES!D:D,AI_NAMES!E:E,"",0))</f>
        <v>0</v>
      </c>
    </row>
    <row r="720" spans="1:16" x14ac:dyDescent="0.2">
      <c r="A720" t="s">
        <v>815</v>
      </c>
      <c r="B720" t="str">
        <f>IF(O720&lt;&gt;"",O720,_xlfn.XLOOKUP(A720,AI_NAMES!C:C,AI_NAMES!D:D,"",0))</f>
        <v/>
      </c>
      <c r="E720" t="str">
        <f t="shared" si="52"/>
        <v/>
      </c>
      <c r="G720" s="5" t="str">
        <f t="shared" si="53"/>
        <v/>
      </c>
      <c r="I720" s="6" t="str">
        <f t="shared" si="51"/>
        <v>0</v>
      </c>
      <c r="O720" t="s">
        <v>321</v>
      </c>
      <c r="P720">
        <f>IF(C720&lt;&gt;"",C720,_xlfn.XLOOKUP(B720,AI_NAMES!D:D,AI_NAMES!E:E,"",0))</f>
        <v>0</v>
      </c>
    </row>
    <row r="721" spans="1:16" x14ac:dyDescent="0.2">
      <c r="A721" t="s">
        <v>816</v>
      </c>
      <c r="B721" t="str">
        <f>IF(O721&lt;&gt;"",O721,_xlfn.XLOOKUP(A721,AI_NAMES!C:C,AI_NAMES!D:D,"",0))</f>
        <v/>
      </c>
      <c r="E721" t="str">
        <f t="shared" si="52"/>
        <v/>
      </c>
      <c r="G721" s="5" t="str">
        <f t="shared" si="53"/>
        <v/>
      </c>
      <c r="I721" s="6" t="str">
        <f t="shared" si="51"/>
        <v>0</v>
      </c>
      <c r="O721" t="s">
        <v>321</v>
      </c>
      <c r="P721">
        <f>IF(C721&lt;&gt;"",C721,_xlfn.XLOOKUP(B721,AI_NAMES!D:D,AI_NAMES!E:E,"",0))</f>
        <v>0</v>
      </c>
    </row>
    <row r="722" spans="1:16" x14ac:dyDescent="0.2">
      <c r="A722" t="s">
        <v>817</v>
      </c>
      <c r="B722" t="str">
        <f>IF(O722&lt;&gt;"",O722,_xlfn.XLOOKUP(A722,AI_NAMES!C:C,AI_NAMES!D:D,"",0))</f>
        <v/>
      </c>
      <c r="E722" t="str">
        <f t="shared" si="52"/>
        <v/>
      </c>
      <c r="G722" s="5" t="str">
        <f t="shared" si="53"/>
        <v/>
      </c>
      <c r="I722" s="6" t="str">
        <f t="shared" si="51"/>
        <v>0</v>
      </c>
      <c r="O722" t="s">
        <v>321</v>
      </c>
      <c r="P722">
        <f>IF(C722&lt;&gt;"",C722,_xlfn.XLOOKUP(B722,AI_NAMES!D:D,AI_NAMES!E:E,"",0))</f>
        <v>0</v>
      </c>
    </row>
    <row r="723" spans="1:16" x14ac:dyDescent="0.2">
      <c r="A723" t="s">
        <v>818</v>
      </c>
      <c r="B723" t="str">
        <f>IF(O723&lt;&gt;"",O723,_xlfn.XLOOKUP(A723,AI_NAMES!C:C,AI_NAMES!D:D,"",0))</f>
        <v/>
      </c>
      <c r="E723" t="str">
        <f t="shared" si="52"/>
        <v/>
      </c>
      <c r="G723" s="5" t="str">
        <f t="shared" si="53"/>
        <v/>
      </c>
      <c r="I723" s="6" t="str">
        <f t="shared" si="51"/>
        <v>0</v>
      </c>
      <c r="O723" t="s">
        <v>321</v>
      </c>
      <c r="P723">
        <f>IF(C723&lt;&gt;"",C723,_xlfn.XLOOKUP(B723,AI_NAMES!D:D,AI_NAMES!E:E,"",0))</f>
        <v>0</v>
      </c>
    </row>
    <row r="724" spans="1:16" x14ac:dyDescent="0.2">
      <c r="A724" t="s">
        <v>819</v>
      </c>
      <c r="B724" t="str">
        <f>IF(O724&lt;&gt;"",O724,_xlfn.XLOOKUP(A724,AI_NAMES!C:C,AI_NAMES!D:D,"",0))</f>
        <v>Zendik_Named</v>
      </c>
      <c r="E724" t="str">
        <f t="shared" si="52"/>
        <v/>
      </c>
      <c r="G724" s="5" t="str">
        <f t="shared" si="53"/>
        <v/>
      </c>
      <c r="I724" s="6" t="str">
        <f t="shared" si="51"/>
        <v>0</v>
      </c>
      <c r="O724" t="s">
        <v>819</v>
      </c>
      <c r="P724" t="str">
        <f>IF(C724&lt;&gt;"",C724,_xlfn.XLOOKUP(B724,AI_NAMES!D:D,AI_NAMES!E:E,"",0))</f>
        <v/>
      </c>
    </row>
    <row r="725" spans="1:16" x14ac:dyDescent="0.2">
      <c r="A725" t="s">
        <v>820</v>
      </c>
      <c r="B725" t="str">
        <f>IF(O725&lt;&gt;"",O725,_xlfn.XLOOKUP(A725,AI_NAMES!C:C,AI_NAMES!D:D,"",0))</f>
        <v>NotNamed</v>
      </c>
      <c r="E725" t="str">
        <f t="shared" si="52"/>
        <v/>
      </c>
      <c r="G725" s="5" t="str">
        <f t="shared" si="53"/>
        <v/>
      </c>
      <c r="I725" s="6" t="str">
        <f t="shared" si="51"/>
        <v>0</v>
      </c>
      <c r="O725" t="s">
        <v>820</v>
      </c>
      <c r="P725" t="str">
        <f>IF(C725&lt;&gt;"",C725,_xlfn.XLOOKUP(B725,AI_NAMES!D:D,AI_NAMES!E:E,"",0))</f>
        <v/>
      </c>
    </row>
    <row r="726" spans="1:16" x14ac:dyDescent="0.2">
      <c r="A726" t="s">
        <v>821</v>
      </c>
      <c r="B726" t="str">
        <f>IF(O726&lt;&gt;"",O726,_xlfn.XLOOKUP(A726,AI_NAMES!C:C,AI_NAMES!D:D,"",0))</f>
        <v/>
      </c>
      <c r="E726" t="str">
        <f t="shared" si="52"/>
        <v/>
      </c>
      <c r="G726" s="5" t="str">
        <f t="shared" si="53"/>
        <v/>
      </c>
      <c r="I726" s="6" t="str">
        <f t="shared" si="51"/>
        <v>0</v>
      </c>
      <c r="O726" t="s">
        <v>321</v>
      </c>
      <c r="P726">
        <f>IF(C726&lt;&gt;"",C726,_xlfn.XLOOKUP(B726,AI_NAMES!D:D,AI_NAMES!E:E,"",0))</f>
        <v>0</v>
      </c>
    </row>
    <row r="727" spans="1:16" x14ac:dyDescent="0.2">
      <c r="A727" t="s">
        <v>822</v>
      </c>
      <c r="B727" t="str">
        <f>IF(O727&lt;&gt;"",O727,_xlfn.XLOOKUP(A727,AI_NAMES!C:C,AI_NAMES!D:D,"",0))</f>
        <v/>
      </c>
      <c r="E727" t="str">
        <f t="shared" si="52"/>
        <v/>
      </c>
      <c r="G727" s="5" t="str">
        <f t="shared" si="53"/>
        <v/>
      </c>
      <c r="I727" s="6" t="str">
        <f t="shared" si="51"/>
        <v>0</v>
      </c>
      <c r="O727" t="s">
        <v>321</v>
      </c>
      <c r="P727">
        <f>IF(C727&lt;&gt;"",C727,_xlfn.XLOOKUP(B727,AI_NAMES!D:D,AI_NAMES!E:E,"",0))</f>
        <v>0</v>
      </c>
    </row>
    <row r="728" spans="1:16" x14ac:dyDescent="0.2">
      <c r="A728" t="s">
        <v>823</v>
      </c>
      <c r="B728" t="str">
        <f>IF(O728&lt;&gt;"",O728,_xlfn.XLOOKUP(A728,AI_NAMES!C:C,AI_NAMES!D:D,"",0))</f>
        <v/>
      </c>
      <c r="E728" t="str">
        <f t="shared" si="52"/>
        <v/>
      </c>
      <c r="G728" s="5" t="str">
        <f t="shared" si="53"/>
        <v/>
      </c>
      <c r="I728" s="6" t="str">
        <f t="shared" si="51"/>
        <v>0</v>
      </c>
      <c r="O728" t="s">
        <v>321</v>
      </c>
      <c r="P728">
        <f>IF(C728&lt;&gt;"",C728,_xlfn.XLOOKUP(B728,AI_NAMES!D:D,AI_NAMES!E:E,"",0))</f>
        <v>0</v>
      </c>
    </row>
    <row r="729" spans="1:16" x14ac:dyDescent="0.2">
      <c r="A729" t="s">
        <v>824</v>
      </c>
      <c r="B729" t="str">
        <f>IF(O729&lt;&gt;"",O729,_xlfn.XLOOKUP(A729,AI_NAMES!C:C,AI_NAMES!D:D,"",0))</f>
        <v/>
      </c>
      <c r="E729" t="str">
        <f t="shared" si="52"/>
        <v/>
      </c>
      <c r="G729" s="5" t="str">
        <f t="shared" si="53"/>
        <v/>
      </c>
      <c r="I729" s="6" t="str">
        <f t="shared" si="51"/>
        <v>0</v>
      </c>
      <c r="O729" t="s">
        <v>321</v>
      </c>
      <c r="P729">
        <f>IF(C729&lt;&gt;"",C729,_xlfn.XLOOKUP(B729,AI_NAMES!D:D,AI_NAMES!E:E,"",0))</f>
        <v>0</v>
      </c>
    </row>
    <row r="730" spans="1:16" x14ac:dyDescent="0.2">
      <c r="A730" t="s">
        <v>825</v>
      </c>
      <c r="B730" t="str">
        <f>IF(O730&lt;&gt;"",O730,_xlfn.XLOOKUP(A730,AI_NAMES!C:C,AI_NAMES!D:D,"",0))</f>
        <v/>
      </c>
      <c r="E730" t="str">
        <f t="shared" si="52"/>
        <v/>
      </c>
      <c r="G730" s="5" t="str">
        <f t="shared" si="53"/>
        <v/>
      </c>
      <c r="I730" s="6" t="str">
        <f t="shared" si="51"/>
        <v>0</v>
      </c>
      <c r="O730" t="s">
        <v>321</v>
      </c>
      <c r="P730">
        <f>IF(C730&lt;&gt;"",C730,_xlfn.XLOOKUP(B730,AI_NAMES!D:D,AI_NAMES!E:E,"",0))</f>
        <v>0</v>
      </c>
    </row>
    <row r="731" spans="1:16" x14ac:dyDescent="0.2">
      <c r="A731" t="s">
        <v>826</v>
      </c>
      <c r="B731" t="str">
        <f>IF(O731&lt;&gt;"",O731,_xlfn.XLOOKUP(A731,AI_NAMES!C:C,AI_NAMES!D:D,"",0))</f>
        <v/>
      </c>
      <c r="E731" t="str">
        <f t="shared" si="52"/>
        <v/>
      </c>
      <c r="G731" s="5" t="str">
        <f t="shared" si="53"/>
        <v/>
      </c>
      <c r="I731" s="6" t="str">
        <f t="shared" si="51"/>
        <v>0</v>
      </c>
      <c r="O731" t="s">
        <v>321</v>
      </c>
      <c r="P731">
        <f>IF(C731&lt;&gt;"",C731,_xlfn.XLOOKUP(B731,AI_NAMES!D:D,AI_NAMES!E:E,"",0))</f>
        <v>0</v>
      </c>
    </row>
    <row r="732" spans="1:16" x14ac:dyDescent="0.2">
      <c r="A732" t="s">
        <v>827</v>
      </c>
      <c r="B732" t="str">
        <f>IF(O732&lt;&gt;"",O732,_xlfn.XLOOKUP(A732,AI_NAMES!C:C,AI_NAMES!D:D,"",0))</f>
        <v/>
      </c>
      <c r="E732" t="str">
        <f t="shared" si="52"/>
        <v/>
      </c>
      <c r="G732" s="5" t="str">
        <f t="shared" si="53"/>
        <v/>
      </c>
      <c r="I732" s="6" t="str">
        <f t="shared" si="51"/>
        <v>0</v>
      </c>
      <c r="O732" t="s">
        <v>321</v>
      </c>
      <c r="P732">
        <f>IF(C732&lt;&gt;"",C732,_xlfn.XLOOKUP(B732,AI_NAMES!D:D,AI_NAMES!E:E,"",0))</f>
        <v>0</v>
      </c>
    </row>
    <row r="733" spans="1:16" x14ac:dyDescent="0.2">
      <c r="A733" t="s">
        <v>828</v>
      </c>
      <c r="B733" t="str">
        <f>IF(O733&lt;&gt;"",O733,_xlfn.XLOOKUP(A733,AI_NAMES!C:C,AI_NAMES!D:D,"",0))</f>
        <v/>
      </c>
      <c r="E733" t="str">
        <f t="shared" si="52"/>
        <v/>
      </c>
      <c r="G733" s="5" t="str">
        <f t="shared" si="53"/>
        <v/>
      </c>
      <c r="I733" s="6" t="str">
        <f t="shared" si="51"/>
        <v>0</v>
      </c>
      <c r="O733" t="s">
        <v>321</v>
      </c>
      <c r="P733">
        <f>IF(C733&lt;&gt;"",C733,_xlfn.XLOOKUP(B733,AI_NAMES!D:D,AI_NAMES!E:E,"",0))</f>
        <v>0</v>
      </c>
    </row>
    <row r="734" spans="1:16" x14ac:dyDescent="0.2">
      <c r="A734" t="s">
        <v>829</v>
      </c>
      <c r="B734" t="str">
        <f>IF(O734&lt;&gt;"",O734,_xlfn.XLOOKUP(A734,AI_NAMES!C:C,AI_NAMES!D:D,"",0))</f>
        <v/>
      </c>
      <c r="E734" t="str">
        <f t="shared" si="52"/>
        <v/>
      </c>
      <c r="G734" s="5" t="str">
        <f t="shared" si="53"/>
        <v/>
      </c>
      <c r="I734" s="6" t="str">
        <f t="shared" si="51"/>
        <v>0</v>
      </c>
      <c r="O734" t="s">
        <v>321</v>
      </c>
      <c r="P734">
        <f>IF(C734&lt;&gt;"",C734,_xlfn.XLOOKUP(B734,AI_NAMES!D:D,AI_NAMES!E:E,"",0))</f>
        <v>0</v>
      </c>
    </row>
    <row r="735" spans="1:16" x14ac:dyDescent="0.2">
      <c r="A735" t="s">
        <v>830</v>
      </c>
      <c r="B735" t="str">
        <f>IF(O735&lt;&gt;"",O735,_xlfn.XLOOKUP(A735,AI_NAMES!C:C,AI_NAMES!D:D,"",0))</f>
        <v/>
      </c>
      <c r="E735" t="str">
        <f t="shared" si="52"/>
        <v/>
      </c>
      <c r="G735" s="5" t="str">
        <f t="shared" si="53"/>
        <v/>
      </c>
      <c r="I735" s="6" t="str">
        <f t="shared" si="51"/>
        <v>0</v>
      </c>
      <c r="O735" t="s">
        <v>321</v>
      </c>
      <c r="P735">
        <f>IF(C735&lt;&gt;"",C735,_xlfn.XLOOKUP(B735,AI_NAMES!D:D,AI_NAMES!E:E,"",0))</f>
        <v>0</v>
      </c>
    </row>
    <row r="736" spans="1:16" x14ac:dyDescent="0.2">
      <c r="A736" t="s">
        <v>831</v>
      </c>
      <c r="B736" t="str">
        <f>IF(O736&lt;&gt;"",O736,_xlfn.XLOOKUP(A736,AI_NAMES!C:C,AI_NAMES!D:D,"",0))</f>
        <v/>
      </c>
      <c r="E736" t="str">
        <f t="shared" si="52"/>
        <v/>
      </c>
      <c r="G736" s="5" t="str">
        <f t="shared" si="53"/>
        <v/>
      </c>
      <c r="I736" s="6" t="str">
        <f t="shared" si="51"/>
        <v>0</v>
      </c>
      <c r="O736" t="s">
        <v>321</v>
      </c>
      <c r="P736">
        <f>IF(C736&lt;&gt;"",C736,_xlfn.XLOOKUP(B736,AI_NAMES!D:D,AI_NAMES!E:E,"",0))</f>
        <v>0</v>
      </c>
    </row>
    <row r="737" spans="1:16" x14ac:dyDescent="0.2">
      <c r="A737" t="s">
        <v>832</v>
      </c>
      <c r="B737" t="str">
        <f>IF(O737&lt;&gt;"",O737,_xlfn.XLOOKUP(A737,AI_NAMES!C:C,AI_NAMES!D:D,"",0))</f>
        <v/>
      </c>
      <c r="E737" t="str">
        <f t="shared" si="52"/>
        <v/>
      </c>
      <c r="G737" s="5" t="str">
        <f t="shared" si="53"/>
        <v/>
      </c>
      <c r="I737" s="6" t="str">
        <f t="shared" si="51"/>
        <v>0</v>
      </c>
      <c r="O737" t="s">
        <v>321</v>
      </c>
      <c r="P737">
        <f>IF(C737&lt;&gt;"",C737,_xlfn.XLOOKUP(B737,AI_NAMES!D:D,AI_NAMES!E:E,"",0))</f>
        <v>0</v>
      </c>
    </row>
    <row r="738" spans="1:16" x14ac:dyDescent="0.2">
      <c r="A738" t="s">
        <v>833</v>
      </c>
      <c r="B738" t="str">
        <f>IF(O738&lt;&gt;"",O738,_xlfn.XLOOKUP(A738,AI_NAMES!C:C,AI_NAMES!D:D,"",0))</f>
        <v/>
      </c>
      <c r="E738" t="str">
        <f t="shared" si="52"/>
        <v/>
      </c>
      <c r="G738" s="5" t="str">
        <f t="shared" si="53"/>
        <v/>
      </c>
      <c r="I738" s="6" t="str">
        <f t="shared" si="51"/>
        <v>0</v>
      </c>
      <c r="O738" t="s">
        <v>321</v>
      </c>
      <c r="P738">
        <f>IF(C738&lt;&gt;"",C738,_xlfn.XLOOKUP(B738,AI_NAMES!D:D,AI_NAMES!E:E,"",0))</f>
        <v>0</v>
      </c>
    </row>
    <row r="739" spans="1:16" x14ac:dyDescent="0.2">
      <c r="A739" t="s">
        <v>834</v>
      </c>
      <c r="B739" t="str">
        <f>IF(O739&lt;&gt;"",O739,_xlfn.XLOOKUP(A739,AI_NAMES!C:C,AI_NAMES!D:D,"",0))</f>
        <v/>
      </c>
      <c r="E739" t="str">
        <f t="shared" si="52"/>
        <v/>
      </c>
      <c r="G739" s="5" t="str">
        <f t="shared" si="53"/>
        <v/>
      </c>
      <c r="I739" s="6" t="str">
        <f t="shared" si="51"/>
        <v>0</v>
      </c>
      <c r="O739" t="s">
        <v>321</v>
      </c>
      <c r="P739">
        <f>IF(C739&lt;&gt;"",C739,_xlfn.XLOOKUP(B739,AI_NAMES!D:D,AI_NAMES!E:E,"",0))</f>
        <v>0</v>
      </c>
    </row>
    <row r="740" spans="1:16" x14ac:dyDescent="0.2">
      <c r="A740" t="s">
        <v>835</v>
      </c>
      <c r="B740" t="str">
        <f>IF(O740&lt;&gt;"",O740,_xlfn.XLOOKUP(A740,AI_NAMES!C:C,AI_NAMES!D:D,"",0))</f>
        <v/>
      </c>
      <c r="E740" t="str">
        <f t="shared" si="52"/>
        <v/>
      </c>
      <c r="G740" s="5" t="str">
        <f t="shared" si="53"/>
        <v/>
      </c>
      <c r="I740" s="6" t="str">
        <f t="shared" si="51"/>
        <v>0</v>
      </c>
      <c r="O740" t="s">
        <v>321</v>
      </c>
      <c r="P740">
        <f>IF(C740&lt;&gt;"",C740,_xlfn.XLOOKUP(B740,AI_NAMES!D:D,AI_NAMES!E:E,"",0))</f>
        <v>0</v>
      </c>
    </row>
    <row r="741" spans="1:16" x14ac:dyDescent="0.2">
      <c r="A741" t="s">
        <v>836</v>
      </c>
      <c r="B741" t="str">
        <f>IF(O741&lt;&gt;"",O741,_xlfn.XLOOKUP(A741,AI_NAMES!C:C,AI_NAMES!D:D,"",0))</f>
        <v/>
      </c>
      <c r="E741" t="str">
        <f t="shared" si="52"/>
        <v/>
      </c>
      <c r="G741" s="5" t="str">
        <f t="shared" si="53"/>
        <v/>
      </c>
      <c r="I741" s="6" t="str">
        <f t="shared" si="51"/>
        <v>0</v>
      </c>
      <c r="O741" t="s">
        <v>321</v>
      </c>
      <c r="P741">
        <f>IF(C741&lt;&gt;"",C741,_xlfn.XLOOKUP(B741,AI_NAMES!D:D,AI_NAMES!E:E,"",0))</f>
        <v>0</v>
      </c>
    </row>
    <row r="742" spans="1:16" x14ac:dyDescent="0.2">
      <c r="A742" t="s">
        <v>837</v>
      </c>
      <c r="B742" t="str">
        <f>IF(O742&lt;&gt;"",O742,_xlfn.XLOOKUP(A742,AI_NAMES!C:C,AI_NAMES!D:D,"",0))</f>
        <v/>
      </c>
      <c r="E742" t="str">
        <f t="shared" si="52"/>
        <v/>
      </c>
      <c r="G742" s="5" t="str">
        <f t="shared" si="53"/>
        <v/>
      </c>
      <c r="I742" s="6" t="str">
        <f t="shared" si="51"/>
        <v>0</v>
      </c>
      <c r="O742" t="s">
        <v>321</v>
      </c>
      <c r="P742">
        <f>IF(C742&lt;&gt;"",C742,_xlfn.XLOOKUP(B742,AI_NAMES!D:D,AI_NAMES!E:E,"",0))</f>
        <v>0</v>
      </c>
    </row>
    <row r="743" spans="1:16" x14ac:dyDescent="0.2">
      <c r="A743" t="s">
        <v>838</v>
      </c>
      <c r="B743" t="str">
        <f>IF(O743&lt;&gt;"",O743,_xlfn.XLOOKUP(A743,AI_NAMES!C:C,AI_NAMES!D:D,"",0))</f>
        <v/>
      </c>
      <c r="E743" t="str">
        <f t="shared" si="52"/>
        <v/>
      </c>
      <c r="G743" s="5" t="str">
        <f t="shared" si="53"/>
        <v/>
      </c>
      <c r="I743" s="6" t="str">
        <f t="shared" si="51"/>
        <v>0</v>
      </c>
      <c r="O743" t="s">
        <v>321</v>
      </c>
      <c r="P743">
        <f>IF(C743&lt;&gt;"",C743,_xlfn.XLOOKUP(B743,AI_NAMES!D:D,AI_NAMES!E:E,"",0))</f>
        <v>0</v>
      </c>
    </row>
    <row r="744" spans="1:16" x14ac:dyDescent="0.2">
      <c r="A744" t="s">
        <v>839</v>
      </c>
      <c r="B744" t="str">
        <f>IF(O744&lt;&gt;"",O744,_xlfn.XLOOKUP(A744,AI_NAMES!C:C,AI_NAMES!D:D,"",0))</f>
        <v/>
      </c>
      <c r="E744" t="str">
        <f t="shared" si="52"/>
        <v/>
      </c>
      <c r="G744" s="5" t="str">
        <f t="shared" si="53"/>
        <v/>
      </c>
      <c r="I744" s="6" t="str">
        <f t="shared" si="51"/>
        <v>0</v>
      </c>
      <c r="O744" t="s">
        <v>321</v>
      </c>
      <c r="P744">
        <f>IF(C744&lt;&gt;"",C744,_xlfn.XLOOKUP(B744,AI_NAMES!D:D,AI_NAMES!E:E,"",0))</f>
        <v>0</v>
      </c>
    </row>
    <row r="745" spans="1:16" x14ac:dyDescent="0.2">
      <c r="A745" t="s">
        <v>840</v>
      </c>
      <c r="B745" t="str">
        <f>IF(O745&lt;&gt;"",O745,_xlfn.XLOOKUP(A745,AI_NAMES!C:C,AI_NAMES!D:D,"",0))</f>
        <v/>
      </c>
      <c r="E745" t="str">
        <f t="shared" si="52"/>
        <v/>
      </c>
      <c r="G745" s="5" t="str">
        <f t="shared" si="53"/>
        <v/>
      </c>
      <c r="I745" s="6" t="str">
        <f t="shared" si="51"/>
        <v>0</v>
      </c>
      <c r="O745" t="s">
        <v>321</v>
      </c>
      <c r="P745">
        <f>IF(C745&lt;&gt;"",C745,_xlfn.XLOOKUP(B745,AI_NAMES!D:D,AI_NAMES!E:E,"",0))</f>
        <v>0</v>
      </c>
    </row>
    <row r="746" spans="1:16" x14ac:dyDescent="0.2">
      <c r="A746" t="s">
        <v>841</v>
      </c>
      <c r="B746" t="str">
        <f>IF(O746&lt;&gt;"",O746,_xlfn.XLOOKUP(A746,AI_NAMES!C:C,AI_NAMES!D:D,"",0))</f>
        <v/>
      </c>
      <c r="E746" t="str">
        <f t="shared" si="52"/>
        <v/>
      </c>
      <c r="G746" s="5" t="str">
        <f t="shared" si="53"/>
        <v/>
      </c>
      <c r="I746" s="6" t="str">
        <f t="shared" si="51"/>
        <v>0</v>
      </c>
      <c r="O746" t="s">
        <v>321</v>
      </c>
      <c r="P746">
        <f>IF(C746&lt;&gt;"",C746,_xlfn.XLOOKUP(B746,AI_NAMES!D:D,AI_NAMES!E:E,"",0))</f>
        <v>0</v>
      </c>
    </row>
    <row r="747" spans="1:16" x14ac:dyDescent="0.2">
      <c r="A747" t="s">
        <v>842</v>
      </c>
      <c r="B747" t="str">
        <f>IF(O747&lt;&gt;"",O747,_xlfn.XLOOKUP(A747,AI_NAMES!C:C,AI_NAMES!D:D,"",0))</f>
        <v>Trade_Exchange_TBC</v>
      </c>
      <c r="E747" t="str">
        <f t="shared" si="52"/>
        <v/>
      </c>
      <c r="G747" s="5" t="str">
        <f t="shared" si="53"/>
        <v/>
      </c>
      <c r="I747" s="6" t="str">
        <f t="shared" si="51"/>
        <v>0</v>
      </c>
      <c r="O747" t="s">
        <v>3374</v>
      </c>
      <c r="P747" t="str">
        <f>IF(C747&lt;&gt;"",C747,_xlfn.XLOOKUP(B747,AI_NAMES!D:D,AI_NAMES!E:E,"",0))</f>
        <v/>
      </c>
    </row>
    <row r="748" spans="1:16" x14ac:dyDescent="0.2">
      <c r="A748" t="s">
        <v>843</v>
      </c>
      <c r="B748" t="str">
        <f>IF(O748&lt;&gt;"",O748,_xlfn.XLOOKUP(A748,AI_NAMES!C:C,AI_NAMES!D:D,"",0))</f>
        <v/>
      </c>
      <c r="E748" t="str">
        <f t="shared" si="52"/>
        <v/>
      </c>
      <c r="G748" s="5" t="str">
        <f t="shared" si="53"/>
        <v/>
      </c>
      <c r="I748" s="6" t="str">
        <f t="shared" si="51"/>
        <v>0</v>
      </c>
      <c r="O748" t="s">
        <v>321</v>
      </c>
      <c r="P748">
        <f>IF(C748&lt;&gt;"",C748,_xlfn.XLOOKUP(B748,AI_NAMES!D:D,AI_NAMES!E:E,"",0))</f>
        <v>0</v>
      </c>
    </row>
    <row r="749" spans="1:16" x14ac:dyDescent="0.2">
      <c r="A749" t="s">
        <v>844</v>
      </c>
      <c r="B749" t="str">
        <f>IF(O749&lt;&gt;"",O749,_xlfn.XLOOKUP(A749,AI_NAMES!C:C,AI_NAMES!D:D,"",0))</f>
        <v/>
      </c>
      <c r="E749" t="str">
        <f t="shared" si="52"/>
        <v/>
      </c>
      <c r="G749" s="5" t="str">
        <f t="shared" si="53"/>
        <v/>
      </c>
      <c r="I749" s="6" t="str">
        <f t="shared" si="51"/>
        <v>0</v>
      </c>
      <c r="O749" t="s">
        <v>321</v>
      </c>
      <c r="P749">
        <f>IF(C749&lt;&gt;"",C749,_xlfn.XLOOKUP(B749,AI_NAMES!D:D,AI_NAMES!E:E,"",0))</f>
        <v>0</v>
      </c>
    </row>
    <row r="750" spans="1:16" x14ac:dyDescent="0.2">
      <c r="A750" t="s">
        <v>845</v>
      </c>
      <c r="B750" t="str">
        <f>IF(O750&lt;&gt;"",O750,_xlfn.XLOOKUP(A750,AI_NAMES!C:C,AI_NAMES!D:D,"",0))</f>
        <v/>
      </c>
      <c r="E750" t="str">
        <f t="shared" si="52"/>
        <v/>
      </c>
      <c r="G750" s="5" t="str">
        <f t="shared" si="53"/>
        <v/>
      </c>
      <c r="I750" s="6" t="str">
        <f t="shared" si="51"/>
        <v>0</v>
      </c>
      <c r="O750" t="s">
        <v>321</v>
      </c>
      <c r="P750">
        <f>IF(C750&lt;&gt;"",C750,_xlfn.XLOOKUP(B750,AI_NAMES!D:D,AI_NAMES!E:E,"",0))</f>
        <v>0</v>
      </c>
    </row>
    <row r="751" spans="1:16" x14ac:dyDescent="0.2">
      <c r="A751" t="s">
        <v>846</v>
      </c>
      <c r="B751" t="str">
        <f>IF(O751&lt;&gt;"",O751,_xlfn.XLOOKUP(A751,AI_NAMES!C:C,AI_NAMES!D:D,"",0))</f>
        <v/>
      </c>
      <c r="E751" t="str">
        <f t="shared" si="52"/>
        <v/>
      </c>
      <c r="G751" s="5" t="str">
        <f t="shared" si="53"/>
        <v/>
      </c>
      <c r="I751" s="6" t="str">
        <f t="shared" si="51"/>
        <v>0</v>
      </c>
      <c r="O751" t="s">
        <v>321</v>
      </c>
      <c r="P751">
        <f>IF(C751&lt;&gt;"",C751,_xlfn.XLOOKUP(B751,AI_NAMES!D:D,AI_NAMES!E:E,"",0))</f>
        <v>0</v>
      </c>
    </row>
    <row r="752" spans="1:16" x14ac:dyDescent="0.2">
      <c r="A752" t="s">
        <v>847</v>
      </c>
      <c r="B752" t="str">
        <f>IF(O752&lt;&gt;"",O752,_xlfn.XLOOKUP(A752,AI_NAMES!C:C,AI_NAMES!D:D,"",0))</f>
        <v/>
      </c>
      <c r="E752" t="str">
        <f t="shared" si="52"/>
        <v/>
      </c>
      <c r="G752" s="5" t="str">
        <f t="shared" si="53"/>
        <v/>
      </c>
      <c r="I752" s="6" t="str">
        <f t="shared" si="51"/>
        <v>0</v>
      </c>
      <c r="O752" t="s">
        <v>321</v>
      </c>
      <c r="P752">
        <f>IF(C752&lt;&gt;"",C752,_xlfn.XLOOKUP(B752,AI_NAMES!D:D,AI_NAMES!E:E,"",0))</f>
        <v>0</v>
      </c>
    </row>
    <row r="753" spans="1:16" x14ac:dyDescent="0.2">
      <c r="A753" t="s">
        <v>848</v>
      </c>
      <c r="B753" t="str">
        <f>IF(O753&lt;&gt;"",O753,_xlfn.XLOOKUP(A753,AI_NAMES!C:C,AI_NAMES!D:D,"",0))</f>
        <v/>
      </c>
      <c r="E753" t="str">
        <f t="shared" si="52"/>
        <v/>
      </c>
      <c r="G753" s="5" t="str">
        <f t="shared" si="53"/>
        <v/>
      </c>
      <c r="I753" s="6" t="str">
        <f t="shared" si="51"/>
        <v>0</v>
      </c>
      <c r="O753" t="s">
        <v>321</v>
      </c>
      <c r="P753">
        <f>IF(C753&lt;&gt;"",C753,_xlfn.XLOOKUP(B753,AI_NAMES!D:D,AI_NAMES!E:E,"",0))</f>
        <v>0</v>
      </c>
    </row>
    <row r="754" spans="1:16" x14ac:dyDescent="0.2">
      <c r="A754" t="s">
        <v>849</v>
      </c>
      <c r="B754" t="str">
        <f>IF(O754&lt;&gt;"",O754,_xlfn.XLOOKUP(A754,AI_NAMES!C:C,AI_NAMES!D:D,"",0))</f>
        <v/>
      </c>
      <c r="E754" t="str">
        <f t="shared" si="52"/>
        <v/>
      </c>
      <c r="G754" s="5" t="str">
        <f t="shared" si="53"/>
        <v/>
      </c>
      <c r="I754" s="6" t="str">
        <f t="shared" si="51"/>
        <v>0</v>
      </c>
      <c r="O754" t="s">
        <v>321</v>
      </c>
      <c r="P754">
        <f>IF(C754&lt;&gt;"",C754,_xlfn.XLOOKUP(B754,AI_NAMES!D:D,AI_NAMES!E:E,"",0))</f>
        <v>0</v>
      </c>
    </row>
    <row r="755" spans="1:16" x14ac:dyDescent="0.2">
      <c r="A755" t="s">
        <v>850</v>
      </c>
      <c r="B755" t="str">
        <f>IF(O755&lt;&gt;"",O755,_xlfn.XLOOKUP(A755,AI_NAMES!C:C,AI_NAMES!D:D,"",0))</f>
        <v/>
      </c>
      <c r="E755" t="str">
        <f t="shared" si="52"/>
        <v/>
      </c>
      <c r="G755" s="5" t="str">
        <f t="shared" si="53"/>
        <v/>
      </c>
      <c r="I755" s="6" t="str">
        <f t="shared" si="51"/>
        <v>0</v>
      </c>
      <c r="O755" t="s">
        <v>321</v>
      </c>
      <c r="P755">
        <f>IF(C755&lt;&gt;"",C755,_xlfn.XLOOKUP(B755,AI_NAMES!D:D,AI_NAMES!E:E,"",0))</f>
        <v>0</v>
      </c>
    </row>
    <row r="756" spans="1:16" x14ac:dyDescent="0.2">
      <c r="A756" t="s">
        <v>851</v>
      </c>
      <c r="B756" t="str">
        <f>IF(O756&lt;&gt;"",O756,_xlfn.XLOOKUP(A756,AI_NAMES!C:C,AI_NAMES!D:D,"",0))</f>
        <v/>
      </c>
      <c r="E756" t="str">
        <f t="shared" si="52"/>
        <v/>
      </c>
      <c r="G756" s="5" t="str">
        <f t="shared" si="53"/>
        <v/>
      </c>
      <c r="I756" s="6" t="str">
        <f t="shared" si="51"/>
        <v>0</v>
      </c>
      <c r="O756" t="s">
        <v>321</v>
      </c>
      <c r="P756">
        <f>IF(C756&lt;&gt;"",C756,_xlfn.XLOOKUP(B756,AI_NAMES!D:D,AI_NAMES!E:E,"",0))</f>
        <v>0</v>
      </c>
    </row>
    <row r="757" spans="1:16" x14ac:dyDescent="0.2">
      <c r="A757" t="s">
        <v>852</v>
      </c>
      <c r="B757" t="str">
        <f>IF(O757&lt;&gt;"",O757,_xlfn.XLOOKUP(A757,AI_NAMES!C:C,AI_NAMES!D:D,"",0))</f>
        <v/>
      </c>
      <c r="E757" t="str">
        <f t="shared" si="52"/>
        <v/>
      </c>
      <c r="G757" s="5" t="str">
        <f t="shared" si="53"/>
        <v/>
      </c>
      <c r="I757" s="6" t="str">
        <f t="shared" si="51"/>
        <v>0</v>
      </c>
      <c r="O757" t="s">
        <v>321</v>
      </c>
      <c r="P757">
        <f>IF(C757&lt;&gt;"",C757,_xlfn.XLOOKUP(B757,AI_NAMES!D:D,AI_NAMES!E:E,"",0))</f>
        <v>0</v>
      </c>
    </row>
    <row r="758" spans="1:16" x14ac:dyDescent="0.2">
      <c r="A758" t="s">
        <v>853</v>
      </c>
      <c r="B758" t="str">
        <f>IF(O758&lt;&gt;"",O758,_xlfn.XLOOKUP(A758,AI_NAMES!C:C,AI_NAMES!D:D,"",0))</f>
        <v/>
      </c>
      <c r="E758" t="str">
        <f t="shared" si="52"/>
        <v/>
      </c>
      <c r="G758" s="5" t="str">
        <f t="shared" si="53"/>
        <v/>
      </c>
      <c r="I758" s="6" t="str">
        <f t="shared" si="51"/>
        <v>0</v>
      </c>
      <c r="O758" t="s">
        <v>321</v>
      </c>
      <c r="P758">
        <f>IF(C758&lt;&gt;"",C758,_xlfn.XLOOKUP(B758,AI_NAMES!D:D,AI_NAMES!E:E,"",0))</f>
        <v>0</v>
      </c>
    </row>
    <row r="759" spans="1:16" x14ac:dyDescent="0.2">
      <c r="A759" t="s">
        <v>854</v>
      </c>
      <c r="B759" t="str">
        <f>IF(O759&lt;&gt;"",O759,_xlfn.XLOOKUP(A759,AI_NAMES!C:C,AI_NAMES!D:D,"",0))</f>
        <v/>
      </c>
      <c r="E759" t="str">
        <f t="shared" si="52"/>
        <v/>
      </c>
      <c r="G759" s="5" t="str">
        <f t="shared" si="53"/>
        <v/>
      </c>
      <c r="I759" s="6" t="str">
        <f t="shared" si="51"/>
        <v>0</v>
      </c>
      <c r="O759" t="s">
        <v>321</v>
      </c>
      <c r="P759">
        <f>IF(C759&lt;&gt;"",C759,_xlfn.XLOOKUP(B759,AI_NAMES!D:D,AI_NAMES!E:E,"",0))</f>
        <v>0</v>
      </c>
    </row>
    <row r="760" spans="1:16" x14ac:dyDescent="0.2">
      <c r="A760" t="s">
        <v>855</v>
      </c>
      <c r="B760" t="str">
        <f>IF(O760&lt;&gt;"",O760,_xlfn.XLOOKUP(A760,AI_NAMES!C:C,AI_NAMES!D:D,"",0))</f>
        <v/>
      </c>
      <c r="E760" t="str">
        <f t="shared" si="52"/>
        <v/>
      </c>
      <c r="G760" s="5" t="str">
        <f t="shared" si="53"/>
        <v/>
      </c>
      <c r="I760" s="6" t="str">
        <f t="shared" si="51"/>
        <v>0</v>
      </c>
      <c r="O760" t="s">
        <v>321</v>
      </c>
      <c r="P760">
        <f>IF(C760&lt;&gt;"",C760,_xlfn.XLOOKUP(B760,AI_NAMES!D:D,AI_NAMES!E:E,"",0))</f>
        <v>0</v>
      </c>
    </row>
    <row r="761" spans="1:16" x14ac:dyDescent="0.2">
      <c r="A761" t="s">
        <v>856</v>
      </c>
      <c r="B761" t="str">
        <f>IF(O761&lt;&gt;"",O761,_xlfn.XLOOKUP(A761,AI_NAMES!C:C,AI_NAMES!D:D,"",0))</f>
        <v>ItemNotToTrade</v>
      </c>
      <c r="E761" t="str">
        <f t="shared" si="52"/>
        <v/>
      </c>
      <c r="G761" s="5" t="str">
        <f t="shared" si="53"/>
        <v/>
      </c>
      <c r="I761" s="6" t="str">
        <f t="shared" si="51"/>
        <v>0</v>
      </c>
      <c r="O761" t="s">
        <v>856</v>
      </c>
      <c r="P761" t="str">
        <f>IF(C761&lt;&gt;"",C761,_xlfn.XLOOKUP(B761,AI_NAMES!D:D,AI_NAMES!E:E,"",0))</f>
        <v/>
      </c>
    </row>
    <row r="762" spans="1:16" x14ac:dyDescent="0.2">
      <c r="A762" t="s">
        <v>857</v>
      </c>
      <c r="B762" t="str">
        <f>IF(O762&lt;&gt;"",O762,_xlfn.XLOOKUP(A762,AI_NAMES!C:C,AI_NAMES!D:D,"",0))</f>
        <v/>
      </c>
      <c r="E762" t="str">
        <f t="shared" si="52"/>
        <v/>
      </c>
      <c r="G762" s="5" t="str">
        <f t="shared" si="53"/>
        <v/>
      </c>
      <c r="I762" s="6" t="str">
        <f t="shared" si="51"/>
        <v>0</v>
      </c>
      <c r="O762" t="s">
        <v>321</v>
      </c>
      <c r="P762">
        <f>IF(C762&lt;&gt;"",C762,_xlfn.XLOOKUP(B762,AI_NAMES!D:D,AI_NAMES!E:E,"",0))</f>
        <v>0</v>
      </c>
    </row>
    <row r="763" spans="1:16" x14ac:dyDescent="0.2">
      <c r="A763" t="s">
        <v>858</v>
      </c>
      <c r="B763" t="str">
        <f>IF(O763&lt;&gt;"",O763,_xlfn.XLOOKUP(A763,AI_NAMES!C:C,AI_NAMES!D:D,"",0))</f>
        <v/>
      </c>
      <c r="E763" t="str">
        <f t="shared" si="52"/>
        <v/>
      </c>
      <c r="G763" s="5" t="str">
        <f t="shared" si="53"/>
        <v/>
      </c>
      <c r="I763" s="6" t="str">
        <f t="shared" si="51"/>
        <v>0</v>
      </c>
      <c r="O763" t="s">
        <v>321</v>
      </c>
      <c r="P763">
        <f>IF(C763&lt;&gt;"",C763,_xlfn.XLOOKUP(B763,AI_NAMES!D:D,AI_NAMES!E:E,"",0))</f>
        <v>0</v>
      </c>
    </row>
    <row r="764" spans="1:16" x14ac:dyDescent="0.2">
      <c r="A764" t="s">
        <v>859</v>
      </c>
      <c r="B764" t="str">
        <f>IF(O764&lt;&gt;"",O764,_xlfn.XLOOKUP(A764,AI_NAMES!C:C,AI_NAMES!D:D,"",0))</f>
        <v/>
      </c>
      <c r="E764" t="str">
        <f t="shared" si="52"/>
        <v/>
      </c>
      <c r="G764" s="5" t="str">
        <f t="shared" si="53"/>
        <v/>
      </c>
      <c r="I764" s="6" t="str">
        <f t="shared" si="51"/>
        <v>0</v>
      </c>
      <c r="O764" t="s">
        <v>321</v>
      </c>
      <c r="P764">
        <f>IF(C764&lt;&gt;"",C764,_xlfn.XLOOKUP(B764,AI_NAMES!D:D,AI_NAMES!E:E,"",0))</f>
        <v>0</v>
      </c>
    </row>
    <row r="765" spans="1:16" x14ac:dyDescent="0.2">
      <c r="A765" t="s">
        <v>860</v>
      </c>
      <c r="B765" t="str">
        <f>IF(O765&lt;&gt;"",O765,_xlfn.XLOOKUP(A765,AI_NAMES!C:C,AI_NAMES!D:D,"",0))</f>
        <v/>
      </c>
      <c r="E765" t="str">
        <f t="shared" si="52"/>
        <v/>
      </c>
      <c r="G765" s="5" t="str">
        <f t="shared" si="53"/>
        <v/>
      </c>
      <c r="I765" s="6" t="str">
        <f t="shared" si="51"/>
        <v>0</v>
      </c>
      <c r="O765" t="s">
        <v>321</v>
      </c>
      <c r="P765">
        <f>IF(C765&lt;&gt;"",C765,_xlfn.XLOOKUP(B765,AI_NAMES!D:D,AI_NAMES!E:E,"",0))</f>
        <v>0</v>
      </c>
    </row>
    <row r="766" spans="1:16" x14ac:dyDescent="0.2">
      <c r="A766" t="s">
        <v>861</v>
      </c>
      <c r="B766" t="str">
        <f>IF(O766&lt;&gt;"",O766,_xlfn.XLOOKUP(A766,AI_NAMES!C:C,AI_NAMES!D:D,"",0))</f>
        <v/>
      </c>
      <c r="E766" t="str">
        <f t="shared" si="52"/>
        <v/>
      </c>
      <c r="G766" s="5" t="str">
        <f t="shared" si="53"/>
        <v/>
      </c>
      <c r="I766" s="6" t="str">
        <f t="shared" si="51"/>
        <v>0</v>
      </c>
      <c r="O766" t="s">
        <v>321</v>
      </c>
      <c r="P766">
        <f>IF(C766&lt;&gt;"",C766,_xlfn.XLOOKUP(B766,AI_NAMES!D:D,AI_NAMES!E:E,"",0))</f>
        <v>0</v>
      </c>
    </row>
    <row r="767" spans="1:16" x14ac:dyDescent="0.2">
      <c r="A767" t="s">
        <v>862</v>
      </c>
      <c r="B767" t="str">
        <f>IF(O767&lt;&gt;"",O767,_xlfn.XLOOKUP(A767,AI_NAMES!C:C,AI_NAMES!D:D,"",0))</f>
        <v>PartyFullMsg</v>
      </c>
      <c r="E767" t="str">
        <f t="shared" si="52"/>
        <v/>
      </c>
      <c r="G767" s="5" t="str">
        <f t="shared" si="53"/>
        <v/>
      </c>
      <c r="I767" s="6" t="str">
        <f t="shared" si="51"/>
        <v>0</v>
      </c>
      <c r="O767" t="s">
        <v>862</v>
      </c>
      <c r="P767" t="str">
        <f>IF(C767&lt;&gt;"",C767,_xlfn.XLOOKUP(B767,AI_NAMES!D:D,AI_NAMES!E:E,"",0))</f>
        <v/>
      </c>
    </row>
    <row r="768" spans="1:16" x14ac:dyDescent="0.2">
      <c r="A768" t="s">
        <v>863</v>
      </c>
      <c r="B768" t="str">
        <f>IF(O768&lt;&gt;"",O768,_xlfn.XLOOKUP(A768,AI_NAMES!C:C,AI_NAMES!D:D,"",0))</f>
        <v>RipMeOffMsg</v>
      </c>
      <c r="E768" t="str">
        <f t="shared" si="52"/>
        <v/>
      </c>
      <c r="G768" s="5" t="str">
        <f t="shared" si="53"/>
        <v/>
      </c>
      <c r="I768" s="6" t="str">
        <f t="shared" si="51"/>
        <v>0</v>
      </c>
      <c r="O768" t="s">
        <v>863</v>
      </c>
      <c r="P768" t="str">
        <f>IF(C768&lt;&gt;"",C768,_xlfn.XLOOKUP(B768,AI_NAMES!D:D,AI_NAMES!E:E,"",0))</f>
        <v/>
      </c>
    </row>
    <row r="769" spans="1:16" x14ac:dyDescent="0.2">
      <c r="A769" t="s">
        <v>864</v>
      </c>
      <c r="B769" t="str">
        <f>IF(O769&lt;&gt;"",O769,_xlfn.XLOOKUP(A769,AI_NAMES!C:C,AI_NAMES!D:D,"",0))</f>
        <v>KeepTalkingMsg</v>
      </c>
      <c r="E769" t="str">
        <f t="shared" si="52"/>
        <v/>
      </c>
      <c r="G769" s="5" t="str">
        <f t="shared" si="53"/>
        <v/>
      </c>
      <c r="I769" s="6" t="str">
        <f t="shared" si="51"/>
        <v>0</v>
      </c>
      <c r="O769" t="s">
        <v>864</v>
      </c>
      <c r="P769" t="str">
        <f>IF(C769&lt;&gt;"",C769,_xlfn.XLOOKUP(B769,AI_NAMES!D:D,AI_NAMES!E:E,"",0))</f>
        <v/>
      </c>
    </row>
    <row r="770" spans="1:16" x14ac:dyDescent="0.2">
      <c r="A770" t="s">
        <v>865</v>
      </c>
      <c r="B770" t="str">
        <f>IF(O770&lt;&gt;"",O770,_xlfn.XLOOKUP(A770,AI_NAMES!C:C,AI_NAMES!D:D,"",0))</f>
        <v>NotMyFriendMsg</v>
      </c>
      <c r="E770" t="str">
        <f t="shared" si="52"/>
        <v/>
      </c>
      <c r="G770" s="5" t="str">
        <f t="shared" si="53"/>
        <v/>
      </c>
      <c r="I770" s="6" t="str">
        <f t="shared" si="51"/>
        <v>0</v>
      </c>
      <c r="O770" t="s">
        <v>865</v>
      </c>
      <c r="P770" t="str">
        <f>IF(C770&lt;&gt;"",C770,_xlfn.XLOOKUP(B770,AI_NAMES!D:D,AI_NAMES!E:E,"",0))</f>
        <v/>
      </c>
    </row>
    <row r="771" spans="1:16" x14ac:dyDescent="0.2">
      <c r="A771" t="s">
        <v>866</v>
      </c>
      <c r="B771" t="str">
        <f>IF(O771&lt;&gt;"",O771,_xlfn.XLOOKUP(A771,AI_NAMES!C:C,AI_NAMES!D:D,"",0))</f>
        <v>NameNotImportantMsg</v>
      </c>
      <c r="E771" t="str">
        <f t="shared" si="52"/>
        <v/>
      </c>
      <c r="G771" s="5" t="str">
        <f t="shared" si="53"/>
        <v/>
      </c>
      <c r="I771" s="6" t="str">
        <f t="shared" ref="I771:I834" si="54">IFERROR(DEC2HEX(H771),"")</f>
        <v>0</v>
      </c>
      <c r="O771" t="s">
        <v>866</v>
      </c>
      <c r="P771" t="str">
        <f>IF(C771&lt;&gt;"",C771,_xlfn.XLOOKUP(B771,AI_NAMES!D:D,AI_NAMES!E:E,"",0))</f>
        <v/>
      </c>
    </row>
    <row r="772" spans="1:16" x14ac:dyDescent="0.2">
      <c r="A772" t="s">
        <v>867</v>
      </c>
      <c r="B772" t="str">
        <f>IF(O772&lt;&gt;"",O772,_xlfn.XLOOKUP(A772,AI_NAMES!C:C,AI_NAMES!D:D,"",0))</f>
        <v>ZendikMsg</v>
      </c>
      <c r="E772" t="str">
        <f t="shared" ref="E772:E835" si="55">IF(D772&lt;&gt;"",C772&amp;"/"&amp;D772,"")</f>
        <v/>
      </c>
      <c r="G772" s="5" t="str">
        <f t="shared" si="53"/>
        <v/>
      </c>
      <c r="I772" s="6" t="str">
        <f t="shared" si="54"/>
        <v>0</v>
      </c>
      <c r="O772" t="s">
        <v>867</v>
      </c>
      <c r="P772" t="str">
        <f>IF(C772&lt;&gt;"",C772,_xlfn.XLOOKUP(B772,AI_NAMES!D:D,AI_NAMES!E:E,"",0))</f>
        <v/>
      </c>
    </row>
    <row r="773" spans="1:16" x14ac:dyDescent="0.2">
      <c r="A773" t="s">
        <v>868</v>
      </c>
      <c r="B773" t="str">
        <f>IF(O773&lt;&gt;"",O773,_xlfn.XLOOKUP(A773,AI_NAMES!C:C,AI_NAMES!D:D,"",0))</f>
        <v>TooGreedyMsg</v>
      </c>
      <c r="E773" t="str">
        <f t="shared" si="55"/>
        <v/>
      </c>
      <c r="G773" s="5" t="str">
        <f t="shared" si="53"/>
        <v/>
      </c>
      <c r="I773" s="6" t="str">
        <f t="shared" si="54"/>
        <v>0</v>
      </c>
      <c r="O773" t="s">
        <v>868</v>
      </c>
      <c r="P773" t="str">
        <f>IF(C773&lt;&gt;"",C773,_xlfn.XLOOKUP(B773,AI_NAMES!D:D,AI_NAMES!E:E,"",0))</f>
        <v/>
      </c>
    </row>
    <row r="774" spans="1:16" x14ac:dyDescent="0.2">
      <c r="A774" t="s">
        <v>869</v>
      </c>
      <c r="B774" t="str">
        <f>IF(O774&lt;&gt;"",O774,_xlfn.XLOOKUP(A774,AI_NAMES!C:C,AI_NAMES!D:D,"",0))</f>
        <v/>
      </c>
      <c r="E774" t="str">
        <f t="shared" si="55"/>
        <v/>
      </c>
      <c r="G774" s="5" t="str">
        <f t="shared" si="53"/>
        <v/>
      </c>
      <c r="I774" s="6" t="str">
        <f t="shared" si="54"/>
        <v>0</v>
      </c>
      <c r="O774" t="s">
        <v>321</v>
      </c>
      <c r="P774">
        <f>IF(C774&lt;&gt;"",C774,_xlfn.XLOOKUP(B774,AI_NAMES!D:D,AI_NAMES!E:E,"",0))</f>
        <v>0</v>
      </c>
    </row>
    <row r="775" spans="1:16" x14ac:dyDescent="0.2">
      <c r="A775" t="s">
        <v>870</v>
      </c>
      <c r="B775" t="str">
        <f>IF(O775&lt;&gt;"",O775,_xlfn.XLOOKUP(A775,AI_NAMES!C:C,AI_NAMES!D:D,"",0))</f>
        <v/>
      </c>
      <c r="E775" t="str">
        <f t="shared" si="55"/>
        <v/>
      </c>
      <c r="G775" s="5" t="str">
        <f t="shared" si="53"/>
        <v/>
      </c>
      <c r="I775" s="6" t="str">
        <f t="shared" si="54"/>
        <v>0</v>
      </c>
      <c r="O775" t="s">
        <v>321</v>
      </c>
      <c r="P775">
        <f>IF(C775&lt;&gt;"",C775,_xlfn.XLOOKUP(B775,AI_NAMES!D:D,AI_NAMES!E:E,"",0))</f>
        <v>0</v>
      </c>
    </row>
    <row r="776" spans="1:16" x14ac:dyDescent="0.2">
      <c r="A776" t="s">
        <v>871</v>
      </c>
      <c r="B776" t="str">
        <f>IF(O776&lt;&gt;"",O776,_xlfn.XLOOKUP(A776,AI_NAMES!C:C,AI_NAMES!D:D,"",0))</f>
        <v/>
      </c>
      <c r="E776" t="str">
        <f t="shared" si="55"/>
        <v/>
      </c>
      <c r="G776" s="5" t="str">
        <f t="shared" si="53"/>
        <v/>
      </c>
      <c r="I776" s="6" t="str">
        <f t="shared" si="54"/>
        <v>0</v>
      </c>
      <c r="O776" t="s">
        <v>321</v>
      </c>
      <c r="P776">
        <f>IF(C776&lt;&gt;"",C776,_xlfn.XLOOKUP(B776,AI_NAMES!D:D,AI_NAMES!E:E,"",0))</f>
        <v>0</v>
      </c>
    </row>
    <row r="777" spans="1:16" x14ac:dyDescent="0.2">
      <c r="A777" t="s">
        <v>872</v>
      </c>
      <c r="B777" t="str">
        <f>IF(O777&lt;&gt;"",O777,_xlfn.XLOOKUP(A777,AI_NAMES!C:C,AI_NAMES!D:D,"",0))</f>
        <v>ArmouryList</v>
      </c>
      <c r="E777" t="str">
        <f t="shared" si="55"/>
        <v/>
      </c>
      <c r="G777" s="5" t="str">
        <f t="shared" ref="G777:G840" si="56">IF(F777&lt;&gt;"",HEX2DEC(SUBSTITUTE(SUBSTITUTE(F777,"adrEA",""),"$","")),"")</f>
        <v/>
      </c>
      <c r="I777" s="6" t="str">
        <f t="shared" si="54"/>
        <v>0</v>
      </c>
      <c r="O777" t="s">
        <v>3373</v>
      </c>
      <c r="P777" t="str">
        <f>IF(C777&lt;&gt;"",C777,_xlfn.XLOOKUP(B777,AI_NAMES!D:D,AI_NAMES!E:E,"",0))</f>
        <v/>
      </c>
    </row>
    <row r="778" spans="1:16" x14ac:dyDescent="0.2">
      <c r="A778" t="s">
        <v>873</v>
      </c>
      <c r="B778" t="str">
        <f>IF(O778&lt;&gt;"",O778,_xlfn.XLOOKUP(A778,AI_NAMES!C:C,AI_NAMES!D:D,"",0))</f>
        <v/>
      </c>
      <c r="E778" t="str">
        <f t="shared" si="55"/>
        <v/>
      </c>
      <c r="G778" s="5" t="str">
        <f t="shared" si="56"/>
        <v/>
      </c>
      <c r="I778" s="6" t="str">
        <f t="shared" si="54"/>
        <v>0</v>
      </c>
      <c r="O778" t="s">
        <v>321</v>
      </c>
      <c r="P778">
        <f>IF(C778&lt;&gt;"",C778,_xlfn.XLOOKUP(B778,AI_NAMES!D:D,AI_NAMES!E:E,"",0))</f>
        <v>0</v>
      </c>
    </row>
    <row r="779" spans="1:16" x14ac:dyDescent="0.2">
      <c r="A779" t="s">
        <v>874</v>
      </c>
      <c r="B779" t="str">
        <f>IF(O779&lt;&gt;"",O779,_xlfn.XLOOKUP(A779,AI_NAMES!C:C,AI_NAMES!D:D,"",0))</f>
        <v>Trade_Offer_TBC</v>
      </c>
      <c r="E779" t="str">
        <f t="shared" si="55"/>
        <v/>
      </c>
      <c r="G779" s="5" t="str">
        <f t="shared" si="56"/>
        <v/>
      </c>
      <c r="I779" s="6" t="str">
        <f t="shared" si="54"/>
        <v>0</v>
      </c>
      <c r="O779" t="s">
        <v>3375</v>
      </c>
      <c r="P779" t="str">
        <f>IF(C779&lt;&gt;"",C779,_xlfn.XLOOKUP(B779,AI_NAMES!D:D,AI_NAMES!E:E,"",0))</f>
        <v/>
      </c>
    </row>
    <row r="780" spans="1:16" x14ac:dyDescent="0.2">
      <c r="A780" t="s">
        <v>875</v>
      </c>
      <c r="B780" t="str">
        <f>IF(O780&lt;&gt;"",O780,_xlfn.XLOOKUP(A780,AI_NAMES!C:C,AI_NAMES!D:D,"",0))</f>
        <v/>
      </c>
      <c r="E780" t="str">
        <f t="shared" si="55"/>
        <v/>
      </c>
      <c r="G780" s="5" t="str">
        <f t="shared" si="56"/>
        <v/>
      </c>
      <c r="I780" s="6" t="str">
        <f t="shared" si="54"/>
        <v>0</v>
      </c>
      <c r="O780" t="s">
        <v>321</v>
      </c>
      <c r="P780">
        <f>IF(C780&lt;&gt;"",C780,_xlfn.XLOOKUP(B780,AI_NAMES!D:D,AI_NAMES!E:E,"",0))</f>
        <v>0</v>
      </c>
    </row>
    <row r="781" spans="1:16" x14ac:dyDescent="0.2">
      <c r="A781" t="s">
        <v>876</v>
      </c>
      <c r="B781" t="str">
        <f>IF(O781&lt;&gt;"",O781,_xlfn.XLOOKUP(A781,AI_NAMES!C:C,AI_NAMES!D:D,"",0))</f>
        <v>.Trader_NotPotionsButArms</v>
      </c>
      <c r="E781" t="str">
        <f t="shared" si="55"/>
        <v/>
      </c>
      <c r="G781" s="5" t="str">
        <f t="shared" si="56"/>
        <v/>
      </c>
      <c r="I781" s="6" t="str">
        <f t="shared" si="54"/>
        <v>0</v>
      </c>
      <c r="O781" t="s">
        <v>3372</v>
      </c>
      <c r="P781" t="str">
        <f>IF(C781&lt;&gt;"",C781,_xlfn.XLOOKUP(B781,AI_NAMES!D:D,AI_NAMES!E:E,"",0))</f>
        <v/>
      </c>
    </row>
    <row r="782" spans="1:16" x14ac:dyDescent="0.2">
      <c r="A782" t="s">
        <v>877</v>
      </c>
      <c r="B782" t="str">
        <f>IF(O782&lt;&gt;"",O782,_xlfn.XLOOKUP(A782,AI_NAMES!C:C,AI_NAMES!D:D,"",0))</f>
        <v>.DontDivideList</v>
      </c>
      <c r="E782" t="str">
        <f t="shared" si="55"/>
        <v/>
      </c>
      <c r="G782" s="5" t="str">
        <f t="shared" si="56"/>
        <v/>
      </c>
      <c r="I782" s="6" t="str">
        <f t="shared" si="54"/>
        <v>0</v>
      </c>
      <c r="O782" t="s">
        <v>3376</v>
      </c>
      <c r="P782" t="str">
        <f>IF(C782&lt;&gt;"",C782,_xlfn.XLOOKUP(B782,AI_NAMES!D:D,AI_NAMES!E:E,"",0))</f>
        <v/>
      </c>
    </row>
    <row r="783" spans="1:16" x14ac:dyDescent="0.2">
      <c r="A783" t="s">
        <v>878</v>
      </c>
      <c r="B783" t="str">
        <f>IF(O783&lt;&gt;"",O783,_xlfn.XLOOKUP(A783,AI_NAMES!C:C,AI_NAMES!D:D,"",0))</f>
        <v/>
      </c>
      <c r="E783" t="str">
        <f t="shared" si="55"/>
        <v/>
      </c>
      <c r="G783" s="5" t="str">
        <f t="shared" si="56"/>
        <v/>
      </c>
      <c r="I783" s="6" t="str">
        <f t="shared" si="54"/>
        <v>0</v>
      </c>
      <c r="O783" t="s">
        <v>321</v>
      </c>
      <c r="P783">
        <f>IF(C783&lt;&gt;"",C783,_xlfn.XLOOKUP(B783,AI_NAMES!D:D,AI_NAMES!E:E,"",0))</f>
        <v>0</v>
      </c>
    </row>
    <row r="784" spans="1:16" x14ac:dyDescent="0.2">
      <c r="A784" t="s">
        <v>879</v>
      </c>
      <c r="B784" t="str">
        <f>IF(O784&lt;&gt;"",O784,_xlfn.XLOOKUP(A784,AI_NAMES!C:C,AI_NAMES!D:D,"",0))</f>
        <v>Click_ShowTeamAvatars</v>
      </c>
      <c r="E784" t="str">
        <f t="shared" si="55"/>
        <v/>
      </c>
      <c r="G784" s="5" t="str">
        <f t="shared" si="56"/>
        <v/>
      </c>
      <c r="I784" s="6" t="str">
        <f t="shared" si="54"/>
        <v>0</v>
      </c>
      <c r="O784" t="s">
        <v>880</v>
      </c>
      <c r="P784" t="str">
        <f>IF(C784&lt;&gt;"",C784,_xlfn.XLOOKUP(B784,AI_NAMES!D:D,AI_NAMES!E:E,"",0))</f>
        <v/>
      </c>
    </row>
    <row r="785" spans="1:16" x14ac:dyDescent="0.2">
      <c r="A785" t="s">
        <v>881</v>
      </c>
      <c r="B785" t="str">
        <f>IF(O785&lt;&gt;"",O785,_xlfn.XLOOKUP(A785,AI_NAMES!C:C,AI_NAMES!D:D,"",0))</f>
        <v/>
      </c>
      <c r="E785" t="str">
        <f t="shared" si="55"/>
        <v/>
      </c>
      <c r="G785" s="5" t="str">
        <f t="shared" si="56"/>
        <v/>
      </c>
      <c r="I785" s="6" t="str">
        <f t="shared" si="54"/>
        <v>0</v>
      </c>
      <c r="O785" t="s">
        <v>321</v>
      </c>
      <c r="P785">
        <f>IF(C785&lt;&gt;"",C785,_xlfn.XLOOKUP(B785,AI_NAMES!D:D,AI_NAMES!E:E,"",0))</f>
        <v>0</v>
      </c>
    </row>
    <row r="786" spans="1:16" x14ac:dyDescent="0.2">
      <c r="A786" t="s">
        <v>882</v>
      </c>
      <c r="B786" t="str">
        <f>IF(O786&lt;&gt;"",O786,_xlfn.XLOOKUP(A786,AI_NAMES!C:C,AI_NAMES!D:D,"",0))</f>
        <v/>
      </c>
      <c r="E786" t="str">
        <f t="shared" si="55"/>
        <v/>
      </c>
      <c r="G786" s="5" t="str">
        <f t="shared" si="56"/>
        <v/>
      </c>
      <c r="I786" s="6" t="str">
        <f t="shared" si="54"/>
        <v>0</v>
      </c>
      <c r="O786" t="s">
        <v>321</v>
      </c>
      <c r="P786">
        <f>IF(C786&lt;&gt;"",C786,_xlfn.XLOOKUP(B786,AI_NAMES!D:D,AI_NAMES!E:E,"",0))</f>
        <v>0</v>
      </c>
    </row>
    <row r="787" spans="1:16" x14ac:dyDescent="0.2">
      <c r="A787" t="s">
        <v>883</v>
      </c>
      <c r="B787" t="str">
        <f>IF(O787&lt;&gt;"",O787,_xlfn.XLOOKUP(A787,AI_NAMES!C:C,AI_NAMES!D:D,"",0))</f>
        <v/>
      </c>
      <c r="E787" t="str">
        <f t="shared" si="55"/>
        <v/>
      </c>
      <c r="G787" s="5" t="str">
        <f t="shared" si="56"/>
        <v/>
      </c>
      <c r="I787" s="6" t="str">
        <f t="shared" si="54"/>
        <v>0</v>
      </c>
      <c r="O787" t="s">
        <v>321</v>
      </c>
      <c r="P787">
        <f>IF(C787&lt;&gt;"",C787,_xlfn.XLOOKUP(B787,AI_NAMES!D:D,AI_NAMES!E:E,"",0))</f>
        <v>0</v>
      </c>
    </row>
    <row r="788" spans="1:16" x14ac:dyDescent="0.2">
      <c r="A788" t="s">
        <v>884</v>
      </c>
      <c r="B788" t="str">
        <f>IF(O788&lt;&gt;"",O788,_xlfn.XLOOKUP(A788,AI_NAMES!C:C,AI_NAMES!D:D,"",0))</f>
        <v/>
      </c>
      <c r="E788" t="str">
        <f t="shared" si="55"/>
        <v/>
      </c>
      <c r="G788" s="5" t="str">
        <f t="shared" si="56"/>
        <v/>
      </c>
      <c r="I788" s="6" t="str">
        <f t="shared" si="54"/>
        <v>0</v>
      </c>
      <c r="O788" t="s">
        <v>321</v>
      </c>
      <c r="P788">
        <f>IF(C788&lt;&gt;"",C788,_xlfn.XLOOKUP(B788,AI_NAMES!D:D,AI_NAMES!E:E,"",0))</f>
        <v>0</v>
      </c>
    </row>
    <row r="789" spans="1:16" x14ac:dyDescent="0.2">
      <c r="A789" t="s">
        <v>885</v>
      </c>
      <c r="B789" t="str">
        <f>IF(O789&lt;&gt;"",O789,_xlfn.XLOOKUP(A789,AI_NAMES!C:C,AI_NAMES!D:D,"",0))</f>
        <v/>
      </c>
      <c r="E789" t="str">
        <f t="shared" si="55"/>
        <v/>
      </c>
      <c r="G789" s="5" t="str">
        <f t="shared" si="56"/>
        <v/>
      </c>
      <c r="I789" s="6" t="str">
        <f t="shared" si="54"/>
        <v>0</v>
      </c>
      <c r="O789" t="s">
        <v>321</v>
      </c>
      <c r="P789">
        <f>IF(C789&lt;&gt;"",C789,_xlfn.XLOOKUP(B789,AI_NAMES!D:D,AI_NAMES!E:E,"",0))</f>
        <v>0</v>
      </c>
    </row>
    <row r="790" spans="1:16" x14ac:dyDescent="0.2">
      <c r="A790" t="s">
        <v>886</v>
      </c>
      <c r="B790" t="str">
        <f>IF(O790&lt;&gt;"",O790,_xlfn.XLOOKUP(A790,AI_NAMES!C:C,AI_NAMES!D:D,"",0))</f>
        <v/>
      </c>
      <c r="E790" t="str">
        <f t="shared" si="55"/>
        <v/>
      </c>
      <c r="G790" s="5" t="str">
        <f t="shared" si="56"/>
        <v/>
      </c>
      <c r="I790" s="6" t="str">
        <f t="shared" si="54"/>
        <v>0</v>
      </c>
      <c r="O790" t="s">
        <v>321</v>
      </c>
      <c r="P790">
        <f>IF(C790&lt;&gt;"",C790,_xlfn.XLOOKUP(B790,AI_NAMES!D:D,AI_NAMES!E:E,"",0))</f>
        <v>0</v>
      </c>
    </row>
    <row r="791" spans="1:16" x14ac:dyDescent="0.2">
      <c r="A791" t="s">
        <v>887</v>
      </c>
      <c r="B791" t="str">
        <f>IF(O791&lt;&gt;"",O791,_xlfn.XLOOKUP(A791,AI_NAMES!C:C,AI_NAMES!D:D,"",0))</f>
        <v/>
      </c>
      <c r="E791" t="str">
        <f t="shared" si="55"/>
        <v/>
      </c>
      <c r="G791" s="5" t="str">
        <f t="shared" si="56"/>
        <v/>
      </c>
      <c r="I791" s="6" t="str">
        <f t="shared" si="54"/>
        <v>0</v>
      </c>
      <c r="O791" t="s">
        <v>321</v>
      </c>
      <c r="P791">
        <f>IF(C791&lt;&gt;"",C791,_xlfn.XLOOKUP(B791,AI_NAMES!D:D,AI_NAMES!E:E,"",0))</f>
        <v>0</v>
      </c>
    </row>
    <row r="792" spans="1:16" x14ac:dyDescent="0.2">
      <c r="A792" t="s">
        <v>888</v>
      </c>
      <c r="B792" t="str">
        <f>IF(O792&lt;&gt;"",O792,_xlfn.XLOOKUP(A792,AI_NAMES!C:C,AI_NAMES!D:D,"",0))</f>
        <v/>
      </c>
      <c r="E792" t="str">
        <f t="shared" si="55"/>
        <v/>
      </c>
      <c r="G792" s="5" t="str">
        <f t="shared" si="56"/>
        <v/>
      </c>
      <c r="I792" s="6" t="str">
        <f t="shared" si="54"/>
        <v>0</v>
      </c>
      <c r="O792" t="s">
        <v>321</v>
      </c>
      <c r="P792">
        <f>IF(C792&lt;&gt;"",C792,_xlfn.XLOOKUP(B792,AI_NAMES!D:D,AI_NAMES!E:E,"",0))</f>
        <v>0</v>
      </c>
    </row>
    <row r="793" spans="1:16" x14ac:dyDescent="0.2">
      <c r="A793" t="s">
        <v>889</v>
      </c>
      <c r="B793" t="str">
        <f>IF(O793&lt;&gt;"",O793,_xlfn.XLOOKUP(A793,AI_NAMES!C:C,AI_NAMES!D:D,"",0))</f>
        <v/>
      </c>
      <c r="E793" t="str">
        <f t="shared" si="55"/>
        <v/>
      </c>
      <c r="G793" s="5" t="str">
        <f t="shared" si="56"/>
        <v/>
      </c>
      <c r="I793" s="6" t="str">
        <f t="shared" si="54"/>
        <v>0</v>
      </c>
      <c r="O793" t="s">
        <v>321</v>
      </c>
      <c r="P793">
        <f>IF(C793&lt;&gt;"",C793,_xlfn.XLOOKUP(B793,AI_NAMES!D:D,AI_NAMES!E:E,"",0))</f>
        <v>0</v>
      </c>
    </row>
    <row r="794" spans="1:16" x14ac:dyDescent="0.2">
      <c r="A794" t="s">
        <v>890</v>
      </c>
      <c r="B794" t="str">
        <f>IF(O794&lt;&gt;"",O794,_xlfn.XLOOKUP(A794,AI_NAMES!C:C,AI_NAMES!D:D,"",0))</f>
        <v/>
      </c>
      <c r="E794" t="str">
        <f t="shared" si="55"/>
        <v/>
      </c>
      <c r="G794" s="5" t="str">
        <f t="shared" si="56"/>
        <v/>
      </c>
      <c r="I794" s="6" t="str">
        <f t="shared" si="54"/>
        <v>0</v>
      </c>
      <c r="O794" t="s">
        <v>321</v>
      </c>
      <c r="P794">
        <f>IF(C794&lt;&gt;"",C794,_xlfn.XLOOKUP(B794,AI_NAMES!D:D,AI_NAMES!E:E,"",0))</f>
        <v>0</v>
      </c>
    </row>
    <row r="795" spans="1:16" x14ac:dyDescent="0.2">
      <c r="A795" t="s">
        <v>891</v>
      </c>
      <c r="B795" t="str">
        <f>IF(O795&lt;&gt;"",O795,_xlfn.XLOOKUP(A795,AI_NAMES!C:C,AI_NAMES!D:D,"",0))</f>
        <v/>
      </c>
      <c r="E795" t="str">
        <f t="shared" si="55"/>
        <v/>
      </c>
      <c r="G795" s="5" t="str">
        <f t="shared" si="56"/>
        <v/>
      </c>
      <c r="I795" s="6" t="str">
        <f t="shared" si="54"/>
        <v>0</v>
      </c>
      <c r="O795" t="s">
        <v>321</v>
      </c>
      <c r="P795">
        <f>IF(C795&lt;&gt;"",C795,_xlfn.XLOOKUP(B795,AI_NAMES!D:D,AI_NAMES!E:E,"",0))</f>
        <v>0</v>
      </c>
    </row>
    <row r="796" spans="1:16" x14ac:dyDescent="0.2">
      <c r="A796" t="s">
        <v>892</v>
      </c>
      <c r="B796" t="str">
        <f>IF(O796&lt;&gt;"",O796,_xlfn.XLOOKUP(A796,AI_NAMES!C:C,AI_NAMES!D:D,"",0))</f>
        <v/>
      </c>
      <c r="E796" t="str">
        <f t="shared" si="55"/>
        <v/>
      </c>
      <c r="G796" s="5" t="str">
        <f t="shared" si="56"/>
        <v/>
      </c>
      <c r="I796" s="6" t="str">
        <f t="shared" si="54"/>
        <v>0</v>
      </c>
      <c r="O796" t="s">
        <v>321</v>
      </c>
      <c r="P796">
        <f>IF(C796&lt;&gt;"",C796,_xlfn.XLOOKUP(B796,AI_NAMES!D:D,AI_NAMES!E:E,"",0))</f>
        <v>0</v>
      </c>
    </row>
    <row r="797" spans="1:16" x14ac:dyDescent="0.2">
      <c r="A797" t="s">
        <v>893</v>
      </c>
      <c r="B797" t="str">
        <f>IF(O797&lt;&gt;"",O797,_xlfn.XLOOKUP(A797,AI_NAMES!C:C,AI_NAMES!D:D,"",0))</f>
        <v/>
      </c>
      <c r="E797" t="str">
        <f t="shared" si="55"/>
        <v/>
      </c>
      <c r="G797" s="5" t="str">
        <f t="shared" si="56"/>
        <v/>
      </c>
      <c r="I797" s="6" t="str">
        <f t="shared" si="54"/>
        <v>0</v>
      </c>
      <c r="O797" t="s">
        <v>321</v>
      </c>
      <c r="P797">
        <f>IF(C797&lt;&gt;"",C797,_xlfn.XLOOKUP(B797,AI_NAMES!D:D,AI_NAMES!E:E,"",0))</f>
        <v>0</v>
      </c>
    </row>
    <row r="798" spans="1:16" x14ac:dyDescent="0.2">
      <c r="A798" t="s">
        <v>894</v>
      </c>
      <c r="B798" t="str">
        <f>IF(O798&lt;&gt;"",O798,_xlfn.XLOOKUP(A798,AI_NAMES!C:C,AI_NAMES!D:D,"",0))</f>
        <v/>
      </c>
      <c r="E798" t="str">
        <f t="shared" si="55"/>
        <v/>
      </c>
      <c r="G798" s="5" t="str">
        <f t="shared" si="56"/>
        <v/>
      </c>
      <c r="I798" s="6" t="str">
        <f t="shared" si="54"/>
        <v>0</v>
      </c>
      <c r="O798" t="s">
        <v>321</v>
      </c>
      <c r="P798">
        <f>IF(C798&lt;&gt;"",C798,_xlfn.XLOOKUP(B798,AI_NAMES!D:D,AI_NAMES!E:E,"",0))</f>
        <v>0</v>
      </c>
    </row>
    <row r="799" spans="1:16" x14ac:dyDescent="0.2">
      <c r="A799" t="s">
        <v>895</v>
      </c>
      <c r="B799" t="str">
        <f>IF(O799&lt;&gt;"",O799,_xlfn.XLOOKUP(A799,AI_NAMES!C:C,AI_NAMES!D:D,"",0))</f>
        <v/>
      </c>
      <c r="E799" t="str">
        <f t="shared" si="55"/>
        <v/>
      </c>
      <c r="G799" s="5" t="str">
        <f t="shared" si="56"/>
        <v/>
      </c>
      <c r="I799" s="6" t="str">
        <f t="shared" si="54"/>
        <v>0</v>
      </c>
      <c r="O799" t="s">
        <v>321</v>
      </c>
      <c r="P799">
        <f>IF(C799&lt;&gt;"",C799,_xlfn.XLOOKUP(B799,AI_NAMES!D:D,AI_NAMES!E:E,"",0))</f>
        <v>0</v>
      </c>
    </row>
    <row r="800" spans="1:16" x14ac:dyDescent="0.2">
      <c r="A800" t="s">
        <v>896</v>
      </c>
      <c r="B800" t="str">
        <f>IF(O800&lt;&gt;"",O800,_xlfn.XLOOKUP(A800,AI_NAMES!C:C,AI_NAMES!D:D,"",0))</f>
        <v/>
      </c>
      <c r="E800" t="str">
        <f t="shared" si="55"/>
        <v/>
      </c>
      <c r="G800" s="5" t="str">
        <f t="shared" si="56"/>
        <v/>
      </c>
      <c r="I800" s="6" t="str">
        <f t="shared" si="54"/>
        <v>0</v>
      </c>
      <c r="O800" t="s">
        <v>321</v>
      </c>
      <c r="P800">
        <f>IF(C800&lt;&gt;"",C800,_xlfn.XLOOKUP(B800,AI_NAMES!D:D,AI_NAMES!E:E,"",0))</f>
        <v>0</v>
      </c>
    </row>
    <row r="801" spans="1:16" x14ac:dyDescent="0.2">
      <c r="A801" t="s">
        <v>897</v>
      </c>
      <c r="B801" t="str">
        <f>IF(O801&lt;&gt;"",O801,_xlfn.XLOOKUP(A801,AI_NAMES!C:C,AI_NAMES!D:D,"",0))</f>
        <v/>
      </c>
      <c r="E801" t="str">
        <f t="shared" si="55"/>
        <v/>
      </c>
      <c r="G801" s="5" t="str">
        <f t="shared" si="56"/>
        <v/>
      </c>
      <c r="I801" s="6" t="str">
        <f t="shared" si="54"/>
        <v>0</v>
      </c>
      <c r="O801" t="s">
        <v>321</v>
      </c>
      <c r="P801">
        <f>IF(C801&lt;&gt;"",C801,_xlfn.XLOOKUP(B801,AI_NAMES!D:D,AI_NAMES!E:E,"",0))</f>
        <v>0</v>
      </c>
    </row>
    <row r="802" spans="1:16" x14ac:dyDescent="0.2">
      <c r="A802" t="s">
        <v>898</v>
      </c>
      <c r="B802" t="str">
        <f>IF(O802&lt;&gt;"",O802,_xlfn.XLOOKUP(A802,AI_NAMES!C:C,AI_NAMES!D:D,"",0))</f>
        <v/>
      </c>
      <c r="E802" t="str">
        <f t="shared" si="55"/>
        <v/>
      </c>
      <c r="G802" s="5" t="str">
        <f t="shared" si="56"/>
        <v/>
      </c>
      <c r="I802" s="6" t="str">
        <f t="shared" si="54"/>
        <v>0</v>
      </c>
      <c r="O802" t="s">
        <v>321</v>
      </c>
      <c r="P802">
        <f>IF(C802&lt;&gt;"",C802,_xlfn.XLOOKUP(B802,AI_NAMES!D:D,AI_NAMES!E:E,"",0))</f>
        <v>0</v>
      </c>
    </row>
    <row r="803" spans="1:16" x14ac:dyDescent="0.2">
      <c r="A803" t="s">
        <v>899</v>
      </c>
      <c r="B803" t="str">
        <f>IF(O803&lt;&gt;"",O803,_xlfn.XLOOKUP(A803,AI_NAMES!C:C,AI_NAMES!D:D,"",0))</f>
        <v/>
      </c>
      <c r="E803" t="str">
        <f t="shared" si="55"/>
        <v/>
      </c>
      <c r="G803" s="5" t="str">
        <f t="shared" si="56"/>
        <v/>
      </c>
      <c r="I803" s="6" t="str">
        <f t="shared" si="54"/>
        <v>0</v>
      </c>
      <c r="O803" t="s">
        <v>321</v>
      </c>
      <c r="P803">
        <f>IF(C803&lt;&gt;"",C803,_xlfn.XLOOKUP(B803,AI_NAMES!D:D,AI_NAMES!E:E,"",0))</f>
        <v>0</v>
      </c>
    </row>
    <row r="804" spans="1:16" x14ac:dyDescent="0.2">
      <c r="A804" t="s">
        <v>900</v>
      </c>
      <c r="B804" t="str">
        <f>IF(O804&lt;&gt;"",O804,_xlfn.XLOOKUP(A804,AI_NAMES!C:C,AI_NAMES!D:D,"",0))</f>
        <v/>
      </c>
      <c r="E804" t="str">
        <f t="shared" si="55"/>
        <v/>
      </c>
      <c r="G804" s="5" t="str">
        <f t="shared" si="56"/>
        <v/>
      </c>
      <c r="I804" s="6" t="str">
        <f t="shared" si="54"/>
        <v>0</v>
      </c>
      <c r="O804" t="s">
        <v>321</v>
      </c>
      <c r="P804">
        <f>IF(C804&lt;&gt;"",C804,_xlfn.XLOOKUP(B804,AI_NAMES!D:D,AI_NAMES!E:E,"",0))</f>
        <v>0</v>
      </c>
    </row>
    <row r="805" spans="1:16" x14ac:dyDescent="0.2">
      <c r="A805" t="s">
        <v>901</v>
      </c>
      <c r="B805" t="str">
        <f>IF(O805&lt;&gt;"",O805,_xlfn.XLOOKUP(A805,AI_NAMES!C:C,AI_NAMES!D:D,"",0))</f>
        <v/>
      </c>
      <c r="E805" t="str">
        <f t="shared" si="55"/>
        <v/>
      </c>
      <c r="G805" s="5" t="str">
        <f t="shared" si="56"/>
        <v/>
      </c>
      <c r="I805" s="6" t="str">
        <f t="shared" si="54"/>
        <v>0</v>
      </c>
      <c r="O805" t="s">
        <v>321</v>
      </c>
      <c r="P805">
        <f>IF(C805&lt;&gt;"",C805,_xlfn.XLOOKUP(B805,AI_NAMES!D:D,AI_NAMES!E:E,"",0))</f>
        <v>0</v>
      </c>
    </row>
    <row r="806" spans="1:16" x14ac:dyDescent="0.2">
      <c r="A806" t="s">
        <v>902</v>
      </c>
      <c r="B806" t="str">
        <f>IF(O806&lt;&gt;"",O806,_xlfn.XLOOKUP(A806,AI_NAMES!C:C,AI_NAMES!D:D,"",0))</f>
        <v/>
      </c>
      <c r="E806" t="str">
        <f t="shared" si="55"/>
        <v/>
      </c>
      <c r="G806" s="5" t="str">
        <f t="shared" si="56"/>
        <v/>
      </c>
      <c r="I806" s="6" t="str">
        <f t="shared" si="54"/>
        <v>0</v>
      </c>
      <c r="O806" t="s">
        <v>321</v>
      </c>
      <c r="P806">
        <f>IF(C806&lt;&gt;"",C806,_xlfn.XLOOKUP(B806,AI_NAMES!D:D,AI_NAMES!E:E,"",0))</f>
        <v>0</v>
      </c>
    </row>
    <row r="807" spans="1:16" x14ac:dyDescent="0.2">
      <c r="A807" t="s">
        <v>903</v>
      </c>
      <c r="B807" t="str">
        <f>IF(O807&lt;&gt;"",O807,_xlfn.XLOOKUP(A807,AI_NAMES!C:C,AI_NAMES!D:D,"",0))</f>
        <v/>
      </c>
      <c r="E807" t="str">
        <f t="shared" si="55"/>
        <v/>
      </c>
      <c r="G807" s="5" t="str">
        <f t="shared" si="56"/>
        <v/>
      </c>
      <c r="I807" s="6" t="str">
        <f t="shared" si="54"/>
        <v>0</v>
      </c>
      <c r="O807" t="s">
        <v>321</v>
      </c>
      <c r="P807">
        <f>IF(C807&lt;&gt;"",C807,_xlfn.XLOOKUP(B807,AI_NAMES!D:D,AI_NAMES!E:E,"",0))</f>
        <v>0</v>
      </c>
    </row>
    <row r="808" spans="1:16" x14ac:dyDescent="0.2">
      <c r="A808" t="s">
        <v>904</v>
      </c>
      <c r="B808" t="str">
        <f>IF(O808&lt;&gt;"",O808,_xlfn.XLOOKUP(A808,AI_NAMES!C:C,AI_NAMES!D:D,"",0))</f>
        <v/>
      </c>
      <c r="E808" t="str">
        <f t="shared" si="55"/>
        <v/>
      </c>
      <c r="G808" s="5" t="str">
        <f t="shared" si="56"/>
        <v/>
      </c>
      <c r="I808" s="6" t="str">
        <f t="shared" si="54"/>
        <v>0</v>
      </c>
      <c r="O808" t="s">
        <v>321</v>
      </c>
      <c r="P808">
        <f>IF(C808&lt;&gt;"",C808,_xlfn.XLOOKUP(B808,AI_NAMES!D:D,AI_NAMES!E:E,"",0))</f>
        <v>0</v>
      </c>
    </row>
    <row r="809" spans="1:16" x14ac:dyDescent="0.2">
      <c r="A809" t="s">
        <v>905</v>
      </c>
      <c r="B809" t="str">
        <f>IF(O809&lt;&gt;"",O809,_xlfn.XLOOKUP(A809,AI_NAMES!C:C,AI_NAMES!D:D,"",0))</f>
        <v/>
      </c>
      <c r="E809" t="str">
        <f t="shared" si="55"/>
        <v/>
      </c>
      <c r="G809" s="5" t="str">
        <f t="shared" si="56"/>
        <v/>
      </c>
      <c r="I809" s="6" t="str">
        <f t="shared" si="54"/>
        <v>0</v>
      </c>
      <c r="O809" t="s">
        <v>321</v>
      </c>
      <c r="P809">
        <f>IF(C809&lt;&gt;"",C809,_xlfn.XLOOKUP(B809,AI_NAMES!D:D,AI_NAMES!E:E,"",0))</f>
        <v>0</v>
      </c>
    </row>
    <row r="810" spans="1:16" x14ac:dyDescent="0.2">
      <c r="A810" t="s">
        <v>906</v>
      </c>
      <c r="B810" t="str">
        <f>IF(O810&lt;&gt;"",O810,_xlfn.XLOOKUP(A810,AI_NAMES!C:C,AI_NAMES!D:D,"",0))</f>
        <v/>
      </c>
      <c r="E810" t="str">
        <f t="shared" si="55"/>
        <v/>
      </c>
      <c r="G810" s="5" t="str">
        <f t="shared" si="56"/>
        <v/>
      </c>
      <c r="I810" s="6" t="str">
        <f t="shared" si="54"/>
        <v>0</v>
      </c>
      <c r="O810" t="s">
        <v>321</v>
      </c>
      <c r="P810">
        <f>IF(C810&lt;&gt;"",C810,_xlfn.XLOOKUP(B810,AI_NAMES!D:D,AI_NAMES!E:E,"",0))</f>
        <v>0</v>
      </c>
    </row>
    <row r="811" spans="1:16" x14ac:dyDescent="0.2">
      <c r="A811" t="s">
        <v>907</v>
      </c>
      <c r="B811" t="str">
        <f>IF(O811&lt;&gt;"",O811,_xlfn.XLOOKUP(A811,AI_NAMES!C:C,AI_NAMES!D:D,"",0))</f>
        <v/>
      </c>
      <c r="E811" t="str">
        <f t="shared" si="55"/>
        <v/>
      </c>
      <c r="G811" s="5" t="str">
        <f t="shared" si="56"/>
        <v/>
      </c>
      <c r="I811" s="6" t="str">
        <f t="shared" si="54"/>
        <v>0</v>
      </c>
      <c r="O811" t="s">
        <v>321</v>
      </c>
      <c r="P811">
        <f>IF(C811&lt;&gt;"",C811,_xlfn.XLOOKUP(B811,AI_NAMES!D:D,AI_NAMES!E:E,"",0))</f>
        <v>0</v>
      </c>
    </row>
    <row r="812" spans="1:16" x14ac:dyDescent="0.2">
      <c r="A812" t="s">
        <v>908</v>
      </c>
      <c r="B812" t="str">
        <f>IF(O812&lt;&gt;"",O812,_xlfn.XLOOKUP(A812,AI_NAMES!C:C,AI_NAMES!D:D,"",0))</f>
        <v/>
      </c>
      <c r="E812" t="str">
        <f t="shared" si="55"/>
        <v/>
      </c>
      <c r="G812" s="5" t="str">
        <f t="shared" si="56"/>
        <v/>
      </c>
      <c r="I812" s="6" t="str">
        <f t="shared" si="54"/>
        <v>0</v>
      </c>
      <c r="O812" t="s">
        <v>321</v>
      </c>
      <c r="P812">
        <f>IF(C812&lt;&gt;"",C812,_xlfn.XLOOKUP(B812,AI_NAMES!D:D,AI_NAMES!E:E,"",0))</f>
        <v>0</v>
      </c>
    </row>
    <row r="813" spans="1:16" x14ac:dyDescent="0.2">
      <c r="A813" t="s">
        <v>909</v>
      </c>
      <c r="B813" t="str">
        <f>IF(O813&lt;&gt;"",O813,_xlfn.XLOOKUP(A813,AI_NAMES!C:C,AI_NAMES!D:D,"",0))</f>
        <v/>
      </c>
      <c r="E813" t="str">
        <f t="shared" si="55"/>
        <v/>
      </c>
      <c r="G813" s="5" t="str">
        <f t="shared" si="56"/>
        <v/>
      </c>
      <c r="I813" s="6" t="str">
        <f t="shared" si="54"/>
        <v>0</v>
      </c>
      <c r="O813" t="s">
        <v>321</v>
      </c>
      <c r="P813">
        <f>IF(C813&lt;&gt;"",C813,_xlfn.XLOOKUP(B813,AI_NAMES!D:D,AI_NAMES!E:E,"",0))</f>
        <v>0</v>
      </c>
    </row>
    <row r="814" spans="1:16" x14ac:dyDescent="0.2">
      <c r="A814" t="s">
        <v>910</v>
      </c>
      <c r="B814" t="str">
        <f>IF(O814&lt;&gt;"",O814,_xlfn.XLOOKUP(A814,AI_NAMES!C:C,AI_NAMES!D:D,"",0))</f>
        <v/>
      </c>
      <c r="E814" t="str">
        <f t="shared" si="55"/>
        <v/>
      </c>
      <c r="G814" s="5" t="str">
        <f t="shared" si="56"/>
        <v/>
      </c>
      <c r="I814" s="6" t="str">
        <f t="shared" si="54"/>
        <v>0</v>
      </c>
      <c r="O814" t="s">
        <v>321</v>
      </c>
      <c r="P814">
        <f>IF(C814&lt;&gt;"",C814,_xlfn.XLOOKUP(B814,AI_NAMES!D:D,AI_NAMES!E:E,"",0))</f>
        <v>0</v>
      </c>
    </row>
    <row r="815" spans="1:16" x14ac:dyDescent="0.2">
      <c r="A815" t="s">
        <v>911</v>
      </c>
      <c r="B815" t="str">
        <f>IF(O815&lt;&gt;"",O815,_xlfn.XLOOKUP(A815,AI_NAMES!C:C,AI_NAMES!D:D,"",0))</f>
        <v/>
      </c>
      <c r="E815" t="str">
        <f t="shared" si="55"/>
        <v/>
      </c>
      <c r="G815" s="5" t="str">
        <f t="shared" si="56"/>
        <v/>
      </c>
      <c r="I815" s="6" t="str">
        <f t="shared" si="54"/>
        <v>0</v>
      </c>
      <c r="O815" t="s">
        <v>321</v>
      </c>
      <c r="P815">
        <f>IF(C815&lt;&gt;"",C815,_xlfn.XLOOKUP(B815,AI_NAMES!D:D,AI_NAMES!E:E,"",0))</f>
        <v>0</v>
      </c>
    </row>
    <row r="816" spans="1:16" x14ac:dyDescent="0.2">
      <c r="A816" t="s">
        <v>912</v>
      </c>
      <c r="B816" t="str">
        <f>IF(O816&lt;&gt;"",O816,_xlfn.XLOOKUP(A816,AI_NAMES!C:C,AI_NAMES!D:D,"",0))</f>
        <v/>
      </c>
      <c r="E816" t="str">
        <f t="shared" si="55"/>
        <v/>
      </c>
      <c r="G816" s="5" t="str">
        <f t="shared" si="56"/>
        <v/>
      </c>
      <c r="I816" s="6" t="str">
        <f t="shared" si="54"/>
        <v>0</v>
      </c>
      <c r="O816" t="s">
        <v>321</v>
      </c>
      <c r="P816">
        <f>IF(C816&lt;&gt;"",C816,_xlfn.XLOOKUP(B816,AI_NAMES!D:D,AI_NAMES!E:E,"",0))</f>
        <v>0</v>
      </c>
    </row>
    <row r="817" spans="1:16" x14ac:dyDescent="0.2">
      <c r="A817" t="s">
        <v>913</v>
      </c>
      <c r="B817" t="str">
        <f>IF(O817&lt;&gt;"",O817,_xlfn.XLOOKUP(A817,AI_NAMES!C:C,AI_NAMES!D:D,"",0))</f>
        <v/>
      </c>
      <c r="E817" t="str">
        <f t="shared" si="55"/>
        <v/>
      </c>
      <c r="G817" s="5" t="str">
        <f t="shared" si="56"/>
        <v/>
      </c>
      <c r="I817" s="6" t="str">
        <f t="shared" si="54"/>
        <v>0</v>
      </c>
      <c r="O817" t="s">
        <v>321</v>
      </c>
      <c r="P817">
        <f>IF(C817&lt;&gt;"",C817,_xlfn.XLOOKUP(B817,AI_NAMES!D:D,AI_NAMES!E:E,"",0))</f>
        <v>0</v>
      </c>
    </row>
    <row r="818" spans="1:16" x14ac:dyDescent="0.2">
      <c r="A818" t="s">
        <v>914</v>
      </c>
      <c r="B818" t="str">
        <f>IF(O818&lt;&gt;"",O818,_xlfn.XLOOKUP(A818,AI_NAMES!C:C,AI_NAMES!D:D,"",0))</f>
        <v/>
      </c>
      <c r="E818" t="str">
        <f t="shared" si="55"/>
        <v/>
      </c>
      <c r="G818" s="5" t="str">
        <f t="shared" si="56"/>
        <v/>
      </c>
      <c r="I818" s="6" t="str">
        <f t="shared" si="54"/>
        <v>0</v>
      </c>
      <c r="O818" t="s">
        <v>321</v>
      </c>
      <c r="P818">
        <f>IF(C818&lt;&gt;"",C818,_xlfn.XLOOKUP(B818,AI_NAMES!D:D,AI_NAMES!E:E,"",0))</f>
        <v>0</v>
      </c>
    </row>
    <row r="819" spans="1:16" x14ac:dyDescent="0.2">
      <c r="A819" t="s">
        <v>915</v>
      </c>
      <c r="B819" t="str">
        <f>IF(O819&lt;&gt;"",O819,_xlfn.XLOOKUP(A819,AI_NAMES!C:C,AI_NAMES!D:D,"",0))</f>
        <v/>
      </c>
      <c r="E819" t="str">
        <f t="shared" si="55"/>
        <v/>
      </c>
      <c r="G819" s="5" t="str">
        <f t="shared" si="56"/>
        <v/>
      </c>
      <c r="I819" s="6" t="str">
        <f t="shared" si="54"/>
        <v>0</v>
      </c>
      <c r="O819" t="s">
        <v>321</v>
      </c>
      <c r="P819">
        <f>IF(C819&lt;&gt;"",C819,_xlfn.XLOOKUP(B819,AI_NAMES!D:D,AI_NAMES!E:E,"",0))</f>
        <v>0</v>
      </c>
    </row>
    <row r="820" spans="1:16" x14ac:dyDescent="0.2">
      <c r="A820" t="s">
        <v>916</v>
      </c>
      <c r="B820" t="str">
        <f>IF(O820&lt;&gt;"",O820,_xlfn.XLOOKUP(A820,AI_NAMES!C:C,AI_NAMES!D:D,"",0))</f>
        <v/>
      </c>
      <c r="E820" t="str">
        <f t="shared" si="55"/>
        <v/>
      </c>
      <c r="G820" s="5" t="str">
        <f t="shared" si="56"/>
        <v/>
      </c>
      <c r="I820" s="6" t="str">
        <f t="shared" si="54"/>
        <v>0</v>
      </c>
      <c r="O820" t="s">
        <v>321</v>
      </c>
      <c r="P820">
        <f>IF(C820&lt;&gt;"",C820,_xlfn.XLOOKUP(B820,AI_NAMES!D:D,AI_NAMES!E:E,"",0))</f>
        <v>0</v>
      </c>
    </row>
    <row r="821" spans="1:16" x14ac:dyDescent="0.2">
      <c r="A821" t="s">
        <v>917</v>
      </c>
      <c r="B821" t="str">
        <f>IF(O821&lt;&gt;"",O821,_xlfn.XLOOKUP(A821,AI_NAMES!C:C,AI_NAMES!D:D,"",0))</f>
        <v/>
      </c>
      <c r="E821" t="str">
        <f t="shared" si="55"/>
        <v/>
      </c>
      <c r="G821" s="5" t="str">
        <f t="shared" si="56"/>
        <v/>
      </c>
      <c r="I821" s="6" t="str">
        <f t="shared" si="54"/>
        <v>0</v>
      </c>
      <c r="O821" t="s">
        <v>321</v>
      </c>
      <c r="P821">
        <f>IF(C821&lt;&gt;"",C821,_xlfn.XLOOKUP(B821,AI_NAMES!D:D,AI_NAMES!E:E,"",0))</f>
        <v>0</v>
      </c>
    </row>
    <row r="822" spans="1:16" x14ac:dyDescent="0.2">
      <c r="A822" t="s">
        <v>918</v>
      </c>
      <c r="B822" t="str">
        <f>IF(O822&lt;&gt;"",O822,_xlfn.XLOOKUP(A822,AI_NAMES!C:C,AI_NAMES!D:D,"",0))</f>
        <v/>
      </c>
      <c r="E822" t="str">
        <f t="shared" si="55"/>
        <v/>
      </c>
      <c r="G822" s="5" t="str">
        <f t="shared" si="56"/>
        <v/>
      </c>
      <c r="I822" s="6" t="str">
        <f t="shared" si="54"/>
        <v>0</v>
      </c>
      <c r="O822" t="s">
        <v>321</v>
      </c>
      <c r="P822">
        <f>IF(C822&lt;&gt;"",C822,_xlfn.XLOOKUP(B822,AI_NAMES!D:D,AI_NAMES!E:E,"",0))</f>
        <v>0</v>
      </c>
    </row>
    <row r="823" spans="1:16" x14ac:dyDescent="0.2">
      <c r="A823" t="s">
        <v>919</v>
      </c>
      <c r="B823" t="str">
        <f>IF(O823&lt;&gt;"",O823,_xlfn.XLOOKUP(A823,AI_NAMES!C:C,AI_NAMES!D:D,"",0))</f>
        <v/>
      </c>
      <c r="E823" t="str">
        <f t="shared" si="55"/>
        <v/>
      </c>
      <c r="G823" s="5" t="str">
        <f t="shared" si="56"/>
        <v/>
      </c>
      <c r="I823" s="6" t="str">
        <f t="shared" si="54"/>
        <v>0</v>
      </c>
      <c r="O823" t="s">
        <v>321</v>
      </c>
      <c r="P823">
        <f>IF(C823&lt;&gt;"",C823,_xlfn.XLOOKUP(B823,AI_NAMES!D:D,AI_NAMES!E:E,"",0))</f>
        <v>0</v>
      </c>
    </row>
    <row r="824" spans="1:16" x14ac:dyDescent="0.2">
      <c r="A824" t="s">
        <v>920</v>
      </c>
      <c r="B824" t="str">
        <f>IF(O824&lt;&gt;"",O824,_xlfn.XLOOKUP(A824,AI_NAMES!C:C,AI_NAMES!D:D,"",0))</f>
        <v/>
      </c>
      <c r="E824" t="str">
        <f t="shared" si="55"/>
        <v/>
      </c>
      <c r="G824" s="5" t="str">
        <f t="shared" si="56"/>
        <v/>
      </c>
      <c r="I824" s="6" t="str">
        <f t="shared" si="54"/>
        <v>0</v>
      </c>
      <c r="O824" t="s">
        <v>321</v>
      </c>
      <c r="P824">
        <f>IF(C824&lt;&gt;"",C824,_xlfn.XLOOKUP(B824,AI_NAMES!D:D,AI_NAMES!E:E,"",0))</f>
        <v>0</v>
      </c>
    </row>
    <row r="825" spans="1:16" x14ac:dyDescent="0.2">
      <c r="A825" t="s">
        <v>921</v>
      </c>
      <c r="B825" t="str">
        <f>IF(O825&lt;&gt;"",O825,_xlfn.XLOOKUP(A825,AI_NAMES!C:C,AI_NAMES!D:D,"",0))</f>
        <v/>
      </c>
      <c r="E825" t="str">
        <f t="shared" si="55"/>
        <v/>
      </c>
      <c r="G825" s="5" t="str">
        <f t="shared" si="56"/>
        <v/>
      </c>
      <c r="I825" s="6" t="str">
        <f t="shared" si="54"/>
        <v>0</v>
      </c>
      <c r="O825" t="s">
        <v>321</v>
      </c>
      <c r="P825">
        <f>IF(C825&lt;&gt;"",C825,_xlfn.XLOOKUP(B825,AI_NAMES!D:D,AI_NAMES!E:E,"",0))</f>
        <v>0</v>
      </c>
    </row>
    <row r="826" spans="1:16" x14ac:dyDescent="0.2">
      <c r="A826" t="s">
        <v>922</v>
      </c>
      <c r="B826" t="str">
        <f>IF(O826&lt;&gt;"",O826,_xlfn.XLOOKUP(A826,AI_NAMES!C:C,AI_NAMES!D:D,"",0))</f>
        <v/>
      </c>
      <c r="E826" t="str">
        <f t="shared" si="55"/>
        <v/>
      </c>
      <c r="G826" s="5" t="str">
        <f t="shared" si="56"/>
        <v/>
      </c>
      <c r="I826" s="6" t="str">
        <f t="shared" si="54"/>
        <v>0</v>
      </c>
      <c r="O826" t="s">
        <v>321</v>
      </c>
      <c r="P826">
        <f>IF(C826&lt;&gt;"",C826,_xlfn.XLOOKUP(B826,AI_NAMES!D:D,AI_NAMES!E:E,"",0))</f>
        <v>0</v>
      </c>
    </row>
    <row r="827" spans="1:16" x14ac:dyDescent="0.2">
      <c r="A827" t="s">
        <v>923</v>
      </c>
      <c r="B827" t="str">
        <f>IF(O827&lt;&gt;"",O827,_xlfn.XLOOKUP(A827,AI_NAMES!C:C,AI_NAMES!D:D,"",0))</f>
        <v/>
      </c>
      <c r="E827" t="str">
        <f t="shared" si="55"/>
        <v/>
      </c>
      <c r="G827" s="5" t="str">
        <f t="shared" si="56"/>
        <v/>
      </c>
      <c r="I827" s="6" t="str">
        <f t="shared" si="54"/>
        <v>0</v>
      </c>
      <c r="O827" t="s">
        <v>321</v>
      </c>
      <c r="P827">
        <f>IF(C827&lt;&gt;"",C827,_xlfn.XLOOKUP(B827,AI_NAMES!D:D,AI_NAMES!E:E,"",0))</f>
        <v>0</v>
      </c>
    </row>
    <row r="828" spans="1:16" x14ac:dyDescent="0.2">
      <c r="A828" t="s">
        <v>924</v>
      </c>
      <c r="B828" t="str">
        <f>IF(O828&lt;&gt;"",O828,_xlfn.XLOOKUP(A828,AI_NAMES!C:C,AI_NAMES!D:D,"",0))</f>
        <v/>
      </c>
      <c r="E828" t="str">
        <f t="shared" si="55"/>
        <v/>
      </c>
      <c r="G828" s="5" t="str">
        <f t="shared" si="56"/>
        <v/>
      </c>
      <c r="I828" s="6" t="str">
        <f t="shared" si="54"/>
        <v>0</v>
      </c>
      <c r="O828" t="s">
        <v>321</v>
      </c>
      <c r="P828">
        <f>IF(C828&lt;&gt;"",C828,_xlfn.XLOOKUP(B828,AI_NAMES!D:D,AI_NAMES!E:E,"",0))</f>
        <v>0</v>
      </c>
    </row>
    <row r="829" spans="1:16" x14ac:dyDescent="0.2">
      <c r="A829" t="s">
        <v>925</v>
      </c>
      <c r="B829" t="str">
        <f>IF(O829&lt;&gt;"",O829,_xlfn.XLOOKUP(A829,AI_NAMES!C:C,AI_NAMES!D:D,"",0))</f>
        <v/>
      </c>
      <c r="E829" t="str">
        <f t="shared" si="55"/>
        <v/>
      </c>
      <c r="G829" s="5" t="str">
        <f t="shared" si="56"/>
        <v/>
      </c>
      <c r="I829" s="6" t="str">
        <f t="shared" si="54"/>
        <v>0</v>
      </c>
      <c r="O829" t="s">
        <v>321</v>
      </c>
      <c r="P829">
        <f>IF(C829&lt;&gt;"",C829,_xlfn.XLOOKUP(B829,AI_NAMES!D:D,AI_NAMES!E:E,"",0))</f>
        <v>0</v>
      </c>
    </row>
    <row r="830" spans="1:16" x14ac:dyDescent="0.2">
      <c r="A830" t="s">
        <v>926</v>
      </c>
      <c r="B830" t="str">
        <f>IF(O830&lt;&gt;"",O830,_xlfn.XLOOKUP(A830,AI_NAMES!C:C,AI_NAMES!D:D,"",0))</f>
        <v/>
      </c>
      <c r="E830" t="str">
        <f t="shared" si="55"/>
        <v/>
      </c>
      <c r="G830" s="5" t="str">
        <f t="shared" si="56"/>
        <v/>
      </c>
      <c r="I830" s="6" t="str">
        <f t="shared" si="54"/>
        <v>0</v>
      </c>
      <c r="O830" t="s">
        <v>321</v>
      </c>
      <c r="P830">
        <f>IF(C830&lt;&gt;"",C830,_xlfn.XLOOKUP(B830,AI_NAMES!D:D,AI_NAMES!E:E,"",0))</f>
        <v>0</v>
      </c>
    </row>
    <row r="831" spans="1:16" x14ac:dyDescent="0.2">
      <c r="A831" t="s">
        <v>927</v>
      </c>
      <c r="B831" t="str">
        <f>IF(O831&lt;&gt;"",O831,_xlfn.XLOOKUP(A831,AI_NAMES!C:C,AI_NAMES!D:D,"",0))</f>
        <v/>
      </c>
      <c r="E831" t="str">
        <f t="shared" si="55"/>
        <v/>
      </c>
      <c r="G831" s="5" t="str">
        <f t="shared" si="56"/>
        <v/>
      </c>
      <c r="I831" s="6" t="str">
        <f t="shared" si="54"/>
        <v>0</v>
      </c>
      <c r="O831" t="s">
        <v>321</v>
      </c>
      <c r="P831">
        <f>IF(C831&lt;&gt;"",C831,_xlfn.XLOOKUP(B831,AI_NAMES!D:D,AI_NAMES!E:E,"",0))</f>
        <v>0</v>
      </c>
    </row>
    <row r="832" spans="1:16" x14ac:dyDescent="0.2">
      <c r="A832" t="s">
        <v>928</v>
      </c>
      <c r="B832" t="str">
        <f>IF(O832&lt;&gt;"",O832,_xlfn.XLOOKUP(A832,AI_NAMES!C:C,AI_NAMES!D:D,"",0))</f>
        <v/>
      </c>
      <c r="E832" t="str">
        <f t="shared" si="55"/>
        <v/>
      </c>
      <c r="G832" s="5" t="str">
        <f t="shared" si="56"/>
        <v/>
      </c>
      <c r="I832" s="6" t="str">
        <f t="shared" si="54"/>
        <v>0</v>
      </c>
      <c r="O832" t="s">
        <v>321</v>
      </c>
      <c r="P832">
        <f>IF(C832&lt;&gt;"",C832,_xlfn.XLOOKUP(B832,AI_NAMES!D:D,AI_NAMES!E:E,"",0))</f>
        <v>0</v>
      </c>
    </row>
    <row r="833" spans="1:16" x14ac:dyDescent="0.2">
      <c r="A833" t="s">
        <v>929</v>
      </c>
      <c r="B833" t="str">
        <f>IF(O833&lt;&gt;"",O833,_xlfn.XLOOKUP(A833,AI_NAMES!C:C,AI_NAMES!D:D,"",0))</f>
        <v/>
      </c>
      <c r="E833" t="str">
        <f t="shared" si="55"/>
        <v/>
      </c>
      <c r="G833" s="5" t="str">
        <f t="shared" si="56"/>
        <v/>
      </c>
      <c r="I833" s="6" t="str">
        <f t="shared" si="54"/>
        <v>0</v>
      </c>
      <c r="O833" t="s">
        <v>321</v>
      </c>
      <c r="P833">
        <f>IF(C833&lt;&gt;"",C833,_xlfn.XLOOKUP(B833,AI_NAMES!D:D,AI_NAMES!E:E,"",0))</f>
        <v>0</v>
      </c>
    </row>
    <row r="834" spans="1:16" x14ac:dyDescent="0.2">
      <c r="A834" t="s">
        <v>930</v>
      </c>
      <c r="B834" t="str">
        <f>IF(O834&lt;&gt;"",O834,_xlfn.XLOOKUP(A834,AI_NAMES!C:C,AI_NAMES!D:D,"",0))</f>
        <v/>
      </c>
      <c r="E834" t="str">
        <f t="shared" si="55"/>
        <v/>
      </c>
      <c r="G834" s="5" t="str">
        <f t="shared" si="56"/>
        <v/>
      </c>
      <c r="I834" s="6" t="str">
        <f t="shared" si="54"/>
        <v>0</v>
      </c>
      <c r="O834" t="s">
        <v>321</v>
      </c>
      <c r="P834">
        <f>IF(C834&lt;&gt;"",C834,_xlfn.XLOOKUP(B834,AI_NAMES!D:D,AI_NAMES!E:E,"",0))</f>
        <v>0</v>
      </c>
    </row>
    <row r="835" spans="1:16" x14ac:dyDescent="0.2">
      <c r="A835" t="s">
        <v>931</v>
      </c>
      <c r="B835" t="str">
        <f>IF(O835&lt;&gt;"",O835,_xlfn.XLOOKUP(A835,AI_NAMES!C:C,AI_NAMES!D:D,"",0))</f>
        <v/>
      </c>
      <c r="E835" t="str">
        <f t="shared" si="55"/>
        <v/>
      </c>
      <c r="G835" s="5" t="str">
        <f t="shared" si="56"/>
        <v/>
      </c>
      <c r="I835" s="6" t="str">
        <f t="shared" ref="I835:I898" si="57">IFERROR(DEC2HEX(H835),"")</f>
        <v>0</v>
      </c>
      <c r="O835" t="s">
        <v>321</v>
      </c>
      <c r="P835">
        <f>IF(C835&lt;&gt;"",C835,_xlfn.XLOOKUP(B835,AI_NAMES!D:D,AI_NAMES!E:E,"",0))</f>
        <v>0</v>
      </c>
    </row>
    <row r="836" spans="1:16" x14ac:dyDescent="0.2">
      <c r="A836" t="s">
        <v>932</v>
      </c>
      <c r="B836" t="str">
        <f>IF(O836&lt;&gt;"",O836,_xlfn.XLOOKUP(A836,AI_NAMES!C:C,AI_NAMES!D:D,"",0))</f>
        <v/>
      </c>
      <c r="E836" t="str">
        <f t="shared" ref="E836:E899" si="58">IF(D836&lt;&gt;"",C836&amp;"/"&amp;D836,"")</f>
        <v/>
      </c>
      <c r="G836" s="5" t="str">
        <f t="shared" si="56"/>
        <v/>
      </c>
      <c r="I836" s="6" t="str">
        <f t="shared" si="57"/>
        <v>0</v>
      </c>
      <c r="O836" t="s">
        <v>321</v>
      </c>
      <c r="P836">
        <f>IF(C836&lt;&gt;"",C836,_xlfn.XLOOKUP(B836,AI_NAMES!D:D,AI_NAMES!E:E,"",0))</f>
        <v>0</v>
      </c>
    </row>
    <row r="837" spans="1:16" x14ac:dyDescent="0.2">
      <c r="A837" t="s">
        <v>933</v>
      </c>
      <c r="B837" t="str">
        <f>IF(O837&lt;&gt;"",O837,_xlfn.XLOOKUP(A837,AI_NAMES!C:C,AI_NAMES!D:D,"",0))</f>
        <v/>
      </c>
      <c r="E837" t="str">
        <f t="shared" si="58"/>
        <v/>
      </c>
      <c r="G837" s="5" t="str">
        <f t="shared" si="56"/>
        <v/>
      </c>
      <c r="I837" s="6" t="str">
        <f t="shared" si="57"/>
        <v>0</v>
      </c>
      <c r="O837" t="s">
        <v>321</v>
      </c>
      <c r="P837">
        <f>IF(C837&lt;&gt;"",C837,_xlfn.XLOOKUP(B837,AI_NAMES!D:D,AI_NAMES!E:E,"",0))</f>
        <v>0</v>
      </c>
    </row>
    <row r="838" spans="1:16" x14ac:dyDescent="0.2">
      <c r="A838" t="s">
        <v>934</v>
      </c>
      <c r="B838" t="str">
        <f>IF(O838&lt;&gt;"",O838,_xlfn.XLOOKUP(A838,AI_NAMES!C:C,AI_NAMES!D:D,"",0))</f>
        <v/>
      </c>
      <c r="E838" t="str">
        <f t="shared" si="58"/>
        <v/>
      </c>
      <c r="G838" s="5" t="str">
        <f t="shared" si="56"/>
        <v/>
      </c>
      <c r="I838" s="6" t="str">
        <f t="shared" si="57"/>
        <v>0</v>
      </c>
      <c r="O838" t="s">
        <v>321</v>
      </c>
      <c r="P838">
        <f>IF(C838&lt;&gt;"",C838,_xlfn.XLOOKUP(B838,AI_NAMES!D:D,AI_NAMES!E:E,"",0))</f>
        <v>0</v>
      </c>
    </row>
    <row r="839" spans="1:16" x14ac:dyDescent="0.2">
      <c r="A839" t="s">
        <v>935</v>
      </c>
      <c r="B839" t="str">
        <f>IF(O839&lt;&gt;"",O839,_xlfn.XLOOKUP(A839,AI_NAMES!C:C,AI_NAMES!D:D,"",0))</f>
        <v/>
      </c>
      <c r="E839" t="str">
        <f t="shared" si="58"/>
        <v/>
      </c>
      <c r="G839" s="5" t="str">
        <f t="shared" si="56"/>
        <v/>
      </c>
      <c r="I839" s="6" t="str">
        <f t="shared" si="57"/>
        <v>0</v>
      </c>
      <c r="O839" t="s">
        <v>321</v>
      </c>
      <c r="P839">
        <f>IF(C839&lt;&gt;"",C839,_xlfn.XLOOKUP(B839,AI_NAMES!D:D,AI_NAMES!E:E,"",0))</f>
        <v>0</v>
      </c>
    </row>
    <row r="840" spans="1:16" x14ac:dyDescent="0.2">
      <c r="A840" t="s">
        <v>936</v>
      </c>
      <c r="B840" t="str">
        <f>IF(O840&lt;&gt;"",O840,_xlfn.XLOOKUP(A840,AI_NAMES!C:C,AI_NAMES!D:D,"",0))</f>
        <v/>
      </c>
      <c r="E840" t="str">
        <f t="shared" si="58"/>
        <v/>
      </c>
      <c r="G840" s="5" t="str">
        <f t="shared" si="56"/>
        <v/>
      </c>
      <c r="I840" s="6" t="str">
        <f t="shared" si="57"/>
        <v>0</v>
      </c>
      <c r="O840" t="s">
        <v>321</v>
      </c>
      <c r="P840">
        <f>IF(C840&lt;&gt;"",C840,_xlfn.XLOOKUP(B840,AI_NAMES!D:D,AI_NAMES!E:E,"",0))</f>
        <v>0</v>
      </c>
    </row>
    <row r="841" spans="1:16" x14ac:dyDescent="0.2">
      <c r="A841" t="s">
        <v>937</v>
      </c>
      <c r="B841" t="str">
        <f>IF(O841&lt;&gt;"",O841,_xlfn.XLOOKUP(A841,AI_NAMES!C:C,AI_NAMES!D:D,"",0))</f>
        <v/>
      </c>
      <c r="E841" t="str">
        <f t="shared" si="58"/>
        <v/>
      </c>
      <c r="G841" s="5" t="str">
        <f t="shared" ref="G841:G904" si="59">IF(F841&lt;&gt;"",HEX2DEC(SUBSTITUTE(SUBSTITUTE(F841,"adrEA",""),"$","")),"")</f>
        <v/>
      </c>
      <c r="I841" s="6" t="str">
        <f t="shared" si="57"/>
        <v>0</v>
      </c>
      <c r="O841" t="s">
        <v>321</v>
      </c>
      <c r="P841">
        <f>IF(C841&lt;&gt;"",C841,_xlfn.XLOOKUP(B841,AI_NAMES!D:D,AI_NAMES!E:E,"",0))</f>
        <v>0</v>
      </c>
    </row>
    <row r="842" spans="1:16" x14ac:dyDescent="0.2">
      <c r="A842" t="s">
        <v>938</v>
      </c>
      <c r="B842" t="str">
        <f>IF(O842&lt;&gt;"",O842,_xlfn.XLOOKUP(A842,AI_NAMES!C:C,AI_NAMES!D:D,"",0))</f>
        <v>WhatThyBusinessMsg</v>
      </c>
      <c r="E842" t="str">
        <f t="shared" si="58"/>
        <v/>
      </c>
      <c r="G842" s="5" t="str">
        <f t="shared" si="59"/>
        <v/>
      </c>
      <c r="I842" s="6" t="str">
        <f t="shared" si="57"/>
        <v>0</v>
      </c>
      <c r="O842" t="s">
        <v>938</v>
      </c>
      <c r="P842" t="str">
        <f>IF(C842&lt;&gt;"",C842,_xlfn.XLOOKUP(B842,AI_NAMES!D:D,AI_NAMES!E:E,"",0))</f>
        <v/>
      </c>
    </row>
    <row r="843" spans="1:16" x14ac:dyDescent="0.2">
      <c r="A843" t="s">
        <v>939</v>
      </c>
      <c r="B843" t="str">
        <f>IF(O843&lt;&gt;"",O843,_xlfn.XLOOKUP(A843,AI_NAMES!C:C,AI_NAMES!D:D,"",0))</f>
        <v/>
      </c>
      <c r="E843" t="str">
        <f t="shared" si="58"/>
        <v/>
      </c>
      <c r="G843" s="5" t="str">
        <f t="shared" si="59"/>
        <v/>
      </c>
      <c r="I843" s="6" t="str">
        <f t="shared" si="57"/>
        <v>0</v>
      </c>
      <c r="O843" t="s">
        <v>321</v>
      </c>
      <c r="P843">
        <f>IF(C843&lt;&gt;"",C843,_xlfn.XLOOKUP(B843,AI_NAMES!D:D,AI_NAMES!E:E,"",0))</f>
        <v>0</v>
      </c>
    </row>
    <row r="844" spans="1:16" x14ac:dyDescent="0.2">
      <c r="A844" t="s">
        <v>940</v>
      </c>
      <c r="B844" t="str">
        <f>IF(O844&lt;&gt;"",O844,_xlfn.XLOOKUP(A844,AI_NAMES!C:C,AI_NAMES!D:D,"",0))</f>
        <v/>
      </c>
      <c r="E844" t="str">
        <f t="shared" si="58"/>
        <v/>
      </c>
      <c r="G844" s="5" t="str">
        <f t="shared" si="59"/>
        <v/>
      </c>
      <c r="I844" s="6" t="str">
        <f t="shared" si="57"/>
        <v>0</v>
      </c>
      <c r="O844" t="s">
        <v>321</v>
      </c>
      <c r="P844">
        <f>IF(C844&lt;&gt;"",C844,_xlfn.XLOOKUP(B844,AI_NAMES!D:D,AI_NAMES!E:E,"",0))</f>
        <v>0</v>
      </c>
    </row>
    <row r="845" spans="1:16" x14ac:dyDescent="0.2">
      <c r="A845" t="s">
        <v>941</v>
      </c>
      <c r="B845" t="str">
        <f>IF(O845&lt;&gt;"",O845,_xlfn.XLOOKUP(A845,AI_NAMES!C:C,AI_NAMES!D:D,"",0))</f>
        <v/>
      </c>
      <c r="E845" t="str">
        <f t="shared" si="58"/>
        <v/>
      </c>
      <c r="G845" s="5" t="str">
        <f t="shared" si="59"/>
        <v/>
      </c>
      <c r="I845" s="6" t="str">
        <f t="shared" si="57"/>
        <v>0</v>
      </c>
      <c r="O845" t="s">
        <v>321</v>
      </c>
      <c r="P845">
        <f>IF(C845&lt;&gt;"",C845,_xlfn.XLOOKUP(B845,AI_NAMES!D:D,AI_NAMES!E:E,"",0))</f>
        <v>0</v>
      </c>
    </row>
    <row r="846" spans="1:16" x14ac:dyDescent="0.2">
      <c r="A846" t="s">
        <v>942</v>
      </c>
      <c r="B846" t="str">
        <f>IF(O846&lt;&gt;"",O846,_xlfn.XLOOKUP(A846,AI_NAMES!C:C,AI_NAMES!D:D,"",0))</f>
        <v/>
      </c>
      <c r="E846" t="str">
        <f t="shared" si="58"/>
        <v/>
      </c>
      <c r="G846" s="5" t="str">
        <f t="shared" si="59"/>
        <v/>
      </c>
      <c r="I846" s="6" t="str">
        <f t="shared" si="57"/>
        <v>0</v>
      </c>
      <c r="O846" t="s">
        <v>321</v>
      </c>
      <c r="P846">
        <f>IF(C846&lt;&gt;"",C846,_xlfn.XLOOKUP(B846,AI_NAMES!D:D,AI_NAMES!E:E,"",0))</f>
        <v>0</v>
      </c>
    </row>
    <row r="847" spans="1:16" x14ac:dyDescent="0.2">
      <c r="A847" t="s">
        <v>943</v>
      </c>
      <c r="B847" t="str">
        <f>IF(O847&lt;&gt;"",O847,_xlfn.XLOOKUP(A847,AI_NAMES!C:C,AI_NAMES!D:D,"",0))</f>
        <v/>
      </c>
      <c r="E847" t="str">
        <f t="shared" si="58"/>
        <v/>
      </c>
      <c r="G847" s="5" t="str">
        <f t="shared" si="59"/>
        <v/>
      </c>
      <c r="I847" s="6" t="str">
        <f t="shared" si="57"/>
        <v>0</v>
      </c>
      <c r="O847" t="s">
        <v>321</v>
      </c>
      <c r="P847">
        <f>IF(C847&lt;&gt;"",C847,_xlfn.XLOOKUP(B847,AI_NAMES!D:D,AI_NAMES!E:E,"",0))</f>
        <v>0</v>
      </c>
    </row>
    <row r="848" spans="1:16" x14ac:dyDescent="0.2">
      <c r="A848" t="s">
        <v>944</v>
      </c>
      <c r="B848" t="str">
        <f>IF(O848&lt;&gt;"",O848,_xlfn.XLOOKUP(A848,AI_NAMES!C:C,AI_NAMES!D:D,"",0))</f>
        <v/>
      </c>
      <c r="E848" t="str">
        <f t="shared" si="58"/>
        <v/>
      </c>
      <c r="G848" s="5" t="str">
        <f t="shared" si="59"/>
        <v/>
      </c>
      <c r="I848" s="6" t="str">
        <f t="shared" si="57"/>
        <v>0</v>
      </c>
      <c r="O848" t="s">
        <v>321</v>
      </c>
      <c r="P848">
        <f>IF(C848&lt;&gt;"",C848,_xlfn.XLOOKUP(B848,AI_NAMES!D:D,AI_NAMES!E:E,"",0))</f>
        <v>0</v>
      </c>
    </row>
    <row r="849" spans="1:16" x14ac:dyDescent="0.2">
      <c r="A849" t="s">
        <v>945</v>
      </c>
      <c r="B849" t="str">
        <f>IF(O849&lt;&gt;"",O849,_xlfn.XLOOKUP(A849,AI_NAMES!C:C,AI_NAMES!D:D,"",0))</f>
        <v/>
      </c>
      <c r="E849" t="str">
        <f t="shared" si="58"/>
        <v/>
      </c>
      <c r="G849" s="5" t="str">
        <f t="shared" si="59"/>
        <v/>
      </c>
      <c r="I849" s="6" t="str">
        <f t="shared" si="57"/>
        <v>0</v>
      </c>
      <c r="O849" t="s">
        <v>321</v>
      </c>
      <c r="P849">
        <f>IF(C849&lt;&gt;"",C849,_xlfn.XLOOKUP(B849,AI_NAMES!D:D,AI_NAMES!E:E,"",0))</f>
        <v>0</v>
      </c>
    </row>
    <row r="850" spans="1:16" x14ac:dyDescent="0.2">
      <c r="A850" t="s">
        <v>946</v>
      </c>
      <c r="B850" t="str">
        <f>IF(O850&lt;&gt;"",O850,_xlfn.XLOOKUP(A850,AI_NAMES!C:C,AI_NAMES!D:D,"",0))</f>
        <v>AnyLegendsMsg</v>
      </c>
      <c r="E850" t="str">
        <f t="shared" si="58"/>
        <v/>
      </c>
      <c r="G850" s="5" t="str">
        <f t="shared" si="59"/>
        <v/>
      </c>
      <c r="I850" s="6" t="str">
        <f t="shared" si="57"/>
        <v>0</v>
      </c>
      <c r="O850" t="s">
        <v>946</v>
      </c>
      <c r="P850" t="str">
        <f>IF(C850&lt;&gt;"",C850,_xlfn.XLOOKUP(B850,AI_NAMES!D:D,AI_NAMES!E:E,"",0))</f>
        <v/>
      </c>
    </row>
    <row r="851" spans="1:16" x14ac:dyDescent="0.2">
      <c r="A851" t="s">
        <v>947</v>
      </c>
      <c r="B851" t="str">
        <f>IF(O851&lt;&gt;"",O851,_xlfn.XLOOKUP(A851,AI_NAMES!C:C,AI_NAMES!D:D,"",0))</f>
        <v>AnyEnchantedMsg</v>
      </c>
      <c r="E851" t="str">
        <f t="shared" si="58"/>
        <v/>
      </c>
      <c r="G851" s="5" t="str">
        <f t="shared" si="59"/>
        <v/>
      </c>
      <c r="I851" s="6" t="str">
        <f t="shared" si="57"/>
        <v>0</v>
      </c>
      <c r="O851" t="s">
        <v>947</v>
      </c>
      <c r="P851" t="str">
        <f>IF(C851&lt;&gt;"",C851,_xlfn.XLOOKUP(B851,AI_NAMES!D:D,AI_NAMES!E:E,"",0))</f>
        <v/>
      </c>
    </row>
    <row r="852" spans="1:16" x14ac:dyDescent="0.2">
      <c r="A852" t="s">
        <v>948</v>
      </c>
      <c r="B852" t="str">
        <f>IF(O852&lt;&gt;"",O852,_xlfn.XLOOKUP(A852,AI_NAMES!C:C,AI_NAMES!D:D,"",0))</f>
        <v>AnyWeaponsMsg</v>
      </c>
      <c r="E852" t="str">
        <f t="shared" si="58"/>
        <v/>
      </c>
      <c r="G852" s="5" t="str">
        <f t="shared" si="59"/>
        <v/>
      </c>
      <c r="I852" s="6" t="str">
        <f t="shared" si="57"/>
        <v>0</v>
      </c>
      <c r="O852" t="s">
        <v>948</v>
      </c>
      <c r="P852" t="str">
        <f>IF(C852&lt;&gt;"",C852,_xlfn.XLOOKUP(B852,AI_NAMES!D:D,AI_NAMES!E:E,"",0))</f>
        <v/>
      </c>
    </row>
    <row r="853" spans="1:16" x14ac:dyDescent="0.2">
      <c r="A853" t="s">
        <v>949</v>
      </c>
      <c r="B853" t="str">
        <f>IF(O853&lt;&gt;"",O853,_xlfn.XLOOKUP(A853,AI_NAMES!C:C,AI_NAMES!D:D,"",0))</f>
        <v>AnyPowerfulMsg</v>
      </c>
      <c r="E853" t="str">
        <f t="shared" si="58"/>
        <v/>
      </c>
      <c r="G853" s="5" t="str">
        <f t="shared" si="59"/>
        <v/>
      </c>
      <c r="I853" s="6" t="str">
        <f t="shared" si="57"/>
        <v>0</v>
      </c>
      <c r="O853" t="s">
        <v>949</v>
      </c>
      <c r="P853" t="str">
        <f>IF(C853&lt;&gt;"",C853,_xlfn.XLOOKUP(B853,AI_NAMES!D:D,AI_NAMES!E:E,"",0))</f>
        <v/>
      </c>
    </row>
    <row r="854" spans="1:16" x14ac:dyDescent="0.2">
      <c r="A854" t="s">
        <v>950</v>
      </c>
      <c r="B854" t="str">
        <f>IF(O854&lt;&gt;"",O854,_xlfn.XLOOKUP(A854,AI_NAMES!C:C,AI_NAMES!D:D,"",0))</f>
        <v/>
      </c>
      <c r="E854" t="str">
        <f t="shared" si="58"/>
        <v/>
      </c>
      <c r="G854" s="5" t="str">
        <f t="shared" si="59"/>
        <v/>
      </c>
      <c r="I854" s="6" t="str">
        <f t="shared" si="57"/>
        <v>0</v>
      </c>
      <c r="O854" t="s">
        <v>321</v>
      </c>
      <c r="P854">
        <f>IF(C854&lt;&gt;"",C854,_xlfn.XLOOKUP(B854,AI_NAMES!D:D,AI_NAMES!E:E,"",0))</f>
        <v>0</v>
      </c>
    </row>
    <row r="855" spans="1:16" x14ac:dyDescent="0.2">
      <c r="A855" t="s">
        <v>951</v>
      </c>
      <c r="B855" t="str">
        <f>IF(O855&lt;&gt;"",O855,_xlfn.XLOOKUP(A855,AI_NAMES!C:C,AI_NAMES!D:D,"",0))</f>
        <v/>
      </c>
      <c r="E855" t="str">
        <f t="shared" si="58"/>
        <v/>
      </c>
      <c r="G855" s="5" t="str">
        <f t="shared" si="59"/>
        <v/>
      </c>
      <c r="I855" s="6" t="str">
        <f t="shared" si="57"/>
        <v>0</v>
      </c>
      <c r="O855" t="s">
        <v>321</v>
      </c>
      <c r="P855">
        <f>IF(C855&lt;&gt;"",C855,_xlfn.XLOOKUP(B855,AI_NAMES!D:D,AI_NAMES!E:E,"",0))</f>
        <v>0</v>
      </c>
    </row>
    <row r="856" spans="1:16" x14ac:dyDescent="0.2">
      <c r="A856" t="s">
        <v>952</v>
      </c>
      <c r="B856" t="str">
        <f>IF(O856&lt;&gt;"",O856,_xlfn.XLOOKUP(A856,AI_NAMES!C:C,AI_NAMES!D:D,"",0))</f>
        <v/>
      </c>
      <c r="E856" t="str">
        <f t="shared" si="58"/>
        <v/>
      </c>
      <c r="G856" s="5" t="str">
        <f t="shared" si="59"/>
        <v/>
      </c>
      <c r="I856" s="6" t="str">
        <f t="shared" si="57"/>
        <v>0</v>
      </c>
      <c r="O856" t="s">
        <v>321</v>
      </c>
      <c r="P856">
        <f>IF(C856&lt;&gt;"",C856,_xlfn.XLOOKUP(B856,AI_NAMES!D:D,AI_NAMES!E:E,"",0))</f>
        <v>0</v>
      </c>
    </row>
    <row r="857" spans="1:16" x14ac:dyDescent="0.2">
      <c r="A857" t="s">
        <v>953</v>
      </c>
      <c r="B857" t="str">
        <f>IF(O857&lt;&gt;"",O857,_xlfn.XLOOKUP(A857,AI_NAMES!C:C,AI_NAMES!D:D,"",0))</f>
        <v/>
      </c>
      <c r="E857" t="str">
        <f t="shared" si="58"/>
        <v/>
      </c>
      <c r="G857" s="5" t="str">
        <f t="shared" si="59"/>
        <v/>
      </c>
      <c r="I857" s="6" t="str">
        <f t="shared" si="57"/>
        <v>0</v>
      </c>
      <c r="O857" t="s">
        <v>321</v>
      </c>
      <c r="P857">
        <f>IF(C857&lt;&gt;"",C857,_xlfn.XLOOKUP(B857,AI_NAMES!D:D,AI_NAMES!E:E,"",0))</f>
        <v>0</v>
      </c>
    </row>
    <row r="858" spans="1:16" x14ac:dyDescent="0.2">
      <c r="A858" t="s">
        <v>954</v>
      </c>
      <c r="B858" t="str">
        <f>IF(O858&lt;&gt;"",O858,_xlfn.XLOOKUP(A858,AI_NAMES!C:C,AI_NAMES!D:D,"",0))</f>
        <v/>
      </c>
      <c r="E858" t="str">
        <f t="shared" si="58"/>
        <v/>
      </c>
      <c r="G858" s="5" t="str">
        <f t="shared" si="59"/>
        <v/>
      </c>
      <c r="I858" s="6" t="str">
        <f t="shared" si="57"/>
        <v>0</v>
      </c>
      <c r="O858" t="s">
        <v>321</v>
      </c>
      <c r="P858">
        <f>IF(C858&lt;&gt;"",C858,_xlfn.XLOOKUP(B858,AI_NAMES!D:D,AI_NAMES!E:E,"",0))</f>
        <v>0</v>
      </c>
    </row>
    <row r="859" spans="1:16" x14ac:dyDescent="0.2">
      <c r="A859" t="s">
        <v>955</v>
      </c>
      <c r="B859" t="str">
        <f>IF(O859&lt;&gt;"",O859,_xlfn.XLOOKUP(A859,AI_NAMES!C:C,AI_NAMES!D:D,"",0))</f>
        <v/>
      </c>
      <c r="E859" t="str">
        <f t="shared" si="58"/>
        <v/>
      </c>
      <c r="G859" s="5" t="str">
        <f t="shared" si="59"/>
        <v/>
      </c>
      <c r="I859" s="6" t="str">
        <f t="shared" si="57"/>
        <v>0</v>
      </c>
      <c r="O859" t="s">
        <v>321</v>
      </c>
      <c r="P859">
        <f>IF(C859&lt;&gt;"",C859,_xlfn.XLOOKUP(B859,AI_NAMES!D:D,AI_NAMES!E:E,"",0))</f>
        <v>0</v>
      </c>
    </row>
    <row r="860" spans="1:16" x14ac:dyDescent="0.2">
      <c r="A860" t="s">
        <v>956</v>
      </c>
      <c r="B860" t="str">
        <f>IF(O860&lt;&gt;"",O860,_xlfn.XLOOKUP(A860,AI_NAMES!C:C,AI_NAMES!D:D,"",0))</f>
        <v/>
      </c>
      <c r="E860" t="str">
        <f t="shared" si="58"/>
        <v/>
      </c>
      <c r="G860" s="5" t="str">
        <f t="shared" si="59"/>
        <v/>
      </c>
      <c r="I860" s="6" t="str">
        <f t="shared" si="57"/>
        <v>0</v>
      </c>
      <c r="O860" t="s">
        <v>321</v>
      </c>
      <c r="P860">
        <f>IF(C860&lt;&gt;"",C860,_xlfn.XLOOKUP(B860,AI_NAMES!D:D,AI_NAMES!E:E,"",0))</f>
        <v>0</v>
      </c>
    </row>
    <row r="861" spans="1:16" x14ac:dyDescent="0.2">
      <c r="A861" t="s">
        <v>957</v>
      </c>
      <c r="B861" t="str">
        <f>IF(O861&lt;&gt;"",O861,_xlfn.XLOOKUP(A861,AI_NAMES!C:C,AI_NAMES!D:D,"",0))</f>
        <v/>
      </c>
      <c r="E861" t="str">
        <f t="shared" si="58"/>
        <v/>
      </c>
      <c r="G861" s="5" t="str">
        <f t="shared" si="59"/>
        <v/>
      </c>
      <c r="I861" s="6" t="str">
        <f t="shared" si="57"/>
        <v>0</v>
      </c>
      <c r="O861" t="s">
        <v>321</v>
      </c>
      <c r="P861">
        <f>IF(C861&lt;&gt;"",C861,_xlfn.XLOOKUP(B861,AI_NAMES!D:D,AI_NAMES!E:E,"",0))</f>
        <v>0</v>
      </c>
    </row>
    <row r="862" spans="1:16" x14ac:dyDescent="0.2">
      <c r="A862" t="s">
        <v>958</v>
      </c>
      <c r="B862" t="str">
        <f>IF(O862&lt;&gt;"",O862,_xlfn.XLOOKUP(A862,AI_NAMES!C:C,AI_NAMES!D:D,"",0))</f>
        <v/>
      </c>
      <c r="E862" t="str">
        <f t="shared" si="58"/>
        <v/>
      </c>
      <c r="G862" s="5" t="str">
        <f t="shared" si="59"/>
        <v/>
      </c>
      <c r="I862" s="6" t="str">
        <f t="shared" si="57"/>
        <v>0</v>
      </c>
      <c r="O862" t="s">
        <v>321</v>
      </c>
      <c r="P862">
        <f>IF(C862&lt;&gt;"",C862,_xlfn.XLOOKUP(B862,AI_NAMES!D:D,AI_NAMES!E:E,"",0))</f>
        <v>0</v>
      </c>
    </row>
    <row r="863" spans="1:16" x14ac:dyDescent="0.2">
      <c r="A863" t="s">
        <v>959</v>
      </c>
      <c r="B863" t="str">
        <f>IF(O863&lt;&gt;"",O863,_xlfn.XLOOKUP(A863,AI_NAMES!C:C,AI_NAMES!D:D,"",0))</f>
        <v/>
      </c>
      <c r="E863" t="str">
        <f t="shared" si="58"/>
        <v/>
      </c>
      <c r="G863" s="5" t="str">
        <f t="shared" si="59"/>
        <v/>
      </c>
      <c r="I863" s="6" t="str">
        <f t="shared" si="57"/>
        <v>0</v>
      </c>
      <c r="O863" t="s">
        <v>321</v>
      </c>
      <c r="P863">
        <f>IF(C863&lt;&gt;"",C863,_xlfn.XLOOKUP(B863,AI_NAMES!D:D,AI_NAMES!E:E,"",0))</f>
        <v>0</v>
      </c>
    </row>
    <row r="864" spans="1:16" x14ac:dyDescent="0.2">
      <c r="A864" t="s">
        <v>960</v>
      </c>
      <c r="B864" t="str">
        <f>IF(O864&lt;&gt;"",O864,_xlfn.XLOOKUP(A864,AI_NAMES!C:C,AI_NAMES!D:D,"",0))</f>
        <v/>
      </c>
      <c r="E864" t="str">
        <f t="shared" si="58"/>
        <v/>
      </c>
      <c r="G864" s="5" t="str">
        <f t="shared" si="59"/>
        <v/>
      </c>
      <c r="I864" s="6" t="str">
        <f t="shared" si="57"/>
        <v>0</v>
      </c>
      <c r="O864" t="s">
        <v>321</v>
      </c>
      <c r="P864">
        <f>IF(C864&lt;&gt;"",C864,_xlfn.XLOOKUP(B864,AI_NAMES!D:D,AI_NAMES!E:E,"",0))</f>
        <v>0</v>
      </c>
    </row>
    <row r="865" spans="1:16" x14ac:dyDescent="0.2">
      <c r="A865" t="s">
        <v>961</v>
      </c>
      <c r="B865" t="str">
        <f>IF(O865&lt;&gt;"",O865,_xlfn.XLOOKUP(A865,AI_NAMES!C:C,AI_NAMES!D:D,"",0))</f>
        <v/>
      </c>
      <c r="E865" t="str">
        <f t="shared" si="58"/>
        <v/>
      </c>
      <c r="G865" s="5" t="str">
        <f t="shared" si="59"/>
        <v/>
      </c>
      <c r="I865" s="6" t="str">
        <f t="shared" si="57"/>
        <v>0</v>
      </c>
      <c r="O865" t="s">
        <v>321</v>
      </c>
      <c r="P865">
        <f>IF(C865&lt;&gt;"",C865,_xlfn.XLOOKUP(B865,AI_NAMES!D:D,AI_NAMES!E:E,"",0))</f>
        <v>0</v>
      </c>
    </row>
    <row r="866" spans="1:16" x14ac:dyDescent="0.2">
      <c r="A866" t="s">
        <v>962</v>
      </c>
      <c r="B866" t="str">
        <f>IF(O866&lt;&gt;"",O866,_xlfn.XLOOKUP(A866,AI_NAMES!C:C,AI_NAMES!D:D,"",0))</f>
        <v/>
      </c>
      <c r="E866" t="str">
        <f t="shared" si="58"/>
        <v/>
      </c>
      <c r="G866" s="5" t="str">
        <f t="shared" si="59"/>
        <v/>
      </c>
      <c r="I866" s="6" t="str">
        <f t="shared" si="57"/>
        <v>0</v>
      </c>
      <c r="O866" t="s">
        <v>321</v>
      </c>
      <c r="P866">
        <f>IF(C866&lt;&gt;"",C866,_xlfn.XLOOKUP(B866,AI_NAMES!D:D,AI_NAMES!E:E,"",0))</f>
        <v>0</v>
      </c>
    </row>
    <row r="867" spans="1:16" x14ac:dyDescent="0.2">
      <c r="A867" t="s">
        <v>963</v>
      </c>
      <c r="B867" t="str">
        <f>IF(O867&lt;&gt;"",O867,_xlfn.XLOOKUP(A867,AI_NAMES!C:C,AI_NAMES!D:D,"",0))</f>
        <v/>
      </c>
      <c r="E867" t="str">
        <f t="shared" si="58"/>
        <v/>
      </c>
      <c r="G867" s="5" t="str">
        <f t="shared" si="59"/>
        <v/>
      </c>
      <c r="I867" s="6" t="str">
        <f t="shared" si="57"/>
        <v>0</v>
      </c>
      <c r="O867" t="s">
        <v>321</v>
      </c>
      <c r="P867">
        <f>IF(C867&lt;&gt;"",C867,_xlfn.XLOOKUP(B867,AI_NAMES!D:D,AI_NAMES!E:E,"",0))</f>
        <v>0</v>
      </c>
    </row>
    <row r="868" spans="1:16" x14ac:dyDescent="0.2">
      <c r="A868" t="s">
        <v>964</v>
      </c>
      <c r="B868" t="str">
        <f>IF(O868&lt;&gt;"",O868,_xlfn.XLOOKUP(A868,AI_NAMES!C:C,AI_NAMES!D:D,"",0))</f>
        <v/>
      </c>
      <c r="E868" t="str">
        <f t="shared" si="58"/>
        <v/>
      </c>
      <c r="G868" s="5" t="str">
        <f t="shared" si="59"/>
        <v/>
      </c>
      <c r="I868" s="6" t="str">
        <f t="shared" si="57"/>
        <v>0</v>
      </c>
      <c r="O868" t="s">
        <v>321</v>
      </c>
      <c r="P868">
        <f>IF(C868&lt;&gt;"",C868,_xlfn.XLOOKUP(B868,AI_NAMES!D:D,AI_NAMES!E:E,"",0))</f>
        <v>0</v>
      </c>
    </row>
    <row r="869" spans="1:16" x14ac:dyDescent="0.2">
      <c r="A869" t="s">
        <v>965</v>
      </c>
      <c r="B869" t="str">
        <f>IF(O869&lt;&gt;"",O869,_xlfn.XLOOKUP(A869,AI_NAMES!C:C,AI_NAMES!D:D,"",0))</f>
        <v/>
      </c>
      <c r="E869" t="str">
        <f t="shared" si="58"/>
        <v/>
      </c>
      <c r="G869" s="5" t="str">
        <f t="shared" si="59"/>
        <v/>
      </c>
      <c r="I869" s="6" t="str">
        <f t="shared" si="57"/>
        <v>0</v>
      </c>
      <c r="O869" t="s">
        <v>321</v>
      </c>
      <c r="P869">
        <f>IF(C869&lt;&gt;"",C869,_xlfn.XLOOKUP(B869,AI_NAMES!D:D,AI_NAMES!E:E,"",0))</f>
        <v>0</v>
      </c>
    </row>
    <row r="870" spans="1:16" x14ac:dyDescent="0.2">
      <c r="A870" t="s">
        <v>966</v>
      </c>
      <c r="B870" t="str">
        <f>IF(O870&lt;&gt;"",O870,_xlfn.XLOOKUP(A870,AI_NAMES!C:C,AI_NAMES!D:D,"",0))</f>
        <v/>
      </c>
      <c r="E870" t="str">
        <f t="shared" si="58"/>
        <v/>
      </c>
      <c r="G870" s="5" t="str">
        <f t="shared" si="59"/>
        <v/>
      </c>
      <c r="I870" s="6" t="str">
        <f t="shared" si="57"/>
        <v>0</v>
      </c>
      <c r="O870" t="s">
        <v>321</v>
      </c>
      <c r="P870">
        <f>IF(C870&lt;&gt;"",C870,_xlfn.XLOOKUP(B870,AI_NAMES!D:D,AI_NAMES!E:E,"",0))</f>
        <v>0</v>
      </c>
    </row>
    <row r="871" spans="1:16" x14ac:dyDescent="0.2">
      <c r="A871" t="s">
        <v>967</v>
      </c>
      <c r="B871" t="str">
        <f>IF(O871&lt;&gt;"",O871,_xlfn.XLOOKUP(A871,AI_NAMES!C:C,AI_NAMES!D:D,"",0))</f>
        <v/>
      </c>
      <c r="E871" t="str">
        <f t="shared" si="58"/>
        <v/>
      </c>
      <c r="G871" s="5" t="str">
        <f t="shared" si="59"/>
        <v/>
      </c>
      <c r="I871" s="6" t="str">
        <f t="shared" si="57"/>
        <v>0</v>
      </c>
      <c r="O871" t="s">
        <v>321</v>
      </c>
      <c r="P871">
        <f>IF(C871&lt;&gt;"",C871,_xlfn.XLOOKUP(B871,AI_NAMES!D:D,AI_NAMES!E:E,"",0))</f>
        <v>0</v>
      </c>
    </row>
    <row r="872" spans="1:16" x14ac:dyDescent="0.2">
      <c r="A872" t="s">
        <v>968</v>
      </c>
      <c r="B872" t="str">
        <f>IF(O872&lt;&gt;"",O872,_xlfn.XLOOKUP(A872,AI_NAMES!C:C,AI_NAMES!D:D,"",0))</f>
        <v/>
      </c>
      <c r="E872" t="str">
        <f t="shared" si="58"/>
        <v/>
      </c>
      <c r="G872" s="5" t="str">
        <f t="shared" si="59"/>
        <v/>
      </c>
      <c r="I872" s="6" t="str">
        <f t="shared" si="57"/>
        <v>0</v>
      </c>
      <c r="O872" t="s">
        <v>321</v>
      </c>
      <c r="P872">
        <f>IF(C872&lt;&gt;"",C872,_xlfn.XLOOKUP(B872,AI_NAMES!D:D,AI_NAMES!E:E,"",0))</f>
        <v>0</v>
      </c>
    </row>
    <row r="873" spans="1:16" x14ac:dyDescent="0.2">
      <c r="A873" t="s">
        <v>969</v>
      </c>
      <c r="B873" t="str">
        <f>IF(O873&lt;&gt;"",O873,_xlfn.XLOOKUP(A873,AI_NAMES!C:C,AI_NAMES!D:D,"",0))</f>
        <v/>
      </c>
      <c r="E873" t="str">
        <f t="shared" si="58"/>
        <v/>
      </c>
      <c r="G873" s="5" t="str">
        <f t="shared" si="59"/>
        <v/>
      </c>
      <c r="I873" s="6" t="str">
        <f t="shared" si="57"/>
        <v>0</v>
      </c>
      <c r="O873" t="s">
        <v>321</v>
      </c>
      <c r="P873">
        <f>IF(C873&lt;&gt;"",C873,_xlfn.XLOOKUP(B873,AI_NAMES!D:D,AI_NAMES!E:E,"",0))</f>
        <v>0</v>
      </c>
    </row>
    <row r="874" spans="1:16" x14ac:dyDescent="0.2">
      <c r="A874" t="s">
        <v>970</v>
      </c>
      <c r="B874" t="str">
        <f>IF(O874&lt;&gt;"",O874,_xlfn.XLOOKUP(A874,AI_NAMES!C:C,AI_NAMES!D:D,"",0))</f>
        <v/>
      </c>
      <c r="E874" t="str">
        <f t="shared" si="58"/>
        <v/>
      </c>
      <c r="G874" s="5" t="str">
        <f t="shared" si="59"/>
        <v/>
      </c>
      <c r="I874" s="6" t="str">
        <f t="shared" si="57"/>
        <v>0</v>
      </c>
      <c r="O874" t="s">
        <v>321</v>
      </c>
      <c r="P874">
        <f>IF(C874&lt;&gt;"",C874,_xlfn.XLOOKUP(B874,AI_NAMES!D:D,AI_NAMES!E:E,"",0))</f>
        <v>0</v>
      </c>
    </row>
    <row r="875" spans="1:16" x14ac:dyDescent="0.2">
      <c r="A875" t="s">
        <v>971</v>
      </c>
      <c r="B875" t="str">
        <f>IF(O875&lt;&gt;"",O875,_xlfn.XLOOKUP(A875,AI_NAMES!C:C,AI_NAMES!D:D,"",0))</f>
        <v/>
      </c>
      <c r="E875" t="str">
        <f t="shared" si="58"/>
        <v/>
      </c>
      <c r="G875" s="5" t="str">
        <f t="shared" si="59"/>
        <v/>
      </c>
      <c r="I875" s="6" t="str">
        <f t="shared" si="57"/>
        <v>0</v>
      </c>
      <c r="O875" t="s">
        <v>321</v>
      </c>
      <c r="P875">
        <f>IF(C875&lt;&gt;"",C875,_xlfn.XLOOKUP(B875,AI_NAMES!D:D,AI_NAMES!E:E,"",0))</f>
        <v>0</v>
      </c>
    </row>
    <row r="876" spans="1:16" x14ac:dyDescent="0.2">
      <c r="A876" t="s">
        <v>972</v>
      </c>
      <c r="B876" t="str">
        <f>IF(O876&lt;&gt;"",O876,_xlfn.XLOOKUP(A876,AI_NAMES!C:C,AI_NAMES!D:D,"",0))</f>
        <v/>
      </c>
      <c r="E876" t="str">
        <f t="shared" si="58"/>
        <v/>
      </c>
      <c r="G876" s="5" t="str">
        <f t="shared" si="59"/>
        <v/>
      </c>
      <c r="I876" s="6" t="str">
        <f t="shared" si="57"/>
        <v>0</v>
      </c>
      <c r="O876" t="s">
        <v>321</v>
      </c>
      <c r="P876">
        <f>IF(C876&lt;&gt;"",C876,_xlfn.XLOOKUP(B876,AI_NAMES!D:D,AI_NAMES!E:E,"",0))</f>
        <v>0</v>
      </c>
    </row>
    <row r="877" spans="1:16" x14ac:dyDescent="0.2">
      <c r="A877" t="s">
        <v>973</v>
      </c>
      <c r="B877" t="str">
        <f>IF(O877&lt;&gt;"",O877,_xlfn.XLOOKUP(A877,AI_NAMES!C:C,AI_NAMES!D:D,"",0))</f>
        <v/>
      </c>
      <c r="E877" t="str">
        <f t="shared" si="58"/>
        <v/>
      </c>
      <c r="G877" s="5" t="str">
        <f t="shared" si="59"/>
        <v/>
      </c>
      <c r="I877" s="6" t="str">
        <f t="shared" si="57"/>
        <v>0</v>
      </c>
      <c r="O877" t="s">
        <v>321</v>
      </c>
      <c r="P877">
        <f>IF(C877&lt;&gt;"",C877,_xlfn.XLOOKUP(B877,AI_NAMES!D:D,AI_NAMES!E:E,"",0))</f>
        <v>0</v>
      </c>
    </row>
    <row r="878" spans="1:16" x14ac:dyDescent="0.2">
      <c r="A878" t="s">
        <v>974</v>
      </c>
      <c r="B878" t="str">
        <f>IF(O878&lt;&gt;"",O878,_xlfn.XLOOKUP(A878,AI_NAMES!C:C,AI_NAMES!D:D,"",0))</f>
        <v/>
      </c>
      <c r="E878" t="str">
        <f t="shared" si="58"/>
        <v/>
      </c>
      <c r="G878" s="5" t="str">
        <f t="shared" si="59"/>
        <v/>
      </c>
      <c r="I878" s="6" t="str">
        <f t="shared" si="57"/>
        <v>0</v>
      </c>
      <c r="O878" t="s">
        <v>321</v>
      </c>
      <c r="P878">
        <f>IF(C878&lt;&gt;"",C878,_xlfn.XLOOKUP(B878,AI_NAMES!D:D,AI_NAMES!E:E,"",0))</f>
        <v>0</v>
      </c>
    </row>
    <row r="879" spans="1:16" x14ac:dyDescent="0.2">
      <c r="A879" t="s">
        <v>975</v>
      </c>
      <c r="B879" t="str">
        <f>IF(O879&lt;&gt;"",O879,_xlfn.XLOOKUP(A879,AI_NAMES!C:C,AI_NAMES!D:D,"",0))</f>
        <v/>
      </c>
      <c r="E879" t="str">
        <f t="shared" si="58"/>
        <v/>
      </c>
      <c r="G879" s="5" t="str">
        <f t="shared" si="59"/>
        <v/>
      </c>
      <c r="I879" s="6" t="str">
        <f t="shared" si="57"/>
        <v>0</v>
      </c>
      <c r="O879" t="s">
        <v>321</v>
      </c>
      <c r="P879">
        <f>IF(C879&lt;&gt;"",C879,_xlfn.XLOOKUP(B879,AI_NAMES!D:D,AI_NAMES!E:E,"",0))</f>
        <v>0</v>
      </c>
    </row>
    <row r="880" spans="1:16" x14ac:dyDescent="0.2">
      <c r="A880" t="s">
        <v>976</v>
      </c>
      <c r="B880" t="str">
        <f>IF(O880&lt;&gt;"",O880,_xlfn.XLOOKUP(A880,AI_NAMES!C:C,AI_NAMES!D:D,"",0))</f>
        <v/>
      </c>
      <c r="E880" t="str">
        <f t="shared" si="58"/>
        <v/>
      </c>
      <c r="G880" s="5" t="str">
        <f t="shared" si="59"/>
        <v/>
      </c>
      <c r="I880" s="6" t="str">
        <f t="shared" si="57"/>
        <v>0</v>
      </c>
      <c r="O880" t="s">
        <v>321</v>
      </c>
      <c r="P880">
        <f>IF(C880&lt;&gt;"",C880,_xlfn.XLOOKUP(B880,AI_NAMES!D:D,AI_NAMES!E:E,"",0))</f>
        <v>0</v>
      </c>
    </row>
    <row r="881" spans="1:16" x14ac:dyDescent="0.2">
      <c r="A881" t="s">
        <v>977</v>
      </c>
      <c r="B881" t="str">
        <f>IF(O881&lt;&gt;"",O881,_xlfn.XLOOKUP(A881,AI_NAMES!C:C,AI_NAMES!D:D,"",0))</f>
        <v/>
      </c>
      <c r="E881" t="str">
        <f t="shared" si="58"/>
        <v/>
      </c>
      <c r="G881" s="5" t="str">
        <f t="shared" si="59"/>
        <v/>
      </c>
      <c r="I881" s="6" t="str">
        <f t="shared" si="57"/>
        <v>0</v>
      </c>
      <c r="O881" t="s">
        <v>321</v>
      </c>
      <c r="P881">
        <f>IF(C881&lt;&gt;"",C881,_xlfn.XLOOKUP(B881,AI_NAMES!D:D,AI_NAMES!E:E,"",0))</f>
        <v>0</v>
      </c>
    </row>
    <row r="882" spans="1:16" x14ac:dyDescent="0.2">
      <c r="A882" t="s">
        <v>978</v>
      </c>
      <c r="B882" t="str">
        <f>IF(O882&lt;&gt;"",O882,_xlfn.XLOOKUP(A882,AI_NAMES!C:C,AI_NAMES!D:D,"",0))</f>
        <v/>
      </c>
      <c r="E882" t="str">
        <f t="shared" si="58"/>
        <v/>
      </c>
      <c r="G882" s="5" t="str">
        <f t="shared" si="59"/>
        <v/>
      </c>
      <c r="I882" s="6" t="str">
        <f t="shared" si="57"/>
        <v>0</v>
      </c>
      <c r="O882" t="s">
        <v>321</v>
      </c>
      <c r="P882">
        <f>IF(C882&lt;&gt;"",C882,_xlfn.XLOOKUP(B882,AI_NAMES!D:D,AI_NAMES!E:E,"",0))</f>
        <v>0</v>
      </c>
    </row>
    <row r="883" spans="1:16" x14ac:dyDescent="0.2">
      <c r="A883" t="s">
        <v>979</v>
      </c>
      <c r="B883" t="str">
        <f>IF(O883&lt;&gt;"",O883,_xlfn.XLOOKUP(A883,AI_NAMES!C:C,AI_NAMES!D:D,"",0))</f>
        <v/>
      </c>
      <c r="E883" t="str">
        <f t="shared" si="58"/>
        <v/>
      </c>
      <c r="G883" s="5" t="str">
        <f t="shared" si="59"/>
        <v/>
      </c>
      <c r="I883" s="6" t="str">
        <f t="shared" si="57"/>
        <v>0</v>
      </c>
      <c r="O883" t="s">
        <v>321</v>
      </c>
      <c r="P883">
        <f>IF(C883&lt;&gt;"",C883,_xlfn.XLOOKUP(B883,AI_NAMES!D:D,AI_NAMES!E:E,"",0))</f>
        <v>0</v>
      </c>
    </row>
    <row r="884" spans="1:16" x14ac:dyDescent="0.2">
      <c r="A884" t="s">
        <v>980</v>
      </c>
      <c r="B884" t="str">
        <f>IF(O884&lt;&gt;"",O884,_xlfn.XLOOKUP(A884,AI_NAMES!C:C,AI_NAMES!D:D,"",0))</f>
        <v/>
      </c>
      <c r="E884" t="str">
        <f t="shared" si="58"/>
        <v/>
      </c>
      <c r="G884" s="5" t="str">
        <f t="shared" si="59"/>
        <v/>
      </c>
      <c r="I884" s="6" t="str">
        <f t="shared" si="57"/>
        <v>0</v>
      </c>
      <c r="O884" t="s">
        <v>321</v>
      </c>
      <c r="P884">
        <f>IF(C884&lt;&gt;"",C884,_xlfn.XLOOKUP(B884,AI_NAMES!D:D,AI_NAMES!E:E,"",0))</f>
        <v>0</v>
      </c>
    </row>
    <row r="885" spans="1:16" x14ac:dyDescent="0.2">
      <c r="A885" t="s">
        <v>981</v>
      </c>
      <c r="B885" t="str">
        <f>IF(O885&lt;&gt;"",O885,_xlfn.XLOOKUP(A885,AI_NAMES!C:C,AI_NAMES!D:D,"",0))</f>
        <v/>
      </c>
      <c r="E885" t="str">
        <f t="shared" si="58"/>
        <v/>
      </c>
      <c r="G885" s="5" t="str">
        <f t="shared" si="59"/>
        <v/>
      </c>
      <c r="I885" s="6" t="str">
        <f t="shared" si="57"/>
        <v>0</v>
      </c>
      <c r="O885" t="s">
        <v>321</v>
      </c>
      <c r="P885">
        <f>IF(C885&lt;&gt;"",C885,_xlfn.XLOOKUP(B885,AI_NAMES!D:D,AI_NAMES!E:E,"",0))</f>
        <v>0</v>
      </c>
    </row>
    <row r="886" spans="1:16" x14ac:dyDescent="0.2">
      <c r="A886" t="s">
        <v>982</v>
      </c>
      <c r="B886" t="str">
        <f>IF(O886&lt;&gt;"",O886,_xlfn.XLOOKUP(A886,AI_NAMES!C:C,AI_NAMES!D:D,"",0))</f>
        <v/>
      </c>
      <c r="E886" t="str">
        <f t="shared" si="58"/>
        <v/>
      </c>
      <c r="G886" s="5" t="str">
        <f t="shared" si="59"/>
        <v/>
      </c>
      <c r="I886" s="6" t="str">
        <f t="shared" si="57"/>
        <v>0</v>
      </c>
      <c r="O886" t="s">
        <v>321</v>
      </c>
      <c r="P886">
        <f>IF(C886&lt;&gt;"",C886,_xlfn.XLOOKUP(B886,AI_NAMES!D:D,AI_NAMES!E:E,"",0))</f>
        <v>0</v>
      </c>
    </row>
    <row r="887" spans="1:16" x14ac:dyDescent="0.2">
      <c r="A887" t="s">
        <v>983</v>
      </c>
      <c r="B887" t="str">
        <f>IF(O887&lt;&gt;"",O887,_xlfn.XLOOKUP(A887,AI_NAMES!C:C,AI_NAMES!D:D,"",0))</f>
        <v/>
      </c>
      <c r="E887" t="str">
        <f t="shared" si="58"/>
        <v/>
      </c>
      <c r="G887" s="5" t="str">
        <f t="shared" si="59"/>
        <v/>
      </c>
      <c r="I887" s="6" t="str">
        <f t="shared" si="57"/>
        <v>0</v>
      </c>
      <c r="O887" t="s">
        <v>321</v>
      </c>
      <c r="P887">
        <f>IF(C887&lt;&gt;"",C887,_xlfn.XLOOKUP(B887,AI_NAMES!D:D,AI_NAMES!E:E,"",0))</f>
        <v>0</v>
      </c>
    </row>
    <row r="888" spans="1:16" x14ac:dyDescent="0.2">
      <c r="A888" t="s">
        <v>984</v>
      </c>
      <c r="B888" t="str">
        <f>IF(O888&lt;&gt;"",O888,_xlfn.XLOOKUP(A888,AI_NAMES!C:C,AI_NAMES!D:D,"",0))</f>
        <v/>
      </c>
      <c r="E888" t="str">
        <f t="shared" si="58"/>
        <v/>
      </c>
      <c r="G888" s="5" t="str">
        <f t="shared" si="59"/>
        <v/>
      </c>
      <c r="I888" s="6" t="str">
        <f t="shared" si="57"/>
        <v>0</v>
      </c>
      <c r="O888" t="s">
        <v>321</v>
      </c>
      <c r="P888">
        <f>IF(C888&lt;&gt;"",C888,_xlfn.XLOOKUP(B888,AI_NAMES!D:D,AI_NAMES!E:E,"",0))</f>
        <v>0</v>
      </c>
    </row>
    <row r="889" spans="1:16" x14ac:dyDescent="0.2">
      <c r="A889" t="s">
        <v>985</v>
      </c>
      <c r="B889" t="str">
        <f>IF(O889&lt;&gt;"",O889,_xlfn.XLOOKUP(A889,AI_NAMES!C:C,AI_NAMES!D:D,"",0))</f>
        <v/>
      </c>
      <c r="E889" t="str">
        <f t="shared" si="58"/>
        <v/>
      </c>
      <c r="G889" s="5" t="str">
        <f t="shared" si="59"/>
        <v/>
      </c>
      <c r="I889" s="6" t="str">
        <f t="shared" si="57"/>
        <v>0</v>
      </c>
      <c r="O889" t="s">
        <v>321</v>
      </c>
      <c r="P889">
        <f>IF(C889&lt;&gt;"",C889,_xlfn.XLOOKUP(B889,AI_NAMES!D:D,AI_NAMES!E:E,"",0))</f>
        <v>0</v>
      </c>
    </row>
    <row r="890" spans="1:16" x14ac:dyDescent="0.2">
      <c r="A890" t="s">
        <v>986</v>
      </c>
      <c r="B890" t="str">
        <f>IF(O890&lt;&gt;"",O890,_xlfn.XLOOKUP(A890,AI_NAMES!C:C,AI_NAMES!D:D,"",0))</f>
        <v/>
      </c>
      <c r="E890" t="str">
        <f t="shared" si="58"/>
        <v/>
      </c>
      <c r="G890" s="5" t="str">
        <f t="shared" si="59"/>
        <v/>
      </c>
      <c r="I890" s="6" t="str">
        <f t="shared" si="57"/>
        <v>0</v>
      </c>
      <c r="O890" t="s">
        <v>321</v>
      </c>
      <c r="P890">
        <f>IF(C890&lt;&gt;"",C890,_xlfn.XLOOKUP(B890,AI_NAMES!D:D,AI_NAMES!E:E,"",0))</f>
        <v>0</v>
      </c>
    </row>
    <row r="891" spans="1:16" x14ac:dyDescent="0.2">
      <c r="A891" t="s">
        <v>987</v>
      </c>
      <c r="B891" t="str">
        <f>IF(O891&lt;&gt;"",O891,_xlfn.XLOOKUP(A891,AI_NAMES!C:C,AI_NAMES!D:D,"",0))</f>
        <v/>
      </c>
      <c r="E891" t="str">
        <f t="shared" si="58"/>
        <v/>
      </c>
      <c r="G891" s="5" t="str">
        <f t="shared" si="59"/>
        <v/>
      </c>
      <c r="I891" s="6" t="str">
        <f t="shared" si="57"/>
        <v>0</v>
      </c>
      <c r="O891" t="s">
        <v>321</v>
      </c>
      <c r="P891">
        <f>IF(C891&lt;&gt;"",C891,_xlfn.XLOOKUP(B891,AI_NAMES!D:D,AI_NAMES!E:E,"",0))</f>
        <v>0</v>
      </c>
    </row>
    <row r="892" spans="1:16" x14ac:dyDescent="0.2">
      <c r="A892" t="s">
        <v>988</v>
      </c>
      <c r="B892" t="str">
        <f>IF(O892&lt;&gt;"",O892,_xlfn.XLOOKUP(A892,AI_NAMES!C:C,AI_NAMES!D:D,"",0))</f>
        <v>ReplyToQuestion</v>
      </c>
      <c r="E892" t="str">
        <f t="shared" si="58"/>
        <v/>
      </c>
      <c r="G892" s="5" t="str">
        <f t="shared" si="59"/>
        <v/>
      </c>
      <c r="I892" s="6" t="str">
        <f t="shared" si="57"/>
        <v>0</v>
      </c>
      <c r="O892" t="s">
        <v>988</v>
      </c>
      <c r="P892" t="str">
        <f>IF(C892&lt;&gt;"",C892,_xlfn.XLOOKUP(B892,AI_NAMES!D:D,AI_NAMES!E:E,"",0))</f>
        <v/>
      </c>
    </row>
    <row r="893" spans="1:16" x14ac:dyDescent="0.2">
      <c r="A893" t="s">
        <v>989</v>
      </c>
      <c r="B893" t="str">
        <f>IF(O893&lt;&gt;"",O893,_xlfn.XLOOKUP(A893,AI_NAMES!C:C,AI_NAMES!D:D,"",0))</f>
        <v>AnswerList_Offsets</v>
      </c>
      <c r="E893" t="str">
        <f t="shared" si="58"/>
        <v/>
      </c>
      <c r="G893" s="5" t="str">
        <f t="shared" si="59"/>
        <v/>
      </c>
      <c r="I893" s="6" t="str">
        <f t="shared" si="57"/>
        <v>0</v>
      </c>
      <c r="O893" t="s">
        <v>989</v>
      </c>
      <c r="P893" t="str">
        <f>IF(C893&lt;&gt;"",C893,_xlfn.XLOOKUP(B893,AI_NAMES!D:D,AI_NAMES!E:E,"",0))</f>
        <v/>
      </c>
    </row>
    <row r="894" spans="1:16" x14ac:dyDescent="0.2">
      <c r="A894" t="s">
        <v>990</v>
      </c>
      <c r="B894" t="str">
        <f>IF(O894&lt;&gt;"",O894,_xlfn.XLOOKUP(A894,AI_NAMES!C:C,AI_NAMES!D:D,"",0))</f>
        <v>VeryPossibleMsg_0</v>
      </c>
      <c r="E894" t="str">
        <f t="shared" si="58"/>
        <v/>
      </c>
      <c r="G894" s="5" t="str">
        <f t="shared" si="59"/>
        <v/>
      </c>
      <c r="I894" s="6" t="str">
        <f t="shared" si="57"/>
        <v>0</v>
      </c>
      <c r="O894" t="s">
        <v>990</v>
      </c>
      <c r="P894" t="str">
        <f>IF(C894&lt;&gt;"",C894,_xlfn.XLOOKUP(B894,AI_NAMES!D:D,AI_NAMES!E:E,"",0))</f>
        <v/>
      </c>
    </row>
    <row r="895" spans="1:16" x14ac:dyDescent="0.2">
      <c r="A895" t="s">
        <v>991</v>
      </c>
      <c r="B895" t="str">
        <f>IF(O895&lt;&gt;"",O895,_xlfn.XLOOKUP(A895,AI_NAMES!C:C,AI_NAMES!D:D,"",0))</f>
        <v>VeryPossibleMsg_1</v>
      </c>
      <c r="E895" t="str">
        <f t="shared" si="58"/>
        <v/>
      </c>
      <c r="G895" s="5" t="str">
        <f t="shared" si="59"/>
        <v/>
      </c>
      <c r="I895" s="6" t="str">
        <f t="shared" si="57"/>
        <v>0</v>
      </c>
      <c r="O895" t="s">
        <v>991</v>
      </c>
      <c r="P895" t="str">
        <f>IF(C895&lt;&gt;"",C895,_xlfn.XLOOKUP(B895,AI_NAMES!D:D,AI_NAMES!E:E,"",0))</f>
        <v/>
      </c>
    </row>
    <row r="896" spans="1:16" x14ac:dyDescent="0.2">
      <c r="A896" t="s">
        <v>992</v>
      </c>
      <c r="B896" t="str">
        <f>IF(O896&lt;&gt;"",O896,_xlfn.XLOOKUP(A896,AI_NAMES!C:C,AI_NAMES!D:D,"",0))</f>
        <v>VeryPossibleMsg_2</v>
      </c>
      <c r="E896" t="str">
        <f t="shared" si="58"/>
        <v/>
      </c>
      <c r="G896" s="5" t="str">
        <f t="shared" si="59"/>
        <v/>
      </c>
      <c r="I896" s="6" t="str">
        <f t="shared" si="57"/>
        <v>0</v>
      </c>
      <c r="O896" t="s">
        <v>992</v>
      </c>
      <c r="P896" t="str">
        <f>IF(C896&lt;&gt;"",C896,_xlfn.XLOOKUP(B896,AI_NAMES!D:D,AI_NAMES!E:E,"",0))</f>
        <v/>
      </c>
    </row>
    <row r="897" spans="1:16" x14ac:dyDescent="0.2">
      <c r="A897" t="s">
        <v>993</v>
      </c>
      <c r="B897" t="str">
        <f>IF(O897&lt;&gt;"",O897,_xlfn.XLOOKUP(A897,AI_NAMES!C:C,AI_NAMES!D:D,"",0))</f>
        <v>VeryPossibleMsg_3</v>
      </c>
      <c r="E897" t="str">
        <f t="shared" si="58"/>
        <v/>
      </c>
      <c r="G897" s="5" t="str">
        <f t="shared" si="59"/>
        <v/>
      </c>
      <c r="I897" s="6" t="str">
        <f t="shared" si="57"/>
        <v>0</v>
      </c>
      <c r="O897" t="s">
        <v>993</v>
      </c>
      <c r="P897" t="str">
        <f>IF(C897&lt;&gt;"",C897,_xlfn.XLOOKUP(B897,AI_NAMES!D:D,AI_NAMES!E:E,"",0))</f>
        <v/>
      </c>
    </row>
    <row r="898" spans="1:16" x14ac:dyDescent="0.2">
      <c r="A898" t="s">
        <v>994</v>
      </c>
      <c r="B898" t="str">
        <f>IF(O898&lt;&gt;"",O898,_xlfn.XLOOKUP(A898,AI_NAMES!C:C,AI_NAMES!D:D,"",0))</f>
        <v>AnswerList_00</v>
      </c>
      <c r="E898" t="str">
        <f t="shared" si="58"/>
        <v/>
      </c>
      <c r="G898" s="5" t="str">
        <f t="shared" si="59"/>
        <v/>
      </c>
      <c r="I898" s="6" t="str">
        <f t="shared" si="57"/>
        <v>0</v>
      </c>
      <c r="O898" t="s">
        <v>994</v>
      </c>
      <c r="P898" t="str">
        <f>IF(C898&lt;&gt;"",C898,_xlfn.XLOOKUP(B898,AI_NAMES!D:D,AI_NAMES!E:E,"",0))</f>
        <v/>
      </c>
    </row>
    <row r="899" spans="1:16" x14ac:dyDescent="0.2">
      <c r="A899" t="s">
        <v>995</v>
      </c>
      <c r="B899" t="str">
        <f>IF(O899&lt;&gt;"",O899,_xlfn.XLOOKUP(A899,AI_NAMES!C:C,AI_NAMES!D:D,"",0))</f>
        <v>AnswerList_01</v>
      </c>
      <c r="E899" t="str">
        <f t="shared" si="58"/>
        <v/>
      </c>
      <c r="G899" s="5" t="str">
        <f t="shared" si="59"/>
        <v/>
      </c>
      <c r="I899" s="6" t="str">
        <f t="shared" ref="I899:I962" si="60">IFERROR(DEC2HEX(H899),"")</f>
        <v>0</v>
      </c>
      <c r="O899" t="s">
        <v>995</v>
      </c>
      <c r="P899" t="str">
        <f>IF(C899&lt;&gt;"",C899,_xlfn.XLOOKUP(B899,AI_NAMES!D:D,AI_NAMES!E:E,"",0))</f>
        <v/>
      </c>
    </row>
    <row r="900" spans="1:16" x14ac:dyDescent="0.2">
      <c r="A900" t="s">
        <v>996</v>
      </c>
      <c r="B900" t="str">
        <f>IF(O900&lt;&gt;"",O900,_xlfn.XLOOKUP(A900,AI_NAMES!C:C,AI_NAMES!D:D,"",0))</f>
        <v>AnswerList_02</v>
      </c>
      <c r="E900" t="str">
        <f t="shared" ref="E900:E963" si="61">IF(D900&lt;&gt;"",C900&amp;"/"&amp;D900,"")</f>
        <v/>
      </c>
      <c r="G900" s="5" t="str">
        <f t="shared" si="59"/>
        <v/>
      </c>
      <c r="I900" s="6" t="str">
        <f t="shared" si="60"/>
        <v>0</v>
      </c>
      <c r="O900" t="s">
        <v>996</v>
      </c>
      <c r="P900" t="str">
        <f>IF(C900&lt;&gt;"",C900,_xlfn.XLOOKUP(B900,AI_NAMES!D:D,AI_NAMES!E:E,"",0))</f>
        <v/>
      </c>
    </row>
    <row r="901" spans="1:16" x14ac:dyDescent="0.2">
      <c r="A901" t="s">
        <v>997</v>
      </c>
      <c r="B901" t="str">
        <f>IF(O901&lt;&gt;"",O901,_xlfn.XLOOKUP(A901,AI_NAMES!C:C,AI_NAMES!D:D,"",0))</f>
        <v>AnswerList_03</v>
      </c>
      <c r="E901" t="str">
        <f t="shared" si="61"/>
        <v/>
      </c>
      <c r="G901" s="5" t="str">
        <f t="shared" si="59"/>
        <v/>
      </c>
      <c r="I901" s="6" t="str">
        <f t="shared" si="60"/>
        <v>0</v>
      </c>
      <c r="O901" t="s">
        <v>997</v>
      </c>
      <c r="P901" t="str">
        <f>IF(C901&lt;&gt;"",C901,_xlfn.XLOOKUP(B901,AI_NAMES!D:D,AI_NAMES!E:E,"",0))</f>
        <v/>
      </c>
    </row>
    <row r="902" spans="1:16" x14ac:dyDescent="0.2">
      <c r="A902" t="s">
        <v>998</v>
      </c>
      <c r="B902" t="str">
        <f>IF(O902&lt;&gt;"",O902,_xlfn.XLOOKUP(A902,AI_NAMES!C:C,AI_NAMES!D:D,"",0))</f>
        <v>AnswerList_04</v>
      </c>
      <c r="E902" t="str">
        <f t="shared" si="61"/>
        <v/>
      </c>
      <c r="G902" s="5" t="str">
        <f t="shared" si="59"/>
        <v/>
      </c>
      <c r="I902" s="6" t="str">
        <f t="shared" si="60"/>
        <v>0</v>
      </c>
      <c r="O902" t="s">
        <v>998</v>
      </c>
      <c r="P902" t="str">
        <f>IF(C902&lt;&gt;"",C902,_xlfn.XLOOKUP(B902,AI_NAMES!D:D,AI_NAMES!E:E,"",0))</f>
        <v/>
      </c>
    </row>
    <row r="903" spans="1:16" x14ac:dyDescent="0.2">
      <c r="A903" t="s">
        <v>999</v>
      </c>
      <c r="B903" t="str">
        <f>IF(O903&lt;&gt;"",O903,_xlfn.XLOOKUP(A903,AI_NAMES!C:C,AI_NAMES!D:D,"",0))</f>
        <v>AnswerList_05</v>
      </c>
      <c r="E903" t="str">
        <f t="shared" si="61"/>
        <v/>
      </c>
      <c r="G903" s="5" t="str">
        <f t="shared" si="59"/>
        <v/>
      </c>
      <c r="I903" s="6" t="str">
        <f t="shared" si="60"/>
        <v>0</v>
      </c>
      <c r="O903" t="s">
        <v>999</v>
      </c>
      <c r="P903" t="str">
        <f>IF(C903&lt;&gt;"",C903,_xlfn.XLOOKUP(B903,AI_NAMES!D:D,AI_NAMES!E:E,"",0))</f>
        <v/>
      </c>
    </row>
    <row r="904" spans="1:16" x14ac:dyDescent="0.2">
      <c r="A904" t="s">
        <v>1000</v>
      </c>
      <c r="B904" t="str">
        <f>IF(O904&lt;&gt;"",O904,_xlfn.XLOOKUP(A904,AI_NAMES!C:C,AI_NAMES!D:D,"",0))</f>
        <v>AnswerList_06</v>
      </c>
      <c r="E904" t="str">
        <f t="shared" si="61"/>
        <v/>
      </c>
      <c r="G904" s="5" t="str">
        <f t="shared" si="59"/>
        <v/>
      </c>
      <c r="I904" s="6" t="str">
        <f t="shared" si="60"/>
        <v>0</v>
      </c>
      <c r="O904" t="s">
        <v>1000</v>
      </c>
      <c r="P904" t="str">
        <f>IF(C904&lt;&gt;"",C904,_xlfn.XLOOKUP(B904,AI_NAMES!D:D,AI_NAMES!E:E,"",0))</f>
        <v/>
      </c>
    </row>
    <row r="905" spans="1:16" x14ac:dyDescent="0.2">
      <c r="A905" t="s">
        <v>1001</v>
      </c>
      <c r="B905" t="str">
        <f>IF(O905&lt;&gt;"",O905,_xlfn.XLOOKUP(A905,AI_NAMES!C:C,AI_NAMES!D:D,"",0))</f>
        <v>AnswerList_07</v>
      </c>
      <c r="E905" t="str">
        <f t="shared" si="61"/>
        <v/>
      </c>
      <c r="G905" s="5" t="str">
        <f t="shared" ref="G905:G968" si="62">IF(F905&lt;&gt;"",HEX2DEC(SUBSTITUTE(SUBSTITUTE(F905,"adrEA",""),"$","")),"")</f>
        <v/>
      </c>
      <c r="I905" s="6" t="str">
        <f t="shared" si="60"/>
        <v>0</v>
      </c>
      <c r="O905" t="s">
        <v>1001</v>
      </c>
      <c r="P905" t="str">
        <f>IF(C905&lt;&gt;"",C905,_xlfn.XLOOKUP(B905,AI_NAMES!D:D,AI_NAMES!E:E,"",0))</f>
        <v/>
      </c>
    </row>
    <row r="906" spans="1:16" x14ac:dyDescent="0.2">
      <c r="A906" t="s">
        <v>1002</v>
      </c>
      <c r="B906" t="str">
        <f>IF(O906&lt;&gt;"",O906,_xlfn.XLOOKUP(A906,AI_NAMES!C:C,AI_NAMES!D:D,"",0))</f>
        <v>AnswerList_08</v>
      </c>
      <c r="E906" t="str">
        <f t="shared" si="61"/>
        <v/>
      </c>
      <c r="G906" s="5" t="str">
        <f t="shared" si="62"/>
        <v/>
      </c>
      <c r="I906" s="6" t="str">
        <f t="shared" si="60"/>
        <v>0</v>
      </c>
      <c r="O906" t="s">
        <v>1002</v>
      </c>
      <c r="P906" t="str">
        <f>IF(C906&lt;&gt;"",C906,_xlfn.XLOOKUP(B906,AI_NAMES!D:D,AI_NAMES!E:E,"",0))</f>
        <v/>
      </c>
    </row>
    <row r="907" spans="1:16" x14ac:dyDescent="0.2">
      <c r="A907" t="s">
        <v>1003</v>
      </c>
      <c r="B907" t="str">
        <f>IF(O907&lt;&gt;"",O907,_xlfn.XLOOKUP(A907,AI_NAMES!C:C,AI_NAMES!D:D,"",0))</f>
        <v>AnswerList_09</v>
      </c>
      <c r="E907" t="str">
        <f t="shared" si="61"/>
        <v/>
      </c>
      <c r="G907" s="5" t="str">
        <f t="shared" si="62"/>
        <v/>
      </c>
      <c r="I907" s="6" t="str">
        <f t="shared" si="60"/>
        <v>0</v>
      </c>
      <c r="O907" t="s">
        <v>1003</v>
      </c>
      <c r="P907" t="str">
        <f>IF(C907&lt;&gt;"",C907,_xlfn.XLOOKUP(B907,AI_NAMES!D:D,AI_NAMES!E:E,"",0))</f>
        <v/>
      </c>
    </row>
    <row r="908" spans="1:16" x14ac:dyDescent="0.2">
      <c r="A908" t="s">
        <v>1004</v>
      </c>
      <c r="B908" t="str">
        <f>IF(O908&lt;&gt;"",O908,_xlfn.XLOOKUP(A908,AI_NAMES!C:C,AI_NAMES!D:D,"",0))</f>
        <v>AnswerList_10</v>
      </c>
      <c r="E908" t="str">
        <f t="shared" si="61"/>
        <v/>
      </c>
      <c r="G908" s="5" t="str">
        <f t="shared" si="62"/>
        <v/>
      </c>
      <c r="I908" s="6" t="str">
        <f t="shared" si="60"/>
        <v>0</v>
      </c>
      <c r="O908" t="s">
        <v>1004</v>
      </c>
      <c r="P908" t="str">
        <f>IF(C908&lt;&gt;"",C908,_xlfn.XLOOKUP(B908,AI_NAMES!D:D,AI_NAMES!E:E,"",0))</f>
        <v/>
      </c>
    </row>
    <row r="909" spans="1:16" x14ac:dyDescent="0.2">
      <c r="A909" t="s">
        <v>1005</v>
      </c>
      <c r="B909" t="str">
        <f>IF(O909&lt;&gt;"",O909,_xlfn.XLOOKUP(A909,AI_NAMES!C:C,AI_NAMES!D:D,"",0))</f>
        <v>AnswerList_11</v>
      </c>
      <c r="E909" t="str">
        <f t="shared" si="61"/>
        <v/>
      </c>
      <c r="G909" s="5" t="str">
        <f t="shared" si="62"/>
        <v/>
      </c>
      <c r="I909" s="6" t="str">
        <f t="shared" si="60"/>
        <v>0</v>
      </c>
      <c r="O909" t="s">
        <v>1005</v>
      </c>
      <c r="P909" t="str">
        <f>IF(C909&lt;&gt;"",C909,_xlfn.XLOOKUP(B909,AI_NAMES!D:D,AI_NAMES!E:E,"",0))</f>
        <v/>
      </c>
    </row>
    <row r="910" spans="1:16" x14ac:dyDescent="0.2">
      <c r="A910" t="s">
        <v>1006</v>
      </c>
      <c r="B910" t="str">
        <f>IF(O910&lt;&gt;"",O910,_xlfn.XLOOKUP(A910,AI_NAMES!C:C,AI_NAMES!D:D,"",0))</f>
        <v>AnswerList_12</v>
      </c>
      <c r="E910" t="str">
        <f t="shared" si="61"/>
        <v/>
      </c>
      <c r="G910" s="5" t="str">
        <f t="shared" si="62"/>
        <v/>
      </c>
      <c r="I910" s="6" t="str">
        <f t="shared" si="60"/>
        <v>0</v>
      </c>
      <c r="O910" t="s">
        <v>1006</v>
      </c>
      <c r="P910" t="str">
        <f>IF(C910&lt;&gt;"",C910,_xlfn.XLOOKUP(B910,AI_NAMES!D:D,AI_NAMES!E:E,"",0))</f>
        <v/>
      </c>
    </row>
    <row r="911" spans="1:16" x14ac:dyDescent="0.2">
      <c r="A911" t="s">
        <v>1007</v>
      </c>
      <c r="B911" t="str">
        <f>IF(O911&lt;&gt;"",O911,_xlfn.XLOOKUP(A911,AI_NAMES!C:C,AI_NAMES!D:D,"",0))</f>
        <v>AnswerList_13</v>
      </c>
      <c r="E911" t="str">
        <f t="shared" si="61"/>
        <v/>
      </c>
      <c r="G911" s="5" t="str">
        <f t="shared" si="62"/>
        <v/>
      </c>
      <c r="I911" s="6" t="str">
        <f t="shared" si="60"/>
        <v>0</v>
      </c>
      <c r="O911" t="s">
        <v>1007</v>
      </c>
      <c r="P911" t="str">
        <f>IF(C911&lt;&gt;"",C911,_xlfn.XLOOKUP(B911,AI_NAMES!D:D,AI_NAMES!E:E,"",0))</f>
        <v/>
      </c>
    </row>
    <row r="912" spans="1:16" x14ac:dyDescent="0.2">
      <c r="A912" t="s">
        <v>1008</v>
      </c>
      <c r="B912" t="str">
        <f>IF(O912&lt;&gt;"",O912,_xlfn.XLOOKUP(A912,AI_NAMES!C:C,AI_NAMES!D:D,"",0))</f>
        <v>AnswerList_14</v>
      </c>
      <c r="E912" t="str">
        <f t="shared" si="61"/>
        <v/>
      </c>
      <c r="G912" s="5" t="str">
        <f t="shared" si="62"/>
        <v/>
      </c>
      <c r="I912" s="6" t="str">
        <f t="shared" si="60"/>
        <v>0</v>
      </c>
      <c r="O912" t="s">
        <v>1008</v>
      </c>
      <c r="P912" t="str">
        <f>IF(C912&lt;&gt;"",C912,_xlfn.XLOOKUP(B912,AI_NAMES!D:D,AI_NAMES!E:E,"",0))</f>
        <v/>
      </c>
    </row>
    <row r="913" spans="1:16" x14ac:dyDescent="0.2">
      <c r="A913" t="s">
        <v>1009</v>
      </c>
      <c r="B913" t="str">
        <f>IF(O913&lt;&gt;"",O913,_xlfn.XLOOKUP(A913,AI_NAMES!C:C,AI_NAMES!D:D,"",0))</f>
        <v>AnswerList_15</v>
      </c>
      <c r="E913" t="str">
        <f t="shared" si="61"/>
        <v/>
      </c>
      <c r="G913" s="5" t="str">
        <f t="shared" si="62"/>
        <v/>
      </c>
      <c r="I913" s="6" t="str">
        <f t="shared" si="60"/>
        <v>0</v>
      </c>
      <c r="O913" t="s">
        <v>1009</v>
      </c>
      <c r="P913" t="str">
        <f>IF(C913&lt;&gt;"",C913,_xlfn.XLOOKUP(B913,AI_NAMES!D:D,AI_NAMES!E:E,"",0))</f>
        <v/>
      </c>
    </row>
    <row r="914" spans="1:16" x14ac:dyDescent="0.2">
      <c r="A914" t="s">
        <v>1010</v>
      </c>
      <c r="B914" t="str">
        <f>IF(O914&lt;&gt;"",O914,_xlfn.XLOOKUP(A914,AI_NAMES!C:C,AI_NAMES!D:D,"",0))</f>
        <v>AnswerList_16</v>
      </c>
      <c r="E914" t="str">
        <f t="shared" si="61"/>
        <v/>
      </c>
      <c r="G914" s="5" t="str">
        <f t="shared" si="62"/>
        <v/>
      </c>
      <c r="I914" s="6" t="str">
        <f t="shared" si="60"/>
        <v>0</v>
      </c>
      <c r="O914" t="s">
        <v>1010</v>
      </c>
      <c r="P914" t="str">
        <f>IF(C914&lt;&gt;"",C914,_xlfn.XLOOKUP(B914,AI_NAMES!D:D,AI_NAMES!E:E,"",0))</f>
        <v/>
      </c>
    </row>
    <row r="915" spans="1:16" x14ac:dyDescent="0.2">
      <c r="A915" t="s">
        <v>1011</v>
      </c>
      <c r="B915" t="str">
        <f>IF(O915&lt;&gt;"",O915,_xlfn.XLOOKUP(A915,AI_NAMES!C:C,AI_NAMES!D:D,"",0))</f>
        <v>AnswerList_17</v>
      </c>
      <c r="E915" t="str">
        <f t="shared" si="61"/>
        <v/>
      </c>
      <c r="G915" s="5" t="str">
        <f t="shared" si="62"/>
        <v/>
      </c>
      <c r="I915" s="6" t="str">
        <f t="shared" si="60"/>
        <v>0</v>
      </c>
      <c r="O915" t="s">
        <v>1011</v>
      </c>
      <c r="P915" t="str">
        <f>IF(C915&lt;&gt;"",C915,_xlfn.XLOOKUP(B915,AI_NAMES!D:D,AI_NAMES!E:E,"",0))</f>
        <v/>
      </c>
    </row>
    <row r="916" spans="1:16" x14ac:dyDescent="0.2">
      <c r="A916" t="s">
        <v>1012</v>
      </c>
      <c r="B916" t="str">
        <f>IF(O916&lt;&gt;"",O916,_xlfn.XLOOKUP(A916,AI_NAMES!C:C,AI_NAMES!D:D,"",0))</f>
        <v>AnswerList_18</v>
      </c>
      <c r="E916" t="str">
        <f t="shared" si="61"/>
        <v/>
      </c>
      <c r="G916" s="5" t="str">
        <f t="shared" si="62"/>
        <v/>
      </c>
      <c r="I916" s="6" t="str">
        <f t="shared" si="60"/>
        <v>0</v>
      </c>
      <c r="O916" t="s">
        <v>1012</v>
      </c>
      <c r="P916" t="str">
        <f>IF(C916&lt;&gt;"",C916,_xlfn.XLOOKUP(B916,AI_NAMES!D:D,AI_NAMES!E:E,"",0))</f>
        <v/>
      </c>
    </row>
    <row r="917" spans="1:16" x14ac:dyDescent="0.2">
      <c r="A917" t="s">
        <v>1013</v>
      </c>
      <c r="B917" t="str">
        <f>IF(O917&lt;&gt;"",O917,_xlfn.XLOOKUP(A917,AI_NAMES!C:C,AI_NAMES!D:D,"",0))</f>
        <v>AnswerList_19</v>
      </c>
      <c r="E917" t="str">
        <f t="shared" si="61"/>
        <v/>
      </c>
      <c r="G917" s="5" t="str">
        <f t="shared" si="62"/>
        <v/>
      </c>
      <c r="I917" s="6" t="str">
        <f t="shared" si="60"/>
        <v>0</v>
      </c>
      <c r="O917" t="s">
        <v>1013</v>
      </c>
      <c r="P917" t="str">
        <f>IF(C917&lt;&gt;"",C917,_xlfn.XLOOKUP(B917,AI_NAMES!D:D,AI_NAMES!E:E,"",0))</f>
        <v/>
      </c>
    </row>
    <row r="918" spans="1:16" x14ac:dyDescent="0.2">
      <c r="A918" t="s">
        <v>1014</v>
      </c>
      <c r="B918" t="str">
        <f>IF(O918&lt;&gt;"",O918,_xlfn.XLOOKUP(A918,AI_NAMES!C:C,AI_NAMES!D:D,"",0))</f>
        <v>AnswerList_20</v>
      </c>
      <c r="E918" t="str">
        <f t="shared" si="61"/>
        <v/>
      </c>
      <c r="G918" s="5" t="str">
        <f t="shared" si="62"/>
        <v/>
      </c>
      <c r="I918" s="6" t="str">
        <f t="shared" si="60"/>
        <v>0</v>
      </c>
      <c r="O918" t="s">
        <v>1014</v>
      </c>
      <c r="P918" t="str">
        <f>IF(C918&lt;&gt;"",C918,_xlfn.XLOOKUP(B918,AI_NAMES!D:D,AI_NAMES!E:E,"",0))</f>
        <v/>
      </c>
    </row>
    <row r="919" spans="1:16" x14ac:dyDescent="0.2">
      <c r="A919" t="s">
        <v>1015</v>
      </c>
      <c r="B919" t="str">
        <f>IF(O919&lt;&gt;"",O919,_xlfn.XLOOKUP(A919,AI_NAMES!C:C,AI_NAMES!D:D,"",0))</f>
        <v>AnswerList_21</v>
      </c>
      <c r="E919" t="str">
        <f t="shared" si="61"/>
        <v/>
      </c>
      <c r="G919" s="5" t="str">
        <f t="shared" si="62"/>
        <v/>
      </c>
      <c r="I919" s="6" t="str">
        <f t="shared" si="60"/>
        <v>0</v>
      </c>
      <c r="O919" t="s">
        <v>1015</v>
      </c>
      <c r="P919" t="str">
        <f>IF(C919&lt;&gt;"",C919,_xlfn.XLOOKUP(B919,AI_NAMES!D:D,AI_NAMES!E:E,"",0))</f>
        <v/>
      </c>
    </row>
    <row r="920" spans="1:16" x14ac:dyDescent="0.2">
      <c r="A920" t="s">
        <v>1016</v>
      </c>
      <c r="B920" t="str">
        <f>IF(O920&lt;&gt;"",O920,_xlfn.XLOOKUP(A920,AI_NAMES!C:C,AI_NAMES!D:D,"",0))</f>
        <v>AnswerList_22</v>
      </c>
      <c r="E920" t="str">
        <f t="shared" si="61"/>
        <v/>
      </c>
      <c r="G920" s="5" t="str">
        <f t="shared" si="62"/>
        <v/>
      </c>
      <c r="I920" s="6" t="str">
        <f t="shared" si="60"/>
        <v>0</v>
      </c>
      <c r="O920" t="s">
        <v>1016</v>
      </c>
      <c r="P920" t="str">
        <f>IF(C920&lt;&gt;"",C920,_xlfn.XLOOKUP(B920,AI_NAMES!D:D,AI_NAMES!E:E,"",0))</f>
        <v/>
      </c>
    </row>
    <row r="921" spans="1:16" x14ac:dyDescent="0.2">
      <c r="A921" t="s">
        <v>1017</v>
      </c>
      <c r="B921" t="str">
        <f>IF(O921&lt;&gt;"",O921,_xlfn.XLOOKUP(A921,AI_NAMES!C:C,AI_NAMES!D:D,"",0))</f>
        <v/>
      </c>
      <c r="E921" t="str">
        <f t="shared" si="61"/>
        <v/>
      </c>
      <c r="G921" s="5" t="str">
        <f t="shared" si="62"/>
        <v/>
      </c>
      <c r="I921" s="6" t="str">
        <f t="shared" si="60"/>
        <v>0</v>
      </c>
      <c r="O921" t="s">
        <v>321</v>
      </c>
      <c r="P921">
        <f>IF(C921&lt;&gt;"",C921,_xlfn.XLOOKUP(B921,AI_NAMES!D:D,AI_NAMES!E:E,"",0))</f>
        <v>0</v>
      </c>
    </row>
    <row r="922" spans="1:16" x14ac:dyDescent="0.2">
      <c r="A922" t="s">
        <v>1018</v>
      </c>
      <c r="B922" t="str">
        <f>IF(O922&lt;&gt;"",O922,_xlfn.XLOOKUP(A922,AI_NAMES!C:C,AI_NAMES!D:D,"",0))</f>
        <v/>
      </c>
      <c r="E922" t="str">
        <f t="shared" si="61"/>
        <v/>
      </c>
      <c r="G922" s="5" t="str">
        <f t="shared" si="62"/>
        <v/>
      </c>
      <c r="I922" s="6" t="str">
        <f t="shared" si="60"/>
        <v>0</v>
      </c>
      <c r="O922" t="s">
        <v>321</v>
      </c>
      <c r="P922">
        <f>IF(C922&lt;&gt;"",C922,_xlfn.XLOOKUP(B922,AI_NAMES!D:D,AI_NAMES!E:E,"",0))</f>
        <v>0</v>
      </c>
    </row>
    <row r="923" spans="1:16" x14ac:dyDescent="0.2">
      <c r="A923" t="s">
        <v>1019</v>
      </c>
      <c r="B923" t="str">
        <f>IF(O923&lt;&gt;"",O923,_xlfn.XLOOKUP(A923,AI_NAMES!C:C,AI_NAMES!D:D,"",0))</f>
        <v/>
      </c>
      <c r="E923" t="str">
        <f t="shared" si="61"/>
        <v/>
      </c>
      <c r="G923" s="5" t="str">
        <f t="shared" si="62"/>
        <v/>
      </c>
      <c r="I923" s="6" t="str">
        <f t="shared" si="60"/>
        <v>0</v>
      </c>
      <c r="O923" t="s">
        <v>321</v>
      </c>
      <c r="P923">
        <f>IF(C923&lt;&gt;"",C923,_xlfn.XLOOKUP(B923,AI_NAMES!D:D,AI_NAMES!E:E,"",0))</f>
        <v>0</v>
      </c>
    </row>
    <row r="924" spans="1:16" x14ac:dyDescent="0.2">
      <c r="A924" t="s">
        <v>1020</v>
      </c>
      <c r="B924" t="str">
        <f>IF(O924&lt;&gt;"",O924,_xlfn.XLOOKUP(A924,AI_NAMES!C:C,AI_NAMES!D:D,"",0))</f>
        <v/>
      </c>
      <c r="E924" t="str">
        <f t="shared" si="61"/>
        <v/>
      </c>
      <c r="G924" s="5" t="str">
        <f t="shared" si="62"/>
        <v/>
      </c>
      <c r="I924" s="6" t="str">
        <f t="shared" si="60"/>
        <v>0</v>
      </c>
      <c r="O924" t="s">
        <v>321</v>
      </c>
      <c r="P924">
        <f>IF(C924&lt;&gt;"",C924,_xlfn.XLOOKUP(B924,AI_NAMES!D:D,AI_NAMES!E:E,"",0))</f>
        <v>0</v>
      </c>
    </row>
    <row r="925" spans="1:16" x14ac:dyDescent="0.2">
      <c r="A925" t="s">
        <v>1021</v>
      </c>
      <c r="B925" t="str">
        <f>IF(O925&lt;&gt;"",O925,_xlfn.XLOOKUP(A925,AI_NAMES!C:C,AI_NAMES!D:D,"",0))</f>
        <v/>
      </c>
      <c r="E925" t="str">
        <f t="shared" si="61"/>
        <v/>
      </c>
      <c r="G925" s="5" t="str">
        <f t="shared" si="62"/>
        <v/>
      </c>
      <c r="I925" s="6" t="str">
        <f t="shared" si="60"/>
        <v>0</v>
      </c>
      <c r="O925" t="s">
        <v>321</v>
      </c>
      <c r="P925">
        <f>IF(C925&lt;&gt;"",C925,_xlfn.XLOOKUP(B925,AI_NAMES!D:D,AI_NAMES!E:E,"",0))</f>
        <v>0</v>
      </c>
    </row>
    <row r="926" spans="1:16" x14ac:dyDescent="0.2">
      <c r="A926" t="s">
        <v>1022</v>
      </c>
      <c r="B926" t="str">
        <f>IF(O926&lt;&gt;"",O926,_xlfn.XLOOKUP(A926,AI_NAMES!C:C,AI_NAMES!D:D,"",0))</f>
        <v/>
      </c>
      <c r="E926" t="str">
        <f t="shared" si="61"/>
        <v/>
      </c>
      <c r="G926" s="5" t="str">
        <f t="shared" si="62"/>
        <v/>
      </c>
      <c r="I926" s="6" t="str">
        <f t="shared" si="60"/>
        <v>0</v>
      </c>
      <c r="O926" t="s">
        <v>321</v>
      </c>
      <c r="P926">
        <f>IF(C926&lt;&gt;"",C926,_xlfn.XLOOKUP(B926,AI_NAMES!D:D,AI_NAMES!E:E,"",0))</f>
        <v>0</v>
      </c>
    </row>
    <row r="927" spans="1:16" x14ac:dyDescent="0.2">
      <c r="A927" t="s">
        <v>1023</v>
      </c>
      <c r="B927" t="str">
        <f>IF(O927&lt;&gt;"",O927,_xlfn.XLOOKUP(A927,AI_NAMES!C:C,AI_NAMES!D:D,"",0))</f>
        <v/>
      </c>
      <c r="E927" t="str">
        <f t="shared" si="61"/>
        <v/>
      </c>
      <c r="G927" s="5" t="str">
        <f t="shared" si="62"/>
        <v/>
      </c>
      <c r="I927" s="6" t="str">
        <f t="shared" si="60"/>
        <v>0</v>
      </c>
      <c r="O927" t="s">
        <v>321</v>
      </c>
      <c r="P927">
        <f>IF(C927&lt;&gt;"",C927,_xlfn.XLOOKUP(B927,AI_NAMES!D:D,AI_NAMES!E:E,"",0))</f>
        <v>0</v>
      </c>
    </row>
    <row r="928" spans="1:16" x14ac:dyDescent="0.2">
      <c r="A928" t="s">
        <v>1024</v>
      </c>
      <c r="B928" t="str">
        <f>IF(O928&lt;&gt;"",O928,_xlfn.XLOOKUP(A928,AI_NAMES!C:C,AI_NAMES!D:D,"",0))</f>
        <v/>
      </c>
      <c r="E928" t="str">
        <f t="shared" si="61"/>
        <v/>
      </c>
      <c r="G928" s="5" t="str">
        <f t="shared" si="62"/>
        <v/>
      </c>
      <c r="I928" s="6" t="str">
        <f t="shared" si="60"/>
        <v>0</v>
      </c>
      <c r="O928" t="s">
        <v>321</v>
      </c>
      <c r="P928">
        <f>IF(C928&lt;&gt;"",C928,_xlfn.XLOOKUP(B928,AI_NAMES!D:D,AI_NAMES!E:E,"",0))</f>
        <v>0</v>
      </c>
    </row>
    <row r="929" spans="1:16" x14ac:dyDescent="0.2">
      <c r="A929" t="s">
        <v>1025</v>
      </c>
      <c r="B929" t="str">
        <f>IF(O929&lt;&gt;"",O929,_xlfn.XLOOKUP(A929,AI_NAMES!C:C,AI_NAMES!D:D,"",0))</f>
        <v/>
      </c>
      <c r="E929" t="str">
        <f t="shared" si="61"/>
        <v/>
      </c>
      <c r="G929" s="5" t="str">
        <f t="shared" si="62"/>
        <v/>
      </c>
      <c r="I929" s="6" t="str">
        <f t="shared" si="60"/>
        <v>0</v>
      </c>
      <c r="O929" t="s">
        <v>321</v>
      </c>
      <c r="P929">
        <f>IF(C929&lt;&gt;"",C929,_xlfn.XLOOKUP(B929,AI_NAMES!D:D,AI_NAMES!E:E,"",0))</f>
        <v>0</v>
      </c>
    </row>
    <row r="930" spans="1:16" x14ac:dyDescent="0.2">
      <c r="A930" t="s">
        <v>1026</v>
      </c>
      <c r="B930" t="str">
        <f>IF(O930&lt;&gt;"",O930,_xlfn.XLOOKUP(A930,AI_NAMES!C:C,AI_NAMES!D:D,"",0))</f>
        <v/>
      </c>
      <c r="E930" t="str">
        <f t="shared" si="61"/>
        <v/>
      </c>
      <c r="G930" s="5" t="str">
        <f t="shared" si="62"/>
        <v/>
      </c>
      <c r="I930" s="6" t="str">
        <f t="shared" si="60"/>
        <v>0</v>
      </c>
      <c r="O930" t="s">
        <v>321</v>
      </c>
      <c r="P930">
        <f>IF(C930&lt;&gt;"",C930,_xlfn.XLOOKUP(B930,AI_NAMES!D:D,AI_NAMES!E:E,"",0))</f>
        <v>0</v>
      </c>
    </row>
    <row r="931" spans="1:16" x14ac:dyDescent="0.2">
      <c r="A931" t="s">
        <v>1027</v>
      </c>
      <c r="B931" t="str">
        <f>IF(O931&lt;&gt;"",O931,_xlfn.XLOOKUP(A931,AI_NAMES!C:C,AI_NAMES!D:D,"",0))</f>
        <v/>
      </c>
      <c r="E931" t="str">
        <f t="shared" si="61"/>
        <v/>
      </c>
      <c r="G931" s="5" t="str">
        <f t="shared" si="62"/>
        <v/>
      </c>
      <c r="I931" s="6" t="str">
        <f t="shared" si="60"/>
        <v>0</v>
      </c>
      <c r="O931" t="s">
        <v>321</v>
      </c>
      <c r="P931">
        <f>IF(C931&lt;&gt;"",C931,_xlfn.XLOOKUP(B931,AI_NAMES!D:D,AI_NAMES!E:E,"",0))</f>
        <v>0</v>
      </c>
    </row>
    <row r="932" spans="1:16" x14ac:dyDescent="0.2">
      <c r="A932" t="s">
        <v>1028</v>
      </c>
      <c r="B932" t="str">
        <f>IF(O932&lt;&gt;"",O932,_xlfn.XLOOKUP(A932,AI_NAMES!C:C,AI_NAMES!D:D,"",0))</f>
        <v/>
      </c>
      <c r="E932" t="str">
        <f t="shared" si="61"/>
        <v/>
      </c>
      <c r="G932" s="5" t="str">
        <f t="shared" si="62"/>
        <v/>
      </c>
      <c r="I932" s="6" t="str">
        <f t="shared" si="60"/>
        <v>0</v>
      </c>
      <c r="O932" t="s">
        <v>321</v>
      </c>
      <c r="P932">
        <f>IF(C932&lt;&gt;"",C932,_xlfn.XLOOKUP(B932,AI_NAMES!D:D,AI_NAMES!E:E,"",0))</f>
        <v>0</v>
      </c>
    </row>
    <row r="933" spans="1:16" x14ac:dyDescent="0.2">
      <c r="A933" t="s">
        <v>1029</v>
      </c>
      <c r="B933" t="str">
        <f>IF(O933&lt;&gt;"",O933,_xlfn.XLOOKUP(A933,AI_NAMES!C:C,AI_NAMES!D:D,"",0))</f>
        <v/>
      </c>
      <c r="E933" t="str">
        <f t="shared" si="61"/>
        <v/>
      </c>
      <c r="G933" s="5" t="str">
        <f t="shared" si="62"/>
        <v/>
      </c>
      <c r="I933" s="6" t="str">
        <f t="shared" si="60"/>
        <v>0</v>
      </c>
      <c r="O933" t="s">
        <v>321</v>
      </c>
      <c r="P933">
        <f>IF(C933&lt;&gt;"",C933,_xlfn.XLOOKUP(B933,AI_NAMES!D:D,AI_NAMES!E:E,"",0))</f>
        <v>0</v>
      </c>
    </row>
    <row r="934" spans="1:16" x14ac:dyDescent="0.2">
      <c r="A934" t="s">
        <v>1030</v>
      </c>
      <c r="B934" t="str">
        <f>IF(O934&lt;&gt;"",O934,_xlfn.XLOOKUP(A934,AI_NAMES!C:C,AI_NAMES!D:D,"",0))</f>
        <v/>
      </c>
      <c r="E934" t="str">
        <f t="shared" si="61"/>
        <v/>
      </c>
      <c r="G934" s="5" t="str">
        <f t="shared" si="62"/>
        <v/>
      </c>
      <c r="I934" s="6" t="str">
        <f t="shared" si="60"/>
        <v>0</v>
      </c>
      <c r="O934" t="s">
        <v>321</v>
      </c>
      <c r="P934">
        <f>IF(C934&lt;&gt;"",C934,_xlfn.XLOOKUP(B934,AI_NAMES!D:D,AI_NAMES!E:E,"",0))</f>
        <v>0</v>
      </c>
    </row>
    <row r="935" spans="1:16" x14ac:dyDescent="0.2">
      <c r="A935" t="s">
        <v>1031</v>
      </c>
      <c r="B935" t="str">
        <f>IF(O935&lt;&gt;"",O935,_xlfn.XLOOKUP(A935,AI_NAMES!C:C,AI_NAMES!D:D,"",0))</f>
        <v>Msg_WhereIsThis</v>
      </c>
      <c r="E935" t="str">
        <f t="shared" si="61"/>
        <v/>
      </c>
      <c r="G935" s="5" t="str">
        <f t="shared" si="62"/>
        <v/>
      </c>
      <c r="I935" s="6" t="str">
        <f t="shared" si="60"/>
        <v>0</v>
      </c>
      <c r="O935" t="s">
        <v>3199</v>
      </c>
      <c r="P935" t="str">
        <f>IF(C935&lt;&gt;"",C935,_xlfn.XLOOKUP(B935,AI_NAMES!D:D,AI_NAMES!E:E,"",0))</f>
        <v/>
      </c>
    </row>
    <row r="936" spans="1:16" x14ac:dyDescent="0.2">
      <c r="A936" t="s">
        <v>1032</v>
      </c>
      <c r="B936" t="str">
        <f>IF(O936&lt;&gt;"",O936,_xlfn.XLOOKUP(A936,AI_NAMES!C:C,AI_NAMES!D:D,"",0))</f>
        <v/>
      </c>
      <c r="E936" t="str">
        <f t="shared" si="61"/>
        <v/>
      </c>
      <c r="G936" s="5" t="str">
        <f t="shared" si="62"/>
        <v/>
      </c>
      <c r="I936" s="6" t="str">
        <f t="shared" si="60"/>
        <v>0</v>
      </c>
      <c r="O936" t="s">
        <v>321</v>
      </c>
      <c r="P936">
        <f>IF(C936&lt;&gt;"",C936,_xlfn.XLOOKUP(B936,AI_NAMES!D:D,AI_NAMES!E:E,"",0))</f>
        <v>0</v>
      </c>
    </row>
    <row r="937" spans="1:16" x14ac:dyDescent="0.2">
      <c r="A937" t="s">
        <v>1033</v>
      </c>
      <c r="B937" t="str">
        <f>IF(O937&lt;&gt;"",O937,_xlfn.XLOOKUP(A937,AI_NAMES!C:C,AI_NAMES!D:D,"",0))</f>
        <v/>
      </c>
      <c r="E937" t="str">
        <f t="shared" si="61"/>
        <v/>
      </c>
      <c r="G937" s="5" t="str">
        <f t="shared" si="62"/>
        <v/>
      </c>
      <c r="I937" s="6" t="str">
        <f t="shared" si="60"/>
        <v>0</v>
      </c>
      <c r="O937" t="s">
        <v>321</v>
      </c>
      <c r="P937">
        <f>IF(C937&lt;&gt;"",C937,_xlfn.XLOOKUP(B937,AI_NAMES!D:D,AI_NAMES!E:E,"",0))</f>
        <v>0</v>
      </c>
    </row>
    <row r="938" spans="1:16" x14ac:dyDescent="0.2">
      <c r="A938" t="s">
        <v>1034</v>
      </c>
      <c r="B938" t="str">
        <f>IF(O938&lt;&gt;"",O938,_xlfn.XLOOKUP(A938,AI_NAMES!C:C,AI_NAMES!D:D,"",0))</f>
        <v/>
      </c>
      <c r="E938" t="str">
        <f t="shared" si="61"/>
        <v/>
      </c>
      <c r="G938" s="5" t="str">
        <f t="shared" si="62"/>
        <v/>
      </c>
      <c r="I938" s="6" t="str">
        <f t="shared" si="60"/>
        <v>0</v>
      </c>
      <c r="O938" t="s">
        <v>321</v>
      </c>
      <c r="P938">
        <f>IF(C938&lt;&gt;"",C938,_xlfn.XLOOKUP(B938,AI_NAMES!D:D,AI_NAMES!E:E,"",0))</f>
        <v>0</v>
      </c>
    </row>
    <row r="939" spans="1:16" x14ac:dyDescent="0.2">
      <c r="A939" t="s">
        <v>1035</v>
      </c>
      <c r="B939" t="str">
        <f>IF(O939&lt;&gt;"",O939,_xlfn.XLOOKUP(A939,AI_NAMES!C:C,AI_NAMES!D:D,"",0))</f>
        <v/>
      </c>
      <c r="E939" t="str">
        <f t="shared" si="61"/>
        <v/>
      </c>
      <c r="G939" s="5" t="str">
        <f t="shared" si="62"/>
        <v/>
      </c>
      <c r="I939" s="6" t="str">
        <f t="shared" si="60"/>
        <v>0</v>
      </c>
      <c r="O939" t="s">
        <v>321</v>
      </c>
      <c r="P939">
        <f>IF(C939&lt;&gt;"",C939,_xlfn.XLOOKUP(B939,AI_NAMES!D:D,AI_NAMES!E:E,"",0))</f>
        <v>0</v>
      </c>
    </row>
    <row r="940" spans="1:16" x14ac:dyDescent="0.2">
      <c r="A940" t="s">
        <v>1036</v>
      </c>
      <c r="B940" t="str">
        <f>IF(O940&lt;&gt;"",O940,_xlfn.XLOOKUP(A940,AI_NAMES!C:C,AI_NAMES!D:D,"",0))</f>
        <v>Msg_ComeJoin</v>
      </c>
      <c r="E940" t="str">
        <f t="shared" si="61"/>
        <v/>
      </c>
      <c r="G940" s="5" t="str">
        <f t="shared" si="62"/>
        <v/>
      </c>
      <c r="I940" s="6" t="str">
        <f t="shared" si="60"/>
        <v>0</v>
      </c>
      <c r="O940" t="s">
        <v>3200</v>
      </c>
      <c r="P940" t="str">
        <f>IF(C940&lt;&gt;"",C940,_xlfn.XLOOKUP(B940,AI_NAMES!D:D,AI_NAMES!E:E,"",0))</f>
        <v/>
      </c>
    </row>
    <row r="941" spans="1:16" x14ac:dyDescent="0.2">
      <c r="A941" t="s">
        <v>1037</v>
      </c>
      <c r="B941" t="str">
        <f>IF(O941&lt;&gt;"",O941,_xlfn.XLOOKUP(A941,AI_NAMES!C:C,AI_NAMES!D:D,"",0))</f>
        <v/>
      </c>
      <c r="E941" t="str">
        <f t="shared" si="61"/>
        <v/>
      </c>
      <c r="G941" s="5" t="str">
        <f t="shared" si="62"/>
        <v/>
      </c>
      <c r="I941" s="6" t="str">
        <f t="shared" si="60"/>
        <v>0</v>
      </c>
      <c r="O941" t="s">
        <v>321</v>
      </c>
      <c r="P941">
        <f>IF(C941&lt;&gt;"",C941,_xlfn.XLOOKUP(B941,AI_NAMES!D:D,AI_NAMES!E:E,"",0))</f>
        <v>0</v>
      </c>
    </row>
    <row r="942" spans="1:16" x14ac:dyDescent="0.2">
      <c r="A942" t="s">
        <v>1038</v>
      </c>
      <c r="B942" t="str">
        <f>IF(O942&lt;&gt;"",O942,_xlfn.XLOOKUP(A942,AI_NAMES!C:C,AI_NAMES!D:D,"",0))</f>
        <v/>
      </c>
      <c r="E942" t="str">
        <f t="shared" si="61"/>
        <v/>
      </c>
      <c r="G942" s="5" t="str">
        <f t="shared" si="62"/>
        <v/>
      </c>
      <c r="I942" s="6" t="str">
        <f t="shared" si="60"/>
        <v>0</v>
      </c>
      <c r="O942" t="s">
        <v>321</v>
      </c>
      <c r="P942">
        <f>IF(C942&lt;&gt;"",C942,_xlfn.XLOOKUP(B942,AI_NAMES!D:D,AI_NAMES!E:E,"",0))</f>
        <v>0</v>
      </c>
    </row>
    <row r="943" spans="1:16" x14ac:dyDescent="0.2">
      <c r="A943" t="s">
        <v>1039</v>
      </c>
      <c r="B943" t="str">
        <f>IF(O943&lt;&gt;"",O943,_xlfn.XLOOKUP(A943,AI_NAMES!C:C,AI_NAMES!D:D,"",0))</f>
        <v/>
      </c>
      <c r="E943" t="str">
        <f t="shared" si="61"/>
        <v/>
      </c>
      <c r="G943" s="5" t="str">
        <f t="shared" si="62"/>
        <v/>
      </c>
      <c r="I943" s="6" t="str">
        <f t="shared" si="60"/>
        <v>0</v>
      </c>
      <c r="O943" t="s">
        <v>321</v>
      </c>
      <c r="P943">
        <f>IF(C943&lt;&gt;"",C943,_xlfn.XLOOKUP(B943,AI_NAMES!D:D,AI_NAMES!E:E,"",0))</f>
        <v>0</v>
      </c>
    </row>
    <row r="944" spans="1:16" x14ac:dyDescent="0.2">
      <c r="A944" t="s">
        <v>1040</v>
      </c>
      <c r="B944" t="str">
        <f>IF(O944&lt;&gt;"",O944,_xlfn.XLOOKUP(A944,AI_NAMES!C:C,AI_NAMES!D:D,"",0))</f>
        <v/>
      </c>
      <c r="E944" t="str">
        <f t="shared" si="61"/>
        <v/>
      </c>
      <c r="G944" s="5" t="str">
        <f t="shared" si="62"/>
        <v/>
      </c>
      <c r="I944" s="6" t="str">
        <f t="shared" si="60"/>
        <v>0</v>
      </c>
      <c r="O944" t="s">
        <v>321</v>
      </c>
      <c r="P944">
        <f>IF(C944&lt;&gt;"",C944,_xlfn.XLOOKUP(B944,AI_NAMES!D:D,AI_NAMES!E:E,"",0))</f>
        <v>0</v>
      </c>
    </row>
    <row r="945" spans="1:16" x14ac:dyDescent="0.2">
      <c r="A945" t="s">
        <v>1041</v>
      </c>
      <c r="B945" t="str">
        <f>IF(O945&lt;&gt;"",O945,_xlfn.XLOOKUP(A945,AI_NAMES!C:C,AI_NAMES!D:D,"",0))</f>
        <v/>
      </c>
      <c r="E945" t="str">
        <f t="shared" si="61"/>
        <v/>
      </c>
      <c r="G945" s="5" t="str">
        <f t="shared" si="62"/>
        <v/>
      </c>
      <c r="I945" s="6" t="str">
        <f t="shared" si="60"/>
        <v>0</v>
      </c>
      <c r="O945" t="s">
        <v>321</v>
      </c>
      <c r="P945">
        <f>IF(C945&lt;&gt;"",C945,_xlfn.XLOOKUP(B945,AI_NAMES!D:D,AI_NAMES!E:E,"",0))</f>
        <v>0</v>
      </c>
    </row>
    <row r="946" spans="1:16" x14ac:dyDescent="0.2">
      <c r="A946" t="s">
        <v>1042</v>
      </c>
      <c r="B946" t="str">
        <f>IF(O946&lt;&gt;"",O946,_xlfn.XLOOKUP(A946,AI_NAMES!C:C,AI_NAMES!D:D,"",0))</f>
        <v/>
      </c>
      <c r="E946" t="str">
        <f t="shared" si="61"/>
        <v/>
      </c>
      <c r="G946" s="5" t="str">
        <f t="shared" si="62"/>
        <v/>
      </c>
      <c r="I946" s="6" t="str">
        <f t="shared" si="60"/>
        <v>0</v>
      </c>
      <c r="O946" t="s">
        <v>321</v>
      </c>
      <c r="P946">
        <f>IF(C946&lt;&gt;"",C946,_xlfn.XLOOKUP(B946,AI_NAMES!D:D,AI_NAMES!E:E,"",0))</f>
        <v>0</v>
      </c>
    </row>
    <row r="947" spans="1:16" x14ac:dyDescent="0.2">
      <c r="A947" t="s">
        <v>1043</v>
      </c>
      <c r="B947" t="str">
        <f>IF(O947&lt;&gt;"",O947,_xlfn.XLOOKUP(A947,AI_NAMES!C:C,AI_NAMES!D:D,"",0))</f>
        <v/>
      </c>
      <c r="E947" t="str">
        <f t="shared" si="61"/>
        <v/>
      </c>
      <c r="G947" s="5" t="str">
        <f t="shared" si="62"/>
        <v/>
      </c>
      <c r="I947" s="6" t="str">
        <f t="shared" si="60"/>
        <v>0</v>
      </c>
      <c r="O947" t="s">
        <v>321</v>
      </c>
      <c r="P947">
        <f>IF(C947&lt;&gt;"",C947,_xlfn.XLOOKUP(B947,AI_NAMES!D:D,AI_NAMES!E:E,"",0))</f>
        <v>0</v>
      </c>
    </row>
    <row r="948" spans="1:16" x14ac:dyDescent="0.2">
      <c r="A948" t="s">
        <v>1044</v>
      </c>
      <c r="B948" t="str">
        <f>IF(O948&lt;&gt;"",O948,_xlfn.XLOOKUP(A948,AI_NAMES!C:C,AI_NAMES!D:D,"",0))</f>
        <v/>
      </c>
      <c r="E948" t="str">
        <f t="shared" si="61"/>
        <v/>
      </c>
      <c r="G948" s="5" t="str">
        <f t="shared" si="62"/>
        <v/>
      </c>
      <c r="I948" s="6" t="str">
        <f t="shared" si="60"/>
        <v>0</v>
      </c>
      <c r="O948" t="s">
        <v>321</v>
      </c>
      <c r="P948">
        <f>IF(C948&lt;&gt;"",C948,_xlfn.XLOOKUP(B948,AI_NAMES!D:D,AI_NAMES!E:E,"",0))</f>
        <v>0</v>
      </c>
    </row>
    <row r="949" spans="1:16" x14ac:dyDescent="0.2">
      <c r="A949" t="s">
        <v>1045</v>
      </c>
      <c r="B949" t="str">
        <f>IF(O949&lt;&gt;"",O949,_xlfn.XLOOKUP(A949,AI_NAMES!C:C,AI_NAMES!D:D,"",0))</f>
        <v/>
      </c>
      <c r="E949" t="str">
        <f t="shared" si="61"/>
        <v/>
      </c>
      <c r="G949" s="5" t="str">
        <f t="shared" si="62"/>
        <v/>
      </c>
      <c r="I949" s="6" t="str">
        <f t="shared" si="60"/>
        <v>0</v>
      </c>
      <c r="O949" t="s">
        <v>321</v>
      </c>
      <c r="P949">
        <f>IF(C949&lt;&gt;"",C949,_xlfn.XLOOKUP(B949,AI_NAMES!D:D,AI_NAMES!E:E,"",0))</f>
        <v>0</v>
      </c>
    </row>
    <row r="950" spans="1:16" x14ac:dyDescent="0.2">
      <c r="A950" t="s">
        <v>1046</v>
      </c>
      <c r="B950" t="str">
        <f>IF(O950&lt;&gt;"",O950,_xlfn.XLOOKUP(A950,AI_NAMES!C:C,AI_NAMES!D:D,"",0))</f>
        <v/>
      </c>
      <c r="E950" t="str">
        <f t="shared" si="61"/>
        <v/>
      </c>
      <c r="G950" s="5" t="str">
        <f t="shared" si="62"/>
        <v/>
      </c>
      <c r="I950" s="6" t="str">
        <f t="shared" si="60"/>
        <v>0</v>
      </c>
      <c r="O950" t="s">
        <v>321</v>
      </c>
      <c r="P950">
        <f>IF(C950&lt;&gt;"",C950,_xlfn.XLOOKUP(B950,AI_NAMES!D:D,AI_NAMES!E:E,"",0))</f>
        <v>0</v>
      </c>
    </row>
    <row r="951" spans="1:16" x14ac:dyDescent="0.2">
      <c r="A951" t="s">
        <v>1047</v>
      </c>
      <c r="B951" t="str">
        <f>IF(O951&lt;&gt;"",O951,_xlfn.XLOOKUP(A951,AI_NAMES!C:C,AI_NAMES!D:D,"",0))</f>
        <v/>
      </c>
      <c r="E951" t="str">
        <f t="shared" si="61"/>
        <v/>
      </c>
      <c r="G951" s="5" t="str">
        <f t="shared" si="62"/>
        <v/>
      </c>
      <c r="I951" s="6" t="str">
        <f t="shared" si="60"/>
        <v>0</v>
      </c>
      <c r="O951" t="s">
        <v>321</v>
      </c>
      <c r="P951">
        <f>IF(C951&lt;&gt;"",C951,_xlfn.XLOOKUP(B951,AI_NAMES!D:D,AI_NAMES!E:E,"",0))</f>
        <v>0</v>
      </c>
    </row>
    <row r="952" spans="1:16" x14ac:dyDescent="0.2">
      <c r="A952" t="s">
        <v>1048</v>
      </c>
      <c r="B952" t="str">
        <f>IF(O952&lt;&gt;"",O952,_xlfn.XLOOKUP(A952,AI_NAMES!C:C,AI_NAMES!D:D,"",0))</f>
        <v/>
      </c>
      <c r="E952" t="str">
        <f t="shared" si="61"/>
        <v/>
      </c>
      <c r="G952" s="5" t="str">
        <f t="shared" si="62"/>
        <v/>
      </c>
      <c r="I952" s="6" t="str">
        <f t="shared" si="60"/>
        <v>0</v>
      </c>
      <c r="O952" t="s">
        <v>321</v>
      </c>
      <c r="P952">
        <f>IF(C952&lt;&gt;"",C952,_xlfn.XLOOKUP(B952,AI_NAMES!D:D,AI_NAMES!E:E,"",0))</f>
        <v>0</v>
      </c>
    </row>
    <row r="953" spans="1:16" x14ac:dyDescent="0.2">
      <c r="A953" t="s">
        <v>1049</v>
      </c>
      <c r="B953" t="str">
        <f>IF(O953&lt;&gt;"",O953,_xlfn.XLOOKUP(A953,AI_NAMES!C:C,AI_NAMES!D:D,"",0))</f>
        <v/>
      </c>
      <c r="E953" t="str">
        <f t="shared" si="61"/>
        <v/>
      </c>
      <c r="G953" s="5" t="str">
        <f t="shared" si="62"/>
        <v/>
      </c>
      <c r="I953" s="6" t="str">
        <f t="shared" si="60"/>
        <v>0</v>
      </c>
      <c r="O953" t="s">
        <v>321</v>
      </c>
      <c r="P953">
        <f>IF(C953&lt;&gt;"",C953,_xlfn.XLOOKUP(B953,AI_NAMES!D:D,AI_NAMES!E:E,"",0))</f>
        <v>0</v>
      </c>
    </row>
    <row r="954" spans="1:16" x14ac:dyDescent="0.2">
      <c r="A954" t="s">
        <v>1050</v>
      </c>
      <c r="B954" t="str">
        <f>IF(O954&lt;&gt;"",O954,_xlfn.XLOOKUP(A954,AI_NAMES!C:C,AI_NAMES!D:D,"",0))</f>
        <v/>
      </c>
      <c r="E954" t="str">
        <f t="shared" si="61"/>
        <v/>
      </c>
      <c r="G954" s="5" t="str">
        <f t="shared" si="62"/>
        <v/>
      </c>
      <c r="I954" s="6" t="str">
        <f t="shared" si="60"/>
        <v>0</v>
      </c>
      <c r="O954" t="s">
        <v>321</v>
      </c>
      <c r="P954">
        <f>IF(C954&lt;&gt;"",C954,_xlfn.XLOOKUP(B954,AI_NAMES!D:D,AI_NAMES!E:E,"",0))</f>
        <v>0</v>
      </c>
    </row>
    <row r="955" spans="1:16" x14ac:dyDescent="0.2">
      <c r="A955" t="s">
        <v>1051</v>
      </c>
      <c r="B955" t="str">
        <f>IF(O955&lt;&gt;"",O955,_xlfn.XLOOKUP(A955,AI_NAMES!C:C,AI_NAMES!D:D,"",0))</f>
        <v/>
      </c>
      <c r="E955" t="str">
        <f t="shared" si="61"/>
        <v/>
      </c>
      <c r="G955" s="5" t="str">
        <f t="shared" si="62"/>
        <v/>
      </c>
      <c r="I955" s="6" t="str">
        <f t="shared" si="60"/>
        <v>0</v>
      </c>
      <c r="O955" t="s">
        <v>321</v>
      </c>
      <c r="P955">
        <f>IF(C955&lt;&gt;"",C955,_xlfn.XLOOKUP(B955,AI_NAMES!D:D,AI_NAMES!E:E,"",0))</f>
        <v>0</v>
      </c>
    </row>
    <row r="956" spans="1:16" x14ac:dyDescent="0.2">
      <c r="A956" t="s">
        <v>1052</v>
      </c>
      <c r="B956" t="str">
        <f>IF(O956&lt;&gt;"",O956,_xlfn.XLOOKUP(A956,AI_NAMES!C:C,AI_NAMES!D:D,"",0))</f>
        <v/>
      </c>
      <c r="E956" t="str">
        <f t="shared" si="61"/>
        <v/>
      </c>
      <c r="G956" s="5" t="str">
        <f t="shared" si="62"/>
        <v/>
      </c>
      <c r="I956" s="6" t="str">
        <f t="shared" si="60"/>
        <v>0</v>
      </c>
      <c r="O956" t="s">
        <v>321</v>
      </c>
      <c r="P956">
        <f>IF(C956&lt;&gt;"",C956,_xlfn.XLOOKUP(B956,AI_NAMES!D:D,AI_NAMES!E:E,"",0))</f>
        <v>0</v>
      </c>
    </row>
    <row r="957" spans="1:16" x14ac:dyDescent="0.2">
      <c r="A957" t="s">
        <v>1053</v>
      </c>
      <c r="B957" t="str">
        <f>IF(O957&lt;&gt;"",O957,_xlfn.XLOOKUP(A957,AI_NAMES!C:C,AI_NAMES!D:D,"",0))</f>
        <v/>
      </c>
      <c r="E957" t="str">
        <f t="shared" si="61"/>
        <v/>
      </c>
      <c r="G957" s="5" t="str">
        <f t="shared" si="62"/>
        <v/>
      </c>
      <c r="I957" s="6" t="str">
        <f t="shared" si="60"/>
        <v>0</v>
      </c>
      <c r="O957" t="s">
        <v>321</v>
      </c>
      <c r="P957">
        <f>IF(C957&lt;&gt;"",C957,_xlfn.XLOOKUP(B957,AI_NAMES!D:D,AI_NAMES!E:E,"",0))</f>
        <v>0</v>
      </c>
    </row>
    <row r="958" spans="1:16" x14ac:dyDescent="0.2">
      <c r="A958" t="s">
        <v>1054</v>
      </c>
      <c r="B958" t="str">
        <f>IF(O958&lt;&gt;"",O958,_xlfn.XLOOKUP(A958,AI_NAMES!C:C,AI_NAMES!D:D,"",0))</f>
        <v/>
      </c>
      <c r="E958" t="str">
        <f t="shared" si="61"/>
        <v/>
      </c>
      <c r="G958" s="5" t="str">
        <f t="shared" si="62"/>
        <v/>
      </c>
      <c r="I958" s="6" t="str">
        <f t="shared" si="60"/>
        <v>0</v>
      </c>
      <c r="O958" t="s">
        <v>321</v>
      </c>
      <c r="P958">
        <f>IF(C958&lt;&gt;"",C958,_xlfn.XLOOKUP(B958,AI_NAMES!D:D,AI_NAMES!E:E,"",0))</f>
        <v>0</v>
      </c>
    </row>
    <row r="959" spans="1:16" x14ac:dyDescent="0.2">
      <c r="A959" t="s">
        <v>1055</v>
      </c>
      <c r="B959" t="str">
        <f>IF(O959&lt;&gt;"",O959,_xlfn.XLOOKUP(A959,AI_NAMES!C:C,AI_NAMES!D:D,"",0))</f>
        <v/>
      </c>
      <c r="E959" t="str">
        <f t="shared" si="61"/>
        <v/>
      </c>
      <c r="G959" s="5" t="str">
        <f t="shared" si="62"/>
        <v/>
      </c>
      <c r="I959" s="6" t="str">
        <f t="shared" si="60"/>
        <v>0</v>
      </c>
      <c r="O959" t="s">
        <v>321</v>
      </c>
      <c r="P959">
        <f>IF(C959&lt;&gt;"",C959,_xlfn.XLOOKUP(B959,AI_NAMES!D:D,AI_NAMES!E:E,"",0))</f>
        <v>0</v>
      </c>
    </row>
    <row r="960" spans="1:16" x14ac:dyDescent="0.2">
      <c r="A960" t="s">
        <v>1056</v>
      </c>
      <c r="B960" t="str">
        <f>IF(O960&lt;&gt;"",O960,_xlfn.XLOOKUP(A960,AI_NAMES!C:C,AI_NAMES!D:D,"",0))</f>
        <v/>
      </c>
      <c r="E960" t="str">
        <f t="shared" si="61"/>
        <v/>
      </c>
      <c r="G960" s="5" t="str">
        <f t="shared" si="62"/>
        <v/>
      </c>
      <c r="I960" s="6" t="str">
        <f t="shared" si="60"/>
        <v>0</v>
      </c>
      <c r="O960" t="s">
        <v>321</v>
      </c>
      <c r="P960">
        <f>IF(C960&lt;&gt;"",C960,_xlfn.XLOOKUP(B960,AI_NAMES!D:D,AI_NAMES!E:E,"",0))</f>
        <v>0</v>
      </c>
    </row>
    <row r="961" spans="1:16" x14ac:dyDescent="0.2">
      <c r="A961" t="s">
        <v>1057</v>
      </c>
      <c r="B961" t="str">
        <f>IF(O961&lt;&gt;"",O961,_xlfn.XLOOKUP(A961,AI_NAMES!C:C,AI_NAMES!D:D,"",0))</f>
        <v/>
      </c>
      <c r="E961" t="str">
        <f t="shared" si="61"/>
        <v/>
      </c>
      <c r="G961" s="5" t="str">
        <f t="shared" si="62"/>
        <v/>
      </c>
      <c r="I961" s="6" t="str">
        <f t="shared" si="60"/>
        <v>0</v>
      </c>
      <c r="O961" t="s">
        <v>321</v>
      </c>
      <c r="P961">
        <f>IF(C961&lt;&gt;"",C961,_xlfn.XLOOKUP(B961,AI_NAMES!D:D,AI_NAMES!E:E,"",0))</f>
        <v>0</v>
      </c>
    </row>
    <row r="962" spans="1:16" x14ac:dyDescent="0.2">
      <c r="A962" t="s">
        <v>1058</v>
      </c>
      <c r="B962" t="str">
        <f>IF(O962&lt;&gt;"",O962,_xlfn.XLOOKUP(A962,AI_NAMES!C:C,AI_NAMES!D:D,"",0))</f>
        <v/>
      </c>
      <c r="E962" t="str">
        <f t="shared" si="61"/>
        <v/>
      </c>
      <c r="G962" s="5" t="str">
        <f t="shared" si="62"/>
        <v/>
      </c>
      <c r="I962" s="6" t="str">
        <f t="shared" si="60"/>
        <v>0</v>
      </c>
      <c r="O962" t="s">
        <v>321</v>
      </c>
      <c r="P962">
        <f>IF(C962&lt;&gt;"",C962,_xlfn.XLOOKUP(B962,AI_NAMES!D:D,AI_NAMES!E:E,"",0))</f>
        <v>0</v>
      </c>
    </row>
    <row r="963" spans="1:16" x14ac:dyDescent="0.2">
      <c r="A963" t="s">
        <v>1059</v>
      </c>
      <c r="B963" t="str">
        <f>IF(O963&lt;&gt;"",O963,_xlfn.XLOOKUP(A963,AI_NAMES!C:C,AI_NAMES!D:D,"",0))</f>
        <v/>
      </c>
      <c r="E963" t="str">
        <f t="shared" si="61"/>
        <v/>
      </c>
      <c r="G963" s="5" t="str">
        <f t="shared" si="62"/>
        <v/>
      </c>
      <c r="I963" s="6" t="str">
        <f t="shared" ref="I963:I1026" si="63">IFERROR(DEC2HEX(H963),"")</f>
        <v>0</v>
      </c>
      <c r="O963" t="s">
        <v>321</v>
      </c>
      <c r="P963">
        <f>IF(C963&lt;&gt;"",C963,_xlfn.XLOOKUP(B963,AI_NAMES!D:D,AI_NAMES!E:E,"",0))</f>
        <v>0</v>
      </c>
    </row>
    <row r="964" spans="1:16" x14ac:dyDescent="0.2">
      <c r="A964" t="s">
        <v>1060</v>
      </c>
      <c r="B964" t="str">
        <f>IF(O964&lt;&gt;"",O964,_xlfn.XLOOKUP(A964,AI_NAMES!C:C,AI_NAMES!D:D,"",0))</f>
        <v/>
      </c>
      <c r="E964" t="str">
        <f t="shared" ref="E964:E1027" si="64">IF(D964&lt;&gt;"",C964&amp;"/"&amp;D964,"")</f>
        <v/>
      </c>
      <c r="G964" s="5" t="str">
        <f t="shared" si="62"/>
        <v/>
      </c>
      <c r="I964" s="6" t="str">
        <f t="shared" si="63"/>
        <v>0</v>
      </c>
      <c r="O964" t="s">
        <v>321</v>
      </c>
      <c r="P964">
        <f>IF(C964&lt;&gt;"",C964,_xlfn.XLOOKUP(B964,AI_NAMES!D:D,AI_NAMES!E:E,"",0))</f>
        <v>0</v>
      </c>
    </row>
    <row r="965" spans="1:16" x14ac:dyDescent="0.2">
      <c r="A965" t="s">
        <v>1061</v>
      </c>
      <c r="B965" t="str">
        <f>IF(O965&lt;&gt;"",O965,_xlfn.XLOOKUP(A965,AI_NAMES!C:C,AI_NAMES!D:D,"",0))</f>
        <v/>
      </c>
      <c r="E965" t="str">
        <f t="shared" si="64"/>
        <v/>
      </c>
      <c r="G965" s="5" t="str">
        <f t="shared" si="62"/>
        <v/>
      </c>
      <c r="I965" s="6" t="str">
        <f t="shared" si="63"/>
        <v>0</v>
      </c>
      <c r="O965" t="s">
        <v>321</v>
      </c>
      <c r="P965">
        <f>IF(C965&lt;&gt;"",C965,_xlfn.XLOOKUP(B965,AI_NAMES!D:D,AI_NAMES!E:E,"",0))</f>
        <v>0</v>
      </c>
    </row>
    <row r="966" spans="1:16" x14ac:dyDescent="0.2">
      <c r="A966" t="s">
        <v>1062</v>
      </c>
      <c r="B966" t="str">
        <f>IF(O966&lt;&gt;"",O966,_xlfn.XLOOKUP(A966,AI_NAMES!C:C,AI_NAMES!D:D,"",0))</f>
        <v/>
      </c>
      <c r="E966" t="str">
        <f t="shared" si="64"/>
        <v/>
      </c>
      <c r="G966" s="5" t="str">
        <f t="shared" si="62"/>
        <v/>
      </c>
      <c r="I966" s="6" t="str">
        <f t="shared" si="63"/>
        <v>0</v>
      </c>
      <c r="O966" t="s">
        <v>321</v>
      </c>
      <c r="P966">
        <f>IF(C966&lt;&gt;"",C966,_xlfn.XLOOKUP(B966,AI_NAMES!D:D,AI_NAMES!E:E,"",0))</f>
        <v>0</v>
      </c>
    </row>
    <row r="967" spans="1:16" x14ac:dyDescent="0.2">
      <c r="A967" t="s">
        <v>1063</v>
      </c>
      <c r="B967" t="str">
        <f>IF(O967&lt;&gt;"",O967,_xlfn.XLOOKUP(A967,AI_NAMES!C:C,AI_NAMES!D:D,"",0))</f>
        <v/>
      </c>
      <c r="E967" t="str">
        <f t="shared" si="64"/>
        <v/>
      </c>
      <c r="G967" s="5" t="str">
        <f t="shared" si="62"/>
        <v/>
      </c>
      <c r="I967" s="6" t="str">
        <f t="shared" si="63"/>
        <v>0</v>
      </c>
      <c r="O967" t="s">
        <v>321</v>
      </c>
      <c r="P967">
        <f>IF(C967&lt;&gt;"",C967,_xlfn.XLOOKUP(B967,AI_NAMES!D:D,AI_NAMES!E:E,"",0))</f>
        <v>0</v>
      </c>
    </row>
    <row r="968" spans="1:16" x14ac:dyDescent="0.2">
      <c r="A968" t="s">
        <v>1064</v>
      </c>
      <c r="B968" t="str">
        <f>IF(O968&lt;&gt;"",O968,_xlfn.XLOOKUP(A968,AI_NAMES!C:C,AI_NAMES!D:D,"",0))</f>
        <v/>
      </c>
      <c r="E968" t="str">
        <f t="shared" si="64"/>
        <v/>
      </c>
      <c r="G968" s="5" t="str">
        <f t="shared" si="62"/>
        <v/>
      </c>
      <c r="I968" s="6" t="str">
        <f t="shared" si="63"/>
        <v>0</v>
      </c>
      <c r="O968" t="s">
        <v>321</v>
      </c>
      <c r="P968">
        <f>IF(C968&lt;&gt;"",C968,_xlfn.XLOOKUP(B968,AI_NAMES!D:D,AI_NAMES!E:E,"",0))</f>
        <v>0</v>
      </c>
    </row>
    <row r="969" spans="1:16" x14ac:dyDescent="0.2">
      <c r="A969" t="s">
        <v>1065</v>
      </c>
      <c r="B969" t="str">
        <f>IF(O969&lt;&gt;"",O969,_xlfn.XLOOKUP(A969,AI_NAMES!C:C,AI_NAMES!D:D,"",0))</f>
        <v/>
      </c>
      <c r="E969" t="str">
        <f t="shared" si="64"/>
        <v/>
      </c>
      <c r="G969" s="5" t="str">
        <f t="shared" ref="G969:G1032" si="65">IF(F969&lt;&gt;"",HEX2DEC(SUBSTITUTE(SUBSTITUTE(F969,"adrEA",""),"$","")),"")</f>
        <v/>
      </c>
      <c r="I969" s="6" t="str">
        <f t="shared" si="63"/>
        <v>0</v>
      </c>
      <c r="O969" t="s">
        <v>321</v>
      </c>
      <c r="P969">
        <f>IF(C969&lt;&gt;"",C969,_xlfn.XLOOKUP(B969,AI_NAMES!D:D,AI_NAMES!E:E,"",0))</f>
        <v>0</v>
      </c>
    </row>
    <row r="970" spans="1:16" x14ac:dyDescent="0.2">
      <c r="A970" t="s">
        <v>1066</v>
      </c>
      <c r="B970" t="str">
        <f>IF(O970&lt;&gt;"",O970,_xlfn.XLOOKUP(A970,AI_NAMES!C:C,AI_NAMES!D:D,"",0))</f>
        <v/>
      </c>
      <c r="E970" t="str">
        <f t="shared" si="64"/>
        <v/>
      </c>
      <c r="G970" s="5" t="str">
        <f t="shared" si="65"/>
        <v/>
      </c>
      <c r="I970" s="6" t="str">
        <f t="shared" si="63"/>
        <v>0</v>
      </c>
      <c r="O970" t="s">
        <v>321</v>
      </c>
      <c r="P970">
        <f>IF(C970&lt;&gt;"",C970,_xlfn.XLOOKUP(B970,AI_NAMES!D:D,AI_NAMES!E:E,"",0))</f>
        <v>0</v>
      </c>
    </row>
    <row r="971" spans="1:16" x14ac:dyDescent="0.2">
      <c r="A971" t="s">
        <v>1067</v>
      </c>
      <c r="B971" t="str">
        <f>IF(O971&lt;&gt;"",O971,_xlfn.XLOOKUP(A971,AI_NAMES!C:C,AI_NAMES!D:D,"",0))</f>
        <v/>
      </c>
      <c r="E971" t="str">
        <f t="shared" si="64"/>
        <v/>
      </c>
      <c r="G971" s="5" t="str">
        <f t="shared" si="65"/>
        <v/>
      </c>
      <c r="I971" s="6" t="str">
        <f t="shared" si="63"/>
        <v>0</v>
      </c>
      <c r="O971" t="s">
        <v>321</v>
      </c>
      <c r="P971">
        <f>IF(C971&lt;&gt;"",C971,_xlfn.XLOOKUP(B971,AI_NAMES!D:D,AI_NAMES!E:E,"",0))</f>
        <v>0</v>
      </c>
    </row>
    <row r="972" spans="1:16" x14ac:dyDescent="0.2">
      <c r="A972" t="s">
        <v>1068</v>
      </c>
      <c r="B972" t="str">
        <f>IF(O972&lt;&gt;"",O972,_xlfn.XLOOKUP(A972,AI_NAMES!C:C,AI_NAMES!D:D,"",0))</f>
        <v/>
      </c>
      <c r="E972" t="str">
        <f t="shared" si="64"/>
        <v/>
      </c>
      <c r="G972" s="5" t="str">
        <f t="shared" si="65"/>
        <v/>
      </c>
      <c r="I972" s="6" t="str">
        <f t="shared" si="63"/>
        <v>0</v>
      </c>
      <c r="O972" t="s">
        <v>321</v>
      </c>
      <c r="P972">
        <f>IF(C972&lt;&gt;"",C972,_xlfn.XLOOKUP(B972,AI_NAMES!D:D,AI_NAMES!E:E,"",0))</f>
        <v>0</v>
      </c>
    </row>
    <row r="973" spans="1:16" x14ac:dyDescent="0.2">
      <c r="A973" t="s">
        <v>1069</v>
      </c>
      <c r="B973" t="str">
        <f>IF(O973&lt;&gt;"",O973,_xlfn.XLOOKUP(A973,AI_NAMES!C:C,AI_NAMES!D:D,"",0))</f>
        <v/>
      </c>
      <c r="E973" t="str">
        <f t="shared" si="64"/>
        <v/>
      </c>
      <c r="G973" s="5" t="str">
        <f t="shared" si="65"/>
        <v/>
      </c>
      <c r="I973" s="6" t="str">
        <f t="shared" si="63"/>
        <v>0</v>
      </c>
      <c r="O973" t="s">
        <v>321</v>
      </c>
      <c r="P973">
        <f>IF(C973&lt;&gt;"",C973,_xlfn.XLOOKUP(B973,AI_NAMES!D:D,AI_NAMES!E:E,"",0))</f>
        <v>0</v>
      </c>
    </row>
    <row r="974" spans="1:16" x14ac:dyDescent="0.2">
      <c r="A974" t="s">
        <v>1070</v>
      </c>
      <c r="B974" t="str">
        <f>IF(O974&lt;&gt;"",O974,_xlfn.XLOOKUP(A974,AI_NAMES!C:C,AI_NAMES!D:D,"",0))</f>
        <v/>
      </c>
      <c r="E974" t="str">
        <f t="shared" si="64"/>
        <v/>
      </c>
      <c r="G974" s="5" t="str">
        <f t="shared" si="65"/>
        <v/>
      </c>
      <c r="I974" s="6" t="str">
        <f t="shared" si="63"/>
        <v>0</v>
      </c>
      <c r="O974" t="s">
        <v>321</v>
      </c>
      <c r="P974">
        <f>IF(C974&lt;&gt;"",C974,_xlfn.XLOOKUP(B974,AI_NAMES!D:D,AI_NAMES!E:E,"",0))</f>
        <v>0</v>
      </c>
    </row>
    <row r="975" spans="1:16" x14ac:dyDescent="0.2">
      <c r="A975" t="s">
        <v>1071</v>
      </c>
      <c r="B975" t="str">
        <f>IF(O975&lt;&gt;"",O975,_xlfn.XLOOKUP(A975,AI_NAMES!C:C,AI_NAMES!D:D,"",0))</f>
        <v/>
      </c>
      <c r="E975" t="str">
        <f t="shared" si="64"/>
        <v/>
      </c>
      <c r="G975" s="5" t="str">
        <f t="shared" si="65"/>
        <v/>
      </c>
      <c r="I975" s="6" t="str">
        <f t="shared" si="63"/>
        <v>0</v>
      </c>
      <c r="O975" t="s">
        <v>321</v>
      </c>
      <c r="P975">
        <f>IF(C975&lt;&gt;"",C975,_xlfn.XLOOKUP(B975,AI_NAMES!D:D,AI_NAMES!E:E,"",0))</f>
        <v>0</v>
      </c>
    </row>
    <row r="976" spans="1:16" x14ac:dyDescent="0.2">
      <c r="A976" t="s">
        <v>1072</v>
      </c>
      <c r="B976" t="str">
        <f>IF(O976&lt;&gt;"",O976,_xlfn.XLOOKUP(A976,AI_NAMES!C:C,AI_NAMES!D:D,"",0))</f>
        <v/>
      </c>
      <c r="E976" t="str">
        <f t="shared" si="64"/>
        <v/>
      </c>
      <c r="G976" s="5" t="str">
        <f t="shared" si="65"/>
        <v/>
      </c>
      <c r="I976" s="6" t="str">
        <f t="shared" si="63"/>
        <v>0</v>
      </c>
      <c r="O976" t="s">
        <v>321</v>
      </c>
      <c r="P976">
        <f>IF(C976&lt;&gt;"",C976,_xlfn.XLOOKUP(B976,AI_NAMES!D:D,AI_NAMES!E:E,"",0))</f>
        <v>0</v>
      </c>
    </row>
    <row r="977" spans="1:16" x14ac:dyDescent="0.2">
      <c r="A977" t="s">
        <v>1073</v>
      </c>
      <c r="B977" t="str">
        <f>IF(O977&lt;&gt;"",O977,_xlfn.XLOOKUP(A977,AI_NAMES!C:C,AI_NAMES!D:D,"",0))</f>
        <v/>
      </c>
      <c r="E977" t="str">
        <f t="shared" si="64"/>
        <v/>
      </c>
      <c r="G977" s="5" t="str">
        <f t="shared" si="65"/>
        <v/>
      </c>
      <c r="I977" s="6" t="str">
        <f t="shared" si="63"/>
        <v>0</v>
      </c>
      <c r="O977" t="s">
        <v>321</v>
      </c>
      <c r="P977">
        <f>IF(C977&lt;&gt;"",C977,_xlfn.XLOOKUP(B977,AI_NAMES!D:D,AI_NAMES!E:E,"",0))</f>
        <v>0</v>
      </c>
    </row>
    <row r="978" spans="1:16" x14ac:dyDescent="0.2">
      <c r="A978" t="s">
        <v>1074</v>
      </c>
      <c r="B978" t="str">
        <f>IF(O978&lt;&gt;"",O978,_xlfn.XLOOKUP(A978,AI_NAMES!C:C,AI_NAMES!D:D,"",0))</f>
        <v/>
      </c>
      <c r="E978" t="str">
        <f t="shared" si="64"/>
        <v/>
      </c>
      <c r="G978" s="5" t="str">
        <f t="shared" si="65"/>
        <v/>
      </c>
      <c r="I978" s="6" t="str">
        <f t="shared" si="63"/>
        <v>0</v>
      </c>
      <c r="O978" t="s">
        <v>321</v>
      </c>
      <c r="P978">
        <f>IF(C978&lt;&gt;"",C978,_xlfn.XLOOKUP(B978,AI_NAMES!D:D,AI_NAMES!E:E,"",0))</f>
        <v>0</v>
      </c>
    </row>
    <row r="979" spans="1:16" x14ac:dyDescent="0.2">
      <c r="A979" t="s">
        <v>1075</v>
      </c>
      <c r="B979" t="str">
        <f>IF(O979&lt;&gt;"",O979,_xlfn.XLOOKUP(A979,AI_NAMES!C:C,AI_NAMES!D:D,"",0))</f>
        <v/>
      </c>
      <c r="E979" t="str">
        <f t="shared" si="64"/>
        <v/>
      </c>
      <c r="G979" s="5" t="str">
        <f t="shared" si="65"/>
        <v/>
      </c>
      <c r="I979" s="6" t="str">
        <f t="shared" si="63"/>
        <v>0</v>
      </c>
      <c r="O979" t="s">
        <v>321</v>
      </c>
      <c r="P979">
        <f>IF(C979&lt;&gt;"",C979,_xlfn.XLOOKUP(B979,AI_NAMES!D:D,AI_NAMES!E:E,"",0))</f>
        <v>0</v>
      </c>
    </row>
    <row r="980" spans="1:16" x14ac:dyDescent="0.2">
      <c r="A980" t="s">
        <v>1076</v>
      </c>
      <c r="B980" t="str">
        <f>IF(O980&lt;&gt;"",O980,_xlfn.XLOOKUP(A980,AI_NAMES!C:C,AI_NAMES!D:D,"",0))</f>
        <v/>
      </c>
      <c r="E980" t="str">
        <f t="shared" si="64"/>
        <v/>
      </c>
      <c r="G980" s="5" t="str">
        <f t="shared" si="65"/>
        <v/>
      </c>
      <c r="I980" s="6" t="str">
        <f t="shared" si="63"/>
        <v>0</v>
      </c>
      <c r="O980" t="s">
        <v>321</v>
      </c>
      <c r="P980">
        <f>IF(C980&lt;&gt;"",C980,_xlfn.XLOOKUP(B980,AI_NAMES!D:D,AI_NAMES!E:E,"",0))</f>
        <v>0</v>
      </c>
    </row>
    <row r="981" spans="1:16" x14ac:dyDescent="0.2">
      <c r="A981" t="s">
        <v>1077</v>
      </c>
      <c r="B981" t="str">
        <f>IF(O981&lt;&gt;"",O981,_xlfn.XLOOKUP(A981,AI_NAMES!C:C,AI_NAMES!D:D,"",0))</f>
        <v/>
      </c>
      <c r="E981" t="str">
        <f t="shared" si="64"/>
        <v/>
      </c>
      <c r="G981" s="5" t="str">
        <f t="shared" si="65"/>
        <v/>
      </c>
      <c r="I981" s="6" t="str">
        <f t="shared" si="63"/>
        <v>0</v>
      </c>
      <c r="O981" t="s">
        <v>321</v>
      </c>
      <c r="P981">
        <f>IF(C981&lt;&gt;"",C981,_xlfn.XLOOKUP(B981,AI_NAMES!D:D,AI_NAMES!E:E,"",0))</f>
        <v>0</v>
      </c>
    </row>
    <row r="982" spans="1:16" x14ac:dyDescent="0.2">
      <c r="A982" t="s">
        <v>1078</v>
      </c>
      <c r="B982" t="str">
        <f>IF(O982&lt;&gt;"",O982,_xlfn.XLOOKUP(A982,AI_NAMES!C:C,AI_NAMES!D:D,"",0))</f>
        <v/>
      </c>
      <c r="E982" t="str">
        <f t="shared" si="64"/>
        <v/>
      </c>
      <c r="G982" s="5" t="str">
        <f t="shared" si="65"/>
        <v/>
      </c>
      <c r="I982" s="6" t="str">
        <f t="shared" si="63"/>
        <v>0</v>
      </c>
      <c r="O982" t="s">
        <v>321</v>
      </c>
      <c r="P982">
        <f>IF(C982&lt;&gt;"",C982,_xlfn.XLOOKUP(B982,AI_NAMES!D:D,AI_NAMES!E:E,"",0))</f>
        <v>0</v>
      </c>
    </row>
    <row r="983" spans="1:16" x14ac:dyDescent="0.2">
      <c r="A983" t="s">
        <v>1079</v>
      </c>
      <c r="B983" t="str">
        <f>IF(O983&lt;&gt;"",O983,_xlfn.XLOOKUP(A983,AI_NAMES!C:C,AI_NAMES!D:D,"",0))</f>
        <v/>
      </c>
      <c r="E983" t="str">
        <f t="shared" si="64"/>
        <v/>
      </c>
      <c r="G983" s="5" t="str">
        <f t="shared" si="65"/>
        <v/>
      </c>
      <c r="I983" s="6" t="str">
        <f t="shared" si="63"/>
        <v>0</v>
      </c>
      <c r="O983" t="s">
        <v>321</v>
      </c>
      <c r="P983">
        <f>IF(C983&lt;&gt;"",C983,_xlfn.XLOOKUP(B983,AI_NAMES!D:D,AI_NAMES!E:E,"",0))</f>
        <v>0</v>
      </c>
    </row>
    <row r="984" spans="1:16" x14ac:dyDescent="0.2">
      <c r="A984" t="s">
        <v>1080</v>
      </c>
      <c r="B984" t="str">
        <f>IF(O984&lt;&gt;"",O984,_xlfn.XLOOKUP(A984,AI_NAMES!C:C,AI_NAMES!D:D,"",0))</f>
        <v/>
      </c>
      <c r="E984" t="str">
        <f t="shared" si="64"/>
        <v/>
      </c>
      <c r="G984" s="5" t="str">
        <f t="shared" si="65"/>
        <v/>
      </c>
      <c r="I984" s="6" t="str">
        <f t="shared" si="63"/>
        <v>0</v>
      </c>
      <c r="O984" t="s">
        <v>321</v>
      </c>
      <c r="P984">
        <f>IF(C984&lt;&gt;"",C984,_xlfn.XLOOKUP(B984,AI_NAMES!D:D,AI_NAMES!E:E,"",0))</f>
        <v>0</v>
      </c>
    </row>
    <row r="985" spans="1:16" x14ac:dyDescent="0.2">
      <c r="A985" t="s">
        <v>1081</v>
      </c>
      <c r="B985" t="str">
        <f>IF(O985&lt;&gt;"",O985,_xlfn.XLOOKUP(A985,AI_NAMES!C:C,AI_NAMES!D:D,"",0))</f>
        <v/>
      </c>
      <c r="E985" t="str">
        <f t="shared" si="64"/>
        <v/>
      </c>
      <c r="G985" s="5" t="str">
        <f t="shared" si="65"/>
        <v/>
      </c>
      <c r="I985" s="6" t="str">
        <f t="shared" si="63"/>
        <v>0</v>
      </c>
      <c r="O985" t="s">
        <v>321</v>
      </c>
      <c r="P985">
        <f>IF(C985&lt;&gt;"",C985,_xlfn.XLOOKUP(B985,AI_NAMES!D:D,AI_NAMES!E:E,"",0))</f>
        <v>0</v>
      </c>
    </row>
    <row r="986" spans="1:16" x14ac:dyDescent="0.2">
      <c r="A986" t="s">
        <v>1082</v>
      </c>
      <c r="B986" t="str">
        <f>IF(O986&lt;&gt;"",O986,_xlfn.XLOOKUP(A986,AI_NAMES!C:C,AI_NAMES!D:D,"",0))</f>
        <v/>
      </c>
      <c r="E986" t="str">
        <f t="shared" si="64"/>
        <v/>
      </c>
      <c r="G986" s="5" t="str">
        <f t="shared" si="65"/>
        <v/>
      </c>
      <c r="I986" s="6" t="str">
        <f t="shared" si="63"/>
        <v>0</v>
      </c>
      <c r="O986" t="s">
        <v>321</v>
      </c>
      <c r="P986">
        <f>IF(C986&lt;&gt;"",C986,_xlfn.XLOOKUP(B986,AI_NAMES!D:D,AI_NAMES!E:E,"",0))</f>
        <v>0</v>
      </c>
    </row>
    <row r="987" spans="1:16" x14ac:dyDescent="0.2">
      <c r="A987" t="s">
        <v>1083</v>
      </c>
      <c r="B987" t="str">
        <f>IF(O987&lt;&gt;"",O987,_xlfn.XLOOKUP(A987,AI_NAMES!C:C,AI_NAMES!D:D,"",0))</f>
        <v/>
      </c>
      <c r="E987" t="str">
        <f t="shared" si="64"/>
        <v/>
      </c>
      <c r="G987" s="5" t="str">
        <f t="shared" si="65"/>
        <v/>
      </c>
      <c r="I987" s="6" t="str">
        <f t="shared" si="63"/>
        <v>0</v>
      </c>
      <c r="O987" t="s">
        <v>321</v>
      </c>
      <c r="P987">
        <f>IF(C987&lt;&gt;"",C987,_xlfn.XLOOKUP(B987,AI_NAMES!D:D,AI_NAMES!E:E,"",0))</f>
        <v>0</v>
      </c>
    </row>
    <row r="988" spans="1:16" x14ac:dyDescent="0.2">
      <c r="A988" t="s">
        <v>1084</v>
      </c>
      <c r="B988" t="str">
        <f>IF(O988&lt;&gt;"",O988,_xlfn.XLOOKUP(A988,AI_NAMES!C:C,AI_NAMES!D:D,"",0))</f>
        <v/>
      </c>
      <c r="E988" t="str">
        <f t="shared" si="64"/>
        <v/>
      </c>
      <c r="G988" s="5" t="str">
        <f t="shared" si="65"/>
        <v/>
      </c>
      <c r="I988" s="6" t="str">
        <f t="shared" si="63"/>
        <v>0</v>
      </c>
      <c r="O988" t="s">
        <v>321</v>
      </c>
      <c r="P988">
        <f>IF(C988&lt;&gt;"",C988,_xlfn.XLOOKUP(B988,AI_NAMES!D:D,AI_NAMES!E:E,"",0))</f>
        <v>0</v>
      </c>
    </row>
    <row r="989" spans="1:16" x14ac:dyDescent="0.2">
      <c r="A989" t="s">
        <v>1085</v>
      </c>
      <c r="B989" t="str">
        <f>IF(O989&lt;&gt;"",O989,_xlfn.XLOOKUP(A989,AI_NAMES!C:C,AI_NAMES!D:D,"",0))</f>
        <v/>
      </c>
      <c r="E989" t="str">
        <f t="shared" si="64"/>
        <v/>
      </c>
      <c r="G989" s="5" t="str">
        <f t="shared" si="65"/>
        <v/>
      </c>
      <c r="I989" s="6" t="str">
        <f t="shared" si="63"/>
        <v>0</v>
      </c>
      <c r="O989" t="s">
        <v>321</v>
      </c>
      <c r="P989">
        <f>IF(C989&lt;&gt;"",C989,_xlfn.XLOOKUP(B989,AI_NAMES!D:D,AI_NAMES!E:E,"",0))</f>
        <v>0</v>
      </c>
    </row>
    <row r="990" spans="1:16" x14ac:dyDescent="0.2">
      <c r="A990" t="s">
        <v>1086</v>
      </c>
      <c r="B990" t="str">
        <f>IF(O990&lt;&gt;"",O990,_xlfn.XLOOKUP(A990,AI_NAMES!C:C,AI_NAMES!D:D,"",0))</f>
        <v/>
      </c>
      <c r="E990" t="str">
        <f t="shared" si="64"/>
        <v/>
      </c>
      <c r="G990" s="5" t="str">
        <f t="shared" si="65"/>
        <v/>
      </c>
      <c r="I990" s="6" t="str">
        <f t="shared" si="63"/>
        <v>0</v>
      </c>
      <c r="O990" t="s">
        <v>321</v>
      </c>
      <c r="P990">
        <f>IF(C990&lt;&gt;"",C990,_xlfn.XLOOKUP(B990,AI_NAMES!D:D,AI_NAMES!E:E,"",0))</f>
        <v>0</v>
      </c>
    </row>
    <row r="991" spans="1:16" x14ac:dyDescent="0.2">
      <c r="A991" t="s">
        <v>1087</v>
      </c>
      <c r="B991" t="str">
        <f>IF(O991&lt;&gt;"",O991,_xlfn.XLOOKUP(A991,AI_NAMES!C:C,AI_NAMES!D:D,"",0))</f>
        <v/>
      </c>
      <c r="E991" t="str">
        <f t="shared" si="64"/>
        <v/>
      </c>
      <c r="G991" s="5" t="str">
        <f t="shared" si="65"/>
        <v/>
      </c>
      <c r="I991" s="6" t="str">
        <f t="shared" si="63"/>
        <v>0</v>
      </c>
      <c r="O991" t="s">
        <v>321</v>
      </c>
      <c r="P991">
        <f>IF(C991&lt;&gt;"",C991,_xlfn.XLOOKUP(B991,AI_NAMES!D:D,AI_NAMES!E:E,"",0))</f>
        <v>0</v>
      </c>
    </row>
    <row r="992" spans="1:16" x14ac:dyDescent="0.2">
      <c r="A992" t="s">
        <v>1088</v>
      </c>
      <c r="B992" t="str">
        <f>IF(O992&lt;&gt;"",O992,_xlfn.XLOOKUP(A992,AI_NAMES!C:C,AI_NAMES!D:D,"",0))</f>
        <v/>
      </c>
      <c r="E992" t="str">
        <f t="shared" si="64"/>
        <v/>
      </c>
      <c r="G992" s="5" t="str">
        <f t="shared" si="65"/>
        <v/>
      </c>
      <c r="I992" s="6" t="str">
        <f t="shared" si="63"/>
        <v>0</v>
      </c>
      <c r="O992" t="s">
        <v>321</v>
      </c>
      <c r="P992">
        <f>IF(C992&lt;&gt;"",C992,_xlfn.XLOOKUP(B992,AI_NAMES!D:D,AI_NAMES!E:E,"",0))</f>
        <v>0</v>
      </c>
    </row>
    <row r="993" spans="1:16" x14ac:dyDescent="0.2">
      <c r="A993" t="s">
        <v>1089</v>
      </c>
      <c r="B993" t="str">
        <f>IF(O993&lt;&gt;"",O993,_xlfn.XLOOKUP(A993,AI_NAMES!C:C,AI_NAMES!D:D,"",0))</f>
        <v/>
      </c>
      <c r="E993" t="str">
        <f t="shared" si="64"/>
        <v/>
      </c>
      <c r="G993" s="5" t="str">
        <f t="shared" si="65"/>
        <v/>
      </c>
      <c r="I993" s="6" t="str">
        <f t="shared" si="63"/>
        <v>0</v>
      </c>
      <c r="O993" t="s">
        <v>321</v>
      </c>
      <c r="P993">
        <f>IF(C993&lt;&gt;"",C993,_xlfn.XLOOKUP(B993,AI_NAMES!D:D,AI_NAMES!E:E,"",0))</f>
        <v>0</v>
      </c>
    </row>
    <row r="994" spans="1:16" x14ac:dyDescent="0.2">
      <c r="A994" t="s">
        <v>1090</v>
      </c>
      <c r="B994" t="str">
        <f>IF(O994&lt;&gt;"",O994,_xlfn.XLOOKUP(A994,AI_NAMES!C:C,AI_NAMES!D:D,"",0))</f>
        <v/>
      </c>
      <c r="E994" t="str">
        <f t="shared" si="64"/>
        <v/>
      </c>
      <c r="G994" s="5" t="str">
        <f t="shared" si="65"/>
        <v/>
      </c>
      <c r="I994" s="6" t="str">
        <f t="shared" si="63"/>
        <v>0</v>
      </c>
      <c r="O994" t="s">
        <v>321</v>
      </c>
      <c r="P994">
        <f>IF(C994&lt;&gt;"",C994,_xlfn.XLOOKUP(B994,AI_NAMES!D:D,AI_NAMES!E:E,"",0))</f>
        <v>0</v>
      </c>
    </row>
    <row r="995" spans="1:16" x14ac:dyDescent="0.2">
      <c r="A995" t="s">
        <v>1091</v>
      </c>
      <c r="B995" t="str">
        <f>IF(O995&lt;&gt;"",O995,_xlfn.XLOOKUP(A995,AI_NAMES!C:C,AI_NAMES!D:D,"",0))</f>
        <v/>
      </c>
      <c r="E995" t="str">
        <f t="shared" si="64"/>
        <v/>
      </c>
      <c r="G995" s="5" t="str">
        <f t="shared" si="65"/>
        <v/>
      </c>
      <c r="I995" s="6" t="str">
        <f t="shared" si="63"/>
        <v>0</v>
      </c>
      <c r="O995" t="s">
        <v>321</v>
      </c>
      <c r="P995">
        <f>IF(C995&lt;&gt;"",C995,_xlfn.XLOOKUP(B995,AI_NAMES!D:D,AI_NAMES!E:E,"",0))</f>
        <v>0</v>
      </c>
    </row>
    <row r="996" spans="1:16" x14ac:dyDescent="0.2">
      <c r="A996" t="s">
        <v>1092</v>
      </c>
      <c r="B996" t="str">
        <f>IF(O996&lt;&gt;"",O996,_xlfn.XLOOKUP(A996,AI_NAMES!C:C,AI_NAMES!D:D,"",0))</f>
        <v/>
      </c>
      <c r="E996" t="str">
        <f t="shared" si="64"/>
        <v/>
      </c>
      <c r="G996" s="5" t="str">
        <f t="shared" si="65"/>
        <v/>
      </c>
      <c r="I996" s="6" t="str">
        <f t="shared" si="63"/>
        <v>0</v>
      </c>
      <c r="O996" t="s">
        <v>321</v>
      </c>
      <c r="P996">
        <f>IF(C996&lt;&gt;"",C996,_xlfn.XLOOKUP(B996,AI_NAMES!D:D,AI_NAMES!E:E,"",0))</f>
        <v>0</v>
      </c>
    </row>
    <row r="997" spans="1:16" x14ac:dyDescent="0.2">
      <c r="A997" t="s">
        <v>1093</v>
      </c>
      <c r="B997" t="str">
        <f>IF(O997&lt;&gt;"",O997,_xlfn.XLOOKUP(A997,AI_NAMES!C:C,AI_NAMES!D:D,"",0))</f>
        <v/>
      </c>
      <c r="E997" t="str">
        <f t="shared" si="64"/>
        <v/>
      </c>
      <c r="G997" s="5" t="str">
        <f t="shared" si="65"/>
        <v/>
      </c>
      <c r="I997" s="6" t="str">
        <f t="shared" si="63"/>
        <v>0</v>
      </c>
      <c r="O997" t="s">
        <v>321</v>
      </c>
      <c r="P997">
        <f>IF(C997&lt;&gt;"",C997,_xlfn.XLOOKUP(B997,AI_NAMES!D:D,AI_NAMES!E:E,"",0))</f>
        <v>0</v>
      </c>
    </row>
    <row r="998" spans="1:16" x14ac:dyDescent="0.2">
      <c r="A998" t="s">
        <v>1094</v>
      </c>
      <c r="B998" t="str">
        <f>IF(O998&lt;&gt;"",O998,_xlfn.XLOOKUP(A998,AI_NAMES!C:C,AI_NAMES!D:D,"",0))</f>
        <v>Click_CommsAndOptions</v>
      </c>
      <c r="E998" t="str">
        <f t="shared" si="64"/>
        <v/>
      </c>
      <c r="G998" s="5" t="str">
        <f t="shared" si="65"/>
        <v/>
      </c>
      <c r="I998" s="6" t="str">
        <f t="shared" si="63"/>
        <v>0</v>
      </c>
      <c r="O998" t="s">
        <v>1095</v>
      </c>
      <c r="P998" t="str">
        <f>IF(C998&lt;&gt;"",C998,_xlfn.XLOOKUP(B998,AI_NAMES!D:D,AI_NAMES!E:E,"",0))</f>
        <v/>
      </c>
    </row>
    <row r="999" spans="1:16" x14ac:dyDescent="0.2">
      <c r="A999" t="s">
        <v>1096</v>
      </c>
      <c r="B999" t="str">
        <f>IF(O999&lt;&gt;"",O999,_xlfn.XLOOKUP(A999,AI_NAMES!C:C,AI_NAMES!D:D,"",0))</f>
        <v/>
      </c>
      <c r="E999" t="str">
        <f t="shared" si="64"/>
        <v/>
      </c>
      <c r="G999" s="5" t="str">
        <f t="shared" si="65"/>
        <v/>
      </c>
      <c r="I999" s="6" t="str">
        <f t="shared" si="63"/>
        <v>0</v>
      </c>
      <c r="O999" t="s">
        <v>321</v>
      </c>
      <c r="P999">
        <f>IF(C999&lt;&gt;"",C999,_xlfn.XLOOKUP(B999,AI_NAMES!D:D,AI_NAMES!E:E,"",0))</f>
        <v>0</v>
      </c>
    </row>
    <row r="1000" spans="1:16" x14ac:dyDescent="0.2">
      <c r="A1000" t="s">
        <v>1097</v>
      </c>
      <c r="B1000" t="str">
        <f>IF(O1000&lt;&gt;"",O1000,_xlfn.XLOOKUP(A1000,AI_NAMES!C:C,AI_NAMES!D:D,"",0))</f>
        <v/>
      </c>
      <c r="E1000" t="str">
        <f t="shared" si="64"/>
        <v/>
      </c>
      <c r="G1000" s="5" t="str">
        <f t="shared" si="65"/>
        <v/>
      </c>
      <c r="I1000" s="6" t="str">
        <f t="shared" si="63"/>
        <v>0</v>
      </c>
      <c r="O1000" t="s">
        <v>321</v>
      </c>
      <c r="P1000">
        <f>IF(C1000&lt;&gt;"",C1000,_xlfn.XLOOKUP(B1000,AI_NAMES!D:D,AI_NAMES!E:E,"",0))</f>
        <v>0</v>
      </c>
    </row>
    <row r="1001" spans="1:16" x14ac:dyDescent="0.2">
      <c r="A1001" t="s">
        <v>1098</v>
      </c>
      <c r="B1001" t="str">
        <f>IF(O1001&lt;&gt;"",O1001,_xlfn.XLOOKUP(A1001,AI_NAMES!C:C,AI_NAMES!D:D,"",0))</f>
        <v>Click_PauseGame</v>
      </c>
      <c r="E1001" t="str">
        <f t="shared" si="64"/>
        <v/>
      </c>
      <c r="G1001" s="5" t="str">
        <f t="shared" si="65"/>
        <v/>
      </c>
      <c r="I1001" s="6" t="str">
        <f t="shared" si="63"/>
        <v>0</v>
      </c>
      <c r="O1001" t="s">
        <v>1099</v>
      </c>
      <c r="P1001" t="str">
        <f>IF(C1001&lt;&gt;"",C1001,_xlfn.XLOOKUP(B1001,AI_NAMES!D:D,AI_NAMES!E:E,"",0))</f>
        <v/>
      </c>
    </row>
    <row r="1002" spans="1:16" x14ac:dyDescent="0.2">
      <c r="A1002" t="s">
        <v>1100</v>
      </c>
      <c r="B1002" t="str">
        <f>IF(O1002&lt;&gt;"",O1002,_xlfn.XLOOKUP(A1002,AI_NAMES!C:C,AI_NAMES!D:D,"",0))</f>
        <v>.PauseLoop</v>
      </c>
      <c r="E1002" t="str">
        <f t="shared" si="64"/>
        <v/>
      </c>
      <c r="G1002" s="5" t="str">
        <f t="shared" si="65"/>
        <v/>
      </c>
      <c r="I1002" s="6" t="str">
        <f t="shared" si="63"/>
        <v>0</v>
      </c>
      <c r="O1002" t="s">
        <v>1101</v>
      </c>
      <c r="P1002" t="str">
        <f>IF(C1002&lt;&gt;"",C1002,_xlfn.XLOOKUP(B1002,AI_NAMES!D:D,AI_NAMES!E:E,"",0))</f>
        <v/>
      </c>
    </row>
    <row r="1003" spans="1:16" x14ac:dyDescent="0.2">
      <c r="A1003" t="s">
        <v>1102</v>
      </c>
      <c r="B1003" t="str">
        <f>IF(O1003&lt;&gt;"",O1003,_xlfn.XLOOKUP(A1003,AI_NAMES!C:C,AI_NAMES!D:D,"",0))</f>
        <v>ExitPause</v>
      </c>
      <c r="E1003" t="str">
        <f t="shared" si="64"/>
        <v/>
      </c>
      <c r="G1003" s="5" t="str">
        <f t="shared" si="65"/>
        <v/>
      </c>
      <c r="I1003" s="6" t="str">
        <f t="shared" si="63"/>
        <v>0</v>
      </c>
      <c r="O1003" t="s">
        <v>1103</v>
      </c>
      <c r="P1003" t="str">
        <f>IF(C1003&lt;&gt;"",C1003,_xlfn.XLOOKUP(B1003,AI_NAMES!D:D,AI_NAMES!E:E,"",0))</f>
        <v/>
      </c>
    </row>
    <row r="1004" spans="1:16" x14ac:dyDescent="0.2">
      <c r="A1004" t="s">
        <v>1104</v>
      </c>
      <c r="B1004" t="str">
        <f>IF(O1004&lt;&gt;"",O1004,_xlfn.XLOOKUP(A1004,AI_NAMES!C:C,AI_NAMES!D:D,"",0))</f>
        <v/>
      </c>
      <c r="E1004" t="str">
        <f t="shared" si="64"/>
        <v/>
      </c>
      <c r="G1004" s="5" t="str">
        <f t="shared" si="65"/>
        <v/>
      </c>
      <c r="I1004" s="6" t="str">
        <f t="shared" si="63"/>
        <v>0</v>
      </c>
      <c r="O1004" t="s">
        <v>321</v>
      </c>
      <c r="P1004">
        <f>IF(C1004&lt;&gt;"",C1004,_xlfn.XLOOKUP(B1004,AI_NAMES!D:D,AI_NAMES!E:E,"",0))</f>
        <v>0</v>
      </c>
    </row>
    <row r="1005" spans="1:16" x14ac:dyDescent="0.2">
      <c r="A1005" t="s">
        <v>1105</v>
      </c>
      <c r="B1005" t="str">
        <f>IF(O1005&lt;&gt;"",O1005,_xlfn.XLOOKUP(A1005,AI_NAMES!C:C,AI_NAMES!D:D,"",0))</f>
        <v/>
      </c>
      <c r="E1005" t="str">
        <f t="shared" si="64"/>
        <v/>
      </c>
      <c r="G1005" s="5" t="str">
        <f t="shared" si="65"/>
        <v/>
      </c>
      <c r="I1005" s="6" t="str">
        <f t="shared" si="63"/>
        <v>0</v>
      </c>
      <c r="O1005" t="s">
        <v>321</v>
      </c>
      <c r="P1005">
        <f>IF(C1005&lt;&gt;"",C1005,_xlfn.XLOOKUP(B1005,AI_NAMES!D:D,AI_NAMES!E:E,"",0))</f>
        <v>0</v>
      </c>
    </row>
    <row r="1006" spans="1:16" x14ac:dyDescent="0.2">
      <c r="A1006" t="s">
        <v>1106</v>
      </c>
      <c r="B1006" t="str">
        <f>IF(O1006&lt;&gt;"",O1006,_xlfn.XLOOKUP(A1006,AI_NAMES!C:C,AI_NAMES!D:D,"",0))</f>
        <v/>
      </c>
      <c r="E1006" t="str">
        <f t="shared" si="64"/>
        <v/>
      </c>
      <c r="G1006" s="5" t="str">
        <f t="shared" si="65"/>
        <v/>
      </c>
      <c r="I1006" s="6" t="str">
        <f t="shared" si="63"/>
        <v>0</v>
      </c>
      <c r="O1006" t="s">
        <v>321</v>
      </c>
      <c r="P1006">
        <f>IF(C1006&lt;&gt;"",C1006,_xlfn.XLOOKUP(B1006,AI_NAMES!D:D,AI_NAMES!E:E,"",0))</f>
        <v>0</v>
      </c>
    </row>
    <row r="1007" spans="1:16" x14ac:dyDescent="0.2">
      <c r="A1007" t="s">
        <v>1107</v>
      </c>
      <c r="B1007" t="str">
        <f>IF(O1007&lt;&gt;"",O1007,_xlfn.XLOOKUP(A1007,AI_NAMES!C:C,AI_NAMES!D:D,"",0))</f>
        <v/>
      </c>
      <c r="E1007" t="str">
        <f t="shared" si="64"/>
        <v/>
      </c>
      <c r="G1007" s="5" t="str">
        <f t="shared" si="65"/>
        <v/>
      </c>
      <c r="I1007" s="6" t="str">
        <f t="shared" si="63"/>
        <v>0</v>
      </c>
      <c r="O1007" t="s">
        <v>321</v>
      </c>
      <c r="P1007">
        <f>IF(C1007&lt;&gt;"",C1007,_xlfn.XLOOKUP(B1007,AI_NAMES!D:D,AI_NAMES!E:E,"",0))</f>
        <v>0</v>
      </c>
    </row>
    <row r="1008" spans="1:16" x14ac:dyDescent="0.2">
      <c r="A1008" t="s">
        <v>1108</v>
      </c>
      <c r="B1008" t="str">
        <f>IF(O1008&lt;&gt;"",O1008,_xlfn.XLOOKUP(A1008,AI_NAMES!C:C,AI_NAMES!D:D,"",0))</f>
        <v>Click_LoadSaveGame</v>
      </c>
      <c r="E1008" t="str">
        <f t="shared" si="64"/>
        <v/>
      </c>
      <c r="G1008" s="5" t="str">
        <f t="shared" si="65"/>
        <v/>
      </c>
      <c r="I1008" s="6" t="str">
        <f t="shared" si="63"/>
        <v>0</v>
      </c>
      <c r="O1008" t="s">
        <v>1109</v>
      </c>
      <c r="P1008" t="str">
        <f>IF(C1008&lt;&gt;"",C1008,_xlfn.XLOOKUP(B1008,AI_NAMES!D:D,AI_NAMES!E:E,"",0))</f>
        <v/>
      </c>
    </row>
    <row r="1009" spans="1:16" x14ac:dyDescent="0.2">
      <c r="A1009" t="s">
        <v>1110</v>
      </c>
      <c r="B1009" t="str">
        <f>IF(O1009&lt;&gt;"",O1009,_xlfn.XLOOKUP(A1009,AI_NAMES!C:C,AI_NAMES!D:D,"",0))</f>
        <v>.skipPlayer2</v>
      </c>
      <c r="E1009" t="str">
        <f t="shared" si="64"/>
        <v/>
      </c>
      <c r="G1009" s="5" t="str">
        <f t="shared" si="65"/>
        <v/>
      </c>
      <c r="I1009" s="6" t="str">
        <f t="shared" si="63"/>
        <v>0</v>
      </c>
      <c r="O1009" t="s">
        <v>344</v>
      </c>
      <c r="P1009" t="str">
        <f>IF(C1009&lt;&gt;"",C1009,_xlfn.XLOOKUP(B1009,AI_NAMES!D:D,AI_NAMES!E:E,"",0))</f>
        <v/>
      </c>
    </row>
    <row r="1010" spans="1:16" x14ac:dyDescent="0.2">
      <c r="A1010" t="s">
        <v>1111</v>
      </c>
      <c r="B1010" t="str">
        <f>IF(O1010&lt;&gt;"",O1010,_xlfn.XLOOKUP(A1010,AI_NAMES!C:C,AI_NAMES!D:D,"",0))</f>
        <v>.PickLoadSaveGame_Loop</v>
      </c>
      <c r="E1010" t="str">
        <f t="shared" si="64"/>
        <v/>
      </c>
      <c r="G1010" s="5" t="str">
        <f t="shared" si="65"/>
        <v/>
      </c>
      <c r="I1010" s="6" t="str">
        <f t="shared" si="63"/>
        <v>0</v>
      </c>
      <c r="O1010" t="s">
        <v>1112</v>
      </c>
      <c r="P1010" t="str">
        <f>IF(C1010&lt;&gt;"",C1010,_xlfn.XLOOKUP(B1010,AI_NAMES!D:D,AI_NAMES!E:E,"",0))</f>
        <v/>
      </c>
    </row>
    <row r="1011" spans="1:16" x14ac:dyDescent="0.2">
      <c r="A1011" t="s">
        <v>1113</v>
      </c>
      <c r="B1011" t="str">
        <f>IF(O1011&lt;&gt;"",O1011,_xlfn.XLOOKUP(A1011,AI_NAMES!C:C,AI_NAMES!D:D,"",0))</f>
        <v/>
      </c>
      <c r="E1011" t="str">
        <f t="shared" si="64"/>
        <v/>
      </c>
      <c r="G1011" s="5" t="str">
        <f t="shared" si="65"/>
        <v/>
      </c>
      <c r="I1011" s="6" t="str">
        <f t="shared" si="63"/>
        <v>0</v>
      </c>
      <c r="O1011" t="s">
        <v>321</v>
      </c>
      <c r="P1011">
        <f>IF(C1011&lt;&gt;"",C1011,_xlfn.XLOOKUP(B1011,AI_NAMES!D:D,AI_NAMES!E:E,"",0))</f>
        <v>0</v>
      </c>
    </row>
    <row r="1012" spans="1:16" x14ac:dyDescent="0.2">
      <c r="A1012" t="s">
        <v>1114</v>
      </c>
      <c r="B1012" t="str">
        <f>IF(O1012&lt;&gt;"",O1012,_xlfn.XLOOKUP(A1012,AI_NAMES!C:C,AI_NAMES!D:D,"",0))</f>
        <v>LoadGame</v>
      </c>
      <c r="E1012" t="str">
        <f t="shared" si="64"/>
        <v/>
      </c>
      <c r="G1012" s="5" t="str">
        <f t="shared" si="65"/>
        <v/>
      </c>
      <c r="I1012" s="6" t="str">
        <f t="shared" si="63"/>
        <v>0</v>
      </c>
      <c r="O1012" t="s">
        <v>1115</v>
      </c>
      <c r="P1012" t="str">
        <f>IF(C1012&lt;&gt;"",C1012,_xlfn.XLOOKUP(B1012,AI_NAMES!D:D,AI_NAMES!E:E,"",0))</f>
        <v/>
      </c>
    </row>
    <row r="1013" spans="1:16" x14ac:dyDescent="0.2">
      <c r="A1013" t="s">
        <v>1116</v>
      </c>
      <c r="B1013" t="str">
        <f>IF(O1013&lt;&gt;"",O1013,_xlfn.XLOOKUP(A1013,AI_NAMES!C:C,AI_NAMES!D:D,"",0))</f>
        <v>SaveGame</v>
      </c>
      <c r="E1013" t="str">
        <f t="shared" si="64"/>
        <v/>
      </c>
      <c r="G1013" s="5" t="str">
        <f t="shared" si="65"/>
        <v/>
      </c>
      <c r="I1013" s="6" t="str">
        <f t="shared" si="63"/>
        <v>0</v>
      </c>
      <c r="O1013" t="s">
        <v>1117</v>
      </c>
      <c r="P1013" t="str">
        <f>IF(C1013&lt;&gt;"",C1013,_xlfn.XLOOKUP(B1013,AI_NAMES!D:D,AI_NAMES!E:E,"",0))</f>
        <v/>
      </c>
    </row>
    <row r="1014" spans="1:16" x14ac:dyDescent="0.2">
      <c r="A1014" t="s">
        <v>1118</v>
      </c>
      <c r="B1014" t="str">
        <f>IF(O1014&lt;&gt;"",O1014,_xlfn.XLOOKUP(A1014,AI_NAMES!C:C,AI_NAMES!D:D,"",0))</f>
        <v>AwaitDisk</v>
      </c>
      <c r="E1014" t="str">
        <f t="shared" si="64"/>
        <v/>
      </c>
      <c r="G1014" s="5" t="str">
        <f t="shared" si="65"/>
        <v/>
      </c>
      <c r="I1014" s="6" t="str">
        <f t="shared" si="63"/>
        <v>0</v>
      </c>
      <c r="O1014" t="s">
        <v>1119</v>
      </c>
      <c r="P1014" t="str">
        <f>IF(C1014&lt;&gt;"",C1014,_xlfn.XLOOKUP(B1014,AI_NAMES!D:D,AI_NAMES!E:E,"",0))</f>
        <v/>
      </c>
    </row>
    <row r="1015" spans="1:16" x14ac:dyDescent="0.2">
      <c r="A1015" t="s">
        <v>1120</v>
      </c>
      <c r="B1015" t="str">
        <f>IF(O1015&lt;&gt;"",O1015,_xlfn.XLOOKUP(A1015,AI_NAMES!C:C,AI_NAMES!D:D,"",0))</f>
        <v>.PickLoadSaveMessage</v>
      </c>
      <c r="E1015" t="str">
        <f t="shared" si="64"/>
        <v/>
      </c>
      <c r="G1015" s="5" t="str">
        <f t="shared" si="65"/>
        <v/>
      </c>
      <c r="I1015" s="6" t="str">
        <f t="shared" si="63"/>
        <v>0</v>
      </c>
      <c r="O1015" t="s">
        <v>1121</v>
      </c>
      <c r="P1015" t="str">
        <f>IF(C1015&lt;&gt;"",C1015,_xlfn.XLOOKUP(B1015,AI_NAMES!D:D,AI_NAMES!E:E,"",0))</f>
        <v/>
      </c>
    </row>
    <row r="1016" spans="1:16" x14ac:dyDescent="0.2">
      <c r="A1016" t="s">
        <v>1122</v>
      </c>
      <c r="B1016" t="str">
        <f>IF(O1016&lt;&gt;"",O1016,_xlfn.XLOOKUP(A1016,AI_NAMES!C:C,AI_NAMES!D:D,"",0))</f>
        <v/>
      </c>
      <c r="E1016" t="str">
        <f t="shared" si="64"/>
        <v/>
      </c>
      <c r="G1016" s="5" t="str">
        <f t="shared" si="65"/>
        <v/>
      </c>
      <c r="I1016" s="6" t="str">
        <f t="shared" si="63"/>
        <v>0</v>
      </c>
      <c r="P1016">
        <f>IF(C1016&lt;&gt;"",C1016,_xlfn.XLOOKUP(B1016,AI_NAMES!D:D,AI_NAMES!E:E,"",0))</f>
        <v>0</v>
      </c>
    </row>
    <row r="1017" spans="1:16" x14ac:dyDescent="0.2">
      <c r="A1017" t="s">
        <v>1123</v>
      </c>
      <c r="B1017" t="str">
        <f>IF(O1017&lt;&gt;"",O1017,_xlfn.XLOOKUP(A1017,AI_NAMES!C:C,AI_NAMES!D:D,"",0))</f>
        <v>.skipPlayer2</v>
      </c>
      <c r="E1017" t="str">
        <f t="shared" si="64"/>
        <v/>
      </c>
      <c r="G1017" s="5" t="str">
        <f t="shared" si="65"/>
        <v/>
      </c>
      <c r="I1017" s="6" t="str">
        <f t="shared" si="63"/>
        <v>0</v>
      </c>
      <c r="O1017" t="s">
        <v>344</v>
      </c>
      <c r="P1017" t="str">
        <f>IF(C1017&lt;&gt;"",C1017,_xlfn.XLOOKUP(B1017,AI_NAMES!D:D,AI_NAMES!E:E,"",0))</f>
        <v/>
      </c>
    </row>
    <row r="1018" spans="1:16" x14ac:dyDescent="0.2">
      <c r="A1018" t="s">
        <v>1124</v>
      </c>
      <c r="B1018" t="str">
        <f>IF(O1018&lt;&gt;"",O1018,_xlfn.XLOOKUP(A1018,AI_NAMES!C:C,AI_NAMES!D:D,"",0))</f>
        <v>LoadSaveGame_Loop</v>
      </c>
      <c r="E1018" t="str">
        <f t="shared" si="64"/>
        <v/>
      </c>
      <c r="G1018" s="5" t="str">
        <f t="shared" si="65"/>
        <v/>
      </c>
      <c r="I1018" s="6" t="str">
        <f t="shared" si="63"/>
        <v>0</v>
      </c>
      <c r="O1018" t="s">
        <v>1125</v>
      </c>
      <c r="P1018" t="str">
        <f>IF(C1018&lt;&gt;"",C1018,_xlfn.XLOOKUP(B1018,AI_NAMES!D:D,AI_NAMES!E:E,"",0))</f>
        <v/>
      </c>
    </row>
    <row r="1019" spans="1:16" x14ac:dyDescent="0.2">
      <c r="A1019" t="s">
        <v>1126</v>
      </c>
      <c r="B1019" t="str">
        <f>IF(O1019&lt;&gt;"",O1019,_xlfn.XLOOKUP(A1019,AI_NAMES!C:C,AI_NAMES!D:D,"",0))</f>
        <v>LoadSaveGame_Action</v>
      </c>
      <c r="E1019" t="str">
        <f t="shared" si="64"/>
        <v/>
      </c>
      <c r="G1019" s="5" t="str">
        <f t="shared" si="65"/>
        <v/>
      </c>
      <c r="I1019" s="6" t="str">
        <f t="shared" si="63"/>
        <v>0</v>
      </c>
      <c r="O1019" t="s">
        <v>1127</v>
      </c>
      <c r="P1019" t="str">
        <f>IF(C1019&lt;&gt;"",C1019,_xlfn.XLOOKUP(B1019,AI_NAMES!D:D,AI_NAMES!E:E,"",0))</f>
        <v/>
      </c>
    </row>
    <row r="1020" spans="1:16" x14ac:dyDescent="0.2">
      <c r="A1020" t="s">
        <v>1128</v>
      </c>
      <c r="B1020" t="str">
        <f>IF(O1020&lt;&gt;"",O1020,_xlfn.XLOOKUP(A1020,AI_NAMES!C:C,AI_NAMES!D:D,"",0))</f>
        <v/>
      </c>
      <c r="E1020" t="str">
        <f t="shared" si="64"/>
        <v/>
      </c>
      <c r="G1020" s="5" t="str">
        <f t="shared" si="65"/>
        <v/>
      </c>
      <c r="I1020" s="6" t="str">
        <f t="shared" si="63"/>
        <v>0</v>
      </c>
      <c r="O1020" t="s">
        <v>321</v>
      </c>
      <c r="P1020">
        <f>IF(C1020&lt;&gt;"",C1020,_xlfn.XLOOKUP(B1020,AI_NAMES!D:D,AI_NAMES!E:E,"",0))</f>
        <v>0</v>
      </c>
    </row>
    <row r="1021" spans="1:16" x14ac:dyDescent="0.2">
      <c r="A1021" t="s">
        <v>1129</v>
      </c>
      <c r="B1021" t="str">
        <f>IF(O1021&lt;&gt;"",O1021,_xlfn.XLOOKUP(A1021,AI_NAMES!C:C,AI_NAMES!D:D,"",0))</f>
        <v/>
      </c>
      <c r="E1021" t="str">
        <f t="shared" si="64"/>
        <v/>
      </c>
      <c r="G1021" s="5" t="str">
        <f t="shared" si="65"/>
        <v/>
      </c>
      <c r="I1021" s="6" t="str">
        <f t="shared" si="63"/>
        <v>0</v>
      </c>
      <c r="O1021" t="s">
        <v>321</v>
      </c>
      <c r="P1021">
        <f>IF(C1021&lt;&gt;"",C1021,_xlfn.XLOOKUP(B1021,AI_NAMES!D:D,AI_NAMES!E:E,"",0))</f>
        <v>0</v>
      </c>
    </row>
    <row r="1022" spans="1:16" x14ac:dyDescent="0.2">
      <c r="A1022" t="s">
        <v>1130</v>
      </c>
      <c r="B1022" t="str">
        <f>IF(O1022&lt;&gt;"",O1022,_xlfn.XLOOKUP(A1022,AI_NAMES!C:C,AI_NAMES!D:D,"",0))</f>
        <v/>
      </c>
      <c r="E1022" t="str">
        <f t="shared" si="64"/>
        <v/>
      </c>
      <c r="G1022" s="5" t="str">
        <f t="shared" si="65"/>
        <v/>
      </c>
      <c r="I1022" s="6" t="str">
        <f t="shared" si="63"/>
        <v>0</v>
      </c>
      <c r="O1022" t="s">
        <v>321</v>
      </c>
      <c r="P1022">
        <f>IF(C1022&lt;&gt;"",C1022,_xlfn.XLOOKUP(B1022,AI_NAMES!D:D,AI_NAMES!E:E,"",0))</f>
        <v>0</v>
      </c>
    </row>
    <row r="1023" spans="1:16" x14ac:dyDescent="0.2">
      <c r="A1023" t="s">
        <v>1131</v>
      </c>
      <c r="B1023" t="str">
        <f>IF(O1023&lt;&gt;"",O1023,_xlfn.XLOOKUP(A1023,AI_NAMES!C:C,AI_NAMES!D:D,"",0))</f>
        <v/>
      </c>
      <c r="E1023" t="str">
        <f t="shared" si="64"/>
        <v/>
      </c>
      <c r="G1023" s="5" t="str">
        <f t="shared" si="65"/>
        <v/>
      </c>
      <c r="I1023" s="6" t="str">
        <f t="shared" si="63"/>
        <v>0</v>
      </c>
      <c r="O1023" t="s">
        <v>321</v>
      </c>
      <c r="P1023">
        <f>IF(C1023&lt;&gt;"",C1023,_xlfn.XLOOKUP(B1023,AI_NAMES!D:D,AI_NAMES!E:E,"",0))</f>
        <v>0</v>
      </c>
    </row>
    <row r="1024" spans="1:16" x14ac:dyDescent="0.2">
      <c r="A1024" t="s">
        <v>1132</v>
      </c>
      <c r="B1024" t="str">
        <f>IF(O1024&lt;&gt;"",O1024,_xlfn.XLOOKUP(A1024,AI_NAMES!C:C,AI_NAMES!D:D,"",0))</f>
        <v/>
      </c>
      <c r="E1024" t="str">
        <f t="shared" si="64"/>
        <v/>
      </c>
      <c r="G1024" s="5" t="str">
        <f t="shared" si="65"/>
        <v/>
      </c>
      <c r="I1024" s="6" t="str">
        <f t="shared" si="63"/>
        <v>0</v>
      </c>
      <c r="O1024" t="s">
        <v>321</v>
      </c>
      <c r="P1024">
        <f>IF(C1024&lt;&gt;"",C1024,_xlfn.XLOOKUP(B1024,AI_NAMES!D:D,AI_NAMES!E:E,"",0))</f>
        <v>0</v>
      </c>
    </row>
    <row r="1025" spans="1:16" x14ac:dyDescent="0.2">
      <c r="A1025" t="s">
        <v>1133</v>
      </c>
      <c r="B1025" t="str">
        <f>IF(O1025&lt;&gt;"",O1025,_xlfn.XLOOKUP(A1025,AI_NAMES!C:C,AI_NAMES!D:D,"",0))</f>
        <v>F1_F2_F10_Msg</v>
      </c>
      <c r="E1025" t="str">
        <f t="shared" si="64"/>
        <v/>
      </c>
      <c r="G1025" s="5" t="str">
        <f t="shared" si="65"/>
        <v/>
      </c>
      <c r="I1025" s="6" t="str">
        <f t="shared" si="63"/>
        <v>0</v>
      </c>
      <c r="O1025" t="s">
        <v>1133</v>
      </c>
      <c r="P1025" t="str">
        <f>IF(C1025&lt;&gt;"",C1025,_xlfn.XLOOKUP(B1025,AI_NAMES!D:D,AI_NAMES!E:E,"",0))</f>
        <v/>
      </c>
    </row>
    <row r="1026" spans="1:16" x14ac:dyDescent="0.2">
      <c r="A1026" t="s">
        <v>1134</v>
      </c>
      <c r="B1026" t="str">
        <f>IF(O1026&lt;&gt;"",O1026,_xlfn.XLOOKUP(A1026,AI_NAMES!C:C,AI_NAMES!D:D,"",0))</f>
        <v>InsertLoadDiskMsg</v>
      </c>
      <c r="E1026" t="str">
        <f t="shared" si="64"/>
        <v/>
      </c>
      <c r="G1026" s="5" t="str">
        <f t="shared" si="65"/>
        <v/>
      </c>
      <c r="I1026" s="6" t="str">
        <f t="shared" si="63"/>
        <v>0</v>
      </c>
      <c r="O1026" t="s">
        <v>1134</v>
      </c>
      <c r="P1026" t="str">
        <f>IF(C1026&lt;&gt;"",C1026,_xlfn.XLOOKUP(B1026,AI_NAMES!D:D,AI_NAMES!E:E,"",0))</f>
        <v/>
      </c>
    </row>
    <row r="1027" spans="1:16" x14ac:dyDescent="0.2">
      <c r="A1027" t="s">
        <v>1135</v>
      </c>
      <c r="B1027" t="str">
        <f>IF(O1027&lt;&gt;"",O1027,_xlfn.XLOOKUP(A1027,AI_NAMES!C:C,AI_NAMES!D:D,"",0))</f>
        <v>InsertSaveDiskMsg</v>
      </c>
      <c r="E1027" t="str">
        <f t="shared" si="64"/>
        <v/>
      </c>
      <c r="G1027" s="5" t="str">
        <f t="shared" si="65"/>
        <v/>
      </c>
      <c r="I1027" s="6" t="str">
        <f t="shared" ref="I1027:I1090" si="66">IFERROR(DEC2HEX(H1027),"")</f>
        <v>0</v>
      </c>
      <c r="O1027" t="s">
        <v>1135</v>
      </c>
      <c r="P1027" t="str">
        <f>IF(C1027&lt;&gt;"",C1027,_xlfn.XLOOKUP(B1027,AI_NAMES!D:D,AI_NAMES!E:E,"",0))</f>
        <v/>
      </c>
    </row>
    <row r="1028" spans="1:16" x14ac:dyDescent="0.2">
      <c r="A1028" t="s">
        <v>1136</v>
      </c>
      <c r="B1028" t="str">
        <f>IF(O1028&lt;&gt;"",O1028,_xlfn.XLOOKUP(A1028,AI_NAMES!C:C,AI_NAMES!D:D,"",0))</f>
        <v>Click_SleepParty</v>
      </c>
      <c r="E1028" t="str">
        <f t="shared" ref="E1028:E1091" si="67">IF(D1028&lt;&gt;"",C1028&amp;"/"&amp;D1028,"")</f>
        <v/>
      </c>
      <c r="G1028" s="5" t="str">
        <f t="shared" si="65"/>
        <v/>
      </c>
      <c r="I1028" s="6" t="str">
        <f t="shared" si="66"/>
        <v>0</v>
      </c>
      <c r="O1028" t="s">
        <v>1137</v>
      </c>
      <c r="P1028" t="str">
        <f>IF(C1028&lt;&gt;"",C1028,_xlfn.XLOOKUP(B1028,AI_NAMES!D:D,AI_NAMES!E:E,"",0))</f>
        <v/>
      </c>
    </row>
    <row r="1029" spans="1:16" x14ac:dyDescent="0.2">
      <c r="A1029" t="s">
        <v>1138</v>
      </c>
      <c r="B1029" t="str">
        <f>IF(O1029&lt;&gt;"",O1029,_xlfn.XLOOKUP(A1029,AI_NAMES!C:C,AI_NAMES!D:D,"",0))</f>
        <v/>
      </c>
      <c r="E1029" t="str">
        <f t="shared" si="67"/>
        <v/>
      </c>
      <c r="G1029" s="5" t="str">
        <f t="shared" si="65"/>
        <v/>
      </c>
      <c r="I1029" s="6" t="str">
        <f t="shared" si="66"/>
        <v>0</v>
      </c>
      <c r="P1029">
        <f>IF(C1029&lt;&gt;"",C1029,_xlfn.XLOOKUP(B1029,AI_NAMES!D:D,AI_NAMES!E:E,"",0))</f>
        <v>0</v>
      </c>
    </row>
    <row r="1030" spans="1:16" x14ac:dyDescent="0.2">
      <c r="A1030" t="s">
        <v>1139</v>
      </c>
      <c r="B1030" t="str">
        <f>IF(O1030&lt;&gt;"",O1030,_xlfn.XLOOKUP(A1030,AI_NAMES!C:C,AI_NAMES!D:D,"",0))</f>
        <v/>
      </c>
      <c r="E1030" t="str">
        <f t="shared" si="67"/>
        <v/>
      </c>
      <c r="G1030" s="5" t="str">
        <f t="shared" si="65"/>
        <v/>
      </c>
      <c r="I1030" s="6" t="str">
        <f t="shared" si="66"/>
        <v>0</v>
      </c>
      <c r="O1030" t="s">
        <v>321</v>
      </c>
      <c r="P1030">
        <f>IF(C1030&lt;&gt;"",C1030,_xlfn.XLOOKUP(B1030,AI_NAMES!D:D,AI_NAMES!E:E,"",0))</f>
        <v>0</v>
      </c>
    </row>
    <row r="1031" spans="1:16" x14ac:dyDescent="0.2">
      <c r="A1031" t="s">
        <v>1140</v>
      </c>
      <c r="B1031" t="str">
        <f>IF(O1031&lt;&gt;"",O1031,_xlfn.XLOOKUP(A1031,AI_NAMES!C:C,AI_NAMES!D:D,"",0))</f>
        <v/>
      </c>
      <c r="E1031" t="str">
        <f t="shared" si="67"/>
        <v/>
      </c>
      <c r="G1031" s="5" t="str">
        <f t="shared" si="65"/>
        <v/>
      </c>
      <c r="I1031" s="6" t="str">
        <f t="shared" si="66"/>
        <v>0</v>
      </c>
      <c r="O1031" t="s">
        <v>321</v>
      </c>
      <c r="P1031">
        <f>IF(C1031&lt;&gt;"",C1031,_xlfn.XLOOKUP(B1031,AI_NAMES!D:D,AI_NAMES!E:E,"",0))</f>
        <v>0</v>
      </c>
    </row>
    <row r="1032" spans="1:16" x14ac:dyDescent="0.2">
      <c r="A1032" t="s">
        <v>1141</v>
      </c>
      <c r="B1032" t="str">
        <f>IF(O1032&lt;&gt;"",O1032,_xlfn.XLOOKUP(A1032,AI_NAMES!C:C,AI_NAMES!D:D,"",0))</f>
        <v/>
      </c>
      <c r="E1032" t="str">
        <f t="shared" si="67"/>
        <v/>
      </c>
      <c r="G1032" s="5" t="str">
        <f t="shared" si="65"/>
        <v/>
      </c>
      <c r="I1032" s="6" t="str">
        <f t="shared" si="66"/>
        <v>0</v>
      </c>
      <c r="O1032" t="s">
        <v>321</v>
      </c>
      <c r="P1032">
        <f>IF(C1032&lt;&gt;"",C1032,_xlfn.XLOOKUP(B1032,AI_NAMES!D:D,AI_NAMES!E:E,"",0))</f>
        <v>0</v>
      </c>
    </row>
    <row r="1033" spans="1:16" x14ac:dyDescent="0.2">
      <c r="A1033" t="s">
        <v>1142</v>
      </c>
      <c r="B1033" t="str">
        <f>IF(O1033&lt;&gt;"",O1033,_xlfn.XLOOKUP(A1033,AI_NAMES!C:C,AI_NAMES!D:D,"",0))</f>
        <v>ThouArtAsleep</v>
      </c>
      <c r="E1033" t="str">
        <f t="shared" si="67"/>
        <v/>
      </c>
      <c r="G1033" s="5" t="str">
        <f t="shared" ref="G1033:G1096" si="68">IF(F1033&lt;&gt;"",HEX2DEC(SUBSTITUTE(SUBSTITUTE(F1033,"adrEA",""),"$","")),"")</f>
        <v/>
      </c>
      <c r="I1033" s="6" t="str">
        <f t="shared" si="66"/>
        <v>0</v>
      </c>
      <c r="O1033" t="s">
        <v>1143</v>
      </c>
      <c r="P1033" t="str">
        <f>IF(C1033&lt;&gt;"",C1033,_xlfn.XLOOKUP(B1033,AI_NAMES!D:D,AI_NAMES!E:E,"",0))</f>
        <v/>
      </c>
    </row>
    <row r="1034" spans="1:16" x14ac:dyDescent="0.2">
      <c r="A1034" t="s">
        <v>1144</v>
      </c>
      <c r="B1034" t="str">
        <f>IF(O1034&lt;&gt;"",O1034,_xlfn.XLOOKUP(A1034,AI_NAMES!C:C,AI_NAMES!D:D,"",0))</f>
        <v/>
      </c>
      <c r="E1034" t="str">
        <f t="shared" si="67"/>
        <v/>
      </c>
      <c r="G1034" s="5" t="str">
        <f t="shared" si="68"/>
        <v/>
      </c>
      <c r="I1034" s="6" t="str">
        <f t="shared" si="66"/>
        <v>0</v>
      </c>
      <c r="O1034" t="s">
        <v>321</v>
      </c>
      <c r="P1034">
        <f>IF(C1034&lt;&gt;"",C1034,_xlfn.XLOOKUP(B1034,AI_NAMES!D:D,AI_NAMES!E:E,"",0))</f>
        <v>0</v>
      </c>
    </row>
    <row r="1035" spans="1:16" x14ac:dyDescent="0.2">
      <c r="A1035" t="s">
        <v>1145</v>
      </c>
      <c r="B1035" t="str">
        <f>IF(O1035&lt;&gt;"",O1035,_xlfn.XLOOKUP(A1035,AI_NAMES!C:C,AI_NAMES!D:D,"",0))</f>
        <v/>
      </c>
      <c r="E1035" t="str">
        <f t="shared" si="67"/>
        <v/>
      </c>
      <c r="G1035" s="5" t="str">
        <f t="shared" si="68"/>
        <v/>
      </c>
      <c r="I1035" s="6" t="str">
        <f t="shared" si="66"/>
        <v>0</v>
      </c>
      <c r="O1035" t="s">
        <v>321</v>
      </c>
      <c r="P1035">
        <f>IF(C1035&lt;&gt;"",C1035,_xlfn.XLOOKUP(B1035,AI_NAMES!D:D,AI_NAMES!E:E,"",0))</f>
        <v>0</v>
      </c>
    </row>
    <row r="1036" spans="1:16" x14ac:dyDescent="0.2">
      <c r="A1036" t="s">
        <v>1146</v>
      </c>
      <c r="B1036" t="str">
        <f>IF(O1036&lt;&gt;"",O1036,_xlfn.XLOOKUP(A1036,AI_NAMES!C:C,AI_NAMES!D:D,"",0))</f>
        <v/>
      </c>
      <c r="E1036" t="str">
        <f t="shared" si="67"/>
        <v/>
      </c>
      <c r="G1036" s="5" t="str">
        <f t="shared" si="68"/>
        <v/>
      </c>
      <c r="I1036" s="6" t="str">
        <f t="shared" si="66"/>
        <v>0</v>
      </c>
      <c r="O1036" t="s">
        <v>321</v>
      </c>
      <c r="P1036">
        <f>IF(C1036&lt;&gt;"",C1036,_xlfn.XLOOKUP(B1036,AI_NAMES!D:D,AI_NAMES!E:E,"",0))</f>
        <v>0</v>
      </c>
    </row>
    <row r="1037" spans="1:16" x14ac:dyDescent="0.2">
      <c r="A1037" t="s">
        <v>1147</v>
      </c>
      <c r="B1037" t="str">
        <f>IF(O1037&lt;&gt;"",O1037,_xlfn.XLOOKUP(A1037,AI_NAMES!C:C,AI_NAMES!D:D,"",0))</f>
        <v/>
      </c>
      <c r="E1037" t="str">
        <f t="shared" si="67"/>
        <v/>
      </c>
      <c r="G1037" s="5" t="str">
        <f t="shared" si="68"/>
        <v/>
      </c>
      <c r="I1037" s="6" t="str">
        <f t="shared" si="66"/>
        <v>0</v>
      </c>
      <c r="O1037" t="s">
        <v>321</v>
      </c>
      <c r="P1037">
        <f>IF(C1037&lt;&gt;"",C1037,_xlfn.XLOOKUP(B1037,AI_NAMES!D:D,AI_NAMES!E:E,"",0))</f>
        <v>0</v>
      </c>
    </row>
    <row r="1038" spans="1:16" x14ac:dyDescent="0.2">
      <c r="A1038" t="s">
        <v>1148</v>
      </c>
      <c r="B1038" t="str">
        <f>IF(O1038&lt;&gt;"",O1038,_xlfn.XLOOKUP(A1038,AI_NAMES!C:C,AI_NAMES!D:D,"",0))</f>
        <v/>
      </c>
      <c r="E1038" t="str">
        <f t="shared" si="67"/>
        <v/>
      </c>
      <c r="G1038" s="5" t="str">
        <f t="shared" si="68"/>
        <v/>
      </c>
      <c r="I1038" s="6" t="str">
        <f t="shared" si="66"/>
        <v>0</v>
      </c>
      <c r="O1038" t="s">
        <v>321</v>
      </c>
      <c r="P1038">
        <f>IF(C1038&lt;&gt;"",C1038,_xlfn.XLOOKUP(B1038,AI_NAMES!D:D,AI_NAMES!E:E,"",0))</f>
        <v>0</v>
      </c>
    </row>
    <row r="1039" spans="1:16" x14ac:dyDescent="0.2">
      <c r="A1039" t="s">
        <v>1149</v>
      </c>
      <c r="B1039" t="str">
        <f>IF(O1039&lt;&gt;"",O1039,_xlfn.XLOOKUP(A1039,AI_NAMES!C:C,AI_NAMES!D:D,"",0))</f>
        <v/>
      </c>
      <c r="E1039" t="str">
        <f t="shared" si="67"/>
        <v/>
      </c>
      <c r="G1039" s="5" t="str">
        <f t="shared" si="68"/>
        <v/>
      </c>
      <c r="I1039" s="6" t="str">
        <f t="shared" si="66"/>
        <v>0</v>
      </c>
      <c r="O1039" t="s">
        <v>321</v>
      </c>
      <c r="P1039">
        <f>IF(C1039&lt;&gt;"",C1039,_xlfn.XLOOKUP(B1039,AI_NAMES!D:D,AI_NAMES!E:E,"",0))</f>
        <v>0</v>
      </c>
    </row>
    <row r="1040" spans="1:16" x14ac:dyDescent="0.2">
      <c r="A1040" t="s">
        <v>1150</v>
      </c>
      <c r="B1040" t="str">
        <f>IF(O1040&lt;&gt;"",O1040,_xlfn.XLOOKUP(A1040,AI_NAMES!C:C,AI_NAMES!D:D,"",0))</f>
        <v/>
      </c>
      <c r="E1040" t="str">
        <f t="shared" si="67"/>
        <v/>
      </c>
      <c r="G1040" s="5" t="str">
        <f t="shared" si="68"/>
        <v/>
      </c>
      <c r="I1040" s="6" t="str">
        <f t="shared" si="66"/>
        <v>0</v>
      </c>
      <c r="O1040" t="s">
        <v>321</v>
      </c>
      <c r="P1040">
        <f>IF(C1040&lt;&gt;"",C1040,_xlfn.XLOOKUP(B1040,AI_NAMES!D:D,AI_NAMES!E:E,"",0))</f>
        <v>0</v>
      </c>
    </row>
    <row r="1041" spans="1:16" x14ac:dyDescent="0.2">
      <c r="A1041" t="s">
        <v>1151</v>
      </c>
      <c r="B1041" t="str">
        <f>IF(O1041&lt;&gt;"",O1041,_xlfn.XLOOKUP(A1041,AI_NAMES!C:C,AI_NAMES!D:D,"",0))</f>
        <v/>
      </c>
      <c r="E1041" t="str">
        <f t="shared" si="67"/>
        <v/>
      </c>
      <c r="G1041" s="5" t="str">
        <f t="shared" si="68"/>
        <v/>
      </c>
      <c r="I1041" s="6" t="str">
        <f t="shared" si="66"/>
        <v>0</v>
      </c>
      <c r="O1041" t="s">
        <v>321</v>
      </c>
      <c r="P1041">
        <f>IF(C1041&lt;&gt;"",C1041,_xlfn.XLOOKUP(B1041,AI_NAMES!D:D,AI_NAMES!E:E,"",0))</f>
        <v>0</v>
      </c>
    </row>
    <row r="1042" spans="1:16" x14ac:dyDescent="0.2">
      <c r="A1042" t="s">
        <v>1152</v>
      </c>
      <c r="B1042" t="str">
        <f>IF(O1042&lt;&gt;"",O1042,_xlfn.XLOOKUP(A1042,AI_NAMES!C:C,AI_NAMES!D:D,"",0))</f>
        <v/>
      </c>
      <c r="E1042" t="str">
        <f t="shared" si="67"/>
        <v/>
      </c>
      <c r="G1042" s="5" t="str">
        <f t="shared" si="68"/>
        <v/>
      </c>
      <c r="I1042" s="6" t="str">
        <f t="shared" si="66"/>
        <v>0</v>
      </c>
      <c r="O1042" t="s">
        <v>321</v>
      </c>
      <c r="P1042">
        <f>IF(C1042&lt;&gt;"",C1042,_xlfn.XLOOKUP(B1042,AI_NAMES!D:D,AI_NAMES!E:E,"",0))</f>
        <v>0</v>
      </c>
    </row>
    <row r="1043" spans="1:16" x14ac:dyDescent="0.2">
      <c r="A1043" t="s">
        <v>1153</v>
      </c>
      <c r="B1043" t="str">
        <f>IF(O1043&lt;&gt;"",O1043,_xlfn.XLOOKUP(A1043,AI_NAMES!C:C,AI_NAMES!D:D,"",0))</f>
        <v/>
      </c>
      <c r="E1043" t="str">
        <f t="shared" si="67"/>
        <v/>
      </c>
      <c r="G1043" s="5" t="str">
        <f t="shared" si="68"/>
        <v/>
      </c>
      <c r="I1043" s="6" t="str">
        <f t="shared" si="66"/>
        <v>0</v>
      </c>
      <c r="O1043" t="s">
        <v>321</v>
      </c>
      <c r="P1043">
        <f>IF(C1043&lt;&gt;"",C1043,_xlfn.XLOOKUP(B1043,AI_NAMES!D:D,AI_NAMES!E:E,"",0))</f>
        <v>0</v>
      </c>
    </row>
    <row r="1044" spans="1:16" x14ac:dyDescent="0.2">
      <c r="A1044" t="s">
        <v>1154</v>
      </c>
      <c r="B1044" t="str">
        <f>IF(O1044&lt;&gt;"",O1044,_xlfn.XLOOKUP(A1044,AI_NAMES!C:C,AI_NAMES!D:D,"",0))</f>
        <v/>
      </c>
      <c r="E1044" t="str">
        <f t="shared" si="67"/>
        <v/>
      </c>
      <c r="G1044" s="5" t="str">
        <f t="shared" si="68"/>
        <v/>
      </c>
      <c r="I1044" s="6" t="str">
        <f t="shared" si="66"/>
        <v>0</v>
      </c>
      <c r="O1044" t="s">
        <v>321</v>
      </c>
      <c r="P1044">
        <f>IF(C1044&lt;&gt;"",C1044,_xlfn.XLOOKUP(B1044,AI_NAMES!D:D,AI_NAMES!E:E,"",0))</f>
        <v>0</v>
      </c>
    </row>
    <row r="1045" spans="1:16" x14ac:dyDescent="0.2">
      <c r="A1045" t="s">
        <v>1155</v>
      </c>
      <c r="B1045" t="str">
        <f>IF(O1045&lt;&gt;"",O1045,_xlfn.XLOOKUP(A1045,AI_NAMES!C:C,AI_NAMES!D:D,"",0))</f>
        <v/>
      </c>
      <c r="E1045" t="str">
        <f t="shared" si="67"/>
        <v/>
      </c>
      <c r="G1045" s="5" t="str">
        <f t="shared" si="68"/>
        <v/>
      </c>
      <c r="I1045" s="6" t="str">
        <f t="shared" si="66"/>
        <v>0</v>
      </c>
      <c r="O1045" t="s">
        <v>321</v>
      </c>
      <c r="P1045">
        <f>IF(C1045&lt;&gt;"",C1045,_xlfn.XLOOKUP(B1045,AI_NAMES!D:D,AI_NAMES!E:E,"",0))</f>
        <v>0</v>
      </c>
    </row>
    <row r="1046" spans="1:16" x14ac:dyDescent="0.2">
      <c r="A1046" t="s">
        <v>1156</v>
      </c>
      <c r="B1046" t="str">
        <f>IF(O1046&lt;&gt;"",O1046,_xlfn.XLOOKUP(A1046,AI_NAMES!C:C,AI_NAMES!D:D,"",0))</f>
        <v/>
      </c>
      <c r="E1046" t="str">
        <f t="shared" si="67"/>
        <v/>
      </c>
      <c r="G1046" s="5" t="str">
        <f t="shared" si="68"/>
        <v/>
      </c>
      <c r="I1046" s="6" t="str">
        <f t="shared" si="66"/>
        <v>0</v>
      </c>
      <c r="O1046" t="s">
        <v>321</v>
      </c>
      <c r="P1046">
        <f>IF(C1046&lt;&gt;"",C1046,_xlfn.XLOOKUP(B1046,AI_NAMES!D:D,AI_NAMES!E:E,"",0))</f>
        <v>0</v>
      </c>
    </row>
    <row r="1047" spans="1:16" x14ac:dyDescent="0.2">
      <c r="A1047" t="s">
        <v>1157</v>
      </c>
      <c r="B1047" t="str">
        <f>IF(O1047&lt;&gt;"",O1047,_xlfn.XLOOKUP(A1047,AI_NAMES!C:C,AI_NAMES!D:D,"",0))</f>
        <v/>
      </c>
      <c r="E1047" t="str">
        <f t="shared" si="67"/>
        <v/>
      </c>
      <c r="G1047" s="5" t="str">
        <f t="shared" si="68"/>
        <v/>
      </c>
      <c r="I1047" s="6" t="str">
        <f t="shared" si="66"/>
        <v>0</v>
      </c>
      <c r="O1047" t="s">
        <v>321</v>
      </c>
      <c r="P1047">
        <f>IF(C1047&lt;&gt;"",C1047,_xlfn.XLOOKUP(B1047,AI_NAMES!D:D,AI_NAMES!E:E,"",0))</f>
        <v>0</v>
      </c>
    </row>
    <row r="1048" spans="1:16" x14ac:dyDescent="0.2">
      <c r="A1048" t="s">
        <v>1158</v>
      </c>
      <c r="B1048" t="str">
        <f>IF(O1048&lt;&gt;"",O1048,_xlfn.XLOOKUP(A1048,AI_NAMES!C:C,AI_NAMES!D:D,"",0))</f>
        <v/>
      </c>
      <c r="E1048" t="str">
        <f t="shared" si="67"/>
        <v/>
      </c>
      <c r="G1048" s="5" t="str">
        <f t="shared" si="68"/>
        <v/>
      </c>
      <c r="I1048" s="6" t="str">
        <f t="shared" si="66"/>
        <v>0</v>
      </c>
      <c r="O1048" t="s">
        <v>321</v>
      </c>
      <c r="P1048">
        <f>IF(C1048&lt;&gt;"",C1048,_xlfn.XLOOKUP(B1048,AI_NAMES!D:D,AI_NAMES!E:E,"",0))</f>
        <v>0</v>
      </c>
    </row>
    <row r="1049" spans="1:16" x14ac:dyDescent="0.2">
      <c r="A1049" t="s">
        <v>1159</v>
      </c>
      <c r="B1049" t="str">
        <f>IF(O1049&lt;&gt;"",O1049,_xlfn.XLOOKUP(A1049,AI_NAMES!C:C,AI_NAMES!D:D,"",0))</f>
        <v/>
      </c>
      <c r="E1049" t="str">
        <f t="shared" si="67"/>
        <v/>
      </c>
      <c r="G1049" s="5" t="str">
        <f t="shared" si="68"/>
        <v/>
      </c>
      <c r="I1049" s="6" t="str">
        <f t="shared" si="66"/>
        <v>0</v>
      </c>
      <c r="O1049" t="s">
        <v>321</v>
      </c>
      <c r="P1049">
        <f>IF(C1049&lt;&gt;"",C1049,_xlfn.XLOOKUP(B1049,AI_NAMES!D:D,AI_NAMES!E:E,"",0))</f>
        <v>0</v>
      </c>
    </row>
    <row r="1050" spans="1:16" x14ac:dyDescent="0.2">
      <c r="A1050" t="s">
        <v>1160</v>
      </c>
      <c r="B1050" t="str">
        <f>IF(O1050&lt;&gt;"",O1050,_xlfn.XLOOKUP(A1050,AI_NAMES!C:C,AI_NAMES!D:D,"",0))</f>
        <v/>
      </c>
      <c r="E1050" t="str">
        <f t="shared" si="67"/>
        <v/>
      </c>
      <c r="G1050" s="5" t="str">
        <f t="shared" si="68"/>
        <v/>
      </c>
      <c r="I1050" s="6" t="str">
        <f t="shared" si="66"/>
        <v>0</v>
      </c>
      <c r="O1050" t="s">
        <v>321</v>
      </c>
      <c r="P1050">
        <f>IF(C1050&lt;&gt;"",C1050,_xlfn.XLOOKUP(B1050,AI_NAMES!D:D,AI_NAMES!E:E,"",0))</f>
        <v>0</v>
      </c>
    </row>
    <row r="1051" spans="1:16" x14ac:dyDescent="0.2">
      <c r="A1051" t="s">
        <v>1161</v>
      </c>
      <c r="B1051" t="str">
        <f>IF(O1051&lt;&gt;"",O1051,_xlfn.XLOOKUP(A1051,AI_NAMES!C:C,AI_NAMES!D:D,"",0))</f>
        <v/>
      </c>
      <c r="E1051" t="str">
        <f t="shared" si="67"/>
        <v/>
      </c>
      <c r="G1051" s="5" t="str">
        <f t="shared" si="68"/>
        <v/>
      </c>
      <c r="I1051" s="6" t="str">
        <f t="shared" si="66"/>
        <v>0</v>
      </c>
      <c r="O1051" t="s">
        <v>321</v>
      </c>
      <c r="P1051">
        <f>IF(C1051&lt;&gt;"",C1051,_xlfn.XLOOKUP(B1051,AI_NAMES!D:D,AI_NAMES!E:E,"",0))</f>
        <v>0</v>
      </c>
    </row>
    <row r="1052" spans="1:16" x14ac:dyDescent="0.2">
      <c r="A1052" t="s">
        <v>1162</v>
      </c>
      <c r="B1052" t="str">
        <f>IF(O1052&lt;&gt;"",O1052,_xlfn.XLOOKUP(A1052,AI_NAMES!C:C,AI_NAMES!D:D,"",0))</f>
        <v/>
      </c>
      <c r="E1052" t="str">
        <f t="shared" si="67"/>
        <v/>
      </c>
      <c r="G1052" s="5" t="str">
        <f t="shared" si="68"/>
        <v/>
      </c>
      <c r="I1052" s="6" t="str">
        <f t="shared" si="66"/>
        <v>0</v>
      </c>
      <c r="O1052" t="s">
        <v>321</v>
      </c>
      <c r="P1052">
        <f>IF(C1052&lt;&gt;"",C1052,_xlfn.XLOOKUP(B1052,AI_NAMES!D:D,AI_NAMES!E:E,"",0))</f>
        <v>0</v>
      </c>
    </row>
    <row r="1053" spans="1:16" x14ac:dyDescent="0.2">
      <c r="A1053" t="s">
        <v>1163</v>
      </c>
      <c r="B1053" t="str">
        <f>IF(O1053&lt;&gt;"",O1053,_xlfn.XLOOKUP(A1053,AI_NAMES!C:C,AI_NAMES!D:D,"",0))</f>
        <v/>
      </c>
      <c r="E1053" t="str">
        <f t="shared" si="67"/>
        <v/>
      </c>
      <c r="G1053" s="5" t="str">
        <f t="shared" si="68"/>
        <v/>
      </c>
      <c r="I1053" s="6" t="str">
        <f t="shared" si="66"/>
        <v>0</v>
      </c>
      <c r="O1053" t="s">
        <v>321</v>
      </c>
      <c r="P1053">
        <f>IF(C1053&lt;&gt;"",C1053,_xlfn.XLOOKUP(B1053,AI_NAMES!D:D,AI_NAMES!E:E,"",0))</f>
        <v>0</v>
      </c>
    </row>
    <row r="1054" spans="1:16" x14ac:dyDescent="0.2">
      <c r="A1054" t="s">
        <v>1164</v>
      </c>
      <c r="B1054" t="str">
        <f>IF(O1054&lt;&gt;"",O1054,_xlfn.XLOOKUP(A1054,AI_NAMES!C:C,AI_NAMES!D:D,"",0))</f>
        <v/>
      </c>
      <c r="E1054" t="str">
        <f t="shared" si="67"/>
        <v/>
      </c>
      <c r="G1054" s="5" t="str">
        <f t="shared" si="68"/>
        <v/>
      </c>
      <c r="I1054" s="6" t="str">
        <f t="shared" si="66"/>
        <v>0</v>
      </c>
      <c r="O1054" t="s">
        <v>321</v>
      </c>
      <c r="P1054">
        <f>IF(C1054&lt;&gt;"",C1054,_xlfn.XLOOKUP(B1054,AI_NAMES!D:D,AI_NAMES!E:E,"",0))</f>
        <v>0</v>
      </c>
    </row>
    <row r="1055" spans="1:16" x14ac:dyDescent="0.2">
      <c r="A1055" t="s">
        <v>1165</v>
      </c>
      <c r="B1055" t="str">
        <f>IF(O1055&lt;&gt;"",O1055,_xlfn.XLOOKUP(A1055,AI_NAMES!C:C,AI_NAMES!D:D,"",0))</f>
        <v/>
      </c>
      <c r="E1055" t="str">
        <f t="shared" si="67"/>
        <v/>
      </c>
      <c r="G1055" s="5" t="str">
        <f t="shared" si="68"/>
        <v/>
      </c>
      <c r="I1055" s="6" t="str">
        <f t="shared" si="66"/>
        <v>0</v>
      </c>
      <c r="O1055" t="s">
        <v>321</v>
      </c>
      <c r="P1055">
        <f>IF(C1055&lt;&gt;"",C1055,_xlfn.XLOOKUP(B1055,AI_NAMES!D:D,AI_NAMES!E:E,"",0))</f>
        <v>0</v>
      </c>
    </row>
    <row r="1056" spans="1:16" x14ac:dyDescent="0.2">
      <c r="A1056" t="s">
        <v>1166</v>
      </c>
      <c r="B1056" t="str">
        <f>IF(O1056&lt;&gt;"",O1056,_xlfn.XLOOKUP(A1056,AI_NAMES!C:C,AI_NAMES!D:D,"",0))</f>
        <v/>
      </c>
      <c r="E1056" t="str">
        <f t="shared" si="67"/>
        <v/>
      </c>
      <c r="G1056" s="5" t="str">
        <f t="shared" si="68"/>
        <v/>
      </c>
      <c r="I1056" s="6" t="str">
        <f t="shared" si="66"/>
        <v>0</v>
      </c>
      <c r="O1056" t="s">
        <v>321</v>
      </c>
      <c r="P1056">
        <f>IF(C1056&lt;&gt;"",C1056,_xlfn.XLOOKUP(B1056,AI_NAMES!D:D,AI_NAMES!E:E,"",0))</f>
        <v>0</v>
      </c>
    </row>
    <row r="1057" spans="1:16" x14ac:dyDescent="0.2">
      <c r="A1057" t="s">
        <v>1167</v>
      </c>
      <c r="B1057" t="str">
        <f>IF(O1057&lt;&gt;"",O1057,_xlfn.XLOOKUP(A1057,AI_NAMES!C:C,AI_NAMES!D:D,"",0))</f>
        <v/>
      </c>
      <c r="E1057" t="str">
        <f t="shared" si="67"/>
        <v/>
      </c>
      <c r="G1057" s="5" t="str">
        <f t="shared" si="68"/>
        <v/>
      </c>
      <c r="I1057" s="6" t="str">
        <f t="shared" si="66"/>
        <v>0</v>
      </c>
      <c r="O1057" t="s">
        <v>321</v>
      </c>
      <c r="P1057">
        <f>IF(C1057&lt;&gt;"",C1057,_xlfn.XLOOKUP(B1057,AI_NAMES!D:D,AI_NAMES!E:E,"",0))</f>
        <v>0</v>
      </c>
    </row>
    <row r="1058" spans="1:16" x14ac:dyDescent="0.2">
      <c r="A1058" t="s">
        <v>1168</v>
      </c>
      <c r="B1058" t="str">
        <f>IF(O1058&lt;&gt;"",O1058,_xlfn.XLOOKUP(A1058,AI_NAMES!C:C,AI_NAMES!D:D,"",0))</f>
        <v/>
      </c>
      <c r="E1058" t="str">
        <f t="shared" si="67"/>
        <v/>
      </c>
      <c r="G1058" s="5" t="str">
        <f t="shared" si="68"/>
        <v/>
      </c>
      <c r="I1058" s="6" t="str">
        <f t="shared" si="66"/>
        <v>0</v>
      </c>
      <c r="O1058" t="s">
        <v>321</v>
      </c>
      <c r="P1058">
        <f>IF(C1058&lt;&gt;"",C1058,_xlfn.XLOOKUP(B1058,AI_NAMES!D:D,AI_NAMES!E:E,"",0))</f>
        <v>0</v>
      </c>
    </row>
    <row r="1059" spans="1:16" x14ac:dyDescent="0.2">
      <c r="A1059" t="s">
        <v>1169</v>
      </c>
      <c r="B1059" t="str">
        <f>IF(O1059&lt;&gt;"",O1059,_xlfn.XLOOKUP(A1059,AI_NAMES!C:C,AI_NAMES!D:D,"",0))</f>
        <v/>
      </c>
      <c r="E1059" t="str">
        <f t="shared" si="67"/>
        <v/>
      </c>
      <c r="G1059" s="5" t="str">
        <f t="shared" si="68"/>
        <v/>
      </c>
      <c r="I1059" s="6" t="str">
        <f t="shared" si="66"/>
        <v>0</v>
      </c>
      <c r="O1059" t="s">
        <v>321</v>
      </c>
      <c r="P1059">
        <f>IF(C1059&lt;&gt;"",C1059,_xlfn.XLOOKUP(B1059,AI_NAMES!D:D,AI_NAMES!E:E,"",0))</f>
        <v>0</v>
      </c>
    </row>
    <row r="1060" spans="1:16" x14ac:dyDescent="0.2">
      <c r="A1060" t="s">
        <v>1170</v>
      </c>
      <c r="B1060" t="str">
        <f>IF(O1060&lt;&gt;"",O1060,_xlfn.XLOOKUP(A1060,AI_NAMES!C:C,AI_NAMES!D:D,"",0))</f>
        <v/>
      </c>
      <c r="E1060" t="str">
        <f t="shared" si="67"/>
        <v/>
      </c>
      <c r="G1060" s="5" t="str">
        <f t="shared" si="68"/>
        <v/>
      </c>
      <c r="I1060" s="6" t="str">
        <f t="shared" si="66"/>
        <v>0</v>
      </c>
      <c r="O1060" t="s">
        <v>321</v>
      </c>
      <c r="P1060">
        <f>IF(C1060&lt;&gt;"",C1060,_xlfn.XLOOKUP(B1060,AI_NAMES!D:D,AI_NAMES!E:E,"",0))</f>
        <v>0</v>
      </c>
    </row>
    <row r="1061" spans="1:16" x14ac:dyDescent="0.2">
      <c r="A1061" t="s">
        <v>1171</v>
      </c>
      <c r="B1061" t="str">
        <f>IF(O1061&lt;&gt;"",O1061,_xlfn.XLOOKUP(A1061,AI_NAMES!C:C,AI_NAMES!D:D,"",0))</f>
        <v>MayBuySpellMsg</v>
      </c>
      <c r="E1061" t="str">
        <f t="shared" si="67"/>
        <v/>
      </c>
      <c r="G1061" s="5" t="str">
        <f t="shared" si="68"/>
        <v/>
      </c>
      <c r="I1061" s="6" t="str">
        <f t="shared" si="66"/>
        <v>0</v>
      </c>
      <c r="O1061" t="s">
        <v>1171</v>
      </c>
      <c r="P1061" t="str">
        <f>IF(C1061&lt;&gt;"",C1061,_xlfn.XLOOKUP(B1061,AI_NAMES!D:D,AI_NAMES!E:E,"",0))</f>
        <v/>
      </c>
    </row>
    <row r="1062" spans="1:16" x14ac:dyDescent="0.2">
      <c r="A1062" t="s">
        <v>1172</v>
      </c>
      <c r="B1062" t="str">
        <f>IF(O1062&lt;&gt;"",O1062,_xlfn.XLOOKUP(A1062,AI_NAMES!C:C,AI_NAMES!D:D,"",0))</f>
        <v>SelectNewSpellMsg</v>
      </c>
      <c r="E1062" t="str">
        <f t="shared" si="67"/>
        <v/>
      </c>
      <c r="G1062" s="5" t="str">
        <f t="shared" si="68"/>
        <v/>
      </c>
      <c r="I1062" s="6" t="str">
        <f t="shared" si="66"/>
        <v>0</v>
      </c>
      <c r="O1062" t="s">
        <v>1172</v>
      </c>
      <c r="P1062" t="str">
        <f>IF(C1062&lt;&gt;"",C1062,_xlfn.XLOOKUP(B1062,AI_NAMES!D:D,AI_NAMES!E:E,"",0))</f>
        <v/>
      </c>
    </row>
    <row r="1063" spans="1:16" x14ac:dyDescent="0.2">
      <c r="A1063" t="s">
        <v>1173</v>
      </c>
      <c r="B1063" t="str">
        <f>IF(O1063&lt;&gt;"",O1063,_xlfn.XLOOKUP(A1063,AI_NAMES!C:C,AI_NAMES!D:D,"",0))</f>
        <v>ThouHastAllMsg</v>
      </c>
      <c r="E1063" t="str">
        <f t="shared" si="67"/>
        <v/>
      </c>
      <c r="G1063" s="5" t="str">
        <f t="shared" si="68"/>
        <v/>
      </c>
      <c r="I1063" s="6" t="str">
        <f t="shared" si="66"/>
        <v>0</v>
      </c>
      <c r="O1063" t="s">
        <v>1173</v>
      </c>
      <c r="P1063" t="str">
        <f>IF(C1063&lt;&gt;"",C1063,_xlfn.XLOOKUP(B1063,AI_NAMES!D:D,AI_NAMES!E:E,"",0))</f>
        <v/>
      </c>
    </row>
    <row r="1064" spans="1:16" x14ac:dyDescent="0.2">
      <c r="A1064" t="s">
        <v>1174</v>
      </c>
      <c r="B1064" t="str">
        <f>IF(O1064&lt;&gt;"",O1064,_xlfn.XLOOKUP(A1064,AI_NAMES!C:C,AI_NAMES!D:D,"",0))</f>
        <v>PauperMsg</v>
      </c>
      <c r="E1064" t="str">
        <f t="shared" si="67"/>
        <v/>
      </c>
      <c r="G1064" s="5" t="str">
        <f t="shared" si="68"/>
        <v/>
      </c>
      <c r="I1064" s="6" t="str">
        <f t="shared" si="66"/>
        <v>0</v>
      </c>
      <c r="O1064" t="s">
        <v>1174</v>
      </c>
      <c r="P1064" t="str">
        <f>IF(C1064&lt;&gt;"",C1064,_xlfn.XLOOKUP(B1064,AI_NAMES!D:D,AI_NAMES!E:E,"",0))</f>
        <v/>
      </c>
    </row>
    <row r="1065" spans="1:16" x14ac:dyDescent="0.2">
      <c r="A1065" t="s">
        <v>1175</v>
      </c>
      <c r="B1065" t="str">
        <f>IF(O1065&lt;&gt;"",O1065,_xlfn.XLOOKUP(A1065,AI_NAMES!C:C,AI_NAMES!D:D,"",0))</f>
        <v/>
      </c>
      <c r="E1065" t="str">
        <f t="shared" si="67"/>
        <v/>
      </c>
      <c r="G1065" s="5" t="str">
        <f t="shared" si="68"/>
        <v/>
      </c>
      <c r="I1065" s="6" t="str">
        <f t="shared" si="66"/>
        <v>0</v>
      </c>
      <c r="O1065" t="s">
        <v>321</v>
      </c>
      <c r="P1065">
        <f>IF(C1065&lt;&gt;"",C1065,_xlfn.XLOOKUP(B1065,AI_NAMES!D:D,AI_NAMES!E:E,"",0))</f>
        <v>0</v>
      </c>
    </row>
    <row r="1066" spans="1:16" x14ac:dyDescent="0.2">
      <c r="A1066" t="s">
        <v>1176</v>
      </c>
      <c r="B1066" t="str">
        <f>IF(O1066&lt;&gt;"",O1066,_xlfn.XLOOKUP(A1066,AI_NAMES!C:C,AI_NAMES!D:D,"",0))</f>
        <v/>
      </c>
      <c r="E1066" t="str">
        <f t="shared" si="67"/>
        <v/>
      </c>
      <c r="G1066" s="5" t="str">
        <f t="shared" si="68"/>
        <v/>
      </c>
      <c r="I1066" s="6" t="str">
        <f t="shared" si="66"/>
        <v>0</v>
      </c>
      <c r="O1066" t="s">
        <v>321</v>
      </c>
      <c r="P1066">
        <f>IF(C1066&lt;&gt;"",C1066,_xlfn.XLOOKUP(B1066,AI_NAMES!D:D,AI_NAMES!E:E,"",0))</f>
        <v>0</v>
      </c>
    </row>
    <row r="1067" spans="1:16" x14ac:dyDescent="0.2">
      <c r="A1067" t="s">
        <v>1177</v>
      </c>
      <c r="B1067" t="str">
        <f>IF(O1067&lt;&gt;"",O1067,_xlfn.XLOOKUP(A1067,AI_NAMES!C:C,AI_NAMES!D:D,"",0))</f>
        <v/>
      </c>
      <c r="E1067" t="str">
        <f t="shared" si="67"/>
        <v/>
      </c>
      <c r="G1067" s="5" t="str">
        <f t="shared" si="68"/>
        <v/>
      </c>
      <c r="I1067" s="6" t="str">
        <f t="shared" si="66"/>
        <v>0</v>
      </c>
      <c r="O1067" t="s">
        <v>321</v>
      </c>
      <c r="P1067">
        <f>IF(C1067&lt;&gt;"",C1067,_xlfn.XLOOKUP(B1067,AI_NAMES!D:D,AI_NAMES!E:E,"",0))</f>
        <v>0</v>
      </c>
    </row>
    <row r="1068" spans="1:16" x14ac:dyDescent="0.2">
      <c r="A1068" t="s">
        <v>1178</v>
      </c>
      <c r="B1068" t="str">
        <f>IF(O1068&lt;&gt;"",O1068,_xlfn.XLOOKUP(A1068,AI_NAMES!C:C,AI_NAMES!D:D,"",0))</f>
        <v/>
      </c>
      <c r="E1068" t="str">
        <f t="shared" si="67"/>
        <v/>
      </c>
      <c r="G1068" s="5" t="str">
        <f t="shared" si="68"/>
        <v/>
      </c>
      <c r="I1068" s="6" t="str">
        <f t="shared" si="66"/>
        <v>0</v>
      </c>
      <c r="O1068" t="s">
        <v>321</v>
      </c>
      <c r="P1068">
        <f>IF(C1068&lt;&gt;"",C1068,_xlfn.XLOOKUP(B1068,AI_NAMES!D:D,AI_NAMES!E:E,"",0))</f>
        <v>0</v>
      </c>
    </row>
    <row r="1069" spans="1:16" x14ac:dyDescent="0.2">
      <c r="A1069" t="s">
        <v>1179</v>
      </c>
      <c r="B1069" t="str">
        <f>IF(O1069&lt;&gt;"",O1069,_xlfn.XLOOKUP(A1069,AI_NAMES!C:C,AI_NAMES!D:D,"",0))</f>
        <v/>
      </c>
      <c r="E1069" t="str">
        <f t="shared" si="67"/>
        <v/>
      </c>
      <c r="G1069" s="5" t="str">
        <f t="shared" si="68"/>
        <v/>
      </c>
      <c r="I1069" s="6" t="str">
        <f t="shared" si="66"/>
        <v>0</v>
      </c>
      <c r="O1069" t="s">
        <v>321</v>
      </c>
      <c r="P1069">
        <f>IF(C1069&lt;&gt;"",C1069,_xlfn.XLOOKUP(B1069,AI_NAMES!D:D,AI_NAMES!E:E,"",0))</f>
        <v>0</v>
      </c>
    </row>
    <row r="1070" spans="1:16" x14ac:dyDescent="0.2">
      <c r="A1070" t="s">
        <v>1180</v>
      </c>
      <c r="B1070" t="str">
        <f>IF(O1070&lt;&gt;"",O1070,_xlfn.XLOOKUP(A1070,AI_NAMES!C:C,AI_NAMES!D:D,"",0))</f>
        <v/>
      </c>
      <c r="E1070" t="str">
        <f t="shared" si="67"/>
        <v/>
      </c>
      <c r="G1070" s="5" t="str">
        <f t="shared" si="68"/>
        <v/>
      </c>
      <c r="I1070" s="6" t="str">
        <f t="shared" si="66"/>
        <v>0</v>
      </c>
      <c r="O1070" t="s">
        <v>321</v>
      </c>
      <c r="P1070">
        <f>IF(C1070&lt;&gt;"",C1070,_xlfn.XLOOKUP(B1070,AI_NAMES!D:D,AI_NAMES!E:E,"",0))</f>
        <v>0</v>
      </c>
    </row>
    <row r="1071" spans="1:16" x14ac:dyDescent="0.2">
      <c r="A1071" t="s">
        <v>1181</v>
      </c>
      <c r="B1071" t="str">
        <f>IF(O1071&lt;&gt;"",O1071,_xlfn.XLOOKUP(A1071,AI_NAMES!C:C,AI_NAMES!D:D,"",0))</f>
        <v/>
      </c>
      <c r="E1071" t="str">
        <f t="shared" si="67"/>
        <v/>
      </c>
      <c r="G1071" s="5" t="str">
        <f t="shared" si="68"/>
        <v/>
      </c>
      <c r="I1071" s="6" t="str">
        <f t="shared" si="66"/>
        <v>0</v>
      </c>
      <c r="O1071" t="s">
        <v>321</v>
      </c>
      <c r="P1071">
        <f>IF(C1071&lt;&gt;"",C1071,_xlfn.XLOOKUP(B1071,AI_NAMES!D:D,AI_NAMES!E:E,"",0))</f>
        <v>0</v>
      </c>
    </row>
    <row r="1072" spans="1:16" x14ac:dyDescent="0.2">
      <c r="A1072" t="s">
        <v>1182</v>
      </c>
      <c r="B1072" t="str">
        <f>IF(O1072&lt;&gt;"",O1072,_xlfn.XLOOKUP(A1072,AI_NAMES!C:C,AI_NAMES!D:D,"",0))</f>
        <v/>
      </c>
      <c r="E1072" t="str">
        <f t="shared" si="67"/>
        <v/>
      </c>
      <c r="G1072" s="5" t="str">
        <f t="shared" si="68"/>
        <v/>
      </c>
      <c r="I1072" s="6" t="str">
        <f t="shared" si="66"/>
        <v>0</v>
      </c>
      <c r="O1072" t="s">
        <v>321</v>
      </c>
      <c r="P1072">
        <f>IF(C1072&lt;&gt;"",C1072,_xlfn.XLOOKUP(B1072,AI_NAMES!D:D,AI_NAMES!E:E,"",0))</f>
        <v>0</v>
      </c>
    </row>
    <row r="1073" spans="1:16" x14ac:dyDescent="0.2">
      <c r="A1073" t="s">
        <v>1183</v>
      </c>
      <c r="B1073" t="str">
        <f>IF(O1073&lt;&gt;"",O1073,_xlfn.XLOOKUP(A1073,AI_NAMES!C:C,AI_NAMES!D:D,"",0))</f>
        <v/>
      </c>
      <c r="E1073" t="str">
        <f t="shared" si="67"/>
        <v/>
      </c>
      <c r="G1073" s="5" t="str">
        <f t="shared" si="68"/>
        <v/>
      </c>
      <c r="I1073" s="6" t="str">
        <f t="shared" si="66"/>
        <v>0</v>
      </c>
      <c r="O1073" t="s">
        <v>321</v>
      </c>
      <c r="P1073">
        <f>IF(C1073&lt;&gt;"",C1073,_xlfn.XLOOKUP(B1073,AI_NAMES!D:D,AI_NAMES!E:E,"",0))</f>
        <v>0</v>
      </c>
    </row>
    <row r="1074" spans="1:16" x14ac:dyDescent="0.2">
      <c r="A1074" t="s">
        <v>1184</v>
      </c>
      <c r="B1074" t="str">
        <f>IF(O1074&lt;&gt;"",O1074,_xlfn.XLOOKUP(A1074,AI_NAMES!C:C,AI_NAMES!D:D,"",0))</f>
        <v/>
      </c>
      <c r="E1074" t="str">
        <f t="shared" si="67"/>
        <v/>
      </c>
      <c r="G1074" s="5" t="str">
        <f t="shared" si="68"/>
        <v/>
      </c>
      <c r="I1074" s="6" t="str">
        <f t="shared" si="66"/>
        <v>0</v>
      </c>
      <c r="O1074" t="s">
        <v>321</v>
      </c>
      <c r="P1074">
        <f>IF(C1074&lt;&gt;"",C1074,_xlfn.XLOOKUP(B1074,AI_NAMES!D:D,AI_NAMES!E:E,"",0))</f>
        <v>0</v>
      </c>
    </row>
    <row r="1075" spans="1:16" x14ac:dyDescent="0.2">
      <c r="A1075" t="s">
        <v>1185</v>
      </c>
      <c r="B1075" t="str">
        <f>IF(O1075&lt;&gt;"",O1075,_xlfn.XLOOKUP(A1075,AI_NAMES!C:C,AI_NAMES!D:D,"",0))</f>
        <v/>
      </c>
      <c r="E1075" t="str">
        <f t="shared" si="67"/>
        <v/>
      </c>
      <c r="G1075" s="5" t="str">
        <f t="shared" si="68"/>
        <v/>
      </c>
      <c r="I1075" s="6" t="str">
        <f t="shared" si="66"/>
        <v>0</v>
      </c>
      <c r="O1075" t="s">
        <v>321</v>
      </c>
      <c r="P1075">
        <f>IF(C1075&lt;&gt;"",C1075,_xlfn.XLOOKUP(B1075,AI_NAMES!D:D,AI_NAMES!E:E,"",0))</f>
        <v>0</v>
      </c>
    </row>
    <row r="1076" spans="1:16" x14ac:dyDescent="0.2">
      <c r="A1076" t="s">
        <v>1186</v>
      </c>
      <c r="B1076" t="str">
        <f>IF(O1076&lt;&gt;"",O1076,_xlfn.XLOOKUP(A1076,AI_NAMES!C:C,AI_NAMES!D:D,"",0))</f>
        <v/>
      </c>
      <c r="E1076" t="str">
        <f t="shared" si="67"/>
        <v/>
      </c>
      <c r="G1076" s="5" t="str">
        <f t="shared" si="68"/>
        <v/>
      </c>
      <c r="I1076" s="6" t="str">
        <f t="shared" si="66"/>
        <v>0</v>
      </c>
      <c r="O1076" t="s">
        <v>321</v>
      </c>
      <c r="P1076">
        <f>IF(C1076&lt;&gt;"",C1076,_xlfn.XLOOKUP(B1076,AI_NAMES!D:D,AI_NAMES!E:E,"",0))</f>
        <v>0</v>
      </c>
    </row>
    <row r="1077" spans="1:16" x14ac:dyDescent="0.2">
      <c r="A1077" t="s">
        <v>1187</v>
      </c>
      <c r="B1077" t="str">
        <f>IF(O1077&lt;&gt;"",O1077,_xlfn.XLOOKUP(A1077,AI_NAMES!C:C,AI_NAMES!D:D,"",0))</f>
        <v/>
      </c>
      <c r="E1077" t="str">
        <f t="shared" si="67"/>
        <v/>
      </c>
      <c r="G1077" s="5" t="str">
        <f t="shared" si="68"/>
        <v/>
      </c>
      <c r="I1077" s="6" t="str">
        <f t="shared" si="66"/>
        <v>0</v>
      </c>
      <c r="O1077" t="s">
        <v>321</v>
      </c>
      <c r="P1077">
        <f>IF(C1077&lt;&gt;"",C1077,_xlfn.XLOOKUP(B1077,AI_NAMES!D:D,AI_NAMES!E:E,"",0))</f>
        <v>0</v>
      </c>
    </row>
    <row r="1078" spans="1:16" x14ac:dyDescent="0.2">
      <c r="A1078" t="s">
        <v>1188</v>
      </c>
      <c r="B1078" t="str">
        <f>IF(O1078&lt;&gt;"",O1078,_xlfn.XLOOKUP(A1078,AI_NAMES!C:C,AI_NAMES!D:D,"",0))</f>
        <v/>
      </c>
      <c r="E1078" t="str">
        <f t="shared" si="67"/>
        <v/>
      </c>
      <c r="G1078" s="5" t="str">
        <f t="shared" si="68"/>
        <v/>
      </c>
      <c r="I1078" s="6" t="str">
        <f t="shared" si="66"/>
        <v>0</v>
      </c>
      <c r="O1078" t="s">
        <v>321</v>
      </c>
      <c r="P1078">
        <f>IF(C1078&lt;&gt;"",C1078,_xlfn.XLOOKUP(B1078,AI_NAMES!D:D,AI_NAMES!E:E,"",0))</f>
        <v>0</v>
      </c>
    </row>
    <row r="1079" spans="1:16" x14ac:dyDescent="0.2">
      <c r="A1079" t="s">
        <v>1189</v>
      </c>
      <c r="B1079" t="str">
        <f>IF(O1079&lt;&gt;"",O1079,_xlfn.XLOOKUP(A1079,AI_NAMES!C:C,AI_NAMES!D:D,"",0))</f>
        <v/>
      </c>
      <c r="E1079" t="str">
        <f t="shared" si="67"/>
        <v/>
      </c>
      <c r="G1079" s="5" t="str">
        <f t="shared" si="68"/>
        <v/>
      </c>
      <c r="I1079" s="6" t="str">
        <f t="shared" si="66"/>
        <v>0</v>
      </c>
      <c r="O1079" t="s">
        <v>321</v>
      </c>
      <c r="P1079">
        <f>IF(C1079&lt;&gt;"",C1079,_xlfn.XLOOKUP(B1079,AI_NAMES!D:D,AI_NAMES!E:E,"",0))</f>
        <v>0</v>
      </c>
    </row>
    <row r="1080" spans="1:16" x14ac:dyDescent="0.2">
      <c r="A1080" t="s">
        <v>1190</v>
      </c>
      <c r="B1080" t="str">
        <f>IF(O1080&lt;&gt;"",O1080,_xlfn.XLOOKUP(A1080,AI_NAMES!C:C,AI_NAMES!D:D,"",0))</f>
        <v/>
      </c>
      <c r="E1080" t="str">
        <f t="shared" si="67"/>
        <v/>
      </c>
      <c r="G1080" s="5" t="str">
        <f t="shared" si="68"/>
        <v/>
      </c>
      <c r="I1080" s="6" t="str">
        <f t="shared" si="66"/>
        <v>0</v>
      </c>
      <c r="O1080" t="s">
        <v>321</v>
      </c>
      <c r="P1080">
        <f>IF(C1080&lt;&gt;"",C1080,_xlfn.XLOOKUP(B1080,AI_NAMES!D:D,AI_NAMES!E:E,"",0))</f>
        <v>0</v>
      </c>
    </row>
    <row r="1081" spans="1:16" x14ac:dyDescent="0.2">
      <c r="A1081" t="s">
        <v>1191</v>
      </c>
      <c r="B1081" t="str">
        <f>IF(O1081&lt;&gt;"",O1081,_xlfn.XLOOKUP(A1081,AI_NAMES!C:C,AI_NAMES!D:D,"",0))</f>
        <v/>
      </c>
      <c r="E1081" t="str">
        <f t="shared" si="67"/>
        <v/>
      </c>
      <c r="G1081" s="5" t="str">
        <f t="shared" si="68"/>
        <v/>
      </c>
      <c r="I1081" s="6" t="str">
        <f t="shared" si="66"/>
        <v>0</v>
      </c>
      <c r="O1081" t="s">
        <v>321</v>
      </c>
      <c r="P1081">
        <f>IF(C1081&lt;&gt;"",C1081,_xlfn.XLOOKUP(B1081,AI_NAMES!D:D,AI_NAMES!E:E,"",0))</f>
        <v>0</v>
      </c>
    </row>
    <row r="1082" spans="1:16" x14ac:dyDescent="0.2">
      <c r="A1082" t="s">
        <v>1192</v>
      </c>
      <c r="B1082" t="str">
        <f>IF(O1082&lt;&gt;"",O1082,_xlfn.XLOOKUP(A1082,AI_NAMES!C:C,AI_NAMES!D:D,"",0))</f>
        <v/>
      </c>
      <c r="E1082" t="str">
        <f t="shared" si="67"/>
        <v/>
      </c>
      <c r="G1082" s="5" t="str">
        <f t="shared" si="68"/>
        <v/>
      </c>
      <c r="I1082" s="6" t="str">
        <f t="shared" si="66"/>
        <v>0</v>
      </c>
      <c r="O1082" t="s">
        <v>321</v>
      </c>
      <c r="P1082">
        <f>IF(C1082&lt;&gt;"",C1082,_xlfn.XLOOKUP(B1082,AI_NAMES!D:D,AI_NAMES!E:E,"",0))</f>
        <v>0</v>
      </c>
    </row>
    <row r="1083" spans="1:16" x14ac:dyDescent="0.2">
      <c r="A1083" t="s">
        <v>1193</v>
      </c>
      <c r="B1083" t="str">
        <f>IF(O1083&lt;&gt;"",O1083,_xlfn.XLOOKUP(A1083,AI_NAMES!C:C,AI_NAMES!D:D,"",0))</f>
        <v/>
      </c>
      <c r="E1083" t="str">
        <f t="shared" si="67"/>
        <v/>
      </c>
      <c r="G1083" s="5" t="str">
        <f t="shared" si="68"/>
        <v/>
      </c>
      <c r="I1083" s="6" t="str">
        <f t="shared" si="66"/>
        <v>0</v>
      </c>
      <c r="O1083" t="s">
        <v>321</v>
      </c>
      <c r="P1083">
        <f>IF(C1083&lt;&gt;"",C1083,_xlfn.XLOOKUP(B1083,AI_NAMES!D:D,AI_NAMES!E:E,"",0))</f>
        <v>0</v>
      </c>
    </row>
    <row r="1084" spans="1:16" x14ac:dyDescent="0.2">
      <c r="A1084" t="s">
        <v>1194</v>
      </c>
      <c r="B1084" t="str">
        <f>IF(O1084&lt;&gt;"",O1084,_xlfn.XLOOKUP(A1084,AI_NAMES!C:C,AI_NAMES!D:D,"",0))</f>
        <v/>
      </c>
      <c r="E1084" t="str">
        <f t="shared" si="67"/>
        <v/>
      </c>
      <c r="G1084" s="5" t="str">
        <f t="shared" si="68"/>
        <v/>
      </c>
      <c r="I1084" s="6" t="str">
        <f t="shared" si="66"/>
        <v>0</v>
      </c>
      <c r="O1084" t="s">
        <v>321</v>
      </c>
      <c r="P1084">
        <f>IF(C1084&lt;&gt;"",C1084,_xlfn.XLOOKUP(B1084,AI_NAMES!D:D,AI_NAMES!E:E,"",0))</f>
        <v>0</v>
      </c>
    </row>
    <row r="1085" spans="1:16" x14ac:dyDescent="0.2">
      <c r="A1085" t="s">
        <v>1195</v>
      </c>
      <c r="B1085" t="str">
        <f>IF(O1085&lt;&gt;"",O1085,_xlfn.XLOOKUP(A1085,AI_NAMES!C:C,AI_NAMES!D:D,"",0))</f>
        <v/>
      </c>
      <c r="E1085" t="str">
        <f t="shared" si="67"/>
        <v/>
      </c>
      <c r="G1085" s="5" t="str">
        <f t="shared" si="68"/>
        <v/>
      </c>
      <c r="I1085" s="6" t="str">
        <f t="shared" si="66"/>
        <v>0</v>
      </c>
      <c r="O1085" t="s">
        <v>321</v>
      </c>
      <c r="P1085">
        <f>IF(C1085&lt;&gt;"",C1085,_xlfn.XLOOKUP(B1085,AI_NAMES!D:D,AI_NAMES!E:E,"",0))</f>
        <v>0</v>
      </c>
    </row>
    <row r="1086" spans="1:16" x14ac:dyDescent="0.2">
      <c r="A1086" t="s">
        <v>1196</v>
      </c>
      <c r="B1086" t="str">
        <f>IF(O1086&lt;&gt;"",O1086,_xlfn.XLOOKUP(A1086,AI_NAMES!C:C,AI_NAMES!D:D,"",0))</f>
        <v/>
      </c>
      <c r="E1086" t="str">
        <f t="shared" si="67"/>
        <v/>
      </c>
      <c r="G1086" s="5" t="str">
        <f t="shared" si="68"/>
        <v/>
      </c>
      <c r="I1086" s="6" t="str">
        <f t="shared" si="66"/>
        <v>0</v>
      </c>
      <c r="O1086" t="s">
        <v>321</v>
      </c>
      <c r="P1086">
        <f>IF(C1086&lt;&gt;"",C1086,_xlfn.XLOOKUP(B1086,AI_NAMES!D:D,AI_NAMES!E:E,"",0))</f>
        <v>0</v>
      </c>
    </row>
    <row r="1087" spans="1:16" x14ac:dyDescent="0.2">
      <c r="A1087" t="s">
        <v>1197</v>
      </c>
      <c r="B1087" t="str">
        <f>IF(O1087&lt;&gt;"",O1087,_xlfn.XLOOKUP(A1087,AI_NAMES!C:C,AI_NAMES!D:D,"",0))</f>
        <v/>
      </c>
      <c r="E1087" t="str">
        <f t="shared" si="67"/>
        <v/>
      </c>
      <c r="G1087" s="5" t="str">
        <f t="shared" si="68"/>
        <v/>
      </c>
      <c r="I1087" s="6" t="str">
        <f t="shared" si="66"/>
        <v>0</v>
      </c>
      <c r="O1087" t="s">
        <v>321</v>
      </c>
      <c r="P1087">
        <f>IF(C1087&lt;&gt;"",C1087,_xlfn.XLOOKUP(B1087,AI_NAMES!D:D,AI_NAMES!E:E,"",0))</f>
        <v>0</v>
      </c>
    </row>
    <row r="1088" spans="1:16" x14ac:dyDescent="0.2">
      <c r="A1088" t="s">
        <v>1198</v>
      </c>
      <c r="B1088" t="str">
        <f>IF(O1088&lt;&gt;"",O1088,_xlfn.XLOOKUP(A1088,AI_NAMES!C:C,AI_NAMES!D:D,"",0))</f>
        <v/>
      </c>
      <c r="E1088" t="str">
        <f t="shared" si="67"/>
        <v/>
      </c>
      <c r="G1088" s="5" t="str">
        <f t="shared" si="68"/>
        <v/>
      </c>
      <c r="I1088" s="6" t="str">
        <f t="shared" si="66"/>
        <v>0</v>
      </c>
      <c r="O1088" t="s">
        <v>321</v>
      </c>
      <c r="P1088">
        <f>IF(C1088&lt;&gt;"",C1088,_xlfn.XLOOKUP(B1088,AI_NAMES!D:D,AI_NAMES!E:E,"",0))</f>
        <v>0</v>
      </c>
    </row>
    <row r="1089" spans="1:16" x14ac:dyDescent="0.2">
      <c r="A1089" t="s">
        <v>1199</v>
      </c>
      <c r="B1089" t="str">
        <f>IF(O1089&lt;&gt;"",O1089,_xlfn.XLOOKUP(A1089,AI_NAMES!C:C,AI_NAMES!D:D,"",0))</f>
        <v/>
      </c>
      <c r="E1089" t="str">
        <f t="shared" si="67"/>
        <v/>
      </c>
      <c r="G1089" s="5" t="str">
        <f t="shared" si="68"/>
        <v/>
      </c>
      <c r="I1089" s="6" t="str">
        <f t="shared" si="66"/>
        <v>0</v>
      </c>
      <c r="O1089" t="s">
        <v>321</v>
      </c>
      <c r="P1089">
        <f>IF(C1089&lt;&gt;"",C1089,_xlfn.XLOOKUP(B1089,AI_NAMES!D:D,AI_NAMES!E:E,"",0))</f>
        <v>0</v>
      </c>
    </row>
    <row r="1090" spans="1:16" x14ac:dyDescent="0.2">
      <c r="A1090" t="s">
        <v>1200</v>
      </c>
      <c r="B1090" t="str">
        <f>IF(O1090&lt;&gt;"",O1090,_xlfn.XLOOKUP(A1090,AI_NAMES!C:C,AI_NAMES!D:D,"",0))</f>
        <v/>
      </c>
      <c r="E1090" t="str">
        <f t="shared" si="67"/>
        <v/>
      </c>
      <c r="G1090" s="5" t="str">
        <f t="shared" si="68"/>
        <v/>
      </c>
      <c r="I1090" s="6" t="str">
        <f t="shared" si="66"/>
        <v>0</v>
      </c>
      <c r="O1090" t="s">
        <v>321</v>
      </c>
      <c r="P1090">
        <f>IF(C1090&lt;&gt;"",C1090,_xlfn.XLOOKUP(B1090,AI_NAMES!D:D,AI_NAMES!E:E,"",0))</f>
        <v>0</v>
      </c>
    </row>
    <row r="1091" spans="1:16" x14ac:dyDescent="0.2">
      <c r="A1091" t="s">
        <v>1201</v>
      </c>
      <c r="B1091" t="str">
        <f>IF(O1091&lt;&gt;"",O1091,_xlfn.XLOOKUP(A1091,AI_NAMES!C:C,AI_NAMES!D:D,"",0))</f>
        <v/>
      </c>
      <c r="E1091" t="str">
        <f t="shared" si="67"/>
        <v/>
      </c>
      <c r="G1091" s="5" t="str">
        <f t="shared" si="68"/>
        <v/>
      </c>
      <c r="I1091" s="6" t="str">
        <f t="shared" ref="I1091:I1154" si="69">IFERROR(DEC2HEX(H1091),"")</f>
        <v>0</v>
      </c>
      <c r="O1091" t="s">
        <v>321</v>
      </c>
      <c r="P1091">
        <f>IF(C1091&lt;&gt;"",C1091,_xlfn.XLOOKUP(B1091,AI_NAMES!D:D,AI_NAMES!E:E,"",0))</f>
        <v>0</v>
      </c>
    </row>
    <row r="1092" spans="1:16" x14ac:dyDescent="0.2">
      <c r="A1092" t="s">
        <v>1202</v>
      </c>
      <c r="B1092" t="str">
        <f>IF(O1092&lt;&gt;"",O1092,_xlfn.XLOOKUP(A1092,AI_NAMES!C:C,AI_NAMES!D:D,"",0))</f>
        <v/>
      </c>
      <c r="E1092" t="str">
        <f t="shared" ref="E1092:E1155" si="70">IF(D1092&lt;&gt;"",C1092&amp;"/"&amp;D1092,"")</f>
        <v/>
      </c>
      <c r="G1092" s="5" t="str">
        <f t="shared" si="68"/>
        <v/>
      </c>
      <c r="I1092" s="6" t="str">
        <f t="shared" si="69"/>
        <v>0</v>
      </c>
      <c r="O1092" t="s">
        <v>321</v>
      </c>
      <c r="P1092">
        <f>IF(C1092&lt;&gt;"",C1092,_xlfn.XLOOKUP(B1092,AI_NAMES!D:D,AI_NAMES!E:E,"",0))</f>
        <v>0</v>
      </c>
    </row>
    <row r="1093" spans="1:16" x14ac:dyDescent="0.2">
      <c r="A1093" t="s">
        <v>1203</v>
      </c>
      <c r="B1093" t="str">
        <f>IF(O1093&lt;&gt;"",O1093,_xlfn.XLOOKUP(A1093,AI_NAMES!C:C,AI_NAMES!D:D,"",0))</f>
        <v/>
      </c>
      <c r="E1093" t="str">
        <f t="shared" si="70"/>
        <v/>
      </c>
      <c r="G1093" s="5" t="str">
        <f t="shared" si="68"/>
        <v/>
      </c>
      <c r="I1093" s="6" t="str">
        <f t="shared" si="69"/>
        <v>0</v>
      </c>
      <c r="O1093" t="s">
        <v>321</v>
      </c>
      <c r="P1093">
        <f>IF(C1093&lt;&gt;"",C1093,_xlfn.XLOOKUP(B1093,AI_NAMES!D:D,AI_NAMES!E:E,"",0))</f>
        <v>0</v>
      </c>
    </row>
    <row r="1094" spans="1:16" x14ac:dyDescent="0.2">
      <c r="A1094" t="s">
        <v>1204</v>
      </c>
      <c r="B1094" t="str">
        <f>IF(O1094&lt;&gt;"",O1094,_xlfn.XLOOKUP(A1094,AI_NAMES!C:C,AI_NAMES!D:D,"",0))</f>
        <v/>
      </c>
      <c r="E1094" t="str">
        <f t="shared" si="70"/>
        <v/>
      </c>
      <c r="G1094" s="5" t="str">
        <f t="shared" si="68"/>
        <v/>
      </c>
      <c r="I1094" s="6" t="str">
        <f t="shared" si="69"/>
        <v>0</v>
      </c>
      <c r="O1094" t="s">
        <v>321</v>
      </c>
      <c r="P1094">
        <f>IF(C1094&lt;&gt;"",C1094,_xlfn.XLOOKUP(B1094,AI_NAMES!D:D,AI_NAMES!E:E,"",0))</f>
        <v>0</v>
      </c>
    </row>
    <row r="1095" spans="1:16" x14ac:dyDescent="0.2">
      <c r="A1095" t="s">
        <v>1205</v>
      </c>
      <c r="B1095" t="str">
        <f>IF(O1095&lt;&gt;"",O1095,_xlfn.XLOOKUP(A1095,AI_NAMES!C:C,AI_NAMES!D:D,"",0))</f>
        <v/>
      </c>
      <c r="E1095" t="str">
        <f t="shared" si="70"/>
        <v/>
      </c>
      <c r="G1095" s="5" t="str">
        <f t="shared" si="68"/>
        <v/>
      </c>
      <c r="I1095" s="6" t="str">
        <f t="shared" si="69"/>
        <v>0</v>
      </c>
      <c r="O1095" t="s">
        <v>321</v>
      </c>
      <c r="P1095">
        <f>IF(C1095&lt;&gt;"",C1095,_xlfn.XLOOKUP(B1095,AI_NAMES!D:D,AI_NAMES!E:E,"",0))</f>
        <v>0</v>
      </c>
    </row>
    <row r="1096" spans="1:16" x14ac:dyDescent="0.2">
      <c r="A1096" t="s">
        <v>1206</v>
      </c>
      <c r="B1096" t="str">
        <f>IF(O1096&lt;&gt;"",O1096,_xlfn.XLOOKUP(A1096,AI_NAMES!C:C,AI_NAMES!D:D,"",0))</f>
        <v/>
      </c>
      <c r="E1096" t="str">
        <f t="shared" si="70"/>
        <v/>
      </c>
      <c r="G1096" s="5" t="str">
        <f t="shared" si="68"/>
        <v/>
      </c>
      <c r="I1096" s="6" t="str">
        <f t="shared" si="69"/>
        <v>0</v>
      </c>
      <c r="O1096" t="s">
        <v>321</v>
      </c>
      <c r="P1096">
        <f>IF(C1096&lt;&gt;"",C1096,_xlfn.XLOOKUP(B1096,AI_NAMES!D:D,AI_NAMES!E:E,"",0))</f>
        <v>0</v>
      </c>
    </row>
    <row r="1097" spans="1:16" x14ac:dyDescent="0.2">
      <c r="A1097" t="s">
        <v>1207</v>
      </c>
      <c r="B1097" t="str">
        <f>IF(O1097&lt;&gt;"",O1097,_xlfn.XLOOKUP(A1097,AI_NAMES!C:C,AI_NAMES!D:D,"",0))</f>
        <v/>
      </c>
      <c r="E1097" t="str">
        <f t="shared" si="70"/>
        <v/>
      </c>
      <c r="G1097" s="5" t="str">
        <f t="shared" ref="G1097:G1160" si="71">IF(F1097&lt;&gt;"",HEX2DEC(SUBSTITUTE(SUBSTITUTE(F1097,"adrEA",""),"$","")),"")</f>
        <v/>
      </c>
      <c r="I1097" s="6" t="str">
        <f t="shared" si="69"/>
        <v>0</v>
      </c>
      <c r="O1097" t="s">
        <v>321</v>
      </c>
      <c r="P1097">
        <f>IF(C1097&lt;&gt;"",C1097,_xlfn.XLOOKUP(B1097,AI_NAMES!D:D,AI_NAMES!E:E,"",0))</f>
        <v>0</v>
      </c>
    </row>
    <row r="1098" spans="1:16" x14ac:dyDescent="0.2">
      <c r="A1098" t="s">
        <v>1208</v>
      </c>
      <c r="B1098" t="str">
        <f>IF(O1098&lt;&gt;"",O1098,_xlfn.XLOOKUP(A1098,AI_NAMES!C:C,AI_NAMES!D:D,"",0))</f>
        <v/>
      </c>
      <c r="E1098" t="str">
        <f t="shared" si="70"/>
        <v/>
      </c>
      <c r="G1098" s="5" t="str">
        <f t="shared" si="71"/>
        <v/>
      </c>
      <c r="I1098" s="6" t="str">
        <f t="shared" si="69"/>
        <v>0</v>
      </c>
      <c r="O1098" t="s">
        <v>321</v>
      </c>
      <c r="P1098">
        <f>IF(C1098&lt;&gt;"",C1098,_xlfn.XLOOKUP(B1098,AI_NAMES!D:D,AI_NAMES!E:E,"",0))</f>
        <v>0</v>
      </c>
    </row>
    <row r="1099" spans="1:16" x14ac:dyDescent="0.2">
      <c r="A1099" t="s">
        <v>1209</v>
      </c>
      <c r="B1099" t="str">
        <f>IF(O1099&lt;&gt;"",O1099,_xlfn.XLOOKUP(A1099,AI_NAMES!C:C,AI_NAMES!D:D,"",0))</f>
        <v/>
      </c>
      <c r="E1099" t="str">
        <f t="shared" si="70"/>
        <v/>
      </c>
      <c r="G1099" s="5" t="str">
        <f t="shared" si="71"/>
        <v/>
      </c>
      <c r="I1099" s="6" t="str">
        <f t="shared" si="69"/>
        <v>0</v>
      </c>
      <c r="O1099" t="s">
        <v>321</v>
      </c>
      <c r="P1099">
        <f>IF(C1099&lt;&gt;"",C1099,_xlfn.XLOOKUP(B1099,AI_NAMES!D:D,AI_NAMES!E:E,"",0))</f>
        <v>0</v>
      </c>
    </row>
    <row r="1100" spans="1:16" x14ac:dyDescent="0.2">
      <c r="A1100" t="s">
        <v>1210</v>
      </c>
      <c r="B1100" t="str">
        <f>IF(O1100&lt;&gt;"",O1100,_xlfn.XLOOKUP(A1100,AI_NAMES!C:C,AI_NAMES!D:D,"",0))</f>
        <v/>
      </c>
      <c r="E1100" t="str">
        <f t="shared" si="70"/>
        <v/>
      </c>
      <c r="G1100" s="5" t="str">
        <f t="shared" si="71"/>
        <v/>
      </c>
      <c r="I1100" s="6" t="str">
        <f t="shared" si="69"/>
        <v>0</v>
      </c>
      <c r="O1100" t="s">
        <v>321</v>
      </c>
      <c r="P1100">
        <f>IF(C1100&lt;&gt;"",C1100,_xlfn.XLOOKUP(B1100,AI_NAMES!D:D,AI_NAMES!E:E,"",0))</f>
        <v>0</v>
      </c>
    </row>
    <row r="1101" spans="1:16" x14ac:dyDescent="0.2">
      <c r="A1101" t="s">
        <v>1211</v>
      </c>
      <c r="B1101" t="str">
        <f>IF(O1101&lt;&gt;"",O1101,_xlfn.XLOOKUP(A1101,AI_NAMES!C:C,AI_NAMES!D:D,"",0))</f>
        <v/>
      </c>
      <c r="E1101" t="str">
        <f t="shared" si="70"/>
        <v/>
      </c>
      <c r="G1101" s="5" t="str">
        <f t="shared" si="71"/>
        <v/>
      </c>
      <c r="I1101" s="6" t="str">
        <f t="shared" si="69"/>
        <v>0</v>
      </c>
      <c r="O1101" t="s">
        <v>321</v>
      </c>
      <c r="P1101">
        <f>IF(C1101&lt;&gt;"",C1101,_xlfn.XLOOKUP(B1101,AI_NAMES!D:D,AI_NAMES!E:E,"",0))</f>
        <v>0</v>
      </c>
    </row>
    <row r="1102" spans="1:16" x14ac:dyDescent="0.2">
      <c r="A1102" t="s">
        <v>1212</v>
      </c>
      <c r="B1102" t="str">
        <f>IF(O1102&lt;&gt;"",O1102,_xlfn.XLOOKUP(A1102,AI_NAMES!C:C,AI_NAMES!D:D,"",0))</f>
        <v/>
      </c>
      <c r="E1102" t="str">
        <f t="shared" si="70"/>
        <v/>
      </c>
      <c r="G1102" s="5" t="str">
        <f t="shared" si="71"/>
        <v/>
      </c>
      <c r="I1102" s="6" t="str">
        <f t="shared" si="69"/>
        <v>0</v>
      </c>
      <c r="O1102" t="s">
        <v>321</v>
      </c>
      <c r="P1102">
        <f>IF(C1102&lt;&gt;"",C1102,_xlfn.XLOOKUP(B1102,AI_NAMES!D:D,AI_NAMES!E:E,"",0))</f>
        <v>0</v>
      </c>
    </row>
    <row r="1103" spans="1:16" x14ac:dyDescent="0.2">
      <c r="A1103" t="s">
        <v>1213</v>
      </c>
      <c r="B1103" t="str">
        <f>IF(O1103&lt;&gt;"",O1103,_xlfn.XLOOKUP(A1103,AI_NAMES!C:C,AI_NAMES!D:D,"",0))</f>
        <v/>
      </c>
      <c r="E1103" t="str">
        <f t="shared" si="70"/>
        <v/>
      </c>
      <c r="G1103" s="5" t="str">
        <f t="shared" si="71"/>
        <v/>
      </c>
      <c r="I1103" s="6" t="str">
        <f t="shared" si="69"/>
        <v>0</v>
      </c>
      <c r="O1103" t="s">
        <v>321</v>
      </c>
      <c r="P1103">
        <f>IF(C1103&lt;&gt;"",C1103,_xlfn.XLOOKUP(B1103,AI_NAMES!D:D,AI_NAMES!E:E,"",0))</f>
        <v>0</v>
      </c>
    </row>
    <row r="1104" spans="1:16" x14ac:dyDescent="0.2">
      <c r="A1104" t="s">
        <v>1214</v>
      </c>
      <c r="B1104" t="str">
        <f>IF(O1104&lt;&gt;"",O1104,_xlfn.XLOOKUP(A1104,AI_NAMES!C:C,AI_NAMES!D:D,"",0))</f>
        <v/>
      </c>
      <c r="E1104" t="str">
        <f t="shared" si="70"/>
        <v/>
      </c>
      <c r="G1104" s="5" t="str">
        <f t="shared" si="71"/>
        <v/>
      </c>
      <c r="I1104" s="6" t="str">
        <f t="shared" si="69"/>
        <v>0</v>
      </c>
      <c r="O1104" t="s">
        <v>321</v>
      </c>
      <c r="P1104">
        <f>IF(C1104&lt;&gt;"",C1104,_xlfn.XLOOKUP(B1104,AI_NAMES!D:D,AI_NAMES!E:E,"",0))</f>
        <v>0</v>
      </c>
    </row>
    <row r="1105" spans="1:16" x14ac:dyDescent="0.2">
      <c r="A1105" t="s">
        <v>1215</v>
      </c>
      <c r="B1105" t="str">
        <f>IF(O1105&lt;&gt;"",O1105,_xlfn.XLOOKUP(A1105,AI_NAMES!C:C,AI_NAMES!D:D,"",0))</f>
        <v/>
      </c>
      <c r="E1105" t="str">
        <f t="shared" si="70"/>
        <v/>
      </c>
      <c r="G1105" s="5" t="str">
        <f t="shared" si="71"/>
        <v/>
      </c>
      <c r="I1105" s="6" t="str">
        <f t="shared" si="69"/>
        <v>0</v>
      </c>
      <c r="O1105" t="s">
        <v>321</v>
      </c>
      <c r="P1105">
        <f>IF(C1105&lt;&gt;"",C1105,_xlfn.XLOOKUP(B1105,AI_NAMES!D:D,AI_NAMES!E:E,"",0))</f>
        <v>0</v>
      </c>
    </row>
    <row r="1106" spans="1:16" x14ac:dyDescent="0.2">
      <c r="A1106" t="s">
        <v>1216</v>
      </c>
      <c r="B1106" t="str">
        <f>IF(O1106&lt;&gt;"",O1106,_xlfn.XLOOKUP(A1106,AI_NAMES!C:C,AI_NAMES!D:D,"",0))</f>
        <v/>
      </c>
      <c r="E1106" t="str">
        <f t="shared" si="70"/>
        <v/>
      </c>
      <c r="G1106" s="5" t="str">
        <f t="shared" si="71"/>
        <v/>
      </c>
      <c r="I1106" s="6" t="str">
        <f t="shared" si="69"/>
        <v>0</v>
      </c>
      <c r="O1106" t="s">
        <v>321</v>
      </c>
      <c r="P1106">
        <f>IF(C1106&lt;&gt;"",C1106,_xlfn.XLOOKUP(B1106,AI_NAMES!D:D,AI_NAMES!E:E,"",0))</f>
        <v>0</v>
      </c>
    </row>
    <row r="1107" spans="1:16" x14ac:dyDescent="0.2">
      <c r="A1107" t="s">
        <v>1217</v>
      </c>
      <c r="B1107" t="str">
        <f>IF(O1107&lt;&gt;"",O1107,_xlfn.XLOOKUP(A1107,AI_NAMES!C:C,AI_NAMES!D:D,"",0))</f>
        <v/>
      </c>
      <c r="E1107" t="str">
        <f t="shared" si="70"/>
        <v/>
      </c>
      <c r="G1107" s="5" t="str">
        <f t="shared" si="71"/>
        <v/>
      </c>
      <c r="I1107" s="6" t="str">
        <f t="shared" si="69"/>
        <v>0</v>
      </c>
      <c r="O1107" t="s">
        <v>321</v>
      </c>
      <c r="P1107">
        <f>IF(C1107&lt;&gt;"",C1107,_xlfn.XLOOKUP(B1107,AI_NAMES!D:D,AI_NAMES!E:E,"",0))</f>
        <v>0</v>
      </c>
    </row>
    <row r="1108" spans="1:16" x14ac:dyDescent="0.2">
      <c r="A1108" t="s">
        <v>1218</v>
      </c>
      <c r="B1108" t="str">
        <f>IF(O1108&lt;&gt;"",O1108,_xlfn.XLOOKUP(A1108,AI_NAMES!C:C,AI_NAMES!D:D,"",0))</f>
        <v/>
      </c>
      <c r="E1108" t="str">
        <f t="shared" si="70"/>
        <v/>
      </c>
      <c r="G1108" s="5" t="str">
        <f t="shared" si="71"/>
        <v/>
      </c>
      <c r="I1108" s="6" t="str">
        <f t="shared" si="69"/>
        <v>0</v>
      </c>
      <c r="O1108" t="s">
        <v>321</v>
      </c>
      <c r="P1108">
        <f>IF(C1108&lt;&gt;"",C1108,_xlfn.XLOOKUP(B1108,AI_NAMES!D:D,AI_NAMES!E:E,"",0))</f>
        <v>0</v>
      </c>
    </row>
    <row r="1109" spans="1:16" x14ac:dyDescent="0.2">
      <c r="A1109" t="s">
        <v>1219</v>
      </c>
      <c r="B1109" t="str">
        <f>IF(O1109&lt;&gt;"",O1109,_xlfn.XLOOKUP(A1109,AI_NAMES!C:C,AI_NAMES!D:D,"",0))</f>
        <v/>
      </c>
      <c r="E1109" t="str">
        <f t="shared" si="70"/>
        <v/>
      </c>
      <c r="G1109" s="5" t="str">
        <f t="shared" si="71"/>
        <v/>
      </c>
      <c r="I1109" s="6" t="str">
        <f t="shared" si="69"/>
        <v>0</v>
      </c>
      <c r="O1109" t="s">
        <v>321</v>
      </c>
      <c r="P1109">
        <f>IF(C1109&lt;&gt;"",C1109,_xlfn.XLOOKUP(B1109,AI_NAMES!D:D,AI_NAMES!E:E,"",0))</f>
        <v>0</v>
      </c>
    </row>
    <row r="1110" spans="1:16" x14ac:dyDescent="0.2">
      <c r="A1110" t="s">
        <v>1220</v>
      </c>
      <c r="B1110" t="str">
        <f>IF(O1110&lt;&gt;"",O1110,_xlfn.XLOOKUP(A1110,AI_NAMES!C:C,AI_NAMES!D:D,"",0))</f>
        <v/>
      </c>
      <c r="E1110" t="str">
        <f t="shared" si="70"/>
        <v/>
      </c>
      <c r="G1110" s="5" t="str">
        <f t="shared" si="71"/>
        <v/>
      </c>
      <c r="I1110" s="6" t="str">
        <f t="shared" si="69"/>
        <v>0</v>
      </c>
      <c r="O1110" t="s">
        <v>321</v>
      </c>
      <c r="P1110">
        <f>IF(C1110&lt;&gt;"",C1110,_xlfn.XLOOKUP(B1110,AI_NAMES!D:D,AI_NAMES!E:E,"",0))</f>
        <v>0</v>
      </c>
    </row>
    <row r="1111" spans="1:16" x14ac:dyDescent="0.2">
      <c r="A1111" t="s">
        <v>1221</v>
      </c>
      <c r="B1111" t="str">
        <f>IF(O1111&lt;&gt;"",O1111,_xlfn.XLOOKUP(A1111,AI_NAMES!C:C,AI_NAMES!D:D,"",0))</f>
        <v/>
      </c>
      <c r="E1111" t="str">
        <f t="shared" si="70"/>
        <v/>
      </c>
      <c r="G1111" s="5" t="str">
        <f t="shared" si="71"/>
        <v/>
      </c>
      <c r="I1111" s="6" t="str">
        <f t="shared" si="69"/>
        <v>0</v>
      </c>
      <c r="O1111" t="s">
        <v>321</v>
      </c>
      <c r="P1111">
        <f>IF(C1111&lt;&gt;"",C1111,_xlfn.XLOOKUP(B1111,AI_NAMES!D:D,AI_NAMES!E:E,"",0))</f>
        <v>0</v>
      </c>
    </row>
    <row r="1112" spans="1:16" x14ac:dyDescent="0.2">
      <c r="A1112" t="s">
        <v>1222</v>
      </c>
      <c r="B1112" t="str">
        <f>IF(O1112&lt;&gt;"",O1112,_xlfn.XLOOKUP(A1112,AI_NAMES!C:C,AI_NAMES!D:D,"",0))</f>
        <v>Click_LaunchSpellFromBook</v>
      </c>
      <c r="E1112" t="str">
        <f t="shared" si="70"/>
        <v/>
      </c>
      <c r="G1112" s="5" t="str">
        <f t="shared" si="71"/>
        <v/>
      </c>
      <c r="I1112" s="6" t="str">
        <f t="shared" si="69"/>
        <v>0</v>
      </c>
      <c r="O1112" t="s">
        <v>1223</v>
      </c>
      <c r="P1112" t="str">
        <f>IF(C1112&lt;&gt;"",C1112,_xlfn.XLOOKUP(B1112,AI_NAMES!D:D,AI_NAMES!E:E,"",0))</f>
        <v/>
      </c>
    </row>
    <row r="1113" spans="1:16" x14ac:dyDescent="0.2">
      <c r="A1113" t="s">
        <v>1224</v>
      </c>
      <c r="B1113" t="str">
        <f>IF(O1113&lt;&gt;"",O1113,_xlfn.XLOOKUP(A1113,AI_NAMES!C:C,AI_NAMES!D:D,"",0))</f>
        <v/>
      </c>
      <c r="E1113" t="str">
        <f t="shared" si="70"/>
        <v/>
      </c>
      <c r="G1113" s="5" t="str">
        <f t="shared" si="71"/>
        <v/>
      </c>
      <c r="I1113" s="6" t="str">
        <f t="shared" si="69"/>
        <v>0</v>
      </c>
      <c r="O1113" t="s">
        <v>321</v>
      </c>
      <c r="P1113">
        <f>IF(C1113&lt;&gt;"",C1113,_xlfn.XLOOKUP(B1113,AI_NAMES!D:D,AI_NAMES!E:E,"",0))</f>
        <v>0</v>
      </c>
    </row>
    <row r="1114" spans="1:16" x14ac:dyDescent="0.2">
      <c r="A1114" t="s">
        <v>1225</v>
      </c>
      <c r="B1114" t="str">
        <f>IF(O1114&lt;&gt;"",O1114,_xlfn.XLOOKUP(A1114,AI_NAMES!C:C,AI_NAMES!D:D,"",0))</f>
        <v/>
      </c>
      <c r="E1114" t="str">
        <f t="shared" si="70"/>
        <v/>
      </c>
      <c r="G1114" s="5" t="str">
        <f t="shared" si="71"/>
        <v/>
      </c>
      <c r="I1114" s="6" t="str">
        <f t="shared" si="69"/>
        <v>0</v>
      </c>
      <c r="O1114" t="s">
        <v>321</v>
      </c>
      <c r="P1114">
        <f>IF(C1114&lt;&gt;"",C1114,_xlfn.XLOOKUP(B1114,AI_NAMES!D:D,AI_NAMES!E:E,"",0))</f>
        <v>0</v>
      </c>
    </row>
    <row r="1115" spans="1:16" x14ac:dyDescent="0.2">
      <c r="A1115" t="s">
        <v>1226</v>
      </c>
      <c r="B1115" t="str">
        <f>IF(O1115&lt;&gt;"",O1115,_xlfn.XLOOKUP(A1115,AI_NAMES!C:C,AI_NAMES!D:D,"",0))</f>
        <v/>
      </c>
      <c r="E1115" t="str">
        <f t="shared" si="70"/>
        <v/>
      </c>
      <c r="G1115" s="5" t="str">
        <f t="shared" si="71"/>
        <v/>
      </c>
      <c r="I1115" s="6" t="str">
        <f t="shared" si="69"/>
        <v>0</v>
      </c>
      <c r="O1115" t="s">
        <v>321</v>
      </c>
      <c r="P1115">
        <f>IF(C1115&lt;&gt;"",C1115,_xlfn.XLOOKUP(B1115,AI_NAMES!D:D,AI_NAMES!E:E,"",0))</f>
        <v>0</v>
      </c>
    </row>
    <row r="1116" spans="1:16" x14ac:dyDescent="0.2">
      <c r="A1116" t="s">
        <v>1227</v>
      </c>
      <c r="B1116" t="str">
        <f>IF(O1116&lt;&gt;"",O1116,_xlfn.XLOOKUP(A1116,AI_NAMES!C:C,AI_NAMES!D:D,"",0))</f>
        <v/>
      </c>
      <c r="E1116" t="str">
        <f t="shared" si="70"/>
        <v/>
      </c>
      <c r="G1116" s="5" t="str">
        <f t="shared" si="71"/>
        <v/>
      </c>
      <c r="I1116" s="6" t="str">
        <f t="shared" si="69"/>
        <v>0</v>
      </c>
      <c r="O1116" t="s">
        <v>321</v>
      </c>
      <c r="P1116">
        <f>IF(C1116&lt;&gt;"",C1116,_xlfn.XLOOKUP(B1116,AI_NAMES!D:D,AI_NAMES!E:E,"",0))</f>
        <v>0</v>
      </c>
    </row>
    <row r="1117" spans="1:16" x14ac:dyDescent="0.2">
      <c r="A1117" t="s">
        <v>1228</v>
      </c>
      <c r="B1117" t="str">
        <f>IF(O1117&lt;&gt;"",O1117,_xlfn.XLOOKUP(A1117,AI_NAMES!C:C,AI_NAMES!D:D,"",0))</f>
        <v/>
      </c>
      <c r="E1117" t="str">
        <f t="shared" si="70"/>
        <v/>
      </c>
      <c r="G1117" s="5" t="str">
        <f t="shared" si="71"/>
        <v/>
      </c>
      <c r="I1117" s="6" t="str">
        <f t="shared" si="69"/>
        <v>0</v>
      </c>
      <c r="O1117" t="s">
        <v>321</v>
      </c>
      <c r="P1117">
        <f>IF(C1117&lt;&gt;"",C1117,_xlfn.XLOOKUP(B1117,AI_NAMES!D:D,AI_NAMES!E:E,"",0))</f>
        <v>0</v>
      </c>
    </row>
    <row r="1118" spans="1:16" x14ac:dyDescent="0.2">
      <c r="A1118" t="s">
        <v>1229</v>
      </c>
      <c r="B1118" t="str">
        <f>IF(O1118&lt;&gt;"",O1118,_xlfn.XLOOKUP(A1118,AI_NAMES!C:C,AI_NAMES!D:D,"",0))</f>
        <v/>
      </c>
      <c r="E1118" t="str">
        <f t="shared" si="70"/>
        <v/>
      </c>
      <c r="G1118" s="5" t="str">
        <f t="shared" si="71"/>
        <v/>
      </c>
      <c r="I1118" s="6" t="str">
        <f t="shared" si="69"/>
        <v>0</v>
      </c>
      <c r="O1118" t="s">
        <v>321</v>
      </c>
      <c r="P1118">
        <f>IF(C1118&lt;&gt;"",C1118,_xlfn.XLOOKUP(B1118,AI_NAMES!D:D,AI_NAMES!E:E,"",0))</f>
        <v>0</v>
      </c>
    </row>
    <row r="1119" spans="1:16" x14ac:dyDescent="0.2">
      <c r="A1119" t="s">
        <v>1230</v>
      </c>
      <c r="B1119" t="str">
        <f>IF(O1119&lt;&gt;"",O1119,_xlfn.XLOOKUP(A1119,AI_NAMES!C:C,AI_NAMES!D:D,"",0))</f>
        <v/>
      </c>
      <c r="E1119" t="str">
        <f t="shared" si="70"/>
        <v/>
      </c>
      <c r="G1119" s="5" t="str">
        <f t="shared" si="71"/>
        <v/>
      </c>
      <c r="I1119" s="6" t="str">
        <f t="shared" si="69"/>
        <v>0</v>
      </c>
      <c r="O1119" t="s">
        <v>321</v>
      </c>
      <c r="P1119">
        <f>IF(C1119&lt;&gt;"",C1119,_xlfn.XLOOKUP(B1119,AI_NAMES!D:D,AI_NAMES!E:E,"",0))</f>
        <v>0</v>
      </c>
    </row>
    <row r="1120" spans="1:16" x14ac:dyDescent="0.2">
      <c r="A1120" t="s">
        <v>1231</v>
      </c>
      <c r="B1120" t="str">
        <f>IF(O1120&lt;&gt;"",O1120,_xlfn.XLOOKUP(A1120,AI_NAMES!C:C,AI_NAMES!D:D,"",0))</f>
        <v/>
      </c>
      <c r="E1120" t="str">
        <f t="shared" si="70"/>
        <v/>
      </c>
      <c r="G1120" s="5" t="str">
        <f t="shared" si="71"/>
        <v/>
      </c>
      <c r="I1120" s="6" t="str">
        <f t="shared" si="69"/>
        <v>0</v>
      </c>
      <c r="O1120" t="s">
        <v>321</v>
      </c>
      <c r="P1120">
        <f>IF(C1120&lt;&gt;"",C1120,_xlfn.XLOOKUP(B1120,AI_NAMES!D:D,AI_NAMES!E:E,"",0))</f>
        <v>0</v>
      </c>
    </row>
    <row r="1121" spans="1:16" x14ac:dyDescent="0.2">
      <c r="A1121" t="s">
        <v>1232</v>
      </c>
      <c r="B1121" t="str">
        <f>IF(O1121&lt;&gt;"",O1121,_xlfn.XLOOKUP(A1121,AI_NAMES!C:C,AI_NAMES!D:D,"",0))</f>
        <v/>
      </c>
      <c r="E1121" t="str">
        <f t="shared" si="70"/>
        <v/>
      </c>
      <c r="G1121" s="5" t="str">
        <f t="shared" si="71"/>
        <v/>
      </c>
      <c r="I1121" s="6" t="str">
        <f t="shared" si="69"/>
        <v>0</v>
      </c>
      <c r="O1121" t="s">
        <v>321</v>
      </c>
      <c r="P1121">
        <f>IF(C1121&lt;&gt;"",C1121,_xlfn.XLOOKUP(B1121,AI_NAMES!D:D,AI_NAMES!E:E,"",0))</f>
        <v>0</v>
      </c>
    </row>
    <row r="1122" spans="1:16" x14ac:dyDescent="0.2">
      <c r="A1122" t="s">
        <v>1233</v>
      </c>
      <c r="B1122" t="str">
        <f>IF(O1122&lt;&gt;"",O1122,_xlfn.XLOOKUP(A1122,AI_NAMES!C:C,AI_NAMES!D:D,"",0))</f>
        <v/>
      </c>
      <c r="E1122" t="str">
        <f t="shared" si="70"/>
        <v/>
      </c>
      <c r="G1122" s="5" t="str">
        <f t="shared" si="71"/>
        <v/>
      </c>
      <c r="I1122" s="6" t="str">
        <f t="shared" si="69"/>
        <v>0</v>
      </c>
      <c r="O1122" t="s">
        <v>321</v>
      </c>
      <c r="P1122">
        <f>IF(C1122&lt;&gt;"",C1122,_xlfn.XLOOKUP(B1122,AI_NAMES!D:D,AI_NAMES!E:E,"",0))</f>
        <v>0</v>
      </c>
    </row>
    <row r="1123" spans="1:16" x14ac:dyDescent="0.2">
      <c r="A1123" t="s">
        <v>1234</v>
      </c>
      <c r="B1123" t="str">
        <f>IF(O1123&lt;&gt;"",O1123,_xlfn.XLOOKUP(A1123,AI_NAMES!C:C,AI_NAMES!D:D,"",0))</f>
        <v/>
      </c>
      <c r="E1123" t="str">
        <f t="shared" si="70"/>
        <v/>
      </c>
      <c r="G1123" s="5" t="str">
        <f t="shared" si="71"/>
        <v/>
      </c>
      <c r="I1123" s="6" t="str">
        <f t="shared" si="69"/>
        <v>0</v>
      </c>
      <c r="O1123" t="s">
        <v>321</v>
      </c>
      <c r="P1123">
        <f>IF(C1123&lt;&gt;"",C1123,_xlfn.XLOOKUP(B1123,AI_NAMES!D:D,AI_NAMES!E:E,"",0))</f>
        <v>0</v>
      </c>
    </row>
    <row r="1124" spans="1:16" x14ac:dyDescent="0.2">
      <c r="A1124" t="s">
        <v>1235</v>
      </c>
      <c r="B1124" t="str">
        <f>IF(O1124&lt;&gt;"",O1124,_xlfn.XLOOKUP(A1124,AI_NAMES!C:C,AI_NAMES!D:D,"",0))</f>
        <v/>
      </c>
      <c r="E1124" t="str">
        <f t="shared" si="70"/>
        <v/>
      </c>
      <c r="G1124" s="5" t="str">
        <f t="shared" si="71"/>
        <v/>
      </c>
      <c r="I1124" s="6" t="str">
        <f t="shared" si="69"/>
        <v>0</v>
      </c>
      <c r="O1124" t="s">
        <v>321</v>
      </c>
      <c r="P1124">
        <f>IF(C1124&lt;&gt;"",C1124,_xlfn.XLOOKUP(B1124,AI_NAMES!D:D,AI_NAMES!E:E,"",0))</f>
        <v>0</v>
      </c>
    </row>
    <row r="1125" spans="1:16" x14ac:dyDescent="0.2">
      <c r="A1125" t="s">
        <v>1236</v>
      </c>
      <c r="B1125" t="str">
        <f>IF(O1125&lt;&gt;"",O1125,_xlfn.XLOOKUP(A1125,AI_NAMES!C:C,AI_NAMES!D:D,"",0))</f>
        <v/>
      </c>
      <c r="E1125" t="str">
        <f t="shared" si="70"/>
        <v/>
      </c>
      <c r="G1125" s="5" t="str">
        <f t="shared" si="71"/>
        <v/>
      </c>
      <c r="I1125" s="6" t="str">
        <f t="shared" si="69"/>
        <v>0</v>
      </c>
      <c r="O1125" t="s">
        <v>321</v>
      </c>
      <c r="P1125">
        <f>IF(C1125&lt;&gt;"",C1125,_xlfn.XLOOKUP(B1125,AI_NAMES!D:D,AI_NAMES!E:E,"",0))</f>
        <v>0</v>
      </c>
    </row>
    <row r="1126" spans="1:16" x14ac:dyDescent="0.2">
      <c r="A1126" t="s">
        <v>1237</v>
      </c>
      <c r="B1126" t="str">
        <f>IF(O1126&lt;&gt;"",O1126,_xlfn.XLOOKUP(A1126,AI_NAMES!C:C,AI_NAMES!D:D,"",0))</f>
        <v/>
      </c>
      <c r="E1126" t="str">
        <f t="shared" si="70"/>
        <v/>
      </c>
      <c r="G1126" s="5" t="str">
        <f t="shared" si="71"/>
        <v/>
      </c>
      <c r="I1126" s="6" t="str">
        <f t="shared" si="69"/>
        <v>0</v>
      </c>
      <c r="O1126" t="s">
        <v>321</v>
      </c>
      <c r="P1126">
        <f>IF(C1126&lt;&gt;"",C1126,_xlfn.XLOOKUP(B1126,AI_NAMES!D:D,AI_NAMES!E:E,"",0))</f>
        <v>0</v>
      </c>
    </row>
    <row r="1127" spans="1:16" x14ac:dyDescent="0.2">
      <c r="A1127" t="s">
        <v>1238</v>
      </c>
      <c r="B1127" t="str">
        <f>IF(O1127&lt;&gt;"",O1127,_xlfn.XLOOKUP(A1127,AI_NAMES!C:C,AI_NAMES!D:D,"",0))</f>
        <v/>
      </c>
      <c r="E1127" t="str">
        <f t="shared" si="70"/>
        <v/>
      </c>
      <c r="G1127" s="5" t="str">
        <f t="shared" si="71"/>
        <v/>
      </c>
      <c r="I1127" s="6" t="str">
        <f t="shared" si="69"/>
        <v>0</v>
      </c>
      <c r="O1127" t="s">
        <v>321</v>
      </c>
      <c r="P1127">
        <f>IF(C1127&lt;&gt;"",C1127,_xlfn.XLOOKUP(B1127,AI_NAMES!D:D,AI_NAMES!E:E,"",0))</f>
        <v>0</v>
      </c>
    </row>
    <row r="1128" spans="1:16" x14ac:dyDescent="0.2">
      <c r="A1128" t="s">
        <v>1239</v>
      </c>
      <c r="B1128" t="str">
        <f>IF(O1128&lt;&gt;"",O1128,_xlfn.XLOOKUP(A1128,AI_NAMES!C:C,AI_NAMES!D:D,"",0))</f>
        <v/>
      </c>
      <c r="E1128" t="str">
        <f t="shared" si="70"/>
        <v/>
      </c>
      <c r="G1128" s="5" t="str">
        <f t="shared" si="71"/>
        <v/>
      </c>
      <c r="I1128" s="6" t="str">
        <f t="shared" si="69"/>
        <v>0</v>
      </c>
      <c r="O1128" t="s">
        <v>321</v>
      </c>
      <c r="P1128">
        <f>IF(C1128&lt;&gt;"",C1128,_xlfn.XLOOKUP(B1128,AI_NAMES!D:D,AI_NAMES!E:E,"",0))</f>
        <v>0</v>
      </c>
    </row>
    <row r="1129" spans="1:16" x14ac:dyDescent="0.2">
      <c r="A1129" t="s">
        <v>1240</v>
      </c>
      <c r="B1129" t="str">
        <f>IF(O1129&lt;&gt;"",O1129,_xlfn.XLOOKUP(A1129,AI_NAMES!C:C,AI_NAMES!D:D,"",0))</f>
        <v/>
      </c>
      <c r="E1129" t="str">
        <f t="shared" si="70"/>
        <v/>
      </c>
      <c r="G1129" s="5" t="str">
        <f t="shared" si="71"/>
        <v/>
      </c>
      <c r="I1129" s="6" t="str">
        <f t="shared" si="69"/>
        <v>0</v>
      </c>
      <c r="O1129" t="s">
        <v>321</v>
      </c>
      <c r="P1129">
        <f>IF(C1129&lt;&gt;"",C1129,_xlfn.XLOOKUP(B1129,AI_NAMES!D:D,AI_NAMES!E:E,"",0))</f>
        <v>0</v>
      </c>
    </row>
    <row r="1130" spans="1:16" x14ac:dyDescent="0.2">
      <c r="A1130" t="s">
        <v>1241</v>
      </c>
      <c r="B1130" t="str">
        <f>IF(O1130&lt;&gt;"",O1130,_xlfn.XLOOKUP(A1130,AI_NAMES!C:C,AI_NAMES!D:D,"",0))</f>
        <v>SpellFizzledMsg</v>
      </c>
      <c r="E1130" t="str">
        <f t="shared" si="70"/>
        <v/>
      </c>
      <c r="G1130" s="5" t="str">
        <f t="shared" si="71"/>
        <v/>
      </c>
      <c r="I1130" s="6" t="str">
        <f t="shared" si="69"/>
        <v>0</v>
      </c>
      <c r="O1130" t="s">
        <v>1241</v>
      </c>
      <c r="P1130" t="str">
        <f>IF(C1130&lt;&gt;"",C1130,_xlfn.XLOOKUP(B1130,AI_NAMES!D:D,AI_NAMES!E:E,"",0))</f>
        <v/>
      </c>
    </row>
    <row r="1131" spans="1:16" x14ac:dyDescent="0.2">
      <c r="A1131" t="s">
        <v>1242</v>
      </c>
      <c r="B1131" t="str">
        <f>IF(O1131&lt;&gt;"",O1131,_xlfn.XLOOKUP(A1131,AI_NAMES!C:C,AI_NAMES!D:D,"",0))</f>
        <v>Spells_LookupTable</v>
      </c>
      <c r="E1131" t="str">
        <f t="shared" si="70"/>
        <v/>
      </c>
      <c r="G1131" s="5" t="str">
        <f t="shared" si="71"/>
        <v/>
      </c>
      <c r="I1131" s="6" t="str">
        <f t="shared" si="69"/>
        <v>0</v>
      </c>
      <c r="O1131" t="s">
        <v>1243</v>
      </c>
      <c r="P1131" t="str">
        <f>IF(C1131&lt;&gt;"",C1131,_xlfn.XLOOKUP(B1131,AI_NAMES!D:D,AI_NAMES!E:E,"",0))</f>
        <v/>
      </c>
    </row>
    <row r="1132" spans="1:16" x14ac:dyDescent="0.2">
      <c r="A1132" t="s">
        <v>1244</v>
      </c>
      <c r="B1132" t="str">
        <f>IF(O1132&lt;&gt;"",O1132,_xlfn.XLOOKUP(A1132,AI_NAMES!C:C,AI_NAMES!D:D,"",0))</f>
        <v>SpellFailedMsg</v>
      </c>
      <c r="E1132" t="str">
        <f t="shared" si="70"/>
        <v/>
      </c>
      <c r="G1132" s="5" t="str">
        <f t="shared" si="71"/>
        <v/>
      </c>
      <c r="I1132" s="6" t="str">
        <f t="shared" si="69"/>
        <v>0</v>
      </c>
      <c r="O1132" t="s">
        <v>1244</v>
      </c>
      <c r="P1132" t="str">
        <f>IF(C1132&lt;&gt;"",C1132,_xlfn.XLOOKUP(B1132,AI_NAMES!D:D,AI_NAMES!E:E,"",0))</f>
        <v/>
      </c>
    </row>
    <row r="1133" spans="1:16" x14ac:dyDescent="0.2">
      <c r="A1133" t="s">
        <v>1245</v>
      </c>
      <c r="B1133" t="str">
        <f>IF(O1133&lt;&gt;"",O1133,_xlfn.XLOOKUP(A1133,AI_NAMES!C:C,AI_NAMES!D:D,"",0))</f>
        <v/>
      </c>
      <c r="E1133" t="str">
        <f t="shared" si="70"/>
        <v/>
      </c>
      <c r="G1133" s="5" t="str">
        <f t="shared" si="71"/>
        <v/>
      </c>
      <c r="I1133" s="6" t="str">
        <f t="shared" si="69"/>
        <v>0</v>
      </c>
      <c r="O1133" t="s">
        <v>321</v>
      </c>
      <c r="P1133">
        <f>IF(C1133&lt;&gt;"",C1133,_xlfn.XLOOKUP(B1133,AI_NAMES!D:D,AI_NAMES!E:E,"",0))</f>
        <v>0</v>
      </c>
    </row>
    <row r="1134" spans="1:16" x14ac:dyDescent="0.2">
      <c r="A1134" t="s">
        <v>1246</v>
      </c>
      <c r="B1134" t="str">
        <f>IF(O1134&lt;&gt;"",O1134,_xlfn.XLOOKUP(A1134,AI_NAMES!C:C,AI_NAMES!D:D,"",0))</f>
        <v/>
      </c>
      <c r="E1134" t="str">
        <f t="shared" si="70"/>
        <v/>
      </c>
      <c r="G1134" s="5" t="str">
        <f t="shared" si="71"/>
        <v/>
      </c>
      <c r="I1134" s="6" t="str">
        <f t="shared" si="69"/>
        <v>0</v>
      </c>
      <c r="O1134" t="s">
        <v>321</v>
      </c>
      <c r="P1134">
        <f>IF(C1134&lt;&gt;"",C1134,_xlfn.XLOOKUP(B1134,AI_NAMES!D:D,AI_NAMES!E:E,"",0))</f>
        <v>0</v>
      </c>
    </row>
    <row r="1135" spans="1:16" x14ac:dyDescent="0.2">
      <c r="A1135" t="s">
        <v>1247</v>
      </c>
      <c r="B1135" t="str">
        <f>IF(O1135&lt;&gt;"",O1135,_xlfn.XLOOKUP(A1135,AI_NAMES!C:C,AI_NAMES!D:D,"",0))</f>
        <v>Spells_01_Armour</v>
      </c>
      <c r="E1135" t="str">
        <f t="shared" si="70"/>
        <v/>
      </c>
      <c r="G1135" s="5" t="str">
        <f t="shared" si="71"/>
        <v/>
      </c>
      <c r="I1135" s="6" t="str">
        <f t="shared" si="69"/>
        <v>0</v>
      </c>
      <c r="O1135" t="s">
        <v>1248</v>
      </c>
      <c r="P1135" t="str">
        <f>IF(C1135&lt;&gt;"",C1135,_xlfn.XLOOKUP(B1135,AI_NAMES!D:D,AI_NAMES!E:E,"",0))</f>
        <v/>
      </c>
    </row>
    <row r="1136" spans="1:16" x14ac:dyDescent="0.2">
      <c r="A1136" t="s">
        <v>1249</v>
      </c>
      <c r="B1136" t="str">
        <f>IF(O1136&lt;&gt;"",O1136,_xlfn.XLOOKUP(A1136,AI_NAMES!C:C,AI_NAMES!D:D,"",0))</f>
        <v/>
      </c>
      <c r="E1136" t="str">
        <f t="shared" si="70"/>
        <v/>
      </c>
      <c r="G1136" s="5" t="str">
        <f t="shared" si="71"/>
        <v/>
      </c>
      <c r="I1136" s="6" t="str">
        <f t="shared" si="69"/>
        <v>0</v>
      </c>
      <c r="O1136" t="s">
        <v>321</v>
      </c>
      <c r="P1136">
        <f>IF(C1136&lt;&gt;"",C1136,_xlfn.XLOOKUP(B1136,AI_NAMES!D:D,AI_NAMES!E:E,"",0))</f>
        <v>0</v>
      </c>
    </row>
    <row r="1137" spans="1:16" x14ac:dyDescent="0.2">
      <c r="A1137" t="s">
        <v>1250</v>
      </c>
      <c r="B1137" t="str">
        <f>IF(O1137&lt;&gt;"",O1137,_xlfn.XLOOKUP(A1137,AI_NAMES!C:C,AI_NAMES!D:D,"",0))</f>
        <v/>
      </c>
      <c r="E1137" t="str">
        <f t="shared" si="70"/>
        <v/>
      </c>
      <c r="G1137" s="5" t="str">
        <f t="shared" si="71"/>
        <v/>
      </c>
      <c r="I1137" s="6" t="str">
        <f t="shared" si="69"/>
        <v>0</v>
      </c>
      <c r="O1137" t="s">
        <v>321</v>
      </c>
      <c r="P1137">
        <f>IF(C1137&lt;&gt;"",C1137,_xlfn.XLOOKUP(B1137,AI_NAMES!D:D,AI_NAMES!E:E,"",0))</f>
        <v>0</v>
      </c>
    </row>
    <row r="1138" spans="1:16" x14ac:dyDescent="0.2">
      <c r="A1138" t="s">
        <v>1251</v>
      </c>
      <c r="B1138" t="str">
        <f>IF(O1138&lt;&gt;"",O1138,_xlfn.XLOOKUP(A1138,AI_NAMES!C:C,AI_NAMES!D:D,"",0))</f>
        <v>Spells_02_Terror</v>
      </c>
      <c r="E1138" t="str">
        <f t="shared" si="70"/>
        <v/>
      </c>
      <c r="G1138" s="5" t="str">
        <f t="shared" si="71"/>
        <v/>
      </c>
      <c r="I1138" s="6" t="str">
        <f t="shared" si="69"/>
        <v>0</v>
      </c>
      <c r="O1138" t="s">
        <v>1252</v>
      </c>
      <c r="P1138" t="str">
        <f>IF(C1138&lt;&gt;"",C1138,_xlfn.XLOOKUP(B1138,AI_NAMES!D:D,AI_NAMES!E:E,"",0))</f>
        <v/>
      </c>
    </row>
    <row r="1139" spans="1:16" x14ac:dyDescent="0.2">
      <c r="A1139" t="s">
        <v>1253</v>
      </c>
      <c r="B1139" t="str">
        <f>IF(O1139&lt;&gt;"",O1139,_xlfn.XLOOKUP(A1139,AI_NAMES!C:C,AI_NAMES!D:D,"",0))</f>
        <v>Spells_03_Vitalise</v>
      </c>
      <c r="E1139" t="str">
        <f t="shared" si="70"/>
        <v/>
      </c>
      <c r="G1139" s="5" t="str">
        <f t="shared" si="71"/>
        <v/>
      </c>
      <c r="I1139" s="6" t="str">
        <f t="shared" si="69"/>
        <v>0</v>
      </c>
      <c r="O1139" t="s">
        <v>1254</v>
      </c>
      <c r="P1139" t="str">
        <f>IF(C1139&lt;&gt;"",C1139,_xlfn.XLOOKUP(B1139,AI_NAMES!D:D,AI_NAMES!E:E,"",0))</f>
        <v/>
      </c>
    </row>
    <row r="1140" spans="1:16" x14ac:dyDescent="0.2">
      <c r="A1140" t="s">
        <v>1255</v>
      </c>
      <c r="B1140" t="str">
        <f>IF(O1140&lt;&gt;"",O1140,_xlfn.XLOOKUP(A1140,AI_NAMES!C:C,AI_NAMES!D:D,"",0))</f>
        <v>Spells_04_Biguile</v>
      </c>
      <c r="E1140" t="str">
        <f t="shared" si="70"/>
        <v/>
      </c>
      <c r="G1140" s="5" t="str">
        <f t="shared" si="71"/>
        <v/>
      </c>
      <c r="I1140" s="6" t="str">
        <f t="shared" si="69"/>
        <v>0</v>
      </c>
      <c r="O1140" t="s">
        <v>1256</v>
      </c>
      <c r="P1140" t="str">
        <f>IF(C1140&lt;&gt;"",C1140,_xlfn.XLOOKUP(B1140,AI_NAMES!D:D,AI_NAMES!E:E,"",0))</f>
        <v/>
      </c>
    </row>
    <row r="1141" spans="1:16" x14ac:dyDescent="0.2">
      <c r="A1141" t="s">
        <v>1257</v>
      </c>
      <c r="B1141" t="str">
        <f>IF(O1141&lt;&gt;"",O1141,_xlfn.XLOOKUP(A1141,AI_NAMES!C:C,AI_NAMES!D:D,"",0))</f>
        <v/>
      </c>
      <c r="E1141" t="str">
        <f t="shared" si="70"/>
        <v/>
      </c>
      <c r="G1141" s="5" t="str">
        <f t="shared" si="71"/>
        <v/>
      </c>
      <c r="I1141" s="6" t="str">
        <f t="shared" si="69"/>
        <v>0</v>
      </c>
      <c r="O1141" t="s">
        <v>321</v>
      </c>
      <c r="P1141">
        <f>IF(C1141&lt;&gt;"",C1141,_xlfn.XLOOKUP(B1141,AI_NAMES!D:D,AI_NAMES!E:E,"",0))</f>
        <v>0</v>
      </c>
    </row>
    <row r="1142" spans="1:16" x14ac:dyDescent="0.2">
      <c r="A1142" t="s">
        <v>1258</v>
      </c>
      <c r="B1142" t="str">
        <f>IF(O1142&lt;&gt;"",O1142,_xlfn.XLOOKUP(A1142,AI_NAMES!C:C,AI_NAMES!D:D,"",0))</f>
        <v>Spells_05_Deflect</v>
      </c>
      <c r="E1142" t="str">
        <f t="shared" si="70"/>
        <v/>
      </c>
      <c r="G1142" s="5" t="str">
        <f t="shared" si="71"/>
        <v/>
      </c>
      <c r="I1142" s="6" t="str">
        <f t="shared" si="69"/>
        <v>0</v>
      </c>
      <c r="O1142" t="s">
        <v>1259</v>
      </c>
      <c r="P1142" t="str">
        <f>IF(C1142&lt;&gt;"",C1142,_xlfn.XLOOKUP(B1142,AI_NAMES!D:D,AI_NAMES!E:E,"",0))</f>
        <v/>
      </c>
    </row>
    <row r="1143" spans="1:16" x14ac:dyDescent="0.2">
      <c r="A1143" t="s">
        <v>1260</v>
      </c>
      <c r="B1143" t="str">
        <f>IF(O1143&lt;&gt;"",O1143,_xlfn.XLOOKUP(A1143,AI_NAMES!C:C,AI_NAMES!D:D,"",0))</f>
        <v>Spells_06_Magelock</v>
      </c>
      <c r="E1143" t="str">
        <f t="shared" si="70"/>
        <v/>
      </c>
      <c r="G1143" s="5" t="str">
        <f t="shared" si="71"/>
        <v/>
      </c>
      <c r="I1143" s="6" t="str">
        <f t="shared" si="69"/>
        <v>0</v>
      </c>
      <c r="O1143" t="s">
        <v>1261</v>
      </c>
      <c r="P1143" t="str">
        <f>IF(C1143&lt;&gt;"",C1143,_xlfn.XLOOKUP(B1143,AI_NAMES!D:D,AI_NAMES!E:E,"",0))</f>
        <v/>
      </c>
    </row>
    <row r="1144" spans="1:16" x14ac:dyDescent="0.2">
      <c r="A1144" t="s">
        <v>1262</v>
      </c>
      <c r="B1144" t="str">
        <f>IF(O1144&lt;&gt;"",O1144,_xlfn.XLOOKUP(A1144,AI_NAMES!C:C,AI_NAMES!D:D,"",0))</f>
        <v/>
      </c>
      <c r="E1144" t="str">
        <f t="shared" si="70"/>
        <v/>
      </c>
      <c r="G1144" s="5" t="str">
        <f t="shared" si="71"/>
        <v/>
      </c>
      <c r="I1144" s="6" t="str">
        <f t="shared" si="69"/>
        <v>0</v>
      </c>
      <c r="O1144" t="s">
        <v>321</v>
      </c>
      <c r="P1144">
        <f>IF(C1144&lt;&gt;"",C1144,_xlfn.XLOOKUP(B1144,AI_NAMES!D:D,AI_NAMES!E:E,"",0))</f>
        <v>0</v>
      </c>
    </row>
    <row r="1145" spans="1:16" x14ac:dyDescent="0.2">
      <c r="A1145" t="s">
        <v>1263</v>
      </c>
      <c r="B1145" t="str">
        <f>IF(O1145&lt;&gt;"",O1145,_xlfn.XLOOKUP(A1145,AI_NAMES!C:C,AI_NAMES!D:D,"",0))</f>
        <v/>
      </c>
      <c r="E1145" t="str">
        <f t="shared" si="70"/>
        <v/>
      </c>
      <c r="G1145" s="5" t="str">
        <f t="shared" si="71"/>
        <v/>
      </c>
      <c r="I1145" s="6" t="str">
        <f t="shared" si="69"/>
        <v>0</v>
      </c>
      <c r="O1145" t="s">
        <v>321</v>
      </c>
      <c r="P1145">
        <f>IF(C1145&lt;&gt;"",C1145,_xlfn.XLOOKUP(B1145,AI_NAMES!D:D,AI_NAMES!E:E,"",0))</f>
        <v>0</v>
      </c>
    </row>
    <row r="1146" spans="1:16" x14ac:dyDescent="0.2">
      <c r="A1146" t="s">
        <v>1264</v>
      </c>
      <c r="B1146" t="str">
        <f>IF(O1146&lt;&gt;"",O1146,_xlfn.XLOOKUP(A1146,AI_NAMES!C:C,AI_NAMES!D:D,"",0))</f>
        <v/>
      </c>
      <c r="E1146" t="str">
        <f t="shared" si="70"/>
        <v/>
      </c>
      <c r="G1146" s="5" t="str">
        <f t="shared" si="71"/>
        <v/>
      </c>
      <c r="I1146" s="6" t="str">
        <f t="shared" si="69"/>
        <v>0</v>
      </c>
      <c r="O1146" t="s">
        <v>321</v>
      </c>
      <c r="P1146">
        <f>IF(C1146&lt;&gt;"",C1146,_xlfn.XLOOKUP(B1146,AI_NAMES!D:D,AI_NAMES!E:E,"",0))</f>
        <v>0</v>
      </c>
    </row>
    <row r="1147" spans="1:16" x14ac:dyDescent="0.2">
      <c r="A1147" t="s">
        <v>1265</v>
      </c>
      <c r="B1147" t="str">
        <f>IF(O1147&lt;&gt;"",O1147,_xlfn.XLOOKUP(A1147,AI_NAMES!C:C,AI_NAMES!D:D,"",0))</f>
        <v/>
      </c>
      <c r="E1147" t="str">
        <f t="shared" si="70"/>
        <v/>
      </c>
      <c r="G1147" s="5" t="str">
        <f t="shared" si="71"/>
        <v/>
      </c>
      <c r="I1147" s="6" t="str">
        <f t="shared" si="69"/>
        <v>0</v>
      </c>
      <c r="O1147" t="s">
        <v>321</v>
      </c>
      <c r="P1147">
        <f>IF(C1147&lt;&gt;"",C1147,_xlfn.XLOOKUP(B1147,AI_NAMES!D:D,AI_NAMES!E:E,"",0))</f>
        <v>0</v>
      </c>
    </row>
    <row r="1148" spans="1:16" x14ac:dyDescent="0.2">
      <c r="A1148" t="s">
        <v>1266</v>
      </c>
      <c r="B1148" t="str">
        <f>IF(O1148&lt;&gt;"",O1148,_xlfn.XLOOKUP(A1148,AI_NAMES!C:C,AI_NAMES!D:D,"",0))</f>
        <v>Spells_07_Conceal</v>
      </c>
      <c r="E1148" t="str">
        <f t="shared" si="70"/>
        <v/>
      </c>
      <c r="G1148" s="5" t="str">
        <f t="shared" si="71"/>
        <v/>
      </c>
      <c r="I1148" s="6" t="str">
        <f t="shared" si="69"/>
        <v>0</v>
      </c>
      <c r="O1148" t="s">
        <v>1267</v>
      </c>
      <c r="P1148" t="str">
        <f>IF(C1148&lt;&gt;"",C1148,_xlfn.XLOOKUP(B1148,AI_NAMES!D:D,AI_NAMES!E:E,"",0))</f>
        <v/>
      </c>
    </row>
    <row r="1149" spans="1:16" x14ac:dyDescent="0.2">
      <c r="A1149" t="s">
        <v>1268</v>
      </c>
      <c r="B1149" t="str">
        <f>IF(O1149&lt;&gt;"",O1149,_xlfn.XLOOKUP(A1149,AI_NAMES!C:C,AI_NAMES!D:D,"",0))</f>
        <v/>
      </c>
      <c r="E1149" t="str">
        <f t="shared" si="70"/>
        <v/>
      </c>
      <c r="G1149" s="5" t="str">
        <f t="shared" si="71"/>
        <v/>
      </c>
      <c r="I1149" s="6" t="str">
        <f t="shared" si="69"/>
        <v>0</v>
      </c>
      <c r="O1149" t="s">
        <v>321</v>
      </c>
      <c r="P1149">
        <f>IF(C1149&lt;&gt;"",C1149,_xlfn.XLOOKUP(B1149,AI_NAMES!D:D,AI_NAMES!E:E,"",0))</f>
        <v>0</v>
      </c>
    </row>
    <row r="1150" spans="1:16" x14ac:dyDescent="0.2">
      <c r="A1150" t="s">
        <v>1269</v>
      </c>
      <c r="B1150" t="str">
        <f>IF(O1150&lt;&gt;"",O1150,_xlfn.XLOOKUP(A1150,AI_NAMES!C:C,AI_NAMES!D:D,"",0))</f>
        <v>Spells_08_Warpower</v>
      </c>
      <c r="E1150" t="str">
        <f t="shared" si="70"/>
        <v/>
      </c>
      <c r="G1150" s="5" t="str">
        <f t="shared" si="71"/>
        <v/>
      </c>
      <c r="I1150" s="6" t="str">
        <f t="shared" si="69"/>
        <v>0</v>
      </c>
      <c r="O1150" t="s">
        <v>1270</v>
      </c>
      <c r="P1150" t="str">
        <f>IF(C1150&lt;&gt;"",C1150,_xlfn.XLOOKUP(B1150,AI_NAMES!D:D,AI_NAMES!E:E,"",0))</f>
        <v/>
      </c>
    </row>
    <row r="1151" spans="1:16" x14ac:dyDescent="0.2">
      <c r="A1151" t="s">
        <v>1271</v>
      </c>
      <c r="B1151" t="str">
        <f>IF(O1151&lt;&gt;"",O1151,_xlfn.XLOOKUP(A1151,AI_NAMES!C:C,AI_NAMES!D:D,"",0))</f>
        <v>Spells_09_Missle</v>
      </c>
      <c r="E1151" t="str">
        <f t="shared" si="70"/>
        <v/>
      </c>
      <c r="G1151" s="5" t="str">
        <f t="shared" si="71"/>
        <v/>
      </c>
      <c r="I1151" s="6" t="str">
        <f t="shared" si="69"/>
        <v>0</v>
      </c>
      <c r="O1151" t="s">
        <v>1272</v>
      </c>
      <c r="P1151" t="str">
        <f>IF(C1151&lt;&gt;"",C1151,_xlfn.XLOOKUP(B1151,AI_NAMES!D:D,AI_NAMES!E:E,"",0))</f>
        <v/>
      </c>
    </row>
    <row r="1152" spans="1:16" x14ac:dyDescent="0.2">
      <c r="A1152" t="s">
        <v>1273</v>
      </c>
      <c r="B1152" t="str">
        <f>IF(O1152&lt;&gt;"",O1152,_xlfn.XLOOKUP(A1152,AI_NAMES!C:C,AI_NAMES!D:D,"",0))</f>
        <v>Spells_10_Vanish</v>
      </c>
      <c r="E1152" t="str">
        <f t="shared" si="70"/>
        <v/>
      </c>
      <c r="G1152" s="5" t="str">
        <f t="shared" si="71"/>
        <v/>
      </c>
      <c r="I1152" s="6" t="str">
        <f t="shared" si="69"/>
        <v>0</v>
      </c>
      <c r="O1152" t="s">
        <v>1274</v>
      </c>
      <c r="P1152" t="str">
        <f>IF(C1152&lt;&gt;"",C1152,_xlfn.XLOOKUP(B1152,AI_NAMES!D:D,AI_NAMES!E:E,"",0))</f>
        <v/>
      </c>
    </row>
    <row r="1153" spans="1:16" x14ac:dyDescent="0.2">
      <c r="A1153" t="s">
        <v>1275</v>
      </c>
      <c r="B1153" t="str">
        <f>IF(O1153&lt;&gt;"",O1153,_xlfn.XLOOKUP(A1153,AI_NAMES!C:C,AI_NAMES!D:D,"",0))</f>
        <v>Spells_11_Paralyze</v>
      </c>
      <c r="E1153" t="str">
        <f t="shared" si="70"/>
        <v/>
      </c>
      <c r="G1153" s="5" t="str">
        <f t="shared" si="71"/>
        <v/>
      </c>
      <c r="I1153" s="6" t="str">
        <f t="shared" si="69"/>
        <v>0</v>
      </c>
      <c r="O1153" t="s">
        <v>1276</v>
      </c>
      <c r="P1153" t="str">
        <f>IF(C1153&lt;&gt;"",C1153,_xlfn.XLOOKUP(B1153,AI_NAMES!D:D,AI_NAMES!E:E,"",0))</f>
        <v/>
      </c>
    </row>
    <row r="1154" spans="1:16" x14ac:dyDescent="0.2">
      <c r="A1154" t="s">
        <v>1277</v>
      </c>
      <c r="B1154" t="str">
        <f>IF(O1154&lt;&gt;"",O1154,_xlfn.XLOOKUP(A1154,AI_NAMES!C:C,AI_NAMES!D:D,"",0))</f>
        <v>Spells_12_Alchemy</v>
      </c>
      <c r="E1154" t="str">
        <f t="shared" si="70"/>
        <v/>
      </c>
      <c r="G1154" s="5" t="str">
        <f t="shared" si="71"/>
        <v/>
      </c>
      <c r="I1154" s="6" t="str">
        <f t="shared" si="69"/>
        <v>0</v>
      </c>
      <c r="O1154" t="s">
        <v>1278</v>
      </c>
      <c r="P1154" t="str">
        <f>IF(C1154&lt;&gt;"",C1154,_xlfn.XLOOKUP(B1154,AI_NAMES!D:D,AI_NAMES!E:E,"",0))</f>
        <v/>
      </c>
    </row>
    <row r="1155" spans="1:16" x14ac:dyDescent="0.2">
      <c r="A1155" t="s">
        <v>1279</v>
      </c>
      <c r="B1155" t="str">
        <f>IF(O1155&lt;&gt;"",O1155,_xlfn.XLOOKUP(A1155,AI_NAMES!C:C,AI_NAMES!D:D,"",0))</f>
        <v/>
      </c>
      <c r="E1155" t="str">
        <f t="shared" si="70"/>
        <v/>
      </c>
      <c r="G1155" s="5" t="str">
        <f t="shared" si="71"/>
        <v/>
      </c>
      <c r="I1155" s="6" t="str">
        <f t="shared" ref="I1155:I1218" si="72">IFERROR(DEC2HEX(H1155),"")</f>
        <v>0</v>
      </c>
      <c r="O1155" t="s">
        <v>321</v>
      </c>
      <c r="P1155">
        <f>IF(C1155&lt;&gt;"",C1155,_xlfn.XLOOKUP(B1155,AI_NAMES!D:D,AI_NAMES!E:E,"",0))</f>
        <v>0</v>
      </c>
    </row>
    <row r="1156" spans="1:16" x14ac:dyDescent="0.2">
      <c r="A1156" t="s">
        <v>1280</v>
      </c>
      <c r="B1156" t="str">
        <f>IF(O1156&lt;&gt;"",O1156,_xlfn.XLOOKUP(A1156,AI_NAMES!C:C,AI_NAMES!D:D,"",0))</f>
        <v/>
      </c>
      <c r="E1156" t="str">
        <f t="shared" ref="E1156:E1219" si="73">IF(D1156&lt;&gt;"",C1156&amp;"/"&amp;D1156,"")</f>
        <v/>
      </c>
      <c r="G1156" s="5" t="str">
        <f t="shared" si="71"/>
        <v/>
      </c>
      <c r="I1156" s="6" t="str">
        <f t="shared" si="72"/>
        <v>0</v>
      </c>
      <c r="O1156" t="s">
        <v>321</v>
      </c>
      <c r="P1156">
        <f>IF(C1156&lt;&gt;"",C1156,_xlfn.XLOOKUP(B1156,AI_NAMES!D:D,AI_NAMES!E:E,"",0))</f>
        <v>0</v>
      </c>
    </row>
    <row r="1157" spans="1:16" x14ac:dyDescent="0.2">
      <c r="A1157" t="s">
        <v>1281</v>
      </c>
      <c r="B1157" t="str">
        <f>IF(O1157&lt;&gt;"",O1157,_xlfn.XLOOKUP(A1157,AI_NAMES!C:C,AI_NAMES!D:D,"",0))</f>
        <v/>
      </c>
      <c r="E1157" t="str">
        <f t="shared" si="73"/>
        <v/>
      </c>
      <c r="G1157" s="5" t="str">
        <f t="shared" si="71"/>
        <v/>
      </c>
      <c r="I1157" s="6" t="str">
        <f t="shared" si="72"/>
        <v>0</v>
      </c>
      <c r="O1157" t="s">
        <v>321</v>
      </c>
      <c r="P1157">
        <f>IF(C1157&lt;&gt;"",C1157,_xlfn.XLOOKUP(B1157,AI_NAMES!D:D,AI_NAMES!E:E,"",0))</f>
        <v>0</v>
      </c>
    </row>
    <row r="1158" spans="1:16" x14ac:dyDescent="0.2">
      <c r="A1158" t="s">
        <v>1282</v>
      </c>
      <c r="B1158" t="str">
        <f>IF(O1158&lt;&gt;"",O1158,_xlfn.XLOOKUP(A1158,AI_NAMES!C:C,AI_NAMES!D:D,"",0))</f>
        <v/>
      </c>
      <c r="E1158" t="str">
        <f t="shared" si="73"/>
        <v/>
      </c>
      <c r="G1158" s="5" t="str">
        <f t="shared" si="71"/>
        <v/>
      </c>
      <c r="I1158" s="6" t="str">
        <f t="shared" si="72"/>
        <v>0</v>
      </c>
      <c r="O1158" t="s">
        <v>321</v>
      </c>
      <c r="P1158">
        <f>IF(C1158&lt;&gt;"",C1158,_xlfn.XLOOKUP(B1158,AI_NAMES!D:D,AI_NAMES!E:E,"",0))</f>
        <v>0</v>
      </c>
    </row>
    <row r="1159" spans="1:16" x14ac:dyDescent="0.2">
      <c r="A1159" t="s">
        <v>1283</v>
      </c>
      <c r="B1159" t="str">
        <f>IF(O1159&lt;&gt;"",O1159,_xlfn.XLOOKUP(A1159,AI_NAMES!C:C,AI_NAMES!D:D,"",0))</f>
        <v/>
      </c>
      <c r="E1159" t="str">
        <f t="shared" si="73"/>
        <v/>
      </c>
      <c r="G1159" s="5" t="str">
        <f t="shared" si="71"/>
        <v/>
      </c>
      <c r="I1159" s="6" t="str">
        <f t="shared" si="72"/>
        <v>0</v>
      </c>
      <c r="O1159" t="s">
        <v>321</v>
      </c>
      <c r="P1159">
        <f>IF(C1159&lt;&gt;"",C1159,_xlfn.XLOOKUP(B1159,AI_NAMES!D:D,AI_NAMES!E:E,"",0))</f>
        <v>0</v>
      </c>
    </row>
    <row r="1160" spans="1:16" x14ac:dyDescent="0.2">
      <c r="A1160" t="s">
        <v>1284</v>
      </c>
      <c r="B1160" t="str">
        <f>IF(O1160&lt;&gt;"",O1160,_xlfn.XLOOKUP(A1160,AI_NAMES!C:C,AI_NAMES!D:D,"",0))</f>
        <v/>
      </c>
      <c r="E1160" t="str">
        <f t="shared" si="73"/>
        <v/>
      </c>
      <c r="G1160" s="5" t="str">
        <f t="shared" si="71"/>
        <v/>
      </c>
      <c r="I1160" s="6" t="str">
        <f t="shared" si="72"/>
        <v>0</v>
      </c>
      <c r="O1160" t="s">
        <v>321</v>
      </c>
      <c r="P1160">
        <f>IF(C1160&lt;&gt;"",C1160,_xlfn.XLOOKUP(B1160,AI_NAMES!D:D,AI_NAMES!E:E,"",0))</f>
        <v>0</v>
      </c>
    </row>
    <row r="1161" spans="1:16" x14ac:dyDescent="0.2">
      <c r="A1161" t="s">
        <v>1285</v>
      </c>
      <c r="B1161" t="s">
        <v>1286</v>
      </c>
      <c r="E1161" t="str">
        <f t="shared" si="73"/>
        <v/>
      </c>
      <c r="G1161" s="5" t="str">
        <f t="shared" ref="G1161:G1224" si="74">IF(F1161&lt;&gt;"",HEX2DEC(SUBSTITUTE(SUBSTITUTE(F1161,"adrEA",""),"$","")),"")</f>
        <v/>
      </c>
      <c r="I1161" s="6" t="str">
        <f t="shared" si="72"/>
        <v>0</v>
      </c>
      <c r="O1161" t="s">
        <v>1286</v>
      </c>
      <c r="P1161" t="str">
        <f>IF(C1161&lt;&gt;"",C1161,_xlfn.XLOOKUP(B1161,AI_NAMES!D:D,AI_NAMES!E:E,"",0))</f>
        <v/>
      </c>
    </row>
    <row r="1162" spans="1:16" x14ac:dyDescent="0.2">
      <c r="A1162" t="s">
        <v>1287</v>
      </c>
      <c r="B1162" t="s">
        <v>1288</v>
      </c>
      <c r="E1162" t="str">
        <f t="shared" si="73"/>
        <v/>
      </c>
      <c r="G1162" s="5" t="str">
        <f t="shared" si="74"/>
        <v/>
      </c>
      <c r="I1162" s="6" t="str">
        <f t="shared" si="72"/>
        <v>0</v>
      </c>
      <c r="O1162" t="s">
        <v>1288</v>
      </c>
      <c r="P1162" t="str">
        <f>IF(C1162&lt;&gt;"",C1162,_xlfn.XLOOKUP(B1162,AI_NAMES!D:D,AI_NAMES!E:E,"",0))</f>
        <v/>
      </c>
    </row>
    <row r="1163" spans="1:16" x14ac:dyDescent="0.2">
      <c r="A1163" t="s">
        <v>1289</v>
      </c>
      <c r="B1163" t="s">
        <v>1290</v>
      </c>
      <c r="E1163" t="str">
        <f t="shared" si="73"/>
        <v/>
      </c>
      <c r="G1163" s="5" t="str">
        <f t="shared" si="74"/>
        <v/>
      </c>
      <c r="I1163" s="6" t="str">
        <f t="shared" si="72"/>
        <v>0</v>
      </c>
      <c r="O1163" t="s">
        <v>1290</v>
      </c>
      <c r="P1163" t="str">
        <f>IF(C1163&lt;&gt;"",C1163,_xlfn.XLOOKUP(B1163,AI_NAMES!D:D,AI_NAMES!E:E,"",0))</f>
        <v/>
      </c>
    </row>
    <row r="1164" spans="1:16" x14ac:dyDescent="0.2">
      <c r="A1164" t="s">
        <v>1291</v>
      </c>
      <c r="B1164" t="s">
        <v>1292</v>
      </c>
      <c r="E1164" t="str">
        <f t="shared" si="73"/>
        <v/>
      </c>
      <c r="G1164" s="5" t="str">
        <f t="shared" si="74"/>
        <v/>
      </c>
      <c r="I1164" s="6" t="str">
        <f t="shared" si="72"/>
        <v>0</v>
      </c>
      <c r="O1164" t="s">
        <v>1292</v>
      </c>
      <c r="P1164" t="str">
        <f>IF(C1164&lt;&gt;"",C1164,_xlfn.XLOOKUP(B1164,AI_NAMES!D:D,AI_NAMES!E:E,"",0))</f>
        <v/>
      </c>
    </row>
    <row r="1165" spans="1:16" x14ac:dyDescent="0.2">
      <c r="A1165" t="s">
        <v>1293</v>
      </c>
      <c r="B1165" t="s">
        <v>321</v>
      </c>
      <c r="E1165" t="str">
        <f t="shared" si="73"/>
        <v/>
      </c>
      <c r="G1165" s="5" t="str">
        <f t="shared" si="74"/>
        <v/>
      </c>
      <c r="I1165" s="6" t="str">
        <f t="shared" si="72"/>
        <v>0</v>
      </c>
      <c r="O1165" t="s">
        <v>321</v>
      </c>
      <c r="P1165">
        <f>IF(C1165&lt;&gt;"",C1165,_xlfn.XLOOKUP(B1165,AI_NAMES!D:D,AI_NAMES!E:E,"",0))</f>
        <v>0</v>
      </c>
    </row>
    <row r="1166" spans="1:16" x14ac:dyDescent="0.2">
      <c r="A1166" t="s">
        <v>1294</v>
      </c>
      <c r="B1166" t="s">
        <v>321</v>
      </c>
      <c r="E1166" t="str">
        <f t="shared" si="73"/>
        <v/>
      </c>
      <c r="G1166" s="5" t="str">
        <f t="shared" si="74"/>
        <v/>
      </c>
      <c r="I1166" s="6" t="str">
        <f t="shared" si="72"/>
        <v>0</v>
      </c>
      <c r="O1166" t="s">
        <v>321</v>
      </c>
      <c r="P1166">
        <f>IF(C1166&lt;&gt;"",C1166,_xlfn.XLOOKUP(B1166,AI_NAMES!D:D,AI_NAMES!E:E,"",0))</f>
        <v>0</v>
      </c>
    </row>
    <row r="1167" spans="1:16" x14ac:dyDescent="0.2">
      <c r="A1167" t="s">
        <v>1295</v>
      </c>
      <c r="B1167" t="s">
        <v>321</v>
      </c>
      <c r="E1167" t="str">
        <f t="shared" si="73"/>
        <v/>
      </c>
      <c r="G1167" s="5" t="str">
        <f t="shared" si="74"/>
        <v/>
      </c>
      <c r="I1167" s="6" t="str">
        <f t="shared" si="72"/>
        <v>0</v>
      </c>
      <c r="O1167" t="s">
        <v>321</v>
      </c>
      <c r="P1167">
        <f>IF(C1167&lt;&gt;"",C1167,_xlfn.XLOOKUP(B1167,AI_NAMES!D:D,AI_NAMES!E:E,"",0))</f>
        <v>0</v>
      </c>
    </row>
    <row r="1168" spans="1:16" x14ac:dyDescent="0.2">
      <c r="A1168" t="s">
        <v>1296</v>
      </c>
      <c r="B1168" t="s">
        <v>1297</v>
      </c>
      <c r="E1168" t="str">
        <f t="shared" si="73"/>
        <v/>
      </c>
      <c r="G1168" s="5" t="str">
        <f t="shared" si="74"/>
        <v/>
      </c>
      <c r="I1168" s="6" t="str">
        <f t="shared" si="72"/>
        <v>0</v>
      </c>
      <c r="O1168" t="s">
        <v>1297</v>
      </c>
      <c r="P1168" t="str">
        <f>IF(C1168&lt;&gt;"",C1168,_xlfn.XLOOKUP(B1168,AI_NAMES!D:D,AI_NAMES!E:E,"",0))</f>
        <v/>
      </c>
    </row>
    <row r="1169" spans="1:16" x14ac:dyDescent="0.2">
      <c r="A1169" t="s">
        <v>1298</v>
      </c>
      <c r="B1169" t="s">
        <v>1299</v>
      </c>
      <c r="E1169" t="str">
        <f t="shared" si="73"/>
        <v/>
      </c>
      <c r="G1169" s="5" t="str">
        <f t="shared" si="74"/>
        <v/>
      </c>
      <c r="I1169" s="6" t="str">
        <f t="shared" si="72"/>
        <v>0</v>
      </c>
      <c r="O1169" t="s">
        <v>1299</v>
      </c>
      <c r="P1169" t="str">
        <f>IF(C1169&lt;&gt;"",C1169,_xlfn.XLOOKUP(B1169,AI_NAMES!D:D,AI_NAMES!E:E,"",0))</f>
        <v/>
      </c>
    </row>
    <row r="1170" spans="1:16" x14ac:dyDescent="0.2">
      <c r="A1170" t="s">
        <v>1300</v>
      </c>
      <c r="B1170" t="s">
        <v>321</v>
      </c>
      <c r="E1170" t="str">
        <f t="shared" si="73"/>
        <v/>
      </c>
      <c r="G1170" s="5" t="str">
        <f t="shared" si="74"/>
        <v/>
      </c>
      <c r="I1170" s="6" t="str">
        <f t="shared" si="72"/>
        <v>0</v>
      </c>
      <c r="O1170" t="s">
        <v>321</v>
      </c>
      <c r="P1170">
        <f>IF(C1170&lt;&gt;"",C1170,_xlfn.XLOOKUP(B1170,AI_NAMES!D:D,AI_NAMES!E:E,"",0))</f>
        <v>0</v>
      </c>
    </row>
    <row r="1171" spans="1:16" x14ac:dyDescent="0.2">
      <c r="A1171" t="s">
        <v>1301</v>
      </c>
      <c r="B1171" t="s">
        <v>321</v>
      </c>
      <c r="E1171" t="str">
        <f t="shared" si="73"/>
        <v/>
      </c>
      <c r="G1171" s="5" t="str">
        <f t="shared" si="74"/>
        <v/>
      </c>
      <c r="I1171" s="6" t="str">
        <f t="shared" si="72"/>
        <v>0</v>
      </c>
      <c r="O1171" t="s">
        <v>321</v>
      </c>
      <c r="P1171">
        <f>IF(C1171&lt;&gt;"",C1171,_xlfn.XLOOKUP(B1171,AI_NAMES!D:D,AI_NAMES!E:E,"",0))</f>
        <v>0</v>
      </c>
    </row>
    <row r="1172" spans="1:16" x14ac:dyDescent="0.2">
      <c r="A1172" t="s">
        <v>1302</v>
      </c>
      <c r="B1172" t="s">
        <v>321</v>
      </c>
      <c r="E1172" t="str">
        <f t="shared" si="73"/>
        <v/>
      </c>
      <c r="G1172" s="5" t="str">
        <f t="shared" si="74"/>
        <v/>
      </c>
      <c r="I1172" s="6" t="str">
        <f t="shared" si="72"/>
        <v>0</v>
      </c>
      <c r="O1172" t="s">
        <v>321</v>
      </c>
      <c r="P1172">
        <f>IF(C1172&lt;&gt;"",C1172,_xlfn.XLOOKUP(B1172,AI_NAMES!D:D,AI_NAMES!E:E,"",0))</f>
        <v>0</v>
      </c>
    </row>
    <row r="1173" spans="1:16" x14ac:dyDescent="0.2">
      <c r="A1173" t="s">
        <v>1303</v>
      </c>
      <c r="B1173" t="s">
        <v>321</v>
      </c>
      <c r="E1173" t="str">
        <f t="shared" si="73"/>
        <v/>
      </c>
      <c r="G1173" s="5" t="str">
        <f t="shared" si="74"/>
        <v/>
      </c>
      <c r="I1173" s="6" t="str">
        <f t="shared" si="72"/>
        <v>0</v>
      </c>
      <c r="O1173" t="s">
        <v>321</v>
      </c>
      <c r="P1173">
        <f>IF(C1173&lt;&gt;"",C1173,_xlfn.XLOOKUP(B1173,AI_NAMES!D:D,AI_NAMES!E:E,"",0))</f>
        <v>0</v>
      </c>
    </row>
    <row r="1174" spans="1:16" x14ac:dyDescent="0.2">
      <c r="A1174" t="s">
        <v>1304</v>
      </c>
      <c r="B1174" t="s">
        <v>321</v>
      </c>
      <c r="E1174" t="str">
        <f t="shared" si="73"/>
        <v/>
      </c>
      <c r="G1174" s="5" t="str">
        <f t="shared" si="74"/>
        <v/>
      </c>
      <c r="I1174" s="6" t="str">
        <f t="shared" si="72"/>
        <v>0</v>
      </c>
      <c r="O1174" t="s">
        <v>321</v>
      </c>
      <c r="P1174">
        <f>IF(C1174&lt;&gt;"",C1174,_xlfn.XLOOKUP(B1174,AI_NAMES!D:D,AI_NAMES!E:E,"",0))</f>
        <v>0</v>
      </c>
    </row>
    <row r="1175" spans="1:16" x14ac:dyDescent="0.2">
      <c r="A1175" t="s">
        <v>1305</v>
      </c>
      <c r="B1175" t="s">
        <v>321</v>
      </c>
      <c r="E1175" t="str">
        <f t="shared" si="73"/>
        <v/>
      </c>
      <c r="G1175" s="5" t="str">
        <f t="shared" si="74"/>
        <v/>
      </c>
      <c r="I1175" s="6" t="str">
        <f t="shared" si="72"/>
        <v>0</v>
      </c>
      <c r="O1175" t="s">
        <v>321</v>
      </c>
      <c r="P1175">
        <f>IF(C1175&lt;&gt;"",C1175,_xlfn.XLOOKUP(B1175,AI_NAMES!D:D,AI_NAMES!E:E,"",0))</f>
        <v>0</v>
      </c>
    </row>
    <row r="1176" spans="1:16" x14ac:dyDescent="0.2">
      <c r="A1176" t="s">
        <v>1306</v>
      </c>
      <c r="B1176" t="s">
        <v>321</v>
      </c>
      <c r="E1176" t="str">
        <f t="shared" si="73"/>
        <v/>
      </c>
      <c r="G1176" s="5" t="str">
        <f t="shared" si="74"/>
        <v/>
      </c>
      <c r="I1176" s="6" t="str">
        <f t="shared" si="72"/>
        <v>0</v>
      </c>
      <c r="O1176" t="s">
        <v>321</v>
      </c>
      <c r="P1176">
        <f>IF(C1176&lt;&gt;"",C1176,_xlfn.XLOOKUP(B1176,AI_NAMES!D:D,AI_NAMES!E:E,"",0))</f>
        <v>0</v>
      </c>
    </row>
    <row r="1177" spans="1:16" x14ac:dyDescent="0.2">
      <c r="A1177" t="s">
        <v>1307</v>
      </c>
      <c r="B1177" t="s">
        <v>1308</v>
      </c>
      <c r="E1177" t="str">
        <f t="shared" si="73"/>
        <v/>
      </c>
      <c r="G1177" s="5" t="str">
        <f t="shared" si="74"/>
        <v/>
      </c>
      <c r="I1177" s="6" t="str">
        <f t="shared" si="72"/>
        <v>0</v>
      </c>
      <c r="O1177" t="s">
        <v>1308</v>
      </c>
      <c r="P1177" t="str">
        <f>IF(C1177&lt;&gt;"",C1177,_xlfn.XLOOKUP(B1177,AI_NAMES!D:D,AI_NAMES!E:E,"",0))</f>
        <v/>
      </c>
    </row>
    <row r="1178" spans="1:16" x14ac:dyDescent="0.2">
      <c r="A1178" t="s">
        <v>1309</v>
      </c>
      <c r="B1178" t="s">
        <v>321</v>
      </c>
      <c r="E1178" t="str">
        <f t="shared" si="73"/>
        <v/>
      </c>
      <c r="G1178" s="5" t="str">
        <f t="shared" si="74"/>
        <v/>
      </c>
      <c r="I1178" s="6" t="str">
        <f t="shared" si="72"/>
        <v>0</v>
      </c>
      <c r="O1178" t="s">
        <v>321</v>
      </c>
      <c r="P1178">
        <f>IF(C1178&lt;&gt;"",C1178,_xlfn.XLOOKUP(B1178,AI_NAMES!D:D,AI_NAMES!E:E,"",0))</f>
        <v>0</v>
      </c>
    </row>
    <row r="1179" spans="1:16" x14ac:dyDescent="0.2">
      <c r="A1179" t="s">
        <v>1310</v>
      </c>
      <c r="B1179" t="s">
        <v>321</v>
      </c>
      <c r="E1179" t="str">
        <f t="shared" si="73"/>
        <v/>
      </c>
      <c r="G1179" s="5" t="str">
        <f t="shared" si="74"/>
        <v/>
      </c>
      <c r="I1179" s="6" t="str">
        <f t="shared" si="72"/>
        <v>0</v>
      </c>
      <c r="O1179" t="s">
        <v>321</v>
      </c>
      <c r="P1179">
        <f>IF(C1179&lt;&gt;"",C1179,_xlfn.XLOOKUP(B1179,AI_NAMES!D:D,AI_NAMES!E:E,"",0))</f>
        <v>0</v>
      </c>
    </row>
    <row r="1180" spans="1:16" x14ac:dyDescent="0.2">
      <c r="A1180" t="s">
        <v>1311</v>
      </c>
      <c r="B1180" t="s">
        <v>1312</v>
      </c>
      <c r="E1180" t="str">
        <f t="shared" si="73"/>
        <v/>
      </c>
      <c r="G1180" s="5" t="str">
        <f t="shared" si="74"/>
        <v/>
      </c>
      <c r="I1180" s="6" t="str">
        <f t="shared" si="72"/>
        <v>0</v>
      </c>
      <c r="O1180" t="s">
        <v>1312</v>
      </c>
      <c r="P1180" t="str">
        <f>IF(C1180&lt;&gt;"",C1180,_xlfn.XLOOKUP(B1180,AI_NAMES!D:D,AI_NAMES!E:E,"",0))</f>
        <v/>
      </c>
    </row>
    <row r="1181" spans="1:16" x14ac:dyDescent="0.2">
      <c r="A1181" t="s">
        <v>1313</v>
      </c>
      <c r="B1181" t="s">
        <v>321</v>
      </c>
      <c r="E1181" t="str">
        <f t="shared" si="73"/>
        <v/>
      </c>
      <c r="G1181" s="5" t="str">
        <f t="shared" si="74"/>
        <v/>
      </c>
      <c r="I1181" s="6" t="str">
        <f t="shared" si="72"/>
        <v>0</v>
      </c>
      <c r="O1181" t="s">
        <v>321</v>
      </c>
      <c r="P1181">
        <f>IF(C1181&lt;&gt;"",C1181,_xlfn.XLOOKUP(B1181,AI_NAMES!D:D,AI_NAMES!E:E,"",0))</f>
        <v>0</v>
      </c>
    </row>
    <row r="1182" spans="1:16" x14ac:dyDescent="0.2">
      <c r="A1182" t="s">
        <v>1314</v>
      </c>
      <c r="B1182" t="s">
        <v>321</v>
      </c>
      <c r="E1182" t="str">
        <f t="shared" si="73"/>
        <v/>
      </c>
      <c r="G1182" s="5" t="str">
        <f t="shared" si="74"/>
        <v/>
      </c>
      <c r="I1182" s="6" t="str">
        <f t="shared" si="72"/>
        <v>0</v>
      </c>
      <c r="O1182" t="s">
        <v>321</v>
      </c>
      <c r="P1182">
        <f>IF(C1182&lt;&gt;"",C1182,_xlfn.XLOOKUP(B1182,AI_NAMES!D:D,AI_NAMES!E:E,"",0))</f>
        <v>0</v>
      </c>
    </row>
    <row r="1183" spans="1:16" x14ac:dyDescent="0.2">
      <c r="A1183" t="s">
        <v>1315</v>
      </c>
      <c r="B1183" t="s">
        <v>321</v>
      </c>
      <c r="E1183" t="str">
        <f t="shared" si="73"/>
        <v/>
      </c>
      <c r="G1183" s="5" t="str">
        <f t="shared" si="74"/>
        <v/>
      </c>
      <c r="I1183" s="6" t="str">
        <f t="shared" si="72"/>
        <v>0</v>
      </c>
      <c r="O1183" t="s">
        <v>321</v>
      </c>
      <c r="P1183">
        <f>IF(C1183&lt;&gt;"",C1183,_xlfn.XLOOKUP(B1183,AI_NAMES!D:D,AI_NAMES!E:E,"",0))</f>
        <v>0</v>
      </c>
    </row>
    <row r="1184" spans="1:16" x14ac:dyDescent="0.2">
      <c r="A1184" t="s">
        <v>1316</v>
      </c>
      <c r="B1184" t="s">
        <v>321</v>
      </c>
      <c r="E1184" t="str">
        <f t="shared" si="73"/>
        <v/>
      </c>
      <c r="G1184" s="5" t="str">
        <f t="shared" si="74"/>
        <v/>
      </c>
      <c r="I1184" s="6" t="str">
        <f t="shared" si="72"/>
        <v>0</v>
      </c>
      <c r="O1184" t="s">
        <v>321</v>
      </c>
      <c r="P1184">
        <f>IF(C1184&lt;&gt;"",C1184,_xlfn.XLOOKUP(B1184,AI_NAMES!D:D,AI_NAMES!E:E,"",0))</f>
        <v>0</v>
      </c>
    </row>
    <row r="1185" spans="1:16" x14ac:dyDescent="0.2">
      <c r="A1185" t="s">
        <v>1317</v>
      </c>
      <c r="B1185" t="s">
        <v>1318</v>
      </c>
      <c r="E1185" t="str">
        <f t="shared" si="73"/>
        <v/>
      </c>
      <c r="G1185" s="5" t="str">
        <f t="shared" si="74"/>
        <v/>
      </c>
      <c r="I1185" s="6" t="str">
        <f t="shared" si="72"/>
        <v>0</v>
      </c>
      <c r="O1185" t="s">
        <v>1318</v>
      </c>
      <c r="P1185" t="str">
        <f>IF(C1185&lt;&gt;"",C1185,_xlfn.XLOOKUP(B1185,AI_NAMES!D:D,AI_NAMES!E:E,"",0))</f>
        <v/>
      </c>
    </row>
    <row r="1186" spans="1:16" x14ac:dyDescent="0.2">
      <c r="A1186" t="s">
        <v>1319</v>
      </c>
      <c r="B1186" t="s">
        <v>1320</v>
      </c>
      <c r="E1186" t="str">
        <f t="shared" si="73"/>
        <v/>
      </c>
      <c r="G1186" s="5" t="str">
        <f t="shared" si="74"/>
        <v/>
      </c>
      <c r="I1186" s="6" t="str">
        <f t="shared" si="72"/>
        <v>0</v>
      </c>
      <c r="O1186" t="s">
        <v>1320</v>
      </c>
      <c r="P1186" t="str">
        <f>IF(C1186&lt;&gt;"",C1186,_xlfn.XLOOKUP(B1186,AI_NAMES!D:D,AI_NAMES!E:E,"",0))</f>
        <v/>
      </c>
    </row>
    <row r="1187" spans="1:16" x14ac:dyDescent="0.2">
      <c r="A1187" t="s">
        <v>1321</v>
      </c>
      <c r="B1187" t="s">
        <v>1322</v>
      </c>
      <c r="E1187" t="str">
        <f t="shared" si="73"/>
        <v/>
      </c>
      <c r="G1187" s="5" t="str">
        <f t="shared" si="74"/>
        <v/>
      </c>
      <c r="I1187" s="6" t="str">
        <f t="shared" si="72"/>
        <v>0</v>
      </c>
      <c r="O1187" t="s">
        <v>1322</v>
      </c>
      <c r="P1187" t="str">
        <f>IF(C1187&lt;&gt;"",C1187,_xlfn.XLOOKUP(B1187,AI_NAMES!D:D,AI_NAMES!E:E,"",0))</f>
        <v/>
      </c>
    </row>
    <row r="1188" spans="1:16" x14ac:dyDescent="0.2">
      <c r="A1188" t="s">
        <v>1323</v>
      </c>
      <c r="B1188" t="s">
        <v>1324</v>
      </c>
      <c r="E1188" t="str">
        <f t="shared" si="73"/>
        <v/>
      </c>
      <c r="G1188" s="5" t="str">
        <f t="shared" si="74"/>
        <v/>
      </c>
      <c r="I1188" s="6" t="str">
        <f t="shared" si="72"/>
        <v>0</v>
      </c>
      <c r="O1188" t="s">
        <v>1324</v>
      </c>
      <c r="P1188" t="str">
        <f>IF(C1188&lt;&gt;"",C1188,_xlfn.XLOOKUP(B1188,AI_NAMES!D:D,AI_NAMES!E:E,"",0))</f>
        <v/>
      </c>
    </row>
    <row r="1189" spans="1:16" x14ac:dyDescent="0.2">
      <c r="A1189" t="s">
        <v>1325</v>
      </c>
      <c r="B1189" t="s">
        <v>1326</v>
      </c>
      <c r="E1189" t="str">
        <f t="shared" si="73"/>
        <v/>
      </c>
      <c r="G1189" s="5" t="str">
        <f t="shared" si="74"/>
        <v/>
      </c>
      <c r="I1189" s="6" t="str">
        <f t="shared" si="72"/>
        <v>0</v>
      </c>
      <c r="O1189" t="s">
        <v>1326</v>
      </c>
      <c r="P1189" t="str">
        <f>IF(C1189&lt;&gt;"",C1189,_xlfn.XLOOKUP(B1189,AI_NAMES!D:D,AI_NAMES!E:E,"",0))</f>
        <v/>
      </c>
    </row>
    <row r="1190" spans="1:16" x14ac:dyDescent="0.2">
      <c r="A1190" t="s">
        <v>1327</v>
      </c>
      <c r="B1190" t="s">
        <v>321</v>
      </c>
      <c r="E1190" t="str">
        <f t="shared" si="73"/>
        <v/>
      </c>
      <c r="G1190" s="5" t="str">
        <f t="shared" si="74"/>
        <v/>
      </c>
      <c r="I1190" s="6" t="str">
        <f t="shared" si="72"/>
        <v>0</v>
      </c>
      <c r="O1190" t="s">
        <v>321</v>
      </c>
      <c r="P1190">
        <f>IF(C1190&lt;&gt;"",C1190,_xlfn.XLOOKUP(B1190,AI_NAMES!D:D,AI_NAMES!E:E,"",0))</f>
        <v>0</v>
      </c>
    </row>
    <row r="1191" spans="1:16" x14ac:dyDescent="0.2">
      <c r="A1191" t="s">
        <v>1328</v>
      </c>
      <c r="B1191" t="s">
        <v>1329</v>
      </c>
      <c r="E1191" t="str">
        <f t="shared" si="73"/>
        <v/>
      </c>
      <c r="G1191" s="5" t="str">
        <f t="shared" si="74"/>
        <v/>
      </c>
      <c r="I1191" s="6" t="str">
        <f t="shared" si="72"/>
        <v>0</v>
      </c>
      <c r="O1191" t="s">
        <v>1329</v>
      </c>
      <c r="P1191" t="str">
        <f>IF(C1191&lt;&gt;"",C1191,_xlfn.XLOOKUP(B1191,AI_NAMES!D:D,AI_NAMES!E:E,"",0))</f>
        <v/>
      </c>
    </row>
    <row r="1192" spans="1:16" x14ac:dyDescent="0.2">
      <c r="A1192" t="s">
        <v>1330</v>
      </c>
      <c r="B1192" t="s">
        <v>321</v>
      </c>
      <c r="E1192" t="str">
        <f t="shared" si="73"/>
        <v/>
      </c>
      <c r="G1192" s="5" t="str">
        <f t="shared" si="74"/>
        <v/>
      </c>
      <c r="I1192" s="6" t="str">
        <f t="shared" si="72"/>
        <v>0</v>
      </c>
      <c r="O1192" t="s">
        <v>321</v>
      </c>
      <c r="P1192">
        <f>IF(C1192&lt;&gt;"",C1192,_xlfn.XLOOKUP(B1192,AI_NAMES!D:D,AI_NAMES!E:E,"",0))</f>
        <v>0</v>
      </c>
    </row>
    <row r="1193" spans="1:16" x14ac:dyDescent="0.2">
      <c r="A1193" t="s">
        <v>1331</v>
      </c>
      <c r="B1193" t="s">
        <v>321</v>
      </c>
      <c r="E1193" t="str">
        <f t="shared" si="73"/>
        <v/>
      </c>
      <c r="G1193" s="5" t="str">
        <f t="shared" si="74"/>
        <v/>
      </c>
      <c r="I1193" s="6" t="str">
        <f t="shared" si="72"/>
        <v>0</v>
      </c>
      <c r="O1193" t="s">
        <v>321</v>
      </c>
      <c r="P1193">
        <f>IF(C1193&lt;&gt;"",C1193,_xlfn.XLOOKUP(B1193,AI_NAMES!D:D,AI_NAMES!E:E,"",0))</f>
        <v>0</v>
      </c>
    </row>
    <row r="1194" spans="1:16" x14ac:dyDescent="0.2">
      <c r="A1194" t="s">
        <v>1332</v>
      </c>
      <c r="B1194" t="s">
        <v>321</v>
      </c>
      <c r="E1194" t="str">
        <f t="shared" si="73"/>
        <v/>
      </c>
      <c r="G1194" s="5" t="str">
        <f t="shared" si="74"/>
        <v/>
      </c>
      <c r="I1194" s="6" t="str">
        <f t="shared" si="72"/>
        <v>0</v>
      </c>
      <c r="O1194" t="s">
        <v>321</v>
      </c>
      <c r="P1194">
        <f>IF(C1194&lt;&gt;"",C1194,_xlfn.XLOOKUP(B1194,AI_NAMES!D:D,AI_NAMES!E:E,"",0))</f>
        <v>0</v>
      </c>
    </row>
    <row r="1195" spans="1:16" x14ac:dyDescent="0.2">
      <c r="A1195" t="s">
        <v>1333</v>
      </c>
      <c r="B1195" t="s">
        <v>321</v>
      </c>
      <c r="E1195" t="str">
        <f t="shared" si="73"/>
        <v/>
      </c>
      <c r="G1195" s="5" t="str">
        <f t="shared" si="74"/>
        <v/>
      </c>
      <c r="I1195" s="6" t="str">
        <f t="shared" si="72"/>
        <v>0</v>
      </c>
      <c r="O1195" t="s">
        <v>321</v>
      </c>
      <c r="P1195">
        <f>IF(C1195&lt;&gt;"",C1195,_xlfn.XLOOKUP(B1195,AI_NAMES!D:D,AI_NAMES!E:E,"",0))</f>
        <v>0</v>
      </c>
    </row>
    <row r="1196" spans="1:16" x14ac:dyDescent="0.2">
      <c r="A1196" t="s">
        <v>1334</v>
      </c>
      <c r="B1196" t="s">
        <v>321</v>
      </c>
      <c r="E1196" t="str">
        <f t="shared" si="73"/>
        <v/>
      </c>
      <c r="G1196" s="5" t="str">
        <f t="shared" si="74"/>
        <v/>
      </c>
      <c r="I1196" s="6" t="str">
        <f t="shared" si="72"/>
        <v>0</v>
      </c>
      <c r="O1196" t="s">
        <v>321</v>
      </c>
      <c r="P1196">
        <f>IF(C1196&lt;&gt;"",C1196,_xlfn.XLOOKUP(B1196,AI_NAMES!D:D,AI_NAMES!E:E,"",0))</f>
        <v>0</v>
      </c>
    </row>
    <row r="1197" spans="1:16" x14ac:dyDescent="0.2">
      <c r="A1197" t="s">
        <v>1335</v>
      </c>
      <c r="B1197" t="s">
        <v>321</v>
      </c>
      <c r="E1197" t="str">
        <f t="shared" si="73"/>
        <v/>
      </c>
      <c r="G1197" s="5" t="str">
        <f t="shared" si="74"/>
        <v/>
      </c>
      <c r="I1197" s="6" t="str">
        <f t="shared" si="72"/>
        <v>0</v>
      </c>
      <c r="O1197" t="s">
        <v>321</v>
      </c>
      <c r="P1197">
        <f>IF(C1197&lt;&gt;"",C1197,_xlfn.XLOOKUP(B1197,AI_NAMES!D:D,AI_NAMES!E:E,"",0))</f>
        <v>0</v>
      </c>
    </row>
    <row r="1198" spans="1:16" x14ac:dyDescent="0.2">
      <c r="A1198" t="s">
        <v>1336</v>
      </c>
      <c r="B1198" t="s">
        <v>321</v>
      </c>
      <c r="E1198" t="str">
        <f t="shared" si="73"/>
        <v/>
      </c>
      <c r="G1198" s="5" t="str">
        <f t="shared" si="74"/>
        <v/>
      </c>
      <c r="I1198" s="6" t="str">
        <f t="shared" si="72"/>
        <v>0</v>
      </c>
      <c r="O1198" t="s">
        <v>321</v>
      </c>
      <c r="P1198">
        <f>IF(C1198&lt;&gt;"",C1198,_xlfn.XLOOKUP(B1198,AI_NAMES!D:D,AI_NAMES!E:E,"",0))</f>
        <v>0</v>
      </c>
    </row>
    <row r="1199" spans="1:16" x14ac:dyDescent="0.2">
      <c r="A1199" t="s">
        <v>1337</v>
      </c>
      <c r="B1199" t="s">
        <v>321</v>
      </c>
      <c r="E1199" t="str">
        <f t="shared" si="73"/>
        <v/>
      </c>
      <c r="G1199" s="5" t="str">
        <f t="shared" si="74"/>
        <v/>
      </c>
      <c r="I1199" s="6" t="str">
        <f t="shared" si="72"/>
        <v>0</v>
      </c>
      <c r="O1199" t="s">
        <v>321</v>
      </c>
      <c r="P1199">
        <f>IF(C1199&lt;&gt;"",C1199,_xlfn.XLOOKUP(B1199,AI_NAMES!D:D,AI_NAMES!E:E,"",0))</f>
        <v>0</v>
      </c>
    </row>
    <row r="1200" spans="1:16" x14ac:dyDescent="0.2">
      <c r="A1200" t="s">
        <v>1338</v>
      </c>
      <c r="B1200" t="s">
        <v>321</v>
      </c>
      <c r="E1200" t="str">
        <f t="shared" si="73"/>
        <v/>
      </c>
      <c r="G1200" s="5" t="str">
        <f t="shared" si="74"/>
        <v/>
      </c>
      <c r="I1200" s="6" t="str">
        <f t="shared" si="72"/>
        <v>0</v>
      </c>
      <c r="O1200" t="s">
        <v>321</v>
      </c>
      <c r="P1200">
        <f>IF(C1200&lt;&gt;"",C1200,_xlfn.XLOOKUP(B1200,AI_NAMES!D:D,AI_NAMES!E:E,"",0))</f>
        <v>0</v>
      </c>
    </row>
    <row r="1201" spans="1:16" x14ac:dyDescent="0.2">
      <c r="A1201" t="s">
        <v>1339</v>
      </c>
      <c r="B1201" t="s">
        <v>321</v>
      </c>
      <c r="E1201" t="str">
        <f t="shared" si="73"/>
        <v/>
      </c>
      <c r="G1201" s="5" t="str">
        <f t="shared" si="74"/>
        <v/>
      </c>
      <c r="I1201" s="6" t="str">
        <f t="shared" si="72"/>
        <v>0</v>
      </c>
      <c r="O1201" t="s">
        <v>321</v>
      </c>
      <c r="P1201">
        <f>IF(C1201&lt;&gt;"",C1201,_xlfn.XLOOKUP(B1201,AI_NAMES!D:D,AI_NAMES!E:E,"",0))</f>
        <v>0</v>
      </c>
    </row>
    <row r="1202" spans="1:16" x14ac:dyDescent="0.2">
      <c r="A1202" t="s">
        <v>1340</v>
      </c>
      <c r="B1202" t="s">
        <v>321</v>
      </c>
      <c r="E1202" t="str">
        <f t="shared" si="73"/>
        <v/>
      </c>
      <c r="G1202" s="5" t="str">
        <f t="shared" si="74"/>
        <v/>
      </c>
      <c r="I1202" s="6" t="str">
        <f t="shared" si="72"/>
        <v>0</v>
      </c>
      <c r="O1202" t="s">
        <v>321</v>
      </c>
      <c r="P1202">
        <f>IF(C1202&lt;&gt;"",C1202,_xlfn.XLOOKUP(B1202,AI_NAMES!D:D,AI_NAMES!E:E,"",0))</f>
        <v>0</v>
      </c>
    </row>
    <row r="1203" spans="1:16" x14ac:dyDescent="0.2">
      <c r="A1203" t="s">
        <v>1341</v>
      </c>
      <c r="B1203" t="s">
        <v>321</v>
      </c>
      <c r="E1203" t="str">
        <f t="shared" si="73"/>
        <v/>
      </c>
      <c r="G1203" s="5" t="str">
        <f t="shared" si="74"/>
        <v/>
      </c>
      <c r="I1203" s="6" t="str">
        <f t="shared" si="72"/>
        <v>0</v>
      </c>
      <c r="O1203" t="s">
        <v>321</v>
      </c>
      <c r="P1203">
        <f>IF(C1203&lt;&gt;"",C1203,_xlfn.XLOOKUP(B1203,AI_NAMES!D:D,AI_NAMES!E:E,"",0))</f>
        <v>0</v>
      </c>
    </row>
    <row r="1204" spans="1:16" x14ac:dyDescent="0.2">
      <c r="A1204" t="s">
        <v>1342</v>
      </c>
      <c r="B1204" t="s">
        <v>1343</v>
      </c>
      <c r="E1204" t="str">
        <f t="shared" si="73"/>
        <v/>
      </c>
      <c r="G1204" s="5" t="str">
        <f t="shared" si="74"/>
        <v/>
      </c>
      <c r="I1204" s="6" t="str">
        <f t="shared" si="72"/>
        <v>0</v>
      </c>
      <c r="O1204" t="s">
        <v>1343</v>
      </c>
      <c r="P1204" t="str">
        <f>IF(C1204&lt;&gt;"",C1204,_xlfn.XLOOKUP(B1204,AI_NAMES!D:D,AI_NAMES!E:E,"",0))</f>
        <v/>
      </c>
    </row>
    <row r="1205" spans="1:16" x14ac:dyDescent="0.2">
      <c r="A1205" t="s">
        <v>1344</v>
      </c>
      <c r="B1205" t="s">
        <v>1345</v>
      </c>
      <c r="E1205" t="str">
        <f t="shared" si="73"/>
        <v/>
      </c>
      <c r="G1205" s="5" t="str">
        <f t="shared" si="74"/>
        <v/>
      </c>
      <c r="I1205" s="6" t="str">
        <f t="shared" si="72"/>
        <v>0</v>
      </c>
      <c r="O1205" t="s">
        <v>1345</v>
      </c>
      <c r="P1205" t="str">
        <f>IF(C1205&lt;&gt;"",C1205,_xlfn.XLOOKUP(B1205,AI_NAMES!D:D,AI_NAMES!E:E,"",0))</f>
        <v/>
      </c>
    </row>
    <row r="1206" spans="1:16" x14ac:dyDescent="0.2">
      <c r="A1206" t="s">
        <v>1346</v>
      </c>
      <c r="B1206" t="s">
        <v>1347</v>
      </c>
      <c r="E1206" t="str">
        <f t="shared" si="73"/>
        <v/>
      </c>
      <c r="G1206" s="5" t="str">
        <f t="shared" si="74"/>
        <v/>
      </c>
      <c r="I1206" s="6" t="str">
        <f t="shared" si="72"/>
        <v>0</v>
      </c>
      <c r="O1206" t="s">
        <v>1347</v>
      </c>
      <c r="P1206" t="str">
        <f>IF(C1206&lt;&gt;"",C1206,_xlfn.XLOOKUP(B1206,AI_NAMES!D:D,AI_NAMES!E:E,"",0))</f>
        <v/>
      </c>
    </row>
    <row r="1207" spans="1:16" x14ac:dyDescent="0.2">
      <c r="A1207" t="s">
        <v>1348</v>
      </c>
      <c r="B1207" t="s">
        <v>1349</v>
      </c>
      <c r="E1207" t="str">
        <f t="shared" si="73"/>
        <v/>
      </c>
      <c r="G1207" s="5" t="str">
        <f t="shared" si="74"/>
        <v/>
      </c>
      <c r="I1207" s="6" t="str">
        <f t="shared" si="72"/>
        <v>0</v>
      </c>
      <c r="O1207" t="s">
        <v>1349</v>
      </c>
      <c r="P1207" t="str">
        <f>IF(C1207&lt;&gt;"",C1207,_xlfn.XLOOKUP(B1207,AI_NAMES!D:D,AI_NAMES!E:E,"",0))</f>
        <v/>
      </c>
    </row>
    <row r="1208" spans="1:16" x14ac:dyDescent="0.2">
      <c r="A1208" t="s">
        <v>1350</v>
      </c>
      <c r="B1208" t="s">
        <v>1351</v>
      </c>
      <c r="E1208" t="str">
        <f t="shared" si="73"/>
        <v/>
      </c>
      <c r="G1208" s="5" t="str">
        <f t="shared" si="74"/>
        <v/>
      </c>
      <c r="I1208" s="6" t="str">
        <f t="shared" si="72"/>
        <v>0</v>
      </c>
      <c r="O1208" t="s">
        <v>1351</v>
      </c>
      <c r="P1208" t="str">
        <f>IF(C1208&lt;&gt;"",C1208,_xlfn.XLOOKUP(B1208,AI_NAMES!D:D,AI_NAMES!E:E,"",0))</f>
        <v/>
      </c>
    </row>
    <row r="1209" spans="1:16" x14ac:dyDescent="0.2">
      <c r="A1209" t="s">
        <v>1352</v>
      </c>
      <c r="B1209" t="s">
        <v>1353</v>
      </c>
      <c r="E1209" t="str">
        <f t="shared" si="73"/>
        <v/>
      </c>
      <c r="G1209" s="5" t="str">
        <f t="shared" si="74"/>
        <v/>
      </c>
      <c r="I1209" s="6" t="str">
        <f t="shared" si="72"/>
        <v>0</v>
      </c>
      <c r="O1209" t="s">
        <v>1353</v>
      </c>
      <c r="P1209" t="str">
        <f>IF(C1209&lt;&gt;"",C1209,_xlfn.XLOOKUP(B1209,AI_NAMES!D:D,AI_NAMES!E:E,"",0))</f>
        <v/>
      </c>
    </row>
    <row r="1210" spans="1:16" x14ac:dyDescent="0.2">
      <c r="A1210" t="s">
        <v>1354</v>
      </c>
      <c r="B1210" t="s">
        <v>1355</v>
      </c>
      <c r="E1210" t="str">
        <f t="shared" si="73"/>
        <v/>
      </c>
      <c r="G1210" s="5" t="str">
        <f t="shared" si="74"/>
        <v/>
      </c>
      <c r="I1210" s="6" t="str">
        <f t="shared" si="72"/>
        <v>0</v>
      </c>
      <c r="O1210" t="s">
        <v>1355</v>
      </c>
      <c r="P1210" t="str">
        <f>IF(C1210&lt;&gt;"",C1210,_xlfn.XLOOKUP(B1210,AI_NAMES!D:D,AI_NAMES!E:E,"",0))</f>
        <v/>
      </c>
    </row>
    <row r="1211" spans="1:16" x14ac:dyDescent="0.2">
      <c r="A1211" t="s">
        <v>1356</v>
      </c>
      <c r="B1211" t="s">
        <v>321</v>
      </c>
      <c r="E1211" t="str">
        <f t="shared" si="73"/>
        <v/>
      </c>
      <c r="G1211" s="5" t="str">
        <f t="shared" si="74"/>
        <v/>
      </c>
      <c r="I1211" s="6" t="str">
        <f t="shared" si="72"/>
        <v>0</v>
      </c>
      <c r="O1211" t="s">
        <v>321</v>
      </c>
      <c r="P1211">
        <f>IF(C1211&lt;&gt;"",C1211,_xlfn.XLOOKUP(B1211,AI_NAMES!D:D,AI_NAMES!E:E,"",0))</f>
        <v>0</v>
      </c>
    </row>
    <row r="1212" spans="1:16" x14ac:dyDescent="0.2">
      <c r="A1212" t="s">
        <v>1357</v>
      </c>
      <c r="B1212" t="s">
        <v>321</v>
      </c>
      <c r="E1212" t="str">
        <f t="shared" si="73"/>
        <v/>
      </c>
      <c r="G1212" s="5" t="str">
        <f t="shared" si="74"/>
        <v/>
      </c>
      <c r="I1212" s="6" t="str">
        <f t="shared" si="72"/>
        <v>0</v>
      </c>
      <c r="O1212" t="s">
        <v>321</v>
      </c>
      <c r="P1212">
        <f>IF(C1212&lt;&gt;"",C1212,_xlfn.XLOOKUP(B1212,AI_NAMES!D:D,AI_NAMES!E:E,"",0))</f>
        <v>0</v>
      </c>
    </row>
    <row r="1213" spans="1:16" x14ac:dyDescent="0.2">
      <c r="A1213" t="s">
        <v>1358</v>
      </c>
      <c r="B1213" t="s">
        <v>321</v>
      </c>
      <c r="E1213" t="str">
        <f t="shared" si="73"/>
        <v/>
      </c>
      <c r="G1213" s="5" t="str">
        <f t="shared" si="74"/>
        <v/>
      </c>
      <c r="I1213" s="6" t="str">
        <f t="shared" si="72"/>
        <v>0</v>
      </c>
      <c r="O1213" t="s">
        <v>321</v>
      </c>
      <c r="P1213">
        <f>IF(C1213&lt;&gt;"",C1213,_xlfn.XLOOKUP(B1213,AI_NAMES!D:D,AI_NAMES!E:E,"",0))</f>
        <v>0</v>
      </c>
    </row>
    <row r="1214" spans="1:16" x14ac:dyDescent="0.2">
      <c r="A1214" t="s">
        <v>1359</v>
      </c>
      <c r="B1214" t="s">
        <v>321</v>
      </c>
      <c r="E1214" t="str">
        <f t="shared" si="73"/>
        <v/>
      </c>
      <c r="G1214" s="5" t="str">
        <f t="shared" si="74"/>
        <v/>
      </c>
      <c r="I1214" s="6" t="str">
        <f t="shared" si="72"/>
        <v>0</v>
      </c>
      <c r="O1214" t="s">
        <v>321</v>
      </c>
      <c r="P1214">
        <f>IF(C1214&lt;&gt;"",C1214,_xlfn.XLOOKUP(B1214,AI_NAMES!D:D,AI_NAMES!E:E,"",0))</f>
        <v>0</v>
      </c>
    </row>
    <row r="1215" spans="1:16" x14ac:dyDescent="0.2">
      <c r="A1215" t="s">
        <v>1360</v>
      </c>
      <c r="B1215" t="s">
        <v>321</v>
      </c>
      <c r="E1215" t="str">
        <f t="shared" si="73"/>
        <v/>
      </c>
      <c r="G1215" s="5" t="str">
        <f t="shared" si="74"/>
        <v/>
      </c>
      <c r="I1215" s="6" t="str">
        <f t="shared" si="72"/>
        <v>0</v>
      </c>
      <c r="O1215" t="s">
        <v>321</v>
      </c>
      <c r="P1215">
        <f>IF(C1215&lt;&gt;"",C1215,_xlfn.XLOOKUP(B1215,AI_NAMES!D:D,AI_NAMES!E:E,"",0))</f>
        <v>0</v>
      </c>
    </row>
    <row r="1216" spans="1:16" x14ac:dyDescent="0.2">
      <c r="A1216" t="s">
        <v>1361</v>
      </c>
      <c r="B1216" t="s">
        <v>321</v>
      </c>
      <c r="E1216" t="str">
        <f t="shared" si="73"/>
        <v/>
      </c>
      <c r="G1216" s="5" t="str">
        <f t="shared" si="74"/>
        <v/>
      </c>
      <c r="I1216" s="6" t="str">
        <f t="shared" si="72"/>
        <v>0</v>
      </c>
      <c r="O1216" t="s">
        <v>321</v>
      </c>
      <c r="P1216">
        <f>IF(C1216&lt;&gt;"",C1216,_xlfn.XLOOKUP(B1216,AI_NAMES!D:D,AI_NAMES!E:E,"",0))</f>
        <v>0</v>
      </c>
    </row>
    <row r="1217" spans="1:16" x14ac:dyDescent="0.2">
      <c r="A1217" t="s">
        <v>1362</v>
      </c>
      <c r="B1217" t="s">
        <v>1363</v>
      </c>
      <c r="E1217" t="str">
        <f t="shared" si="73"/>
        <v/>
      </c>
      <c r="G1217" s="5" t="str">
        <f t="shared" si="74"/>
        <v/>
      </c>
      <c r="I1217" s="6" t="str">
        <f t="shared" si="72"/>
        <v>0</v>
      </c>
      <c r="O1217" t="s">
        <v>1363</v>
      </c>
      <c r="P1217" t="str">
        <f>IF(C1217&lt;&gt;"",C1217,_xlfn.XLOOKUP(B1217,AI_NAMES!D:D,AI_NAMES!E:E,"",0))</f>
        <v/>
      </c>
    </row>
    <row r="1218" spans="1:16" x14ac:dyDescent="0.2">
      <c r="A1218" t="s">
        <v>1364</v>
      </c>
      <c r="B1218" t="s">
        <v>1365</v>
      </c>
      <c r="E1218" t="str">
        <f t="shared" si="73"/>
        <v/>
      </c>
      <c r="G1218" s="5" t="str">
        <f t="shared" si="74"/>
        <v/>
      </c>
      <c r="I1218" s="6" t="str">
        <f t="shared" si="72"/>
        <v>0</v>
      </c>
      <c r="O1218" t="s">
        <v>1365</v>
      </c>
      <c r="P1218" t="str">
        <f>IF(C1218&lt;&gt;"",C1218,_xlfn.XLOOKUP(B1218,AI_NAMES!D:D,AI_NAMES!E:E,"",0))</f>
        <v/>
      </c>
    </row>
    <row r="1219" spans="1:16" x14ac:dyDescent="0.2">
      <c r="A1219" t="s">
        <v>1366</v>
      </c>
      <c r="B1219" t="s">
        <v>1367</v>
      </c>
      <c r="E1219" t="str">
        <f t="shared" si="73"/>
        <v/>
      </c>
      <c r="G1219" s="5" t="str">
        <f t="shared" si="74"/>
        <v/>
      </c>
      <c r="I1219" s="6" t="str">
        <f t="shared" ref="I1219:I1282" si="75">IFERROR(DEC2HEX(H1219),"")</f>
        <v>0</v>
      </c>
      <c r="O1219" t="s">
        <v>1367</v>
      </c>
      <c r="P1219" t="str">
        <f>IF(C1219&lt;&gt;"",C1219,_xlfn.XLOOKUP(B1219,AI_NAMES!D:D,AI_NAMES!E:E,"",0))</f>
        <v/>
      </c>
    </row>
    <row r="1220" spans="1:16" x14ac:dyDescent="0.2">
      <c r="A1220" t="s">
        <v>1368</v>
      </c>
      <c r="B1220" t="s">
        <v>321</v>
      </c>
      <c r="E1220" t="str">
        <f t="shared" ref="E1220:E1283" si="76">IF(D1220&lt;&gt;"",C1220&amp;"/"&amp;D1220,"")</f>
        <v/>
      </c>
      <c r="G1220" s="5" t="str">
        <f t="shared" si="74"/>
        <v/>
      </c>
      <c r="I1220" s="6" t="str">
        <f t="shared" si="75"/>
        <v>0</v>
      </c>
      <c r="O1220" t="s">
        <v>321</v>
      </c>
      <c r="P1220">
        <f>IF(C1220&lt;&gt;"",C1220,_xlfn.XLOOKUP(B1220,AI_NAMES!D:D,AI_NAMES!E:E,"",0))</f>
        <v>0</v>
      </c>
    </row>
    <row r="1221" spans="1:16" x14ac:dyDescent="0.2">
      <c r="A1221" t="s">
        <v>1369</v>
      </c>
      <c r="B1221" t="s">
        <v>321</v>
      </c>
      <c r="E1221" t="str">
        <f t="shared" si="76"/>
        <v/>
      </c>
      <c r="G1221" s="5" t="str">
        <f t="shared" si="74"/>
        <v/>
      </c>
      <c r="I1221" s="6" t="str">
        <f t="shared" si="75"/>
        <v>0</v>
      </c>
      <c r="O1221" t="s">
        <v>321</v>
      </c>
      <c r="P1221">
        <f>IF(C1221&lt;&gt;"",C1221,_xlfn.XLOOKUP(B1221,AI_NAMES!D:D,AI_NAMES!E:E,"",0))</f>
        <v>0</v>
      </c>
    </row>
    <row r="1222" spans="1:16" x14ac:dyDescent="0.2">
      <c r="A1222" t="s">
        <v>1370</v>
      </c>
      <c r="B1222" t="s">
        <v>321</v>
      </c>
      <c r="E1222" t="str">
        <f t="shared" si="76"/>
        <v/>
      </c>
      <c r="G1222" s="5" t="str">
        <f t="shared" si="74"/>
        <v/>
      </c>
      <c r="I1222" s="6" t="str">
        <f t="shared" si="75"/>
        <v>0</v>
      </c>
      <c r="O1222" t="s">
        <v>321</v>
      </c>
      <c r="P1222">
        <f>IF(C1222&lt;&gt;"",C1222,_xlfn.XLOOKUP(B1222,AI_NAMES!D:D,AI_NAMES!E:E,"",0))</f>
        <v>0</v>
      </c>
    </row>
    <row r="1223" spans="1:16" x14ac:dyDescent="0.2">
      <c r="A1223" t="s">
        <v>1371</v>
      </c>
      <c r="B1223" t="s">
        <v>321</v>
      </c>
      <c r="E1223" t="str">
        <f t="shared" si="76"/>
        <v/>
      </c>
      <c r="G1223" s="5" t="str">
        <f t="shared" si="74"/>
        <v/>
      </c>
      <c r="I1223" s="6" t="str">
        <f t="shared" si="75"/>
        <v>0</v>
      </c>
      <c r="O1223" t="s">
        <v>321</v>
      </c>
      <c r="P1223">
        <f>IF(C1223&lt;&gt;"",C1223,_xlfn.XLOOKUP(B1223,AI_NAMES!D:D,AI_NAMES!E:E,"",0))</f>
        <v>0</v>
      </c>
    </row>
    <row r="1224" spans="1:16" x14ac:dyDescent="0.2">
      <c r="A1224" t="s">
        <v>1372</v>
      </c>
      <c r="B1224" t="s">
        <v>321</v>
      </c>
      <c r="E1224" t="str">
        <f t="shared" si="76"/>
        <v/>
      </c>
      <c r="G1224" s="5" t="str">
        <f t="shared" si="74"/>
        <v/>
      </c>
      <c r="I1224" s="6" t="str">
        <f t="shared" si="75"/>
        <v>0</v>
      </c>
      <c r="O1224" t="s">
        <v>321</v>
      </c>
      <c r="P1224">
        <f>IF(C1224&lt;&gt;"",C1224,_xlfn.XLOOKUP(B1224,AI_NAMES!D:D,AI_NAMES!E:E,"",0))</f>
        <v>0</v>
      </c>
    </row>
    <row r="1225" spans="1:16" x14ac:dyDescent="0.2">
      <c r="A1225" t="s">
        <v>1373</v>
      </c>
      <c r="B1225" t="s">
        <v>321</v>
      </c>
      <c r="E1225" t="str">
        <f t="shared" si="76"/>
        <v/>
      </c>
      <c r="G1225" s="5" t="str">
        <f t="shared" ref="G1225:G1288" si="77">IF(F1225&lt;&gt;"",HEX2DEC(SUBSTITUTE(SUBSTITUTE(F1225,"adrEA",""),"$","")),"")</f>
        <v/>
      </c>
      <c r="I1225" s="6" t="str">
        <f t="shared" si="75"/>
        <v>0</v>
      </c>
      <c r="O1225" t="s">
        <v>321</v>
      </c>
      <c r="P1225">
        <f>IF(C1225&lt;&gt;"",C1225,_xlfn.XLOOKUP(B1225,AI_NAMES!D:D,AI_NAMES!E:E,"",0))</f>
        <v>0</v>
      </c>
    </row>
    <row r="1226" spans="1:16" x14ac:dyDescent="0.2">
      <c r="A1226" t="s">
        <v>1374</v>
      </c>
      <c r="B1226" t="s">
        <v>321</v>
      </c>
      <c r="E1226" t="str">
        <f t="shared" si="76"/>
        <v/>
      </c>
      <c r="G1226" s="5" t="str">
        <f t="shared" si="77"/>
        <v/>
      </c>
      <c r="I1226" s="6" t="str">
        <f t="shared" si="75"/>
        <v>0</v>
      </c>
      <c r="O1226" t="s">
        <v>321</v>
      </c>
      <c r="P1226">
        <f>IF(C1226&lt;&gt;"",C1226,_xlfn.XLOOKUP(B1226,AI_NAMES!D:D,AI_NAMES!E:E,"",0))</f>
        <v>0</v>
      </c>
    </row>
    <row r="1227" spans="1:16" x14ac:dyDescent="0.2">
      <c r="A1227" t="s">
        <v>1375</v>
      </c>
      <c r="B1227" t="s">
        <v>321</v>
      </c>
      <c r="E1227" t="str">
        <f t="shared" si="76"/>
        <v/>
      </c>
      <c r="G1227" s="5" t="str">
        <f t="shared" si="77"/>
        <v/>
      </c>
      <c r="I1227" s="6" t="str">
        <f t="shared" si="75"/>
        <v>0</v>
      </c>
      <c r="O1227" t="s">
        <v>321</v>
      </c>
      <c r="P1227">
        <f>IF(C1227&lt;&gt;"",C1227,_xlfn.XLOOKUP(B1227,AI_NAMES!D:D,AI_NAMES!E:E,"",0))</f>
        <v>0</v>
      </c>
    </row>
    <row r="1228" spans="1:16" x14ac:dyDescent="0.2">
      <c r="A1228" t="s">
        <v>1376</v>
      </c>
      <c r="B1228" t="s">
        <v>321</v>
      </c>
      <c r="E1228" t="str">
        <f t="shared" si="76"/>
        <v/>
      </c>
      <c r="G1228" s="5" t="str">
        <f t="shared" si="77"/>
        <v/>
      </c>
      <c r="I1228" s="6" t="str">
        <f t="shared" si="75"/>
        <v>0</v>
      </c>
      <c r="O1228" t="s">
        <v>321</v>
      </c>
      <c r="P1228">
        <f>IF(C1228&lt;&gt;"",C1228,_xlfn.XLOOKUP(B1228,AI_NAMES!D:D,AI_NAMES!E:E,"",0))</f>
        <v>0</v>
      </c>
    </row>
    <row r="1229" spans="1:16" x14ac:dyDescent="0.2">
      <c r="A1229" t="s">
        <v>1377</v>
      </c>
      <c r="B1229" t="s">
        <v>321</v>
      </c>
      <c r="E1229" t="str">
        <f t="shared" si="76"/>
        <v/>
      </c>
      <c r="G1229" s="5" t="str">
        <f t="shared" si="77"/>
        <v/>
      </c>
      <c r="I1229" s="6" t="str">
        <f t="shared" si="75"/>
        <v>0</v>
      </c>
      <c r="O1229" t="s">
        <v>321</v>
      </c>
      <c r="P1229">
        <f>IF(C1229&lt;&gt;"",C1229,_xlfn.XLOOKUP(B1229,AI_NAMES!D:D,AI_NAMES!E:E,"",0))</f>
        <v>0</v>
      </c>
    </row>
    <row r="1230" spans="1:16" x14ac:dyDescent="0.2">
      <c r="A1230" t="s">
        <v>1378</v>
      </c>
      <c r="B1230" t="s">
        <v>321</v>
      </c>
      <c r="E1230" t="str">
        <f t="shared" si="76"/>
        <v/>
      </c>
      <c r="G1230" s="5" t="str">
        <f t="shared" si="77"/>
        <v/>
      </c>
      <c r="I1230" s="6" t="str">
        <f t="shared" si="75"/>
        <v>0</v>
      </c>
      <c r="O1230" t="s">
        <v>321</v>
      </c>
      <c r="P1230">
        <f>IF(C1230&lt;&gt;"",C1230,_xlfn.XLOOKUP(B1230,AI_NAMES!D:D,AI_NAMES!E:E,"",0))</f>
        <v>0</v>
      </c>
    </row>
    <row r="1231" spans="1:16" x14ac:dyDescent="0.2">
      <c r="A1231" t="s">
        <v>1379</v>
      </c>
      <c r="B1231" t="s">
        <v>321</v>
      </c>
      <c r="E1231" t="str">
        <f t="shared" si="76"/>
        <v/>
      </c>
      <c r="G1231" s="5" t="str">
        <f t="shared" si="77"/>
        <v/>
      </c>
      <c r="I1231" s="6" t="str">
        <f t="shared" si="75"/>
        <v>0</v>
      </c>
      <c r="O1231" t="s">
        <v>321</v>
      </c>
      <c r="P1231">
        <f>IF(C1231&lt;&gt;"",C1231,_xlfn.XLOOKUP(B1231,AI_NAMES!D:D,AI_NAMES!E:E,"",0))</f>
        <v>0</v>
      </c>
    </row>
    <row r="1232" spans="1:16" x14ac:dyDescent="0.2">
      <c r="A1232" t="s">
        <v>1380</v>
      </c>
      <c r="B1232" t="s">
        <v>1381</v>
      </c>
      <c r="E1232" t="str">
        <f t="shared" si="76"/>
        <v/>
      </c>
      <c r="G1232" s="5" t="str">
        <f t="shared" si="77"/>
        <v/>
      </c>
      <c r="I1232" s="6" t="str">
        <f t="shared" si="75"/>
        <v>0</v>
      </c>
      <c r="O1232" t="s">
        <v>1381</v>
      </c>
      <c r="P1232" t="str">
        <f>IF(C1232&lt;&gt;"",C1232,_xlfn.XLOOKUP(B1232,AI_NAMES!D:D,AI_NAMES!E:E,"",0))</f>
        <v/>
      </c>
    </row>
    <row r="1233" spans="1:16" x14ac:dyDescent="0.2">
      <c r="A1233" t="s">
        <v>1382</v>
      </c>
      <c r="B1233" t="s">
        <v>1383</v>
      </c>
      <c r="E1233" t="str">
        <f t="shared" si="76"/>
        <v/>
      </c>
      <c r="G1233" s="5" t="str">
        <f t="shared" si="77"/>
        <v/>
      </c>
      <c r="I1233" s="6" t="str">
        <f t="shared" si="75"/>
        <v>0</v>
      </c>
      <c r="O1233" t="s">
        <v>1383</v>
      </c>
      <c r="P1233" t="str">
        <f>IF(C1233&lt;&gt;"",C1233,_xlfn.XLOOKUP(B1233,AI_NAMES!D:D,AI_NAMES!E:E,"",0))</f>
        <v/>
      </c>
    </row>
    <row r="1234" spans="1:16" x14ac:dyDescent="0.2">
      <c r="A1234" t="s">
        <v>1384</v>
      </c>
      <c r="B1234" t="s">
        <v>1385</v>
      </c>
      <c r="E1234" t="str">
        <f t="shared" si="76"/>
        <v/>
      </c>
      <c r="G1234" s="5" t="str">
        <f t="shared" si="77"/>
        <v/>
      </c>
      <c r="I1234" s="6" t="str">
        <f t="shared" si="75"/>
        <v>0</v>
      </c>
      <c r="O1234" t="s">
        <v>1385</v>
      </c>
      <c r="P1234" t="str">
        <f>IF(C1234&lt;&gt;"",C1234,_xlfn.XLOOKUP(B1234,AI_NAMES!D:D,AI_NAMES!E:E,"",0))</f>
        <v/>
      </c>
    </row>
    <row r="1235" spans="1:16" x14ac:dyDescent="0.2">
      <c r="A1235" t="s">
        <v>1386</v>
      </c>
      <c r="B1235" t="s">
        <v>1387</v>
      </c>
      <c r="E1235" t="str">
        <f t="shared" si="76"/>
        <v/>
      </c>
      <c r="G1235" s="5" t="str">
        <f t="shared" si="77"/>
        <v/>
      </c>
      <c r="I1235" s="6" t="str">
        <f t="shared" si="75"/>
        <v>0</v>
      </c>
      <c r="O1235" t="s">
        <v>1387</v>
      </c>
      <c r="P1235" t="str">
        <f>IF(C1235&lt;&gt;"",C1235,_xlfn.XLOOKUP(B1235,AI_NAMES!D:D,AI_NAMES!E:E,"",0))</f>
        <v/>
      </c>
    </row>
    <row r="1236" spans="1:16" x14ac:dyDescent="0.2">
      <c r="A1236" t="s">
        <v>1388</v>
      </c>
      <c r="B1236" t="s">
        <v>321</v>
      </c>
      <c r="E1236" t="str">
        <f t="shared" si="76"/>
        <v/>
      </c>
      <c r="G1236" s="5" t="str">
        <f t="shared" si="77"/>
        <v/>
      </c>
      <c r="I1236" s="6" t="str">
        <f t="shared" si="75"/>
        <v>0</v>
      </c>
      <c r="O1236" t="s">
        <v>321</v>
      </c>
      <c r="P1236">
        <f>IF(C1236&lt;&gt;"",C1236,_xlfn.XLOOKUP(B1236,AI_NAMES!D:D,AI_NAMES!E:E,"",0))</f>
        <v>0</v>
      </c>
    </row>
    <row r="1237" spans="1:16" x14ac:dyDescent="0.2">
      <c r="A1237" t="s">
        <v>1389</v>
      </c>
      <c r="B1237" t="s">
        <v>1390</v>
      </c>
      <c r="E1237" t="str">
        <f t="shared" si="76"/>
        <v/>
      </c>
      <c r="G1237" s="5" t="str">
        <f t="shared" si="77"/>
        <v/>
      </c>
      <c r="I1237" s="6" t="str">
        <f t="shared" si="75"/>
        <v>0</v>
      </c>
      <c r="O1237" t="s">
        <v>1390</v>
      </c>
      <c r="P1237" t="str">
        <f>IF(C1237&lt;&gt;"",C1237,_xlfn.XLOOKUP(B1237,AI_NAMES!D:D,AI_NAMES!E:E,"",0))</f>
        <v/>
      </c>
    </row>
    <row r="1238" spans="1:16" x14ac:dyDescent="0.2">
      <c r="A1238" t="s">
        <v>1391</v>
      </c>
      <c r="B1238" t="s">
        <v>321</v>
      </c>
      <c r="E1238" t="str">
        <f t="shared" si="76"/>
        <v/>
      </c>
      <c r="G1238" s="5" t="str">
        <f t="shared" si="77"/>
        <v/>
      </c>
      <c r="I1238" s="6" t="str">
        <f t="shared" si="75"/>
        <v>0</v>
      </c>
      <c r="O1238" t="s">
        <v>321</v>
      </c>
      <c r="P1238">
        <f>IF(C1238&lt;&gt;"",C1238,_xlfn.XLOOKUP(B1238,AI_NAMES!D:D,AI_NAMES!E:E,"",0))</f>
        <v>0</v>
      </c>
    </row>
    <row r="1239" spans="1:16" x14ac:dyDescent="0.2">
      <c r="A1239" t="s">
        <v>1392</v>
      </c>
      <c r="B1239" t="s">
        <v>321</v>
      </c>
      <c r="E1239" t="str">
        <f t="shared" si="76"/>
        <v/>
      </c>
      <c r="G1239" s="5" t="str">
        <f t="shared" si="77"/>
        <v/>
      </c>
      <c r="I1239" s="6" t="str">
        <f t="shared" si="75"/>
        <v>0</v>
      </c>
      <c r="O1239" t="s">
        <v>321</v>
      </c>
      <c r="P1239">
        <f>IF(C1239&lt;&gt;"",C1239,_xlfn.XLOOKUP(B1239,AI_NAMES!D:D,AI_NAMES!E:E,"",0))</f>
        <v>0</v>
      </c>
    </row>
    <row r="1240" spans="1:16" x14ac:dyDescent="0.2">
      <c r="A1240" t="s">
        <v>1393</v>
      </c>
      <c r="B1240" t="s">
        <v>321</v>
      </c>
      <c r="E1240" t="str">
        <f t="shared" si="76"/>
        <v/>
      </c>
      <c r="G1240" s="5" t="str">
        <f t="shared" si="77"/>
        <v/>
      </c>
      <c r="I1240" s="6" t="str">
        <f t="shared" si="75"/>
        <v>0</v>
      </c>
      <c r="O1240" t="s">
        <v>321</v>
      </c>
      <c r="P1240">
        <f>IF(C1240&lt;&gt;"",C1240,_xlfn.XLOOKUP(B1240,AI_NAMES!D:D,AI_NAMES!E:E,"",0))</f>
        <v>0</v>
      </c>
    </row>
    <row r="1241" spans="1:16" x14ac:dyDescent="0.2">
      <c r="A1241" t="s">
        <v>1394</v>
      </c>
      <c r="B1241" t="s">
        <v>321</v>
      </c>
      <c r="E1241" t="str">
        <f t="shared" si="76"/>
        <v/>
      </c>
      <c r="G1241" s="5" t="str">
        <f t="shared" si="77"/>
        <v/>
      </c>
      <c r="I1241" s="6" t="str">
        <f t="shared" si="75"/>
        <v>0</v>
      </c>
      <c r="O1241" t="s">
        <v>321</v>
      </c>
      <c r="P1241">
        <f>IF(C1241&lt;&gt;"",C1241,_xlfn.XLOOKUP(B1241,AI_NAMES!D:D,AI_NAMES!E:E,"",0))</f>
        <v>0</v>
      </c>
    </row>
    <row r="1242" spans="1:16" x14ac:dyDescent="0.2">
      <c r="A1242" t="s">
        <v>1395</v>
      </c>
      <c r="B1242" t="s">
        <v>321</v>
      </c>
      <c r="E1242" t="str">
        <f t="shared" si="76"/>
        <v/>
      </c>
      <c r="G1242" s="5" t="str">
        <f t="shared" si="77"/>
        <v/>
      </c>
      <c r="I1242" s="6" t="str">
        <f t="shared" si="75"/>
        <v>0</v>
      </c>
      <c r="O1242" t="s">
        <v>321</v>
      </c>
      <c r="P1242">
        <f>IF(C1242&lt;&gt;"",C1242,_xlfn.XLOOKUP(B1242,AI_NAMES!D:D,AI_NAMES!E:E,"",0))</f>
        <v>0</v>
      </c>
    </row>
    <row r="1243" spans="1:16" x14ac:dyDescent="0.2">
      <c r="A1243" t="s">
        <v>1396</v>
      </c>
      <c r="B1243" t="s">
        <v>321</v>
      </c>
      <c r="E1243" t="str">
        <f t="shared" si="76"/>
        <v/>
      </c>
      <c r="G1243" s="5" t="str">
        <f t="shared" si="77"/>
        <v/>
      </c>
      <c r="I1243" s="6" t="str">
        <f t="shared" si="75"/>
        <v>0</v>
      </c>
      <c r="O1243" t="s">
        <v>321</v>
      </c>
      <c r="P1243">
        <f>IF(C1243&lt;&gt;"",C1243,_xlfn.XLOOKUP(B1243,AI_NAMES!D:D,AI_NAMES!E:E,"",0))</f>
        <v>0</v>
      </c>
    </row>
    <row r="1244" spans="1:16" x14ac:dyDescent="0.2">
      <c r="A1244" t="s">
        <v>1397</v>
      </c>
      <c r="B1244" t="s">
        <v>321</v>
      </c>
      <c r="E1244" t="str">
        <f t="shared" si="76"/>
        <v/>
      </c>
      <c r="G1244" s="5" t="str">
        <f t="shared" si="77"/>
        <v/>
      </c>
      <c r="I1244" s="6" t="str">
        <f t="shared" si="75"/>
        <v>0</v>
      </c>
      <c r="O1244" t="s">
        <v>321</v>
      </c>
      <c r="P1244">
        <f>IF(C1244&lt;&gt;"",C1244,_xlfn.XLOOKUP(B1244,AI_NAMES!D:D,AI_NAMES!E:E,"",0))</f>
        <v>0</v>
      </c>
    </row>
    <row r="1245" spans="1:16" x14ac:dyDescent="0.2">
      <c r="A1245" t="s">
        <v>1398</v>
      </c>
      <c r="B1245" t="s">
        <v>321</v>
      </c>
      <c r="E1245" t="str">
        <f t="shared" si="76"/>
        <v/>
      </c>
      <c r="G1245" s="5" t="str">
        <f t="shared" si="77"/>
        <v/>
      </c>
      <c r="I1245" s="6" t="str">
        <f t="shared" si="75"/>
        <v>0</v>
      </c>
      <c r="O1245" t="s">
        <v>321</v>
      </c>
      <c r="P1245">
        <f>IF(C1245&lt;&gt;"",C1245,_xlfn.XLOOKUP(B1245,AI_NAMES!D:D,AI_NAMES!E:E,"",0))</f>
        <v>0</v>
      </c>
    </row>
    <row r="1246" spans="1:16" x14ac:dyDescent="0.2">
      <c r="A1246" t="s">
        <v>1399</v>
      </c>
      <c r="B1246" t="s">
        <v>321</v>
      </c>
      <c r="E1246" t="str">
        <f t="shared" si="76"/>
        <v/>
      </c>
      <c r="G1246" s="5" t="str">
        <f t="shared" si="77"/>
        <v/>
      </c>
      <c r="I1246" s="6" t="str">
        <f t="shared" si="75"/>
        <v>0</v>
      </c>
      <c r="O1246" t="s">
        <v>321</v>
      </c>
      <c r="P1246">
        <f>IF(C1246&lt;&gt;"",C1246,_xlfn.XLOOKUP(B1246,AI_NAMES!D:D,AI_NAMES!E:E,"",0))</f>
        <v>0</v>
      </c>
    </row>
    <row r="1247" spans="1:16" x14ac:dyDescent="0.2">
      <c r="A1247" t="s">
        <v>1400</v>
      </c>
      <c r="B1247" t="s">
        <v>321</v>
      </c>
      <c r="E1247" t="str">
        <f t="shared" si="76"/>
        <v/>
      </c>
      <c r="G1247" s="5" t="str">
        <f t="shared" si="77"/>
        <v/>
      </c>
      <c r="I1247" s="6" t="str">
        <f t="shared" si="75"/>
        <v>0</v>
      </c>
      <c r="O1247" t="s">
        <v>321</v>
      </c>
      <c r="P1247">
        <f>IF(C1247&lt;&gt;"",C1247,_xlfn.XLOOKUP(B1247,AI_NAMES!D:D,AI_NAMES!E:E,"",0))</f>
        <v>0</v>
      </c>
    </row>
    <row r="1248" spans="1:16" x14ac:dyDescent="0.2">
      <c r="A1248" t="s">
        <v>1401</v>
      </c>
      <c r="B1248" t="s">
        <v>321</v>
      </c>
      <c r="E1248" t="str">
        <f t="shared" si="76"/>
        <v/>
      </c>
      <c r="G1248" s="5" t="str">
        <f t="shared" si="77"/>
        <v/>
      </c>
      <c r="I1248" s="6" t="str">
        <f t="shared" si="75"/>
        <v>0</v>
      </c>
      <c r="O1248" t="s">
        <v>321</v>
      </c>
      <c r="P1248">
        <f>IF(C1248&lt;&gt;"",C1248,_xlfn.XLOOKUP(B1248,AI_NAMES!D:D,AI_NAMES!E:E,"",0))</f>
        <v>0</v>
      </c>
    </row>
    <row r="1249" spans="1:16" x14ac:dyDescent="0.2">
      <c r="A1249" t="s">
        <v>1402</v>
      </c>
      <c r="B1249" t="s">
        <v>321</v>
      </c>
      <c r="E1249" t="str">
        <f t="shared" si="76"/>
        <v/>
      </c>
      <c r="G1249" s="5" t="str">
        <f t="shared" si="77"/>
        <v/>
      </c>
      <c r="I1249" s="6" t="str">
        <f t="shared" si="75"/>
        <v>0</v>
      </c>
      <c r="O1249" t="s">
        <v>321</v>
      </c>
      <c r="P1249">
        <f>IF(C1249&lt;&gt;"",C1249,_xlfn.XLOOKUP(B1249,AI_NAMES!D:D,AI_NAMES!E:E,"",0))</f>
        <v>0</v>
      </c>
    </row>
    <row r="1250" spans="1:16" x14ac:dyDescent="0.2">
      <c r="A1250" t="s">
        <v>1403</v>
      </c>
      <c r="B1250" t="s">
        <v>321</v>
      </c>
      <c r="E1250" t="str">
        <f t="shared" si="76"/>
        <v/>
      </c>
      <c r="G1250" s="5" t="str">
        <f t="shared" si="77"/>
        <v/>
      </c>
      <c r="I1250" s="6" t="str">
        <f t="shared" si="75"/>
        <v>0</v>
      </c>
      <c r="O1250" t="s">
        <v>321</v>
      </c>
      <c r="P1250">
        <f>IF(C1250&lt;&gt;"",C1250,_xlfn.XLOOKUP(B1250,AI_NAMES!D:D,AI_NAMES!E:E,"",0))</f>
        <v>0</v>
      </c>
    </row>
    <row r="1251" spans="1:16" x14ac:dyDescent="0.2">
      <c r="A1251" t="s">
        <v>1404</v>
      </c>
      <c r="B1251" t="s">
        <v>321</v>
      </c>
      <c r="E1251" t="str">
        <f t="shared" si="76"/>
        <v/>
      </c>
      <c r="G1251" s="5" t="str">
        <f t="shared" si="77"/>
        <v/>
      </c>
      <c r="I1251" s="6" t="str">
        <f t="shared" si="75"/>
        <v>0</v>
      </c>
      <c r="O1251" t="s">
        <v>321</v>
      </c>
      <c r="P1251">
        <f>IF(C1251&lt;&gt;"",C1251,_xlfn.XLOOKUP(B1251,AI_NAMES!D:D,AI_NAMES!E:E,"",0))</f>
        <v>0</v>
      </c>
    </row>
    <row r="1252" spans="1:16" x14ac:dyDescent="0.2">
      <c r="A1252" t="s">
        <v>1405</v>
      </c>
      <c r="B1252" t="s">
        <v>321</v>
      </c>
      <c r="E1252" t="str">
        <f t="shared" si="76"/>
        <v/>
      </c>
      <c r="G1252" s="5" t="str">
        <f t="shared" si="77"/>
        <v/>
      </c>
      <c r="I1252" s="6" t="str">
        <f t="shared" si="75"/>
        <v>0</v>
      </c>
      <c r="O1252" t="s">
        <v>321</v>
      </c>
      <c r="P1252">
        <f>IF(C1252&lt;&gt;"",C1252,_xlfn.XLOOKUP(B1252,AI_NAMES!D:D,AI_NAMES!E:E,"",0))</f>
        <v>0</v>
      </c>
    </row>
    <row r="1253" spans="1:16" x14ac:dyDescent="0.2">
      <c r="A1253" t="s">
        <v>1406</v>
      </c>
      <c r="B1253" t="s">
        <v>321</v>
      </c>
      <c r="E1253" t="str">
        <f t="shared" si="76"/>
        <v/>
      </c>
      <c r="G1253" s="5" t="str">
        <f t="shared" si="77"/>
        <v/>
      </c>
      <c r="I1253" s="6" t="str">
        <f t="shared" si="75"/>
        <v>0</v>
      </c>
      <c r="O1253" t="s">
        <v>321</v>
      </c>
      <c r="P1253">
        <f>IF(C1253&lt;&gt;"",C1253,_xlfn.XLOOKUP(B1253,AI_NAMES!D:D,AI_NAMES!E:E,"",0))</f>
        <v>0</v>
      </c>
    </row>
    <row r="1254" spans="1:16" x14ac:dyDescent="0.2">
      <c r="A1254" t="s">
        <v>1407</v>
      </c>
      <c r="B1254" t="s">
        <v>321</v>
      </c>
      <c r="E1254" t="str">
        <f t="shared" si="76"/>
        <v/>
      </c>
      <c r="G1254" s="5" t="str">
        <f t="shared" si="77"/>
        <v/>
      </c>
      <c r="I1254" s="6" t="str">
        <f t="shared" si="75"/>
        <v>0</v>
      </c>
      <c r="O1254" t="s">
        <v>321</v>
      </c>
      <c r="P1254">
        <f>IF(C1254&lt;&gt;"",C1254,_xlfn.XLOOKUP(B1254,AI_NAMES!D:D,AI_NAMES!E:E,"",0))</f>
        <v>0</v>
      </c>
    </row>
    <row r="1255" spans="1:16" x14ac:dyDescent="0.2">
      <c r="A1255" t="s">
        <v>1408</v>
      </c>
      <c r="B1255" t="s">
        <v>321</v>
      </c>
      <c r="E1255" t="str">
        <f t="shared" si="76"/>
        <v/>
      </c>
      <c r="G1255" s="5" t="str">
        <f t="shared" si="77"/>
        <v/>
      </c>
      <c r="I1255" s="6" t="str">
        <f t="shared" si="75"/>
        <v>0</v>
      </c>
      <c r="O1255" t="s">
        <v>321</v>
      </c>
      <c r="P1255">
        <f>IF(C1255&lt;&gt;"",C1255,_xlfn.XLOOKUP(B1255,AI_NAMES!D:D,AI_NAMES!E:E,"",0))</f>
        <v>0</v>
      </c>
    </row>
    <row r="1256" spans="1:16" x14ac:dyDescent="0.2">
      <c r="A1256" t="s">
        <v>1409</v>
      </c>
      <c r="B1256" t="s">
        <v>321</v>
      </c>
      <c r="E1256" t="str">
        <f t="shared" si="76"/>
        <v/>
      </c>
      <c r="G1256" s="5" t="str">
        <f t="shared" si="77"/>
        <v/>
      </c>
      <c r="I1256" s="6" t="str">
        <f t="shared" si="75"/>
        <v>0</v>
      </c>
      <c r="O1256" t="s">
        <v>321</v>
      </c>
      <c r="P1256">
        <f>IF(C1256&lt;&gt;"",C1256,_xlfn.XLOOKUP(B1256,AI_NAMES!D:D,AI_NAMES!E:E,"",0))</f>
        <v>0</v>
      </c>
    </row>
    <row r="1257" spans="1:16" x14ac:dyDescent="0.2">
      <c r="A1257" t="s">
        <v>1410</v>
      </c>
      <c r="B1257" t="s">
        <v>321</v>
      </c>
      <c r="E1257" t="str">
        <f t="shared" si="76"/>
        <v/>
      </c>
      <c r="G1257" s="5" t="str">
        <f t="shared" si="77"/>
        <v/>
      </c>
      <c r="I1257" s="6" t="str">
        <f t="shared" si="75"/>
        <v>0</v>
      </c>
      <c r="O1257" t="s">
        <v>321</v>
      </c>
      <c r="P1257">
        <f>IF(C1257&lt;&gt;"",C1257,_xlfn.XLOOKUP(B1257,AI_NAMES!D:D,AI_NAMES!E:E,"",0))</f>
        <v>0</v>
      </c>
    </row>
    <row r="1258" spans="1:16" x14ac:dyDescent="0.2">
      <c r="A1258" t="s">
        <v>1411</v>
      </c>
      <c r="B1258" t="s">
        <v>321</v>
      </c>
      <c r="E1258" t="str">
        <f t="shared" si="76"/>
        <v/>
      </c>
      <c r="G1258" s="5" t="str">
        <f t="shared" si="77"/>
        <v/>
      </c>
      <c r="I1258" s="6" t="str">
        <f t="shared" si="75"/>
        <v>0</v>
      </c>
      <c r="O1258" t="s">
        <v>321</v>
      </c>
      <c r="P1258">
        <f>IF(C1258&lt;&gt;"",C1258,_xlfn.XLOOKUP(B1258,AI_NAMES!D:D,AI_NAMES!E:E,"",0))</f>
        <v>0</v>
      </c>
    </row>
    <row r="1259" spans="1:16" x14ac:dyDescent="0.2">
      <c r="A1259" t="s">
        <v>1412</v>
      </c>
      <c r="B1259" t="s">
        <v>321</v>
      </c>
      <c r="E1259" t="str">
        <f t="shared" si="76"/>
        <v/>
      </c>
      <c r="G1259" s="5" t="str">
        <f t="shared" si="77"/>
        <v/>
      </c>
      <c r="I1259" s="6" t="str">
        <f t="shared" si="75"/>
        <v>0</v>
      </c>
      <c r="O1259" t="s">
        <v>321</v>
      </c>
      <c r="P1259">
        <f>IF(C1259&lt;&gt;"",C1259,_xlfn.XLOOKUP(B1259,AI_NAMES!D:D,AI_NAMES!E:E,"",0))</f>
        <v>0</v>
      </c>
    </row>
    <row r="1260" spans="1:16" x14ac:dyDescent="0.2">
      <c r="A1260" t="s">
        <v>1413</v>
      </c>
      <c r="B1260" t="s">
        <v>321</v>
      </c>
      <c r="E1260" t="str">
        <f t="shared" si="76"/>
        <v/>
      </c>
      <c r="G1260" s="5" t="str">
        <f t="shared" si="77"/>
        <v/>
      </c>
      <c r="I1260" s="6" t="str">
        <f t="shared" si="75"/>
        <v>0</v>
      </c>
      <c r="O1260" t="s">
        <v>321</v>
      </c>
      <c r="P1260">
        <f>IF(C1260&lt;&gt;"",C1260,_xlfn.XLOOKUP(B1260,AI_NAMES!D:D,AI_NAMES!E:E,"",0))</f>
        <v>0</v>
      </c>
    </row>
    <row r="1261" spans="1:16" x14ac:dyDescent="0.2">
      <c r="A1261" t="s">
        <v>1414</v>
      </c>
      <c r="B1261" t="s">
        <v>321</v>
      </c>
      <c r="E1261" t="str">
        <f t="shared" si="76"/>
        <v/>
      </c>
      <c r="G1261" s="5" t="str">
        <f t="shared" si="77"/>
        <v/>
      </c>
      <c r="I1261" s="6" t="str">
        <f t="shared" si="75"/>
        <v>0</v>
      </c>
      <c r="O1261" t="s">
        <v>321</v>
      </c>
      <c r="P1261">
        <f>IF(C1261&lt;&gt;"",C1261,_xlfn.XLOOKUP(B1261,AI_NAMES!D:D,AI_NAMES!E:E,"",0))</f>
        <v>0</v>
      </c>
    </row>
    <row r="1262" spans="1:16" x14ac:dyDescent="0.2">
      <c r="A1262" t="s">
        <v>1415</v>
      </c>
      <c r="B1262" t="s">
        <v>3390</v>
      </c>
      <c r="E1262" t="str">
        <f t="shared" si="76"/>
        <v/>
      </c>
      <c r="G1262" s="5" t="str">
        <f t="shared" si="77"/>
        <v/>
      </c>
      <c r="I1262" s="6" t="str">
        <f t="shared" si="75"/>
        <v>0</v>
      </c>
      <c r="O1262" t="s">
        <v>3390</v>
      </c>
      <c r="P1262" t="str">
        <f>IF(C1262&lt;&gt;"",C1262,_xlfn.XLOOKUP(B1262,AI_NAMES!D:D,AI_NAMES!E:E,"",0))</f>
        <v/>
      </c>
    </row>
    <row r="1263" spans="1:16" x14ac:dyDescent="0.2">
      <c r="A1263" t="s">
        <v>1416</v>
      </c>
      <c r="B1263" t="s">
        <v>3377</v>
      </c>
      <c r="E1263" t="str">
        <f t="shared" si="76"/>
        <v/>
      </c>
      <c r="G1263" s="5" t="str">
        <f t="shared" si="77"/>
        <v/>
      </c>
      <c r="I1263" s="6" t="str">
        <f t="shared" si="75"/>
        <v>0</v>
      </c>
      <c r="O1263" t="s">
        <v>3377</v>
      </c>
      <c r="P1263" t="str">
        <f>IF(C1263&lt;&gt;"",C1263,_xlfn.XLOOKUP(B1263,AI_NAMES!D:D,AI_NAMES!E:E,"",0))</f>
        <v/>
      </c>
    </row>
    <row r="1264" spans="1:16" x14ac:dyDescent="0.2">
      <c r="A1264" t="s">
        <v>1417</v>
      </c>
      <c r="B1264" t="s">
        <v>321</v>
      </c>
      <c r="E1264" t="str">
        <f t="shared" si="76"/>
        <v/>
      </c>
      <c r="G1264" s="5" t="str">
        <f t="shared" si="77"/>
        <v/>
      </c>
      <c r="I1264" s="6" t="str">
        <f t="shared" si="75"/>
        <v>0</v>
      </c>
      <c r="O1264" t="s">
        <v>321</v>
      </c>
      <c r="P1264">
        <f>IF(C1264&lt;&gt;"",C1264,_xlfn.XLOOKUP(B1264,AI_NAMES!D:D,AI_NAMES!E:E,"",0))</f>
        <v>0</v>
      </c>
    </row>
    <row r="1265" spans="1:16" x14ac:dyDescent="0.2">
      <c r="A1265" t="s">
        <v>1418</v>
      </c>
      <c r="B1265" t="s">
        <v>321</v>
      </c>
      <c r="E1265" t="str">
        <f t="shared" si="76"/>
        <v/>
      </c>
      <c r="G1265" s="5" t="str">
        <f t="shared" si="77"/>
        <v/>
      </c>
      <c r="I1265" s="6" t="str">
        <f t="shared" si="75"/>
        <v>0</v>
      </c>
      <c r="O1265" t="s">
        <v>321</v>
      </c>
      <c r="P1265">
        <f>IF(C1265&lt;&gt;"",C1265,_xlfn.XLOOKUP(B1265,AI_NAMES!D:D,AI_NAMES!E:E,"",0))</f>
        <v>0</v>
      </c>
    </row>
    <row r="1266" spans="1:16" x14ac:dyDescent="0.2">
      <c r="A1266" t="s">
        <v>1419</v>
      </c>
      <c r="B1266" t="s">
        <v>1420</v>
      </c>
      <c r="E1266" t="str">
        <f t="shared" si="76"/>
        <v/>
      </c>
      <c r="G1266" s="5" t="str">
        <f t="shared" si="77"/>
        <v/>
      </c>
      <c r="I1266" s="6" t="str">
        <f t="shared" si="75"/>
        <v>0</v>
      </c>
      <c r="O1266" t="s">
        <v>1420</v>
      </c>
      <c r="P1266" t="str">
        <f>IF(C1266&lt;&gt;"",C1266,_xlfn.XLOOKUP(B1266,AI_NAMES!D:D,AI_NAMES!E:E,"",0))</f>
        <v/>
      </c>
    </row>
    <row r="1267" spans="1:16" x14ac:dyDescent="0.2">
      <c r="A1267" t="s">
        <v>1421</v>
      </c>
      <c r="B1267" t="s">
        <v>321</v>
      </c>
      <c r="E1267" t="str">
        <f t="shared" si="76"/>
        <v/>
      </c>
      <c r="G1267" s="5" t="str">
        <f t="shared" si="77"/>
        <v/>
      </c>
      <c r="I1267" s="6" t="str">
        <f t="shared" si="75"/>
        <v>0</v>
      </c>
      <c r="O1267" t="s">
        <v>321</v>
      </c>
      <c r="P1267">
        <f>IF(C1267&lt;&gt;"",C1267,_xlfn.XLOOKUP(B1267,AI_NAMES!D:D,AI_NAMES!E:E,"",0))</f>
        <v>0</v>
      </c>
    </row>
    <row r="1268" spans="1:16" x14ac:dyDescent="0.2">
      <c r="A1268" t="s">
        <v>1422</v>
      </c>
      <c r="B1268" t="s">
        <v>321</v>
      </c>
      <c r="E1268" t="str">
        <f t="shared" si="76"/>
        <v/>
      </c>
      <c r="G1268" s="5" t="str">
        <f t="shared" si="77"/>
        <v/>
      </c>
      <c r="I1268" s="6" t="str">
        <f t="shared" si="75"/>
        <v>0</v>
      </c>
      <c r="O1268" t="s">
        <v>321</v>
      </c>
      <c r="P1268">
        <f>IF(C1268&lt;&gt;"",C1268,_xlfn.XLOOKUP(B1268,AI_NAMES!D:D,AI_NAMES!E:E,"",0))</f>
        <v>0</v>
      </c>
    </row>
    <row r="1269" spans="1:16" x14ac:dyDescent="0.2">
      <c r="A1269" t="s">
        <v>1423</v>
      </c>
      <c r="B1269" t="s">
        <v>321</v>
      </c>
      <c r="E1269" t="str">
        <f t="shared" si="76"/>
        <v/>
      </c>
      <c r="G1269" s="5" t="str">
        <f t="shared" si="77"/>
        <v/>
      </c>
      <c r="I1269" s="6" t="str">
        <f t="shared" si="75"/>
        <v>0</v>
      </c>
      <c r="O1269" t="s">
        <v>321</v>
      </c>
      <c r="P1269">
        <f>IF(C1269&lt;&gt;"",C1269,_xlfn.XLOOKUP(B1269,AI_NAMES!D:D,AI_NAMES!E:E,"",0))</f>
        <v>0</v>
      </c>
    </row>
    <row r="1270" spans="1:16" x14ac:dyDescent="0.2">
      <c r="A1270" t="s">
        <v>1424</v>
      </c>
      <c r="B1270" t="s">
        <v>1425</v>
      </c>
      <c r="E1270" t="str">
        <f t="shared" si="76"/>
        <v/>
      </c>
      <c r="G1270" s="5" t="str">
        <f t="shared" si="77"/>
        <v/>
      </c>
      <c r="I1270" s="6" t="str">
        <f t="shared" si="75"/>
        <v>0</v>
      </c>
      <c r="O1270" t="s">
        <v>1425</v>
      </c>
      <c r="P1270" t="str">
        <f>IF(C1270&lt;&gt;"",C1270,_xlfn.XLOOKUP(B1270,AI_NAMES!D:D,AI_NAMES!E:E,"",0))</f>
        <v/>
      </c>
    </row>
    <row r="1271" spans="1:16" x14ac:dyDescent="0.2">
      <c r="A1271" t="s">
        <v>1426</v>
      </c>
      <c r="B1271" t="s">
        <v>321</v>
      </c>
      <c r="E1271" t="str">
        <f t="shared" si="76"/>
        <v/>
      </c>
      <c r="G1271" s="5" t="str">
        <f t="shared" si="77"/>
        <v/>
      </c>
      <c r="I1271" s="6" t="str">
        <f t="shared" si="75"/>
        <v>0</v>
      </c>
      <c r="O1271" t="s">
        <v>321</v>
      </c>
      <c r="P1271">
        <f>IF(C1271&lt;&gt;"",C1271,_xlfn.XLOOKUP(B1271,AI_NAMES!D:D,AI_NAMES!E:E,"",0))</f>
        <v>0</v>
      </c>
    </row>
    <row r="1272" spans="1:16" x14ac:dyDescent="0.2">
      <c r="A1272" t="s">
        <v>1427</v>
      </c>
      <c r="B1272" t="s">
        <v>321</v>
      </c>
      <c r="E1272" t="str">
        <f t="shared" si="76"/>
        <v/>
      </c>
      <c r="G1272" s="5" t="str">
        <f t="shared" si="77"/>
        <v/>
      </c>
      <c r="I1272" s="6" t="str">
        <f t="shared" si="75"/>
        <v>0</v>
      </c>
      <c r="O1272" t="s">
        <v>321</v>
      </c>
      <c r="P1272">
        <f>IF(C1272&lt;&gt;"",C1272,_xlfn.XLOOKUP(B1272,AI_NAMES!D:D,AI_NAMES!E:E,"",0))</f>
        <v>0</v>
      </c>
    </row>
    <row r="1273" spans="1:16" x14ac:dyDescent="0.2">
      <c r="A1273" t="s">
        <v>1428</v>
      </c>
      <c r="B1273" t="s">
        <v>321</v>
      </c>
      <c r="E1273" t="str">
        <f t="shared" si="76"/>
        <v/>
      </c>
      <c r="G1273" s="5" t="str">
        <f t="shared" si="77"/>
        <v/>
      </c>
      <c r="I1273" s="6" t="str">
        <f t="shared" si="75"/>
        <v>0</v>
      </c>
      <c r="O1273" t="s">
        <v>321</v>
      </c>
      <c r="P1273">
        <f>IF(C1273&lt;&gt;"",C1273,_xlfn.XLOOKUP(B1273,AI_NAMES!D:D,AI_NAMES!E:E,"",0))</f>
        <v>0</v>
      </c>
    </row>
    <row r="1274" spans="1:16" x14ac:dyDescent="0.2">
      <c r="A1274" t="s">
        <v>1429</v>
      </c>
      <c r="B1274" t="s">
        <v>3129</v>
      </c>
      <c r="E1274" t="str">
        <f t="shared" si="76"/>
        <v/>
      </c>
      <c r="G1274" s="5" t="str">
        <f t="shared" si="77"/>
        <v/>
      </c>
      <c r="I1274" s="6" t="str">
        <f t="shared" si="75"/>
        <v>0</v>
      </c>
      <c r="O1274" t="s">
        <v>3129</v>
      </c>
      <c r="P1274" t="str">
        <f>IF(C1274&lt;&gt;"",C1274,_xlfn.XLOOKUP(B1274,AI_NAMES!D:D,AI_NAMES!E:E,"",0))</f>
        <v/>
      </c>
    </row>
    <row r="1275" spans="1:16" x14ac:dyDescent="0.2">
      <c r="A1275" t="s">
        <v>1430</v>
      </c>
      <c r="B1275" t="s">
        <v>3128</v>
      </c>
      <c r="E1275" t="str">
        <f t="shared" si="76"/>
        <v/>
      </c>
      <c r="G1275" s="5" t="str">
        <f t="shared" si="77"/>
        <v/>
      </c>
      <c r="I1275" s="6" t="str">
        <f t="shared" si="75"/>
        <v>0</v>
      </c>
      <c r="O1275" t="s">
        <v>3128</v>
      </c>
      <c r="P1275" t="str">
        <f>IF(C1275&lt;&gt;"",C1275,_xlfn.XLOOKUP(B1275,AI_NAMES!D:D,AI_NAMES!E:E,"",0))</f>
        <v/>
      </c>
    </row>
    <row r="1276" spans="1:16" x14ac:dyDescent="0.2">
      <c r="A1276" t="s">
        <v>1431</v>
      </c>
      <c r="B1276" t="s">
        <v>3130</v>
      </c>
      <c r="E1276" t="str">
        <f t="shared" si="76"/>
        <v/>
      </c>
      <c r="G1276" s="5" t="str">
        <f t="shared" si="77"/>
        <v/>
      </c>
      <c r="I1276" s="6" t="str">
        <f t="shared" si="75"/>
        <v>0</v>
      </c>
      <c r="O1276" t="s">
        <v>3130</v>
      </c>
      <c r="P1276" t="str">
        <f>IF(C1276&lt;&gt;"",C1276,_xlfn.XLOOKUP(B1276,AI_NAMES!D:D,AI_NAMES!E:E,"",0))</f>
        <v/>
      </c>
    </row>
    <row r="1277" spans="1:16" x14ac:dyDescent="0.2">
      <c r="A1277" t="s">
        <v>1433</v>
      </c>
      <c r="B1277" t="s">
        <v>3132</v>
      </c>
      <c r="E1277" t="str">
        <f t="shared" si="76"/>
        <v/>
      </c>
      <c r="G1277" s="5" t="str">
        <f t="shared" si="77"/>
        <v/>
      </c>
      <c r="I1277" s="6" t="str">
        <f t="shared" si="75"/>
        <v>0</v>
      </c>
      <c r="O1277" t="s">
        <v>3132</v>
      </c>
      <c r="P1277" t="str">
        <f>IF(C1277&lt;&gt;"",C1277,_xlfn.XLOOKUP(B1277,AI_NAMES!D:D,AI_NAMES!E:E,"",0))</f>
        <v/>
      </c>
    </row>
    <row r="1278" spans="1:16" x14ac:dyDescent="0.2">
      <c r="A1278" t="s">
        <v>1434</v>
      </c>
      <c r="B1278" t="s">
        <v>3134</v>
      </c>
      <c r="E1278" t="str">
        <f t="shared" si="76"/>
        <v/>
      </c>
      <c r="G1278" s="5" t="str">
        <f t="shared" si="77"/>
        <v/>
      </c>
      <c r="I1278" s="6" t="str">
        <f t="shared" si="75"/>
        <v>0</v>
      </c>
      <c r="O1278" t="s">
        <v>3134</v>
      </c>
      <c r="P1278" t="str">
        <f>IF(C1278&lt;&gt;"",C1278,_xlfn.XLOOKUP(B1278,AI_NAMES!D:D,AI_NAMES!E:E,"",0))</f>
        <v/>
      </c>
    </row>
    <row r="1279" spans="1:16" x14ac:dyDescent="0.2">
      <c r="A1279" t="s">
        <v>1435</v>
      </c>
      <c r="B1279" t="s">
        <v>3133</v>
      </c>
      <c r="E1279" t="str">
        <f t="shared" si="76"/>
        <v/>
      </c>
      <c r="G1279" s="5" t="str">
        <f t="shared" si="77"/>
        <v/>
      </c>
      <c r="I1279" s="6" t="str">
        <f t="shared" si="75"/>
        <v>0</v>
      </c>
      <c r="O1279" t="s">
        <v>3133</v>
      </c>
      <c r="P1279" t="str">
        <f>IF(C1279&lt;&gt;"",C1279,_xlfn.XLOOKUP(B1279,AI_NAMES!D:D,AI_NAMES!E:E,"",0))</f>
        <v/>
      </c>
    </row>
    <row r="1280" spans="1:16" x14ac:dyDescent="0.2">
      <c r="A1280" t="s">
        <v>1436</v>
      </c>
      <c r="B1280" t="s">
        <v>1437</v>
      </c>
      <c r="E1280" t="str">
        <f t="shared" si="76"/>
        <v/>
      </c>
      <c r="G1280" s="5" t="str">
        <f t="shared" si="77"/>
        <v/>
      </c>
      <c r="I1280" s="6" t="str">
        <f t="shared" si="75"/>
        <v>0</v>
      </c>
      <c r="O1280" t="s">
        <v>1437</v>
      </c>
      <c r="P1280" t="str">
        <f>IF(C1280&lt;&gt;"",C1280,_xlfn.XLOOKUP(B1280,AI_NAMES!D:D,AI_NAMES!E:E,"",0))</f>
        <v/>
      </c>
    </row>
    <row r="1281" spans="1:16" x14ac:dyDescent="0.2">
      <c r="A1281" t="s">
        <v>1438</v>
      </c>
      <c r="B1281" t="s">
        <v>1439</v>
      </c>
      <c r="E1281" t="str">
        <f t="shared" si="76"/>
        <v/>
      </c>
      <c r="G1281" s="5" t="str">
        <f t="shared" si="77"/>
        <v/>
      </c>
      <c r="I1281" s="6" t="str">
        <f t="shared" si="75"/>
        <v>0</v>
      </c>
      <c r="O1281" t="s">
        <v>1439</v>
      </c>
      <c r="P1281" t="str">
        <f>IF(C1281&lt;&gt;"",C1281,_xlfn.XLOOKUP(B1281,AI_NAMES!D:D,AI_NAMES!E:E,"",0))</f>
        <v/>
      </c>
    </row>
    <row r="1282" spans="1:16" x14ac:dyDescent="0.2">
      <c r="A1282" t="s">
        <v>1440</v>
      </c>
      <c r="B1282" t="s">
        <v>1440</v>
      </c>
      <c r="E1282" t="str">
        <f t="shared" si="76"/>
        <v/>
      </c>
      <c r="G1282" s="5" t="str">
        <f t="shared" si="77"/>
        <v/>
      </c>
      <c r="I1282" s="6" t="str">
        <f t="shared" si="75"/>
        <v>0</v>
      </c>
      <c r="O1282" t="s">
        <v>1440</v>
      </c>
      <c r="P1282" t="str">
        <f>IF(C1282&lt;&gt;"",C1282,_xlfn.XLOOKUP(B1282,AI_NAMES!D:D,AI_NAMES!E:E,"",0))</f>
        <v/>
      </c>
    </row>
    <row r="1283" spans="1:16" x14ac:dyDescent="0.2">
      <c r="A1283" t="s">
        <v>1441</v>
      </c>
      <c r="B1283" t="s">
        <v>1442</v>
      </c>
      <c r="E1283" t="str">
        <f t="shared" si="76"/>
        <v/>
      </c>
      <c r="G1283" s="5" t="str">
        <f t="shared" si="77"/>
        <v/>
      </c>
      <c r="I1283" s="6" t="str">
        <f t="shared" ref="I1283:I1346" si="78">IFERROR(DEC2HEX(H1283),"")</f>
        <v>0</v>
      </c>
      <c r="O1283" t="s">
        <v>1442</v>
      </c>
      <c r="P1283" t="str">
        <f>IF(C1283&lt;&gt;"",C1283,_xlfn.XLOOKUP(B1283,AI_NAMES!D:D,AI_NAMES!E:E,"",0))</f>
        <v/>
      </c>
    </row>
    <row r="1284" spans="1:16" x14ac:dyDescent="0.2">
      <c r="A1284" t="s">
        <v>1443</v>
      </c>
      <c r="B1284" t="s">
        <v>1444</v>
      </c>
      <c r="E1284" t="str">
        <f t="shared" ref="E1284:E1347" si="79">IF(D1284&lt;&gt;"",C1284&amp;"/"&amp;D1284,"")</f>
        <v/>
      </c>
      <c r="G1284" s="5" t="str">
        <f t="shared" si="77"/>
        <v/>
      </c>
      <c r="I1284" s="6" t="str">
        <f t="shared" si="78"/>
        <v>0</v>
      </c>
      <c r="O1284" t="s">
        <v>1444</v>
      </c>
      <c r="P1284" t="str">
        <f>IF(C1284&lt;&gt;"",C1284,_xlfn.XLOOKUP(B1284,AI_NAMES!D:D,AI_NAMES!E:E,"",0))</f>
        <v/>
      </c>
    </row>
    <row r="1285" spans="1:16" x14ac:dyDescent="0.2">
      <c r="A1285" t="s">
        <v>1445</v>
      </c>
      <c r="B1285" t="s">
        <v>1446</v>
      </c>
      <c r="E1285" t="str">
        <f t="shared" si="79"/>
        <v/>
      </c>
      <c r="G1285" s="5" t="str">
        <f t="shared" si="77"/>
        <v/>
      </c>
      <c r="I1285" s="6" t="str">
        <f t="shared" si="78"/>
        <v>0</v>
      </c>
      <c r="O1285" t="s">
        <v>1446</v>
      </c>
      <c r="P1285" t="str">
        <f>IF(C1285&lt;&gt;"",C1285,_xlfn.XLOOKUP(B1285,AI_NAMES!D:D,AI_NAMES!E:E,"",0))</f>
        <v/>
      </c>
    </row>
    <row r="1286" spans="1:16" x14ac:dyDescent="0.2">
      <c r="A1286" t="s">
        <v>1447</v>
      </c>
      <c r="B1286" t="s">
        <v>1448</v>
      </c>
      <c r="E1286" t="str">
        <f t="shared" si="79"/>
        <v/>
      </c>
      <c r="G1286" s="5" t="str">
        <f t="shared" si="77"/>
        <v/>
      </c>
      <c r="I1286" s="6" t="str">
        <f t="shared" si="78"/>
        <v>0</v>
      </c>
      <c r="O1286" t="s">
        <v>1448</v>
      </c>
      <c r="P1286" t="str">
        <f>IF(C1286&lt;&gt;"",C1286,_xlfn.XLOOKUP(B1286,AI_NAMES!D:D,AI_NAMES!E:E,"",0))</f>
        <v/>
      </c>
    </row>
    <row r="1287" spans="1:16" x14ac:dyDescent="0.2">
      <c r="A1287" t="s">
        <v>1449</v>
      </c>
      <c r="B1287" t="s">
        <v>1450</v>
      </c>
      <c r="E1287" t="str">
        <f t="shared" si="79"/>
        <v/>
      </c>
      <c r="G1287" s="5" t="str">
        <f t="shared" si="77"/>
        <v/>
      </c>
      <c r="I1287" s="6" t="str">
        <f t="shared" si="78"/>
        <v>0</v>
      </c>
      <c r="O1287" t="s">
        <v>1450</v>
      </c>
      <c r="P1287" t="str">
        <f>IF(C1287&lt;&gt;"",C1287,_xlfn.XLOOKUP(B1287,AI_NAMES!D:D,AI_NAMES!E:E,"",0))</f>
        <v/>
      </c>
    </row>
    <row r="1288" spans="1:16" x14ac:dyDescent="0.2">
      <c r="A1288" t="s">
        <v>1451</v>
      </c>
      <c r="E1288" t="str">
        <f t="shared" si="79"/>
        <v/>
      </c>
      <c r="G1288" s="5" t="str">
        <f t="shared" si="77"/>
        <v/>
      </c>
      <c r="I1288" s="6" t="str">
        <f t="shared" si="78"/>
        <v>0</v>
      </c>
      <c r="P1288">
        <f>IF(C1288&lt;&gt;"",C1288,_xlfn.XLOOKUP(B1288,AI_NAMES!D:D,AI_NAMES!E:E,"",0))</f>
        <v>0</v>
      </c>
    </row>
    <row r="1289" spans="1:16" x14ac:dyDescent="0.2">
      <c r="A1289" t="s">
        <v>1452</v>
      </c>
      <c r="B1289" t="s">
        <v>321</v>
      </c>
      <c r="E1289" t="str">
        <f t="shared" si="79"/>
        <v/>
      </c>
      <c r="G1289" s="5" t="str">
        <f t="shared" ref="G1289:G1352" si="80">IF(F1289&lt;&gt;"",HEX2DEC(SUBSTITUTE(SUBSTITUTE(F1289,"adrEA",""),"$","")),"")</f>
        <v/>
      </c>
      <c r="I1289" s="6" t="str">
        <f t="shared" si="78"/>
        <v>0</v>
      </c>
      <c r="O1289" t="s">
        <v>321</v>
      </c>
      <c r="P1289">
        <f>IF(C1289&lt;&gt;"",C1289,_xlfn.XLOOKUP(B1289,AI_NAMES!D:D,AI_NAMES!E:E,"",0))</f>
        <v>0</v>
      </c>
    </row>
    <row r="1290" spans="1:16" x14ac:dyDescent="0.2">
      <c r="A1290" t="s">
        <v>1453</v>
      </c>
      <c r="B1290" t="s">
        <v>321</v>
      </c>
      <c r="E1290" t="str">
        <f t="shared" si="79"/>
        <v/>
      </c>
      <c r="G1290" s="5" t="str">
        <f t="shared" si="80"/>
        <v/>
      </c>
      <c r="I1290" s="6" t="str">
        <f t="shared" si="78"/>
        <v>0</v>
      </c>
      <c r="O1290" t="s">
        <v>321</v>
      </c>
      <c r="P1290">
        <f>IF(C1290&lt;&gt;"",C1290,_xlfn.XLOOKUP(B1290,AI_NAMES!D:D,AI_NAMES!E:E,"",0))</f>
        <v>0</v>
      </c>
    </row>
    <row r="1291" spans="1:16" x14ac:dyDescent="0.2">
      <c r="A1291" t="s">
        <v>1454</v>
      </c>
      <c r="B1291" t="s">
        <v>1455</v>
      </c>
      <c r="E1291" t="str">
        <f t="shared" si="79"/>
        <v/>
      </c>
      <c r="G1291" s="5" t="str">
        <f t="shared" si="80"/>
        <v/>
      </c>
      <c r="I1291" s="6" t="str">
        <f t="shared" si="78"/>
        <v>0</v>
      </c>
      <c r="O1291" t="s">
        <v>1455</v>
      </c>
      <c r="P1291" t="str">
        <f>IF(C1291&lt;&gt;"",C1291,_xlfn.XLOOKUP(B1291,AI_NAMES!D:D,AI_NAMES!E:E,"",0))</f>
        <v/>
      </c>
    </row>
    <row r="1292" spans="1:16" x14ac:dyDescent="0.2">
      <c r="A1292" t="s">
        <v>1456</v>
      </c>
      <c r="B1292" t="s">
        <v>1457</v>
      </c>
      <c r="E1292" t="str">
        <f t="shared" si="79"/>
        <v/>
      </c>
      <c r="G1292" s="5" t="str">
        <f t="shared" si="80"/>
        <v/>
      </c>
      <c r="I1292" s="6" t="str">
        <f t="shared" si="78"/>
        <v>0</v>
      </c>
      <c r="O1292" t="s">
        <v>1457</v>
      </c>
      <c r="P1292" t="str">
        <f>IF(C1292&lt;&gt;"",C1292,_xlfn.XLOOKUP(B1292,AI_NAMES!D:D,AI_NAMES!E:E,"",0))</f>
        <v/>
      </c>
    </row>
    <row r="1293" spans="1:16" x14ac:dyDescent="0.2">
      <c r="A1293" t="s">
        <v>1458</v>
      </c>
      <c r="B1293" t="s">
        <v>1459</v>
      </c>
      <c r="E1293" t="str">
        <f t="shared" si="79"/>
        <v/>
      </c>
      <c r="G1293" s="5" t="str">
        <f t="shared" si="80"/>
        <v/>
      </c>
      <c r="I1293" s="6" t="str">
        <f t="shared" si="78"/>
        <v>0</v>
      </c>
      <c r="O1293" t="s">
        <v>1459</v>
      </c>
      <c r="P1293" t="str">
        <f>IF(C1293&lt;&gt;"",C1293,_xlfn.XLOOKUP(B1293,AI_NAMES!D:D,AI_NAMES!E:E,"",0))</f>
        <v/>
      </c>
    </row>
    <row r="1294" spans="1:16" x14ac:dyDescent="0.2">
      <c r="A1294" t="s">
        <v>1460</v>
      </c>
      <c r="B1294" t="s">
        <v>321</v>
      </c>
      <c r="E1294" t="str">
        <f t="shared" si="79"/>
        <v/>
      </c>
      <c r="G1294" s="5" t="str">
        <f t="shared" si="80"/>
        <v/>
      </c>
      <c r="I1294" s="6" t="str">
        <f t="shared" si="78"/>
        <v>0</v>
      </c>
      <c r="O1294" t="s">
        <v>321</v>
      </c>
      <c r="P1294">
        <f>IF(C1294&lt;&gt;"",C1294,_xlfn.XLOOKUP(B1294,AI_NAMES!D:D,AI_NAMES!E:E,"",0))</f>
        <v>0</v>
      </c>
    </row>
    <row r="1295" spans="1:16" x14ac:dyDescent="0.2">
      <c r="A1295" t="s">
        <v>1461</v>
      </c>
      <c r="B1295" t="s">
        <v>3131</v>
      </c>
      <c r="E1295" t="str">
        <f t="shared" si="79"/>
        <v/>
      </c>
      <c r="G1295" s="5" t="str">
        <f t="shared" si="80"/>
        <v/>
      </c>
      <c r="I1295" s="6" t="str">
        <f t="shared" si="78"/>
        <v>0</v>
      </c>
      <c r="O1295" t="s">
        <v>3131</v>
      </c>
      <c r="P1295" t="str">
        <f>IF(C1295&lt;&gt;"",C1295,_xlfn.XLOOKUP(B1295,AI_NAMES!D:D,AI_NAMES!E:E,"",0))</f>
        <v/>
      </c>
    </row>
    <row r="1296" spans="1:16" x14ac:dyDescent="0.2">
      <c r="A1296" t="s">
        <v>1462</v>
      </c>
      <c r="B1296" t="s">
        <v>1463</v>
      </c>
      <c r="E1296" t="str">
        <f t="shared" si="79"/>
        <v/>
      </c>
      <c r="G1296" s="5" t="str">
        <f t="shared" si="80"/>
        <v/>
      </c>
      <c r="I1296" s="6" t="str">
        <f t="shared" si="78"/>
        <v>0</v>
      </c>
      <c r="O1296" t="s">
        <v>1463</v>
      </c>
      <c r="P1296" t="str">
        <f>IF(C1296&lt;&gt;"",C1296,_xlfn.XLOOKUP(B1296,AI_NAMES!D:D,AI_NAMES!E:E,"",0))</f>
        <v/>
      </c>
    </row>
    <row r="1297" spans="1:16" x14ac:dyDescent="0.2">
      <c r="A1297" t="s">
        <v>1464</v>
      </c>
      <c r="B1297" s="27" t="s">
        <v>1465</v>
      </c>
      <c r="E1297" t="str">
        <f t="shared" si="79"/>
        <v/>
      </c>
      <c r="G1297" s="5" t="str">
        <f t="shared" si="80"/>
        <v/>
      </c>
      <c r="I1297" s="6" t="str">
        <f t="shared" si="78"/>
        <v>0</v>
      </c>
      <c r="O1297" t="s">
        <v>1465</v>
      </c>
      <c r="P1297" t="str">
        <f>IF(C1297&lt;&gt;"",C1297,_xlfn.XLOOKUP(B1297,AI_NAMES!D:D,AI_NAMES!E:E,"",0))</f>
        <v/>
      </c>
    </row>
    <row r="1298" spans="1:16" x14ac:dyDescent="0.2">
      <c r="A1298" t="s">
        <v>1466</v>
      </c>
      <c r="B1298" s="27" t="s">
        <v>1467</v>
      </c>
      <c r="E1298" t="str">
        <f t="shared" si="79"/>
        <v/>
      </c>
      <c r="G1298" s="5" t="str">
        <f t="shared" si="80"/>
        <v/>
      </c>
      <c r="I1298" s="6" t="str">
        <f t="shared" si="78"/>
        <v>0</v>
      </c>
      <c r="O1298" t="s">
        <v>1467</v>
      </c>
      <c r="P1298" t="str">
        <f>IF(C1298&lt;&gt;"",C1298,_xlfn.XLOOKUP(B1298,AI_NAMES!D:D,AI_NAMES!E:E,"",0))</f>
        <v/>
      </c>
    </row>
    <row r="1299" spans="1:16" x14ac:dyDescent="0.2">
      <c r="A1299" t="s">
        <v>1468</v>
      </c>
      <c r="B1299" s="27" t="s">
        <v>1469</v>
      </c>
      <c r="E1299" t="str">
        <f t="shared" si="79"/>
        <v/>
      </c>
      <c r="G1299" s="5" t="str">
        <f t="shared" si="80"/>
        <v/>
      </c>
      <c r="I1299" s="6" t="str">
        <f t="shared" si="78"/>
        <v>0</v>
      </c>
      <c r="O1299" t="s">
        <v>1469</v>
      </c>
      <c r="P1299" t="str">
        <f>IF(C1299&lt;&gt;"",C1299,_xlfn.XLOOKUP(B1299,AI_NAMES!D:D,AI_NAMES!E:E,"",0))</f>
        <v/>
      </c>
    </row>
    <row r="1300" spans="1:16" x14ac:dyDescent="0.2">
      <c r="A1300" t="s">
        <v>1470</v>
      </c>
      <c r="B1300" s="27" t="s">
        <v>321</v>
      </c>
      <c r="E1300" t="str">
        <f t="shared" si="79"/>
        <v/>
      </c>
      <c r="G1300" s="5" t="str">
        <f t="shared" si="80"/>
        <v/>
      </c>
      <c r="I1300" s="6" t="str">
        <f t="shared" si="78"/>
        <v>0</v>
      </c>
      <c r="O1300" t="s">
        <v>321</v>
      </c>
      <c r="P1300">
        <f>IF(C1300&lt;&gt;"",C1300,_xlfn.XLOOKUP(B1300,AI_NAMES!D:D,AI_NAMES!E:E,"",0))</f>
        <v>0</v>
      </c>
    </row>
    <row r="1301" spans="1:16" x14ac:dyDescent="0.2">
      <c r="A1301" t="s">
        <v>1471</v>
      </c>
      <c r="B1301" s="27" t="s">
        <v>1472</v>
      </c>
      <c r="E1301" t="str">
        <f t="shared" si="79"/>
        <v/>
      </c>
      <c r="G1301" s="5" t="str">
        <f t="shared" si="80"/>
        <v/>
      </c>
      <c r="I1301" s="6" t="str">
        <f t="shared" si="78"/>
        <v>0</v>
      </c>
      <c r="O1301" t="s">
        <v>1472</v>
      </c>
      <c r="P1301" t="str">
        <f>IF(C1301&lt;&gt;"",C1301,_xlfn.XLOOKUP(B1301,AI_NAMES!D:D,AI_NAMES!E:E,"",0))</f>
        <v/>
      </c>
    </row>
    <row r="1302" spans="1:16" x14ac:dyDescent="0.2">
      <c r="A1302" t="s">
        <v>1473</v>
      </c>
      <c r="B1302" s="27" t="s">
        <v>321</v>
      </c>
      <c r="E1302" t="str">
        <f t="shared" si="79"/>
        <v/>
      </c>
      <c r="G1302" s="5" t="str">
        <f t="shared" si="80"/>
        <v/>
      </c>
      <c r="I1302" s="6" t="str">
        <f t="shared" si="78"/>
        <v>0</v>
      </c>
      <c r="O1302" t="s">
        <v>321</v>
      </c>
      <c r="P1302">
        <f>IF(C1302&lt;&gt;"",C1302,_xlfn.XLOOKUP(B1302,AI_NAMES!D:D,AI_NAMES!E:E,"",0))</f>
        <v>0</v>
      </c>
    </row>
    <row r="1303" spans="1:16" x14ac:dyDescent="0.2">
      <c r="A1303" t="s">
        <v>1474</v>
      </c>
      <c r="B1303" s="27" t="s">
        <v>321</v>
      </c>
      <c r="E1303" t="str">
        <f t="shared" si="79"/>
        <v/>
      </c>
      <c r="G1303" s="5" t="str">
        <f t="shared" si="80"/>
        <v/>
      </c>
      <c r="I1303" s="6" t="str">
        <f t="shared" si="78"/>
        <v>0</v>
      </c>
      <c r="O1303" t="s">
        <v>321</v>
      </c>
      <c r="P1303">
        <f>IF(C1303&lt;&gt;"",C1303,_xlfn.XLOOKUP(B1303,AI_NAMES!D:D,AI_NAMES!E:E,"",0))</f>
        <v>0</v>
      </c>
    </row>
    <row r="1304" spans="1:16" x14ac:dyDescent="0.2">
      <c r="A1304" t="s">
        <v>1475</v>
      </c>
      <c r="B1304" s="27" t="s">
        <v>321</v>
      </c>
      <c r="E1304" t="str">
        <f t="shared" si="79"/>
        <v/>
      </c>
      <c r="G1304" s="5" t="str">
        <f t="shared" si="80"/>
        <v/>
      </c>
      <c r="I1304" s="6" t="str">
        <f t="shared" si="78"/>
        <v>0</v>
      </c>
      <c r="O1304" t="s">
        <v>321</v>
      </c>
      <c r="P1304">
        <f>IF(C1304&lt;&gt;"",C1304,_xlfn.XLOOKUP(B1304,AI_NAMES!D:D,AI_NAMES!E:E,"",0))</f>
        <v>0</v>
      </c>
    </row>
    <row r="1305" spans="1:16" x14ac:dyDescent="0.2">
      <c r="A1305" t="s">
        <v>1476</v>
      </c>
      <c r="B1305" t="s">
        <v>321</v>
      </c>
      <c r="E1305" t="str">
        <f t="shared" si="79"/>
        <v/>
      </c>
      <c r="G1305" s="5" t="str">
        <f t="shared" si="80"/>
        <v/>
      </c>
      <c r="I1305" s="6" t="str">
        <f t="shared" si="78"/>
        <v>0</v>
      </c>
      <c r="O1305" t="s">
        <v>321</v>
      </c>
      <c r="P1305">
        <f>IF(C1305&lt;&gt;"",C1305,_xlfn.XLOOKUP(B1305,AI_NAMES!D:D,AI_NAMES!E:E,"",0))</f>
        <v>0</v>
      </c>
    </row>
    <row r="1306" spans="1:16" x14ac:dyDescent="0.2">
      <c r="A1306" t="s">
        <v>1477</v>
      </c>
      <c r="B1306" t="s">
        <v>321</v>
      </c>
      <c r="E1306" t="str">
        <f t="shared" si="79"/>
        <v/>
      </c>
      <c r="G1306" s="5" t="str">
        <f t="shared" si="80"/>
        <v/>
      </c>
      <c r="I1306" s="6" t="str">
        <f t="shared" si="78"/>
        <v>0</v>
      </c>
      <c r="O1306" t="s">
        <v>321</v>
      </c>
      <c r="P1306">
        <f>IF(C1306&lt;&gt;"",C1306,_xlfn.XLOOKUP(B1306,AI_NAMES!D:D,AI_NAMES!E:E,"",0))</f>
        <v>0</v>
      </c>
    </row>
    <row r="1307" spans="1:16" x14ac:dyDescent="0.2">
      <c r="A1307" t="s">
        <v>1478</v>
      </c>
      <c r="B1307" t="s">
        <v>321</v>
      </c>
      <c r="E1307" t="str">
        <f t="shared" si="79"/>
        <v/>
      </c>
      <c r="G1307" s="5" t="str">
        <f t="shared" si="80"/>
        <v/>
      </c>
      <c r="I1307" s="6" t="str">
        <f t="shared" si="78"/>
        <v>0</v>
      </c>
      <c r="O1307" t="s">
        <v>321</v>
      </c>
      <c r="P1307">
        <f>IF(C1307&lt;&gt;"",C1307,_xlfn.XLOOKUP(B1307,AI_NAMES!D:D,AI_NAMES!E:E,"",0))</f>
        <v>0</v>
      </c>
    </row>
    <row r="1308" spans="1:16" x14ac:dyDescent="0.2">
      <c r="A1308" t="s">
        <v>1479</v>
      </c>
      <c r="B1308" t="s">
        <v>321</v>
      </c>
      <c r="E1308" t="str">
        <f t="shared" si="79"/>
        <v/>
      </c>
      <c r="G1308" s="5" t="str">
        <f t="shared" si="80"/>
        <v/>
      </c>
      <c r="I1308" s="6" t="str">
        <f t="shared" si="78"/>
        <v>0</v>
      </c>
      <c r="O1308" t="s">
        <v>321</v>
      </c>
      <c r="P1308">
        <f>IF(C1308&lt;&gt;"",C1308,_xlfn.XLOOKUP(B1308,AI_NAMES!D:D,AI_NAMES!E:E,"",0))</f>
        <v>0</v>
      </c>
    </row>
    <row r="1309" spans="1:16" x14ac:dyDescent="0.2">
      <c r="A1309" t="s">
        <v>1480</v>
      </c>
      <c r="B1309" t="s">
        <v>321</v>
      </c>
      <c r="E1309" t="str">
        <f t="shared" si="79"/>
        <v/>
      </c>
      <c r="G1309" s="5" t="str">
        <f t="shared" si="80"/>
        <v/>
      </c>
      <c r="I1309" s="6" t="str">
        <f t="shared" si="78"/>
        <v>0</v>
      </c>
      <c r="O1309" t="s">
        <v>321</v>
      </c>
      <c r="P1309">
        <f>IF(C1309&lt;&gt;"",C1309,_xlfn.XLOOKUP(B1309,AI_NAMES!D:D,AI_NAMES!E:E,"",0))</f>
        <v>0</v>
      </c>
    </row>
    <row r="1310" spans="1:16" x14ac:dyDescent="0.2">
      <c r="A1310" t="s">
        <v>1481</v>
      </c>
      <c r="B1310" t="s">
        <v>321</v>
      </c>
      <c r="E1310" t="str">
        <f t="shared" si="79"/>
        <v/>
      </c>
      <c r="G1310" s="5" t="str">
        <f t="shared" si="80"/>
        <v/>
      </c>
      <c r="I1310" s="6" t="str">
        <f t="shared" si="78"/>
        <v>0</v>
      </c>
      <c r="O1310" t="s">
        <v>321</v>
      </c>
      <c r="P1310">
        <f>IF(C1310&lt;&gt;"",C1310,_xlfn.XLOOKUP(B1310,AI_NAMES!D:D,AI_NAMES!E:E,"",0))</f>
        <v>0</v>
      </c>
    </row>
    <row r="1311" spans="1:16" x14ac:dyDescent="0.2">
      <c r="A1311" t="s">
        <v>1482</v>
      </c>
      <c r="B1311" t="s">
        <v>321</v>
      </c>
      <c r="E1311" t="str">
        <f t="shared" si="79"/>
        <v/>
      </c>
      <c r="G1311" s="5" t="str">
        <f t="shared" si="80"/>
        <v/>
      </c>
      <c r="I1311" s="6" t="str">
        <f t="shared" si="78"/>
        <v>0</v>
      </c>
      <c r="O1311" t="s">
        <v>321</v>
      </c>
      <c r="P1311">
        <f>IF(C1311&lt;&gt;"",C1311,_xlfn.XLOOKUP(B1311,AI_NAMES!D:D,AI_NAMES!E:E,"",0))</f>
        <v>0</v>
      </c>
    </row>
    <row r="1312" spans="1:16" x14ac:dyDescent="0.2">
      <c r="A1312" t="s">
        <v>1483</v>
      </c>
      <c r="B1312" t="s">
        <v>321</v>
      </c>
      <c r="E1312" t="str">
        <f t="shared" si="79"/>
        <v/>
      </c>
      <c r="G1312" s="5" t="str">
        <f t="shared" si="80"/>
        <v/>
      </c>
      <c r="I1312" s="6" t="str">
        <f t="shared" si="78"/>
        <v>0</v>
      </c>
      <c r="O1312" t="s">
        <v>321</v>
      </c>
      <c r="P1312">
        <f>IF(C1312&lt;&gt;"",C1312,_xlfn.XLOOKUP(B1312,AI_NAMES!D:D,AI_NAMES!E:E,"",0))</f>
        <v>0</v>
      </c>
    </row>
    <row r="1313" spans="1:16" x14ac:dyDescent="0.2">
      <c r="A1313" t="s">
        <v>1484</v>
      </c>
      <c r="B1313" t="s">
        <v>321</v>
      </c>
      <c r="E1313" t="str">
        <f t="shared" si="79"/>
        <v/>
      </c>
      <c r="G1313" s="5" t="str">
        <f t="shared" si="80"/>
        <v/>
      </c>
      <c r="I1313" s="6" t="str">
        <f t="shared" si="78"/>
        <v>0</v>
      </c>
      <c r="O1313" t="s">
        <v>321</v>
      </c>
      <c r="P1313">
        <f>IF(C1313&lt;&gt;"",C1313,_xlfn.XLOOKUP(B1313,AI_NAMES!D:D,AI_NAMES!E:E,"",0))</f>
        <v>0</v>
      </c>
    </row>
    <row r="1314" spans="1:16" x14ac:dyDescent="0.2">
      <c r="A1314" t="s">
        <v>1485</v>
      </c>
      <c r="B1314" t="s">
        <v>321</v>
      </c>
      <c r="E1314" t="str">
        <f t="shared" si="79"/>
        <v/>
      </c>
      <c r="G1314" s="5" t="str">
        <f t="shared" si="80"/>
        <v/>
      </c>
      <c r="I1314" s="6" t="str">
        <f t="shared" si="78"/>
        <v>0</v>
      </c>
      <c r="O1314" t="s">
        <v>321</v>
      </c>
      <c r="P1314">
        <f>IF(C1314&lt;&gt;"",C1314,_xlfn.XLOOKUP(B1314,AI_NAMES!D:D,AI_NAMES!E:E,"",0))</f>
        <v>0</v>
      </c>
    </row>
    <row r="1315" spans="1:16" x14ac:dyDescent="0.2">
      <c r="A1315" t="s">
        <v>1486</v>
      </c>
      <c r="B1315" t="s">
        <v>321</v>
      </c>
      <c r="E1315" t="str">
        <f t="shared" si="79"/>
        <v/>
      </c>
      <c r="G1315" s="5" t="str">
        <f t="shared" si="80"/>
        <v/>
      </c>
      <c r="I1315" s="6" t="str">
        <f t="shared" si="78"/>
        <v>0</v>
      </c>
      <c r="O1315" t="s">
        <v>321</v>
      </c>
      <c r="P1315">
        <f>IF(C1315&lt;&gt;"",C1315,_xlfn.XLOOKUP(B1315,AI_NAMES!D:D,AI_NAMES!E:E,"",0))</f>
        <v>0</v>
      </c>
    </row>
    <row r="1316" spans="1:16" x14ac:dyDescent="0.2">
      <c r="A1316" t="s">
        <v>1487</v>
      </c>
      <c r="B1316" t="s">
        <v>321</v>
      </c>
      <c r="E1316" t="str">
        <f t="shared" si="79"/>
        <v/>
      </c>
      <c r="G1316" s="5" t="str">
        <f t="shared" si="80"/>
        <v/>
      </c>
      <c r="I1316" s="6" t="str">
        <f t="shared" si="78"/>
        <v>0</v>
      </c>
      <c r="O1316" t="s">
        <v>321</v>
      </c>
      <c r="P1316">
        <f>IF(C1316&lt;&gt;"",C1316,_xlfn.XLOOKUP(B1316,AI_NAMES!D:D,AI_NAMES!E:E,"",0))</f>
        <v>0</v>
      </c>
    </row>
    <row r="1317" spans="1:16" x14ac:dyDescent="0.2">
      <c r="A1317" t="s">
        <v>1488</v>
      </c>
      <c r="B1317" t="s">
        <v>321</v>
      </c>
      <c r="E1317" t="str">
        <f t="shared" si="79"/>
        <v/>
      </c>
      <c r="G1317" s="5" t="str">
        <f t="shared" si="80"/>
        <v/>
      </c>
      <c r="I1317" s="6" t="str">
        <f t="shared" si="78"/>
        <v>0</v>
      </c>
      <c r="O1317" t="s">
        <v>321</v>
      </c>
      <c r="P1317">
        <f>IF(C1317&lt;&gt;"",C1317,_xlfn.XLOOKUP(B1317,AI_NAMES!D:D,AI_NAMES!E:E,"",0))</f>
        <v>0</v>
      </c>
    </row>
    <row r="1318" spans="1:16" x14ac:dyDescent="0.2">
      <c r="A1318" t="s">
        <v>1489</v>
      </c>
      <c r="B1318" t="s">
        <v>321</v>
      </c>
      <c r="E1318" t="str">
        <f t="shared" si="79"/>
        <v/>
      </c>
      <c r="G1318" s="5" t="str">
        <f t="shared" si="80"/>
        <v/>
      </c>
      <c r="I1318" s="6" t="str">
        <f t="shared" si="78"/>
        <v>0</v>
      </c>
      <c r="O1318" t="s">
        <v>321</v>
      </c>
      <c r="P1318">
        <f>IF(C1318&lt;&gt;"",C1318,_xlfn.XLOOKUP(B1318,AI_NAMES!D:D,AI_NAMES!E:E,"",0))</f>
        <v>0</v>
      </c>
    </row>
    <row r="1319" spans="1:16" x14ac:dyDescent="0.2">
      <c r="A1319" t="s">
        <v>1490</v>
      </c>
      <c r="B1319" t="s">
        <v>321</v>
      </c>
      <c r="E1319" t="str">
        <f t="shared" si="79"/>
        <v/>
      </c>
      <c r="G1319" s="5" t="str">
        <f t="shared" si="80"/>
        <v/>
      </c>
      <c r="I1319" s="6" t="str">
        <f t="shared" si="78"/>
        <v>0</v>
      </c>
      <c r="O1319" t="s">
        <v>321</v>
      </c>
      <c r="P1319">
        <f>IF(C1319&lt;&gt;"",C1319,_xlfn.XLOOKUP(B1319,AI_NAMES!D:D,AI_NAMES!E:E,"",0))</f>
        <v>0</v>
      </c>
    </row>
    <row r="1320" spans="1:16" x14ac:dyDescent="0.2">
      <c r="A1320" t="s">
        <v>1491</v>
      </c>
      <c r="B1320" t="s">
        <v>321</v>
      </c>
      <c r="E1320" t="str">
        <f t="shared" si="79"/>
        <v/>
      </c>
      <c r="G1320" s="5" t="str">
        <f t="shared" si="80"/>
        <v/>
      </c>
      <c r="I1320" s="6" t="str">
        <f t="shared" si="78"/>
        <v>0</v>
      </c>
      <c r="O1320" t="s">
        <v>321</v>
      </c>
      <c r="P1320">
        <f>IF(C1320&lt;&gt;"",C1320,_xlfn.XLOOKUP(B1320,AI_NAMES!D:D,AI_NAMES!E:E,"",0))</f>
        <v>0</v>
      </c>
    </row>
    <row r="1321" spans="1:16" x14ac:dyDescent="0.2">
      <c r="A1321" t="s">
        <v>1492</v>
      </c>
      <c r="B1321" t="s">
        <v>321</v>
      </c>
      <c r="E1321" t="str">
        <f t="shared" si="79"/>
        <v/>
      </c>
      <c r="G1321" s="5" t="str">
        <f t="shared" si="80"/>
        <v/>
      </c>
      <c r="I1321" s="6" t="str">
        <f t="shared" si="78"/>
        <v>0</v>
      </c>
      <c r="O1321" t="s">
        <v>321</v>
      </c>
      <c r="P1321">
        <f>IF(C1321&lt;&gt;"",C1321,_xlfn.XLOOKUP(B1321,AI_NAMES!D:D,AI_NAMES!E:E,"",0))</f>
        <v>0</v>
      </c>
    </row>
    <row r="1322" spans="1:16" x14ac:dyDescent="0.2">
      <c r="A1322" t="s">
        <v>1493</v>
      </c>
      <c r="B1322" t="s">
        <v>321</v>
      </c>
      <c r="E1322" t="str">
        <f t="shared" si="79"/>
        <v/>
      </c>
      <c r="G1322" s="5" t="str">
        <f t="shared" si="80"/>
        <v/>
      </c>
      <c r="I1322" s="6" t="str">
        <f t="shared" si="78"/>
        <v>0</v>
      </c>
      <c r="O1322" t="s">
        <v>321</v>
      </c>
      <c r="P1322">
        <f>IF(C1322&lt;&gt;"",C1322,_xlfn.XLOOKUP(B1322,AI_NAMES!D:D,AI_NAMES!E:E,"",0))</f>
        <v>0</v>
      </c>
    </row>
    <row r="1323" spans="1:16" x14ac:dyDescent="0.2">
      <c r="A1323" t="s">
        <v>1494</v>
      </c>
      <c r="B1323" t="s">
        <v>321</v>
      </c>
      <c r="E1323" t="str">
        <f t="shared" si="79"/>
        <v/>
      </c>
      <c r="G1323" s="5" t="str">
        <f t="shared" si="80"/>
        <v/>
      </c>
      <c r="I1323" s="6" t="str">
        <f t="shared" si="78"/>
        <v>0</v>
      </c>
      <c r="O1323" t="s">
        <v>321</v>
      </c>
      <c r="P1323">
        <f>IF(C1323&lt;&gt;"",C1323,_xlfn.XLOOKUP(B1323,AI_NAMES!D:D,AI_NAMES!E:E,"",0))</f>
        <v>0</v>
      </c>
    </row>
    <row r="1324" spans="1:16" x14ac:dyDescent="0.2">
      <c r="A1324" t="s">
        <v>1495</v>
      </c>
      <c r="B1324" t="s">
        <v>321</v>
      </c>
      <c r="E1324" t="str">
        <f t="shared" si="79"/>
        <v/>
      </c>
      <c r="G1324" s="5" t="str">
        <f t="shared" si="80"/>
        <v/>
      </c>
      <c r="I1324" s="6" t="str">
        <f t="shared" si="78"/>
        <v>0</v>
      </c>
      <c r="O1324" t="s">
        <v>321</v>
      </c>
      <c r="P1324">
        <f>IF(C1324&lt;&gt;"",C1324,_xlfn.XLOOKUP(B1324,AI_NAMES!D:D,AI_NAMES!E:E,"",0))</f>
        <v>0</v>
      </c>
    </row>
    <row r="1325" spans="1:16" x14ac:dyDescent="0.2">
      <c r="A1325" t="s">
        <v>1496</v>
      </c>
      <c r="B1325" t="s">
        <v>321</v>
      </c>
      <c r="E1325" t="str">
        <f t="shared" si="79"/>
        <v/>
      </c>
      <c r="G1325" s="5" t="str">
        <f t="shared" si="80"/>
        <v/>
      </c>
      <c r="I1325" s="6" t="str">
        <f t="shared" si="78"/>
        <v>0</v>
      </c>
      <c r="O1325" t="s">
        <v>321</v>
      </c>
      <c r="P1325">
        <f>IF(C1325&lt;&gt;"",C1325,_xlfn.XLOOKUP(B1325,AI_NAMES!D:D,AI_NAMES!E:E,"",0))</f>
        <v>0</v>
      </c>
    </row>
    <row r="1326" spans="1:16" x14ac:dyDescent="0.2">
      <c r="A1326" t="s">
        <v>1497</v>
      </c>
      <c r="B1326" t="s">
        <v>321</v>
      </c>
      <c r="E1326" t="str">
        <f t="shared" si="79"/>
        <v/>
      </c>
      <c r="G1326" s="5" t="str">
        <f t="shared" si="80"/>
        <v/>
      </c>
      <c r="I1326" s="6" t="str">
        <f t="shared" si="78"/>
        <v>0</v>
      </c>
      <c r="O1326" t="s">
        <v>321</v>
      </c>
      <c r="P1326">
        <f>IF(C1326&lt;&gt;"",C1326,_xlfn.XLOOKUP(B1326,AI_NAMES!D:D,AI_NAMES!E:E,"",0))</f>
        <v>0</v>
      </c>
    </row>
    <row r="1327" spans="1:16" x14ac:dyDescent="0.2">
      <c r="A1327" t="s">
        <v>1498</v>
      </c>
      <c r="B1327" t="s">
        <v>321</v>
      </c>
      <c r="E1327" t="str">
        <f t="shared" si="79"/>
        <v/>
      </c>
      <c r="G1327" s="5" t="str">
        <f t="shared" si="80"/>
        <v/>
      </c>
      <c r="I1327" s="6" t="str">
        <f t="shared" si="78"/>
        <v>0</v>
      </c>
      <c r="O1327" t="s">
        <v>321</v>
      </c>
      <c r="P1327">
        <f>IF(C1327&lt;&gt;"",C1327,_xlfn.XLOOKUP(B1327,AI_NAMES!D:D,AI_NAMES!E:E,"",0))</f>
        <v>0</v>
      </c>
    </row>
    <row r="1328" spans="1:16" x14ac:dyDescent="0.2">
      <c r="A1328" t="s">
        <v>1499</v>
      </c>
      <c r="B1328" t="s">
        <v>321</v>
      </c>
      <c r="E1328" t="str">
        <f t="shared" si="79"/>
        <v/>
      </c>
      <c r="G1328" s="5" t="str">
        <f t="shared" si="80"/>
        <v/>
      </c>
      <c r="I1328" s="6" t="str">
        <f t="shared" si="78"/>
        <v>0</v>
      </c>
      <c r="O1328" t="s">
        <v>321</v>
      </c>
      <c r="P1328">
        <f>IF(C1328&lt;&gt;"",C1328,_xlfn.XLOOKUP(B1328,AI_NAMES!D:D,AI_NAMES!E:E,"",0))</f>
        <v>0</v>
      </c>
    </row>
    <row r="1329" spans="1:16" x14ac:dyDescent="0.2">
      <c r="A1329" t="s">
        <v>1500</v>
      </c>
      <c r="B1329" t="s">
        <v>321</v>
      </c>
      <c r="E1329" t="str">
        <f t="shared" si="79"/>
        <v/>
      </c>
      <c r="G1329" s="5" t="str">
        <f t="shared" si="80"/>
        <v/>
      </c>
      <c r="I1329" s="6" t="str">
        <f t="shared" si="78"/>
        <v>0</v>
      </c>
      <c r="O1329" t="s">
        <v>321</v>
      </c>
      <c r="P1329">
        <f>IF(C1329&lt;&gt;"",C1329,_xlfn.XLOOKUP(B1329,AI_NAMES!D:D,AI_NAMES!E:E,"",0))</f>
        <v>0</v>
      </c>
    </row>
    <row r="1330" spans="1:16" x14ac:dyDescent="0.2">
      <c r="A1330" t="s">
        <v>1501</v>
      </c>
      <c r="B1330" t="s">
        <v>321</v>
      </c>
      <c r="E1330" t="str">
        <f t="shared" si="79"/>
        <v/>
      </c>
      <c r="G1330" s="5" t="str">
        <f t="shared" si="80"/>
        <v/>
      </c>
      <c r="I1330" s="6" t="str">
        <f t="shared" si="78"/>
        <v>0</v>
      </c>
      <c r="O1330" t="s">
        <v>321</v>
      </c>
      <c r="P1330">
        <f>IF(C1330&lt;&gt;"",C1330,_xlfn.XLOOKUP(B1330,AI_NAMES!D:D,AI_NAMES!E:E,"",0))</f>
        <v>0</v>
      </c>
    </row>
    <row r="1331" spans="1:16" x14ac:dyDescent="0.2">
      <c r="A1331" t="s">
        <v>1502</v>
      </c>
      <c r="B1331" t="s">
        <v>321</v>
      </c>
      <c r="E1331" t="str">
        <f t="shared" si="79"/>
        <v/>
      </c>
      <c r="G1331" s="5" t="str">
        <f t="shared" si="80"/>
        <v/>
      </c>
      <c r="I1331" s="6" t="str">
        <f t="shared" si="78"/>
        <v>0</v>
      </c>
      <c r="O1331" t="s">
        <v>321</v>
      </c>
      <c r="P1331">
        <f>IF(C1331&lt;&gt;"",C1331,_xlfn.XLOOKUP(B1331,AI_NAMES!D:D,AI_NAMES!E:E,"",0))</f>
        <v>0</v>
      </c>
    </row>
    <row r="1332" spans="1:16" x14ac:dyDescent="0.2">
      <c r="A1332" t="s">
        <v>1503</v>
      </c>
      <c r="B1332" t="s">
        <v>321</v>
      </c>
      <c r="E1332" t="str">
        <f t="shared" si="79"/>
        <v/>
      </c>
      <c r="G1332" s="5" t="str">
        <f t="shared" si="80"/>
        <v/>
      </c>
      <c r="I1332" s="6" t="str">
        <f t="shared" si="78"/>
        <v>0</v>
      </c>
      <c r="O1332" t="s">
        <v>321</v>
      </c>
      <c r="P1332">
        <f>IF(C1332&lt;&gt;"",C1332,_xlfn.XLOOKUP(B1332,AI_NAMES!D:D,AI_NAMES!E:E,"",0))</f>
        <v>0</v>
      </c>
    </row>
    <row r="1333" spans="1:16" x14ac:dyDescent="0.2">
      <c r="A1333" t="s">
        <v>1504</v>
      </c>
      <c r="B1333" t="s">
        <v>321</v>
      </c>
      <c r="E1333" t="str">
        <f t="shared" si="79"/>
        <v/>
      </c>
      <c r="G1333" s="5" t="str">
        <f t="shared" si="80"/>
        <v/>
      </c>
      <c r="I1333" s="6" t="str">
        <f t="shared" si="78"/>
        <v>0</v>
      </c>
      <c r="O1333" t="s">
        <v>321</v>
      </c>
      <c r="P1333">
        <f>IF(C1333&lt;&gt;"",C1333,_xlfn.XLOOKUP(B1333,AI_NAMES!D:D,AI_NAMES!E:E,"",0))</f>
        <v>0</v>
      </c>
    </row>
    <row r="1334" spans="1:16" x14ac:dyDescent="0.2">
      <c r="A1334" t="s">
        <v>1505</v>
      </c>
      <c r="B1334" t="s">
        <v>321</v>
      </c>
      <c r="E1334" t="str">
        <f t="shared" si="79"/>
        <v/>
      </c>
      <c r="G1334" s="5" t="str">
        <f t="shared" si="80"/>
        <v/>
      </c>
      <c r="I1334" s="6" t="str">
        <f t="shared" si="78"/>
        <v>0</v>
      </c>
      <c r="O1334" t="s">
        <v>321</v>
      </c>
      <c r="P1334">
        <f>IF(C1334&lt;&gt;"",C1334,_xlfn.XLOOKUP(B1334,AI_NAMES!D:D,AI_NAMES!E:E,"",0))</f>
        <v>0</v>
      </c>
    </row>
    <row r="1335" spans="1:16" x14ac:dyDescent="0.2">
      <c r="A1335" t="s">
        <v>1506</v>
      </c>
      <c r="B1335" t="s">
        <v>321</v>
      </c>
      <c r="E1335" t="str">
        <f t="shared" si="79"/>
        <v/>
      </c>
      <c r="G1335" s="5" t="str">
        <f t="shared" si="80"/>
        <v/>
      </c>
      <c r="I1335" s="6" t="str">
        <f t="shared" si="78"/>
        <v>0</v>
      </c>
      <c r="O1335" t="s">
        <v>321</v>
      </c>
      <c r="P1335">
        <f>IF(C1335&lt;&gt;"",C1335,_xlfn.XLOOKUP(B1335,AI_NAMES!D:D,AI_NAMES!E:E,"",0))</f>
        <v>0</v>
      </c>
    </row>
    <row r="1336" spans="1:16" x14ac:dyDescent="0.2">
      <c r="A1336" t="s">
        <v>1507</v>
      </c>
      <c r="B1336" t="s">
        <v>321</v>
      </c>
      <c r="E1336" t="str">
        <f t="shared" si="79"/>
        <v/>
      </c>
      <c r="G1336" s="5" t="str">
        <f t="shared" si="80"/>
        <v/>
      </c>
      <c r="I1336" s="6" t="str">
        <f t="shared" si="78"/>
        <v>0</v>
      </c>
      <c r="O1336" t="s">
        <v>321</v>
      </c>
      <c r="P1336">
        <f>IF(C1336&lt;&gt;"",C1336,_xlfn.XLOOKUP(B1336,AI_NAMES!D:D,AI_NAMES!E:E,"",0))</f>
        <v>0</v>
      </c>
    </row>
    <row r="1337" spans="1:16" x14ac:dyDescent="0.2">
      <c r="A1337" t="s">
        <v>1508</v>
      </c>
      <c r="B1337" t="s">
        <v>321</v>
      </c>
      <c r="E1337" t="str">
        <f t="shared" si="79"/>
        <v/>
      </c>
      <c r="G1337" s="5" t="str">
        <f t="shared" si="80"/>
        <v/>
      </c>
      <c r="I1337" s="6" t="str">
        <f t="shared" si="78"/>
        <v>0</v>
      </c>
      <c r="O1337" t="s">
        <v>321</v>
      </c>
      <c r="P1337">
        <f>IF(C1337&lt;&gt;"",C1337,_xlfn.XLOOKUP(B1337,AI_NAMES!D:D,AI_NAMES!E:E,"",0))</f>
        <v>0</v>
      </c>
    </row>
    <row r="1338" spans="1:16" x14ac:dyDescent="0.2">
      <c r="A1338" t="s">
        <v>1509</v>
      </c>
      <c r="B1338" t="s">
        <v>321</v>
      </c>
      <c r="E1338" t="str">
        <f t="shared" si="79"/>
        <v/>
      </c>
      <c r="G1338" s="5" t="str">
        <f t="shared" si="80"/>
        <v/>
      </c>
      <c r="I1338" s="6" t="str">
        <f t="shared" si="78"/>
        <v>0</v>
      </c>
      <c r="O1338" t="s">
        <v>321</v>
      </c>
      <c r="P1338">
        <f>IF(C1338&lt;&gt;"",C1338,_xlfn.XLOOKUP(B1338,AI_NAMES!D:D,AI_NAMES!E:E,"",0))</f>
        <v>0</v>
      </c>
    </row>
    <row r="1339" spans="1:16" x14ac:dyDescent="0.2">
      <c r="A1339" t="s">
        <v>1510</v>
      </c>
      <c r="B1339" t="s">
        <v>321</v>
      </c>
      <c r="E1339" t="str">
        <f t="shared" si="79"/>
        <v/>
      </c>
      <c r="G1339" s="5" t="str">
        <f t="shared" si="80"/>
        <v/>
      </c>
      <c r="I1339" s="6" t="str">
        <f t="shared" si="78"/>
        <v>0</v>
      </c>
      <c r="O1339" t="s">
        <v>321</v>
      </c>
      <c r="P1339">
        <f>IF(C1339&lt;&gt;"",C1339,_xlfn.XLOOKUP(B1339,AI_NAMES!D:D,AI_NAMES!E:E,"",0))</f>
        <v>0</v>
      </c>
    </row>
    <row r="1340" spans="1:16" x14ac:dyDescent="0.2">
      <c r="A1340" t="s">
        <v>1511</v>
      </c>
      <c r="B1340" t="s">
        <v>321</v>
      </c>
      <c r="E1340" t="str">
        <f t="shared" si="79"/>
        <v/>
      </c>
      <c r="G1340" s="5" t="str">
        <f t="shared" si="80"/>
        <v/>
      </c>
      <c r="I1340" s="6" t="str">
        <f t="shared" si="78"/>
        <v>0</v>
      </c>
      <c r="O1340" t="s">
        <v>321</v>
      </c>
      <c r="P1340">
        <f>IF(C1340&lt;&gt;"",C1340,_xlfn.XLOOKUP(B1340,AI_NAMES!D:D,AI_NAMES!E:E,"",0))</f>
        <v>0</v>
      </c>
    </row>
    <row r="1341" spans="1:16" x14ac:dyDescent="0.2">
      <c r="A1341" t="s">
        <v>1512</v>
      </c>
      <c r="B1341" t="s">
        <v>321</v>
      </c>
      <c r="E1341" t="str">
        <f t="shared" si="79"/>
        <v/>
      </c>
      <c r="G1341" s="5" t="str">
        <f t="shared" si="80"/>
        <v/>
      </c>
      <c r="I1341" s="6" t="str">
        <f t="shared" si="78"/>
        <v>0</v>
      </c>
      <c r="O1341" t="s">
        <v>321</v>
      </c>
      <c r="P1341">
        <f>IF(C1341&lt;&gt;"",C1341,_xlfn.XLOOKUP(B1341,AI_NAMES!D:D,AI_NAMES!E:E,"",0))</f>
        <v>0</v>
      </c>
    </row>
    <row r="1342" spans="1:16" x14ac:dyDescent="0.2">
      <c r="A1342" t="s">
        <v>1513</v>
      </c>
      <c r="B1342" t="s">
        <v>321</v>
      </c>
      <c r="E1342" t="str">
        <f t="shared" si="79"/>
        <v/>
      </c>
      <c r="G1342" s="5" t="str">
        <f t="shared" si="80"/>
        <v/>
      </c>
      <c r="I1342" s="6" t="str">
        <f t="shared" si="78"/>
        <v>0</v>
      </c>
      <c r="O1342" t="s">
        <v>321</v>
      </c>
      <c r="P1342">
        <f>IF(C1342&lt;&gt;"",C1342,_xlfn.XLOOKUP(B1342,AI_NAMES!D:D,AI_NAMES!E:E,"",0))</f>
        <v>0</v>
      </c>
    </row>
    <row r="1343" spans="1:16" x14ac:dyDescent="0.2">
      <c r="A1343" t="s">
        <v>1514</v>
      </c>
      <c r="B1343" t="s">
        <v>1515</v>
      </c>
      <c r="E1343" t="str">
        <f t="shared" si="79"/>
        <v/>
      </c>
      <c r="G1343" s="5" t="str">
        <f t="shared" si="80"/>
        <v/>
      </c>
      <c r="I1343" s="6" t="str">
        <f t="shared" si="78"/>
        <v>0</v>
      </c>
      <c r="O1343" t="s">
        <v>1515</v>
      </c>
      <c r="P1343" t="str">
        <f>IF(C1343&lt;&gt;"",C1343,_xlfn.XLOOKUP(B1343,AI_NAMES!D:D,AI_NAMES!E:E,"",0))</f>
        <v/>
      </c>
    </row>
    <row r="1344" spans="1:16" x14ac:dyDescent="0.2">
      <c r="A1344" t="s">
        <v>1516</v>
      </c>
      <c r="B1344" t="s">
        <v>321</v>
      </c>
      <c r="E1344" t="str">
        <f t="shared" si="79"/>
        <v/>
      </c>
      <c r="G1344" s="5" t="str">
        <f t="shared" si="80"/>
        <v/>
      </c>
      <c r="I1344" s="6" t="str">
        <f t="shared" si="78"/>
        <v>0</v>
      </c>
      <c r="O1344" t="s">
        <v>321</v>
      </c>
      <c r="P1344">
        <f>IF(C1344&lt;&gt;"",C1344,_xlfn.XLOOKUP(B1344,AI_NAMES!D:D,AI_NAMES!E:E,"",0))</f>
        <v>0</v>
      </c>
    </row>
    <row r="1345" spans="1:16" x14ac:dyDescent="0.2">
      <c r="A1345" t="s">
        <v>1517</v>
      </c>
      <c r="B1345" t="s">
        <v>321</v>
      </c>
      <c r="E1345" t="str">
        <f t="shared" si="79"/>
        <v/>
      </c>
      <c r="G1345" s="5" t="str">
        <f t="shared" si="80"/>
        <v/>
      </c>
      <c r="I1345" s="6" t="str">
        <f t="shared" si="78"/>
        <v>0</v>
      </c>
      <c r="O1345" t="s">
        <v>321</v>
      </c>
      <c r="P1345">
        <f>IF(C1345&lt;&gt;"",C1345,_xlfn.XLOOKUP(B1345,AI_NAMES!D:D,AI_NAMES!E:E,"",0))</f>
        <v>0</v>
      </c>
    </row>
    <row r="1346" spans="1:16" x14ac:dyDescent="0.2">
      <c r="A1346" t="s">
        <v>1518</v>
      </c>
      <c r="B1346" t="s">
        <v>321</v>
      </c>
      <c r="E1346" t="str">
        <f t="shared" si="79"/>
        <v/>
      </c>
      <c r="G1346" s="5" t="str">
        <f t="shared" si="80"/>
        <v/>
      </c>
      <c r="I1346" s="6" t="str">
        <f t="shared" si="78"/>
        <v>0</v>
      </c>
      <c r="O1346" t="s">
        <v>321</v>
      </c>
      <c r="P1346">
        <f>IF(C1346&lt;&gt;"",C1346,_xlfn.XLOOKUP(B1346,AI_NAMES!D:D,AI_NAMES!E:E,"",0))</f>
        <v>0</v>
      </c>
    </row>
    <row r="1347" spans="1:16" x14ac:dyDescent="0.2">
      <c r="A1347" t="s">
        <v>1519</v>
      </c>
      <c r="B1347" t="s">
        <v>321</v>
      </c>
      <c r="E1347" t="str">
        <f t="shared" si="79"/>
        <v/>
      </c>
      <c r="G1347" s="5" t="str">
        <f t="shared" si="80"/>
        <v/>
      </c>
      <c r="I1347" s="6" t="str">
        <f t="shared" ref="I1347:I1410" si="81">IFERROR(DEC2HEX(H1347),"")</f>
        <v>0</v>
      </c>
      <c r="O1347" t="s">
        <v>321</v>
      </c>
      <c r="P1347">
        <f>IF(C1347&lt;&gt;"",C1347,_xlfn.XLOOKUP(B1347,AI_NAMES!D:D,AI_NAMES!E:E,"",0))</f>
        <v>0</v>
      </c>
    </row>
    <row r="1348" spans="1:16" x14ac:dyDescent="0.2">
      <c r="A1348" t="s">
        <v>1520</v>
      </c>
      <c r="B1348" t="s">
        <v>321</v>
      </c>
      <c r="E1348" t="str">
        <f t="shared" ref="E1348:E1411" si="82">IF(D1348&lt;&gt;"",C1348&amp;"/"&amp;D1348,"")</f>
        <v/>
      </c>
      <c r="G1348" s="5" t="str">
        <f t="shared" si="80"/>
        <v/>
      </c>
      <c r="I1348" s="6" t="str">
        <f t="shared" si="81"/>
        <v>0</v>
      </c>
      <c r="O1348" t="s">
        <v>321</v>
      </c>
      <c r="P1348">
        <f>IF(C1348&lt;&gt;"",C1348,_xlfn.XLOOKUP(B1348,AI_NAMES!D:D,AI_NAMES!E:E,"",0))</f>
        <v>0</v>
      </c>
    </row>
    <row r="1349" spans="1:16" x14ac:dyDescent="0.2">
      <c r="A1349" t="s">
        <v>1521</v>
      </c>
      <c r="B1349" t="s">
        <v>321</v>
      </c>
      <c r="E1349" t="str">
        <f t="shared" si="82"/>
        <v/>
      </c>
      <c r="G1349" s="5" t="str">
        <f t="shared" si="80"/>
        <v/>
      </c>
      <c r="I1349" s="6" t="str">
        <f t="shared" si="81"/>
        <v>0</v>
      </c>
      <c r="O1349" t="s">
        <v>321</v>
      </c>
      <c r="P1349">
        <f>IF(C1349&lt;&gt;"",C1349,_xlfn.XLOOKUP(B1349,AI_NAMES!D:D,AI_NAMES!E:E,"",0))</f>
        <v>0</v>
      </c>
    </row>
    <row r="1350" spans="1:16" x14ac:dyDescent="0.2">
      <c r="A1350" t="s">
        <v>1522</v>
      </c>
      <c r="B1350" t="s">
        <v>321</v>
      </c>
      <c r="E1350" t="str">
        <f t="shared" si="82"/>
        <v/>
      </c>
      <c r="G1350" s="5" t="str">
        <f t="shared" si="80"/>
        <v/>
      </c>
      <c r="I1350" s="6" t="str">
        <f t="shared" si="81"/>
        <v>0</v>
      </c>
      <c r="O1350" t="s">
        <v>321</v>
      </c>
      <c r="P1350">
        <f>IF(C1350&lt;&gt;"",C1350,_xlfn.XLOOKUP(B1350,AI_NAMES!D:D,AI_NAMES!E:E,"",0))</f>
        <v>0</v>
      </c>
    </row>
    <row r="1351" spans="1:16" x14ac:dyDescent="0.2">
      <c r="A1351" t="s">
        <v>1523</v>
      </c>
      <c r="B1351" t="s">
        <v>321</v>
      </c>
      <c r="E1351" t="str">
        <f t="shared" si="82"/>
        <v/>
      </c>
      <c r="G1351" s="5" t="str">
        <f t="shared" si="80"/>
        <v/>
      </c>
      <c r="I1351" s="6" t="str">
        <f t="shared" si="81"/>
        <v>0</v>
      </c>
      <c r="O1351" t="s">
        <v>321</v>
      </c>
      <c r="P1351">
        <f>IF(C1351&lt;&gt;"",C1351,_xlfn.XLOOKUP(B1351,AI_NAMES!D:D,AI_NAMES!E:E,"",0))</f>
        <v>0</v>
      </c>
    </row>
    <row r="1352" spans="1:16" x14ac:dyDescent="0.2">
      <c r="A1352" t="s">
        <v>1524</v>
      </c>
      <c r="B1352" t="s">
        <v>321</v>
      </c>
      <c r="E1352" t="str">
        <f t="shared" si="82"/>
        <v/>
      </c>
      <c r="G1352" s="5" t="str">
        <f t="shared" si="80"/>
        <v/>
      </c>
      <c r="I1352" s="6" t="str">
        <f t="shared" si="81"/>
        <v>0</v>
      </c>
      <c r="O1352" t="s">
        <v>321</v>
      </c>
      <c r="P1352">
        <f>IF(C1352&lt;&gt;"",C1352,_xlfn.XLOOKUP(B1352,AI_NAMES!D:D,AI_NAMES!E:E,"",0))</f>
        <v>0</v>
      </c>
    </row>
    <row r="1353" spans="1:16" x14ac:dyDescent="0.2">
      <c r="A1353" t="s">
        <v>1525</v>
      </c>
      <c r="B1353" t="s">
        <v>321</v>
      </c>
      <c r="E1353" t="str">
        <f t="shared" si="82"/>
        <v/>
      </c>
      <c r="G1353" s="5" t="str">
        <f t="shared" ref="G1353:G1416" si="83">IF(F1353&lt;&gt;"",HEX2DEC(SUBSTITUTE(SUBSTITUTE(F1353,"adrEA",""),"$","")),"")</f>
        <v/>
      </c>
      <c r="I1353" s="6" t="str">
        <f t="shared" si="81"/>
        <v>0</v>
      </c>
      <c r="O1353" t="s">
        <v>321</v>
      </c>
      <c r="P1353">
        <f>IF(C1353&lt;&gt;"",C1353,_xlfn.XLOOKUP(B1353,AI_NAMES!D:D,AI_NAMES!E:E,"",0))</f>
        <v>0</v>
      </c>
    </row>
    <row r="1354" spans="1:16" x14ac:dyDescent="0.2">
      <c r="A1354" t="s">
        <v>1526</v>
      </c>
      <c r="B1354" t="s">
        <v>321</v>
      </c>
      <c r="E1354" t="str">
        <f t="shared" si="82"/>
        <v/>
      </c>
      <c r="G1354" s="5" t="str">
        <f t="shared" si="83"/>
        <v/>
      </c>
      <c r="I1354" s="6" t="str">
        <f t="shared" si="81"/>
        <v>0</v>
      </c>
      <c r="O1354" t="s">
        <v>321</v>
      </c>
      <c r="P1354">
        <f>IF(C1354&lt;&gt;"",C1354,_xlfn.XLOOKUP(B1354,AI_NAMES!D:D,AI_NAMES!E:E,"",0))</f>
        <v>0</v>
      </c>
    </row>
    <row r="1355" spans="1:16" x14ac:dyDescent="0.2">
      <c r="A1355" t="s">
        <v>1527</v>
      </c>
      <c r="B1355" t="s">
        <v>321</v>
      </c>
      <c r="E1355" t="str">
        <f t="shared" si="82"/>
        <v/>
      </c>
      <c r="G1355" s="5" t="str">
        <f t="shared" si="83"/>
        <v/>
      </c>
      <c r="I1355" s="6" t="str">
        <f t="shared" si="81"/>
        <v>0</v>
      </c>
      <c r="O1355" t="s">
        <v>321</v>
      </c>
      <c r="P1355">
        <f>IF(C1355&lt;&gt;"",C1355,_xlfn.XLOOKUP(B1355,AI_NAMES!D:D,AI_NAMES!E:E,"",0))</f>
        <v>0</v>
      </c>
    </row>
    <row r="1356" spans="1:16" x14ac:dyDescent="0.2">
      <c r="A1356" t="s">
        <v>1528</v>
      </c>
      <c r="B1356" t="s">
        <v>321</v>
      </c>
      <c r="E1356" t="str">
        <f t="shared" si="82"/>
        <v/>
      </c>
      <c r="G1356" s="5" t="str">
        <f t="shared" si="83"/>
        <v/>
      </c>
      <c r="I1356" s="6" t="str">
        <f t="shared" si="81"/>
        <v>0</v>
      </c>
      <c r="O1356" t="s">
        <v>321</v>
      </c>
      <c r="P1356">
        <f>IF(C1356&lt;&gt;"",C1356,_xlfn.XLOOKUP(B1356,AI_NAMES!D:D,AI_NAMES!E:E,"",0))</f>
        <v>0</v>
      </c>
    </row>
    <row r="1357" spans="1:16" x14ac:dyDescent="0.2">
      <c r="A1357" t="s">
        <v>1529</v>
      </c>
      <c r="B1357" t="s">
        <v>321</v>
      </c>
      <c r="E1357" t="str">
        <f t="shared" si="82"/>
        <v/>
      </c>
      <c r="G1357" s="5" t="str">
        <f t="shared" si="83"/>
        <v/>
      </c>
      <c r="I1357" s="6" t="str">
        <f t="shared" si="81"/>
        <v>0</v>
      </c>
      <c r="O1357" t="s">
        <v>321</v>
      </c>
      <c r="P1357">
        <f>IF(C1357&lt;&gt;"",C1357,_xlfn.XLOOKUP(B1357,AI_NAMES!D:D,AI_NAMES!E:E,"",0))</f>
        <v>0</v>
      </c>
    </row>
    <row r="1358" spans="1:16" x14ac:dyDescent="0.2">
      <c r="A1358" t="s">
        <v>1530</v>
      </c>
      <c r="B1358" t="s">
        <v>321</v>
      </c>
      <c r="E1358" t="str">
        <f t="shared" si="82"/>
        <v/>
      </c>
      <c r="G1358" s="5" t="str">
        <f t="shared" si="83"/>
        <v/>
      </c>
      <c r="I1358" s="6" t="str">
        <f t="shared" si="81"/>
        <v>0</v>
      </c>
      <c r="O1358" t="s">
        <v>321</v>
      </c>
      <c r="P1358">
        <f>IF(C1358&lt;&gt;"",C1358,_xlfn.XLOOKUP(B1358,AI_NAMES!D:D,AI_NAMES!E:E,"",0))</f>
        <v>0</v>
      </c>
    </row>
    <row r="1359" spans="1:16" x14ac:dyDescent="0.2">
      <c r="A1359" t="s">
        <v>1531</v>
      </c>
      <c r="B1359" t="s">
        <v>321</v>
      </c>
      <c r="E1359" t="str">
        <f t="shared" si="82"/>
        <v/>
      </c>
      <c r="G1359" s="5" t="str">
        <f t="shared" si="83"/>
        <v/>
      </c>
      <c r="I1359" s="6" t="str">
        <f t="shared" si="81"/>
        <v>0</v>
      </c>
      <c r="O1359" t="s">
        <v>321</v>
      </c>
      <c r="P1359">
        <f>IF(C1359&lt;&gt;"",C1359,_xlfn.XLOOKUP(B1359,AI_NAMES!D:D,AI_NAMES!E:E,"",0))</f>
        <v>0</v>
      </c>
    </row>
    <row r="1360" spans="1:16" x14ac:dyDescent="0.2">
      <c r="A1360" t="s">
        <v>1532</v>
      </c>
      <c r="B1360" t="s">
        <v>321</v>
      </c>
      <c r="E1360" t="str">
        <f t="shared" si="82"/>
        <v/>
      </c>
      <c r="G1360" s="5" t="str">
        <f t="shared" si="83"/>
        <v/>
      </c>
      <c r="I1360" s="6" t="str">
        <f t="shared" si="81"/>
        <v>0</v>
      </c>
      <c r="O1360" t="s">
        <v>321</v>
      </c>
      <c r="P1360">
        <f>IF(C1360&lt;&gt;"",C1360,_xlfn.XLOOKUP(B1360,AI_NAMES!D:D,AI_NAMES!E:E,"",0))</f>
        <v>0</v>
      </c>
    </row>
    <row r="1361" spans="1:16" x14ac:dyDescent="0.2">
      <c r="A1361" t="s">
        <v>1533</v>
      </c>
      <c r="B1361" t="s">
        <v>321</v>
      </c>
      <c r="E1361" t="str">
        <f t="shared" si="82"/>
        <v/>
      </c>
      <c r="G1361" s="5" t="str">
        <f t="shared" si="83"/>
        <v/>
      </c>
      <c r="I1361" s="6" t="str">
        <f t="shared" si="81"/>
        <v>0</v>
      </c>
      <c r="O1361" t="s">
        <v>321</v>
      </c>
      <c r="P1361">
        <f>IF(C1361&lt;&gt;"",C1361,_xlfn.XLOOKUP(B1361,AI_NAMES!D:D,AI_NAMES!E:E,"",0))</f>
        <v>0</v>
      </c>
    </row>
    <row r="1362" spans="1:16" x14ac:dyDescent="0.2">
      <c r="A1362" t="s">
        <v>1534</v>
      </c>
      <c r="B1362" t="s">
        <v>321</v>
      </c>
      <c r="E1362" t="str">
        <f t="shared" si="82"/>
        <v/>
      </c>
      <c r="G1362" s="5" t="str">
        <f t="shared" si="83"/>
        <v/>
      </c>
      <c r="I1362" s="6" t="str">
        <f t="shared" si="81"/>
        <v>0</v>
      </c>
      <c r="O1362" t="s">
        <v>321</v>
      </c>
      <c r="P1362">
        <f>IF(C1362&lt;&gt;"",C1362,_xlfn.XLOOKUP(B1362,AI_NAMES!D:D,AI_NAMES!E:E,"",0))</f>
        <v>0</v>
      </c>
    </row>
    <row r="1363" spans="1:16" x14ac:dyDescent="0.2">
      <c r="A1363" t="s">
        <v>1535</v>
      </c>
      <c r="B1363" t="s">
        <v>321</v>
      </c>
      <c r="E1363" t="str">
        <f t="shared" si="82"/>
        <v/>
      </c>
      <c r="G1363" s="5" t="str">
        <f t="shared" si="83"/>
        <v/>
      </c>
      <c r="I1363" s="6" t="str">
        <f t="shared" si="81"/>
        <v>0</v>
      </c>
      <c r="O1363" t="s">
        <v>321</v>
      </c>
      <c r="P1363">
        <f>IF(C1363&lt;&gt;"",C1363,_xlfn.XLOOKUP(B1363,AI_NAMES!D:D,AI_NAMES!E:E,"",0))</f>
        <v>0</v>
      </c>
    </row>
    <row r="1364" spans="1:16" x14ac:dyDescent="0.2">
      <c r="A1364" t="s">
        <v>1536</v>
      </c>
      <c r="B1364" t="s">
        <v>321</v>
      </c>
      <c r="E1364" t="str">
        <f t="shared" si="82"/>
        <v/>
      </c>
      <c r="G1364" s="5" t="str">
        <f t="shared" si="83"/>
        <v/>
      </c>
      <c r="I1364" s="6" t="str">
        <f t="shared" si="81"/>
        <v>0</v>
      </c>
      <c r="O1364" t="s">
        <v>321</v>
      </c>
      <c r="P1364">
        <f>IF(C1364&lt;&gt;"",C1364,_xlfn.XLOOKUP(B1364,AI_NAMES!D:D,AI_NAMES!E:E,"",0))</f>
        <v>0</v>
      </c>
    </row>
    <row r="1365" spans="1:16" x14ac:dyDescent="0.2">
      <c r="A1365" t="s">
        <v>1537</v>
      </c>
      <c r="B1365" t="s">
        <v>1537</v>
      </c>
      <c r="E1365" t="str">
        <f t="shared" si="82"/>
        <v/>
      </c>
      <c r="G1365" s="5" t="str">
        <f t="shared" si="83"/>
        <v/>
      </c>
      <c r="I1365" s="6" t="str">
        <f t="shared" si="81"/>
        <v>0</v>
      </c>
      <c r="O1365" t="s">
        <v>1537</v>
      </c>
      <c r="P1365" t="str">
        <f>IF(C1365&lt;&gt;"",C1365,_xlfn.XLOOKUP(B1365,AI_NAMES!D:D,AI_NAMES!E:E,"",0))</f>
        <v/>
      </c>
    </row>
    <row r="1366" spans="1:16" x14ac:dyDescent="0.2">
      <c r="A1366" t="s">
        <v>1538</v>
      </c>
      <c r="B1366" t="s">
        <v>1538</v>
      </c>
      <c r="E1366" t="str">
        <f t="shared" si="82"/>
        <v/>
      </c>
      <c r="G1366" s="5" t="str">
        <f t="shared" si="83"/>
        <v/>
      </c>
      <c r="I1366" s="6" t="str">
        <f t="shared" si="81"/>
        <v>0</v>
      </c>
      <c r="O1366" t="s">
        <v>1538</v>
      </c>
      <c r="P1366" t="str">
        <f>IF(C1366&lt;&gt;"",C1366,_xlfn.XLOOKUP(B1366,AI_NAMES!D:D,AI_NAMES!E:E,"",0))</f>
        <v/>
      </c>
    </row>
    <row r="1367" spans="1:16" x14ac:dyDescent="0.2">
      <c r="A1367" t="s">
        <v>1539</v>
      </c>
      <c r="B1367" t="s">
        <v>1539</v>
      </c>
      <c r="E1367" t="str">
        <f t="shared" si="82"/>
        <v/>
      </c>
      <c r="G1367" s="5" t="str">
        <f t="shared" si="83"/>
        <v/>
      </c>
      <c r="I1367" s="6" t="str">
        <f t="shared" si="81"/>
        <v>0</v>
      </c>
      <c r="O1367" t="s">
        <v>1539</v>
      </c>
      <c r="P1367" t="str">
        <f>IF(C1367&lt;&gt;"",C1367,_xlfn.XLOOKUP(B1367,AI_NAMES!D:D,AI_NAMES!E:E,"",0))</f>
        <v/>
      </c>
    </row>
    <row r="1368" spans="1:16" x14ac:dyDescent="0.2">
      <c r="A1368" t="s">
        <v>1540</v>
      </c>
      <c r="B1368" t="s">
        <v>1540</v>
      </c>
      <c r="E1368" t="str">
        <f t="shared" si="82"/>
        <v/>
      </c>
      <c r="G1368" s="5" t="str">
        <f t="shared" si="83"/>
        <v/>
      </c>
      <c r="I1368" s="6" t="str">
        <f t="shared" si="81"/>
        <v>0</v>
      </c>
      <c r="O1368" t="s">
        <v>1540</v>
      </c>
      <c r="P1368" t="str">
        <f>IF(C1368&lt;&gt;"",C1368,_xlfn.XLOOKUP(B1368,AI_NAMES!D:D,AI_NAMES!E:E,"",0))</f>
        <v/>
      </c>
    </row>
    <row r="1369" spans="1:16" x14ac:dyDescent="0.2">
      <c r="A1369" t="s">
        <v>1541</v>
      </c>
      <c r="B1369" t="s">
        <v>1541</v>
      </c>
      <c r="E1369" t="str">
        <f t="shared" si="82"/>
        <v/>
      </c>
      <c r="G1369" s="5" t="str">
        <f t="shared" si="83"/>
        <v/>
      </c>
      <c r="I1369" s="6" t="str">
        <f t="shared" si="81"/>
        <v>0</v>
      </c>
      <c r="O1369" t="s">
        <v>1541</v>
      </c>
      <c r="P1369" t="str">
        <f>IF(C1369&lt;&gt;"",C1369,_xlfn.XLOOKUP(B1369,AI_NAMES!D:D,AI_NAMES!E:E,"",0))</f>
        <v/>
      </c>
    </row>
    <row r="1370" spans="1:16" x14ac:dyDescent="0.2">
      <c r="A1370" t="s">
        <v>1542</v>
      </c>
      <c r="B1370" t="s">
        <v>1542</v>
      </c>
      <c r="E1370" t="str">
        <f t="shared" si="82"/>
        <v/>
      </c>
      <c r="G1370" s="5" t="str">
        <f t="shared" si="83"/>
        <v/>
      </c>
      <c r="I1370" s="6" t="str">
        <f t="shared" si="81"/>
        <v>0</v>
      </c>
      <c r="O1370" t="s">
        <v>1542</v>
      </c>
      <c r="P1370" t="str">
        <f>IF(C1370&lt;&gt;"",C1370,_xlfn.XLOOKUP(B1370,AI_NAMES!D:D,AI_NAMES!E:E,"",0))</f>
        <v/>
      </c>
    </row>
    <row r="1371" spans="1:16" x14ac:dyDescent="0.2">
      <c r="A1371" t="s">
        <v>1543</v>
      </c>
      <c r="B1371" t="s">
        <v>1543</v>
      </c>
      <c r="E1371" t="str">
        <f t="shared" si="82"/>
        <v/>
      </c>
      <c r="G1371" s="5" t="str">
        <f t="shared" si="83"/>
        <v/>
      </c>
      <c r="I1371" s="6" t="str">
        <f t="shared" si="81"/>
        <v>0</v>
      </c>
      <c r="O1371" t="s">
        <v>1543</v>
      </c>
      <c r="P1371" t="str">
        <f>IF(C1371&lt;&gt;"",C1371,_xlfn.XLOOKUP(B1371,AI_NAMES!D:D,AI_NAMES!E:E,"",0))</f>
        <v/>
      </c>
    </row>
    <row r="1372" spans="1:16" x14ac:dyDescent="0.2">
      <c r="A1372" t="s">
        <v>1544</v>
      </c>
      <c r="B1372" t="s">
        <v>1544</v>
      </c>
      <c r="E1372" t="str">
        <f t="shared" si="82"/>
        <v/>
      </c>
      <c r="G1372" s="5" t="str">
        <f t="shared" si="83"/>
        <v/>
      </c>
      <c r="I1372" s="6" t="str">
        <f t="shared" si="81"/>
        <v>0</v>
      </c>
      <c r="O1372" t="s">
        <v>1544</v>
      </c>
      <c r="P1372" t="str">
        <f>IF(C1372&lt;&gt;"",C1372,_xlfn.XLOOKUP(B1372,AI_NAMES!D:D,AI_NAMES!E:E,"",0))</f>
        <v/>
      </c>
    </row>
    <row r="1373" spans="1:16" x14ac:dyDescent="0.2">
      <c r="A1373" t="s">
        <v>1545</v>
      </c>
      <c r="B1373" t="s">
        <v>321</v>
      </c>
      <c r="E1373" t="str">
        <f t="shared" si="82"/>
        <v/>
      </c>
      <c r="G1373" s="5" t="str">
        <f t="shared" si="83"/>
        <v/>
      </c>
      <c r="I1373" s="6" t="str">
        <f t="shared" si="81"/>
        <v>0</v>
      </c>
      <c r="O1373" t="s">
        <v>321</v>
      </c>
      <c r="P1373">
        <f>IF(C1373&lt;&gt;"",C1373,_xlfn.XLOOKUP(B1373,AI_NAMES!D:D,AI_NAMES!E:E,"",0))</f>
        <v>0</v>
      </c>
    </row>
    <row r="1374" spans="1:16" x14ac:dyDescent="0.2">
      <c r="A1374" t="s">
        <v>1546</v>
      </c>
      <c r="B1374" t="s">
        <v>321</v>
      </c>
      <c r="E1374" t="str">
        <f t="shared" si="82"/>
        <v/>
      </c>
      <c r="G1374" s="5" t="str">
        <f t="shared" si="83"/>
        <v/>
      </c>
      <c r="I1374" s="6" t="str">
        <f t="shared" si="81"/>
        <v>0</v>
      </c>
      <c r="O1374" t="s">
        <v>321</v>
      </c>
      <c r="P1374">
        <f>IF(C1374&lt;&gt;"",C1374,_xlfn.XLOOKUP(B1374,AI_NAMES!D:D,AI_NAMES!E:E,"",0))</f>
        <v>0</v>
      </c>
    </row>
    <row r="1375" spans="1:16" x14ac:dyDescent="0.2">
      <c r="A1375" t="s">
        <v>1547</v>
      </c>
      <c r="B1375" t="s">
        <v>321</v>
      </c>
      <c r="E1375" t="str">
        <f t="shared" si="82"/>
        <v/>
      </c>
      <c r="G1375" s="5" t="str">
        <f t="shared" si="83"/>
        <v/>
      </c>
      <c r="I1375" s="6" t="str">
        <f t="shared" si="81"/>
        <v>0</v>
      </c>
      <c r="O1375" t="s">
        <v>321</v>
      </c>
      <c r="P1375">
        <f>IF(C1375&lt;&gt;"",C1375,_xlfn.XLOOKUP(B1375,AI_NAMES!D:D,AI_NAMES!E:E,"",0))</f>
        <v>0</v>
      </c>
    </row>
    <row r="1376" spans="1:16" x14ac:dyDescent="0.2">
      <c r="A1376" t="s">
        <v>1548</v>
      </c>
      <c r="B1376" t="s">
        <v>321</v>
      </c>
      <c r="E1376" t="str">
        <f t="shared" si="82"/>
        <v/>
      </c>
      <c r="G1376" s="5" t="str">
        <f t="shared" si="83"/>
        <v/>
      </c>
      <c r="I1376" s="6" t="str">
        <f t="shared" si="81"/>
        <v>0</v>
      </c>
      <c r="O1376" t="s">
        <v>321</v>
      </c>
      <c r="P1376">
        <f>IF(C1376&lt;&gt;"",C1376,_xlfn.XLOOKUP(B1376,AI_NAMES!D:D,AI_NAMES!E:E,"",0))</f>
        <v>0</v>
      </c>
    </row>
    <row r="1377" spans="1:16" x14ac:dyDescent="0.2">
      <c r="A1377" t="s">
        <v>1549</v>
      </c>
      <c r="B1377" t="s">
        <v>321</v>
      </c>
      <c r="E1377" t="str">
        <f t="shared" si="82"/>
        <v/>
      </c>
      <c r="G1377" s="5" t="str">
        <f t="shared" si="83"/>
        <v/>
      </c>
      <c r="I1377" s="6" t="str">
        <f t="shared" si="81"/>
        <v>0</v>
      </c>
      <c r="O1377" t="s">
        <v>321</v>
      </c>
      <c r="P1377">
        <f>IF(C1377&lt;&gt;"",C1377,_xlfn.XLOOKUP(B1377,AI_NAMES!D:D,AI_NAMES!E:E,"",0))</f>
        <v>0</v>
      </c>
    </row>
    <row r="1378" spans="1:16" x14ac:dyDescent="0.2">
      <c r="A1378" t="s">
        <v>1550</v>
      </c>
      <c r="B1378" t="s">
        <v>321</v>
      </c>
      <c r="E1378" t="str">
        <f t="shared" si="82"/>
        <v/>
      </c>
      <c r="G1378" s="5" t="str">
        <f t="shared" si="83"/>
        <v/>
      </c>
      <c r="I1378" s="6" t="str">
        <f t="shared" si="81"/>
        <v>0</v>
      </c>
      <c r="O1378" t="s">
        <v>321</v>
      </c>
      <c r="P1378">
        <f>IF(C1378&lt;&gt;"",C1378,_xlfn.XLOOKUP(B1378,AI_NAMES!D:D,AI_NAMES!E:E,"",0))</f>
        <v>0</v>
      </c>
    </row>
    <row r="1379" spans="1:16" x14ac:dyDescent="0.2">
      <c r="A1379" t="s">
        <v>1551</v>
      </c>
      <c r="B1379" t="s">
        <v>321</v>
      </c>
      <c r="E1379" t="str">
        <f t="shared" si="82"/>
        <v/>
      </c>
      <c r="G1379" s="5" t="str">
        <f t="shared" si="83"/>
        <v/>
      </c>
      <c r="I1379" s="6" t="str">
        <f t="shared" si="81"/>
        <v>0</v>
      </c>
      <c r="O1379" t="s">
        <v>321</v>
      </c>
      <c r="P1379">
        <f>IF(C1379&lt;&gt;"",C1379,_xlfn.XLOOKUP(B1379,AI_NAMES!D:D,AI_NAMES!E:E,"",0))</f>
        <v>0</v>
      </c>
    </row>
    <row r="1380" spans="1:16" x14ac:dyDescent="0.2">
      <c r="A1380" t="s">
        <v>1552</v>
      </c>
      <c r="B1380" t="s">
        <v>321</v>
      </c>
      <c r="E1380" t="str">
        <f t="shared" si="82"/>
        <v/>
      </c>
      <c r="G1380" s="5" t="str">
        <f t="shared" si="83"/>
        <v/>
      </c>
      <c r="I1380" s="6" t="str">
        <f t="shared" si="81"/>
        <v>0</v>
      </c>
      <c r="O1380" t="s">
        <v>321</v>
      </c>
      <c r="P1380">
        <f>IF(C1380&lt;&gt;"",C1380,_xlfn.XLOOKUP(B1380,AI_NAMES!D:D,AI_NAMES!E:E,"",0))</f>
        <v>0</v>
      </c>
    </row>
    <row r="1381" spans="1:16" x14ac:dyDescent="0.2">
      <c r="A1381" t="s">
        <v>1553</v>
      </c>
      <c r="B1381" t="s">
        <v>321</v>
      </c>
      <c r="E1381" t="str">
        <f t="shared" si="82"/>
        <v/>
      </c>
      <c r="G1381" s="5" t="str">
        <f t="shared" si="83"/>
        <v/>
      </c>
      <c r="I1381" s="6" t="str">
        <f t="shared" si="81"/>
        <v>0</v>
      </c>
      <c r="O1381" t="s">
        <v>321</v>
      </c>
      <c r="P1381">
        <f>IF(C1381&lt;&gt;"",C1381,_xlfn.XLOOKUP(B1381,AI_NAMES!D:D,AI_NAMES!E:E,"",0))</f>
        <v>0</v>
      </c>
    </row>
    <row r="1382" spans="1:16" x14ac:dyDescent="0.2">
      <c r="A1382" t="s">
        <v>1554</v>
      </c>
      <c r="B1382" t="s">
        <v>321</v>
      </c>
      <c r="E1382" t="str">
        <f t="shared" si="82"/>
        <v/>
      </c>
      <c r="G1382" s="5" t="str">
        <f t="shared" si="83"/>
        <v/>
      </c>
      <c r="I1382" s="6" t="str">
        <f t="shared" si="81"/>
        <v>0</v>
      </c>
      <c r="O1382" t="s">
        <v>321</v>
      </c>
      <c r="P1382">
        <f>IF(C1382&lt;&gt;"",C1382,_xlfn.XLOOKUP(B1382,AI_NAMES!D:D,AI_NAMES!E:E,"",0))</f>
        <v>0</v>
      </c>
    </row>
    <row r="1383" spans="1:16" x14ac:dyDescent="0.2">
      <c r="A1383" t="s">
        <v>1555</v>
      </c>
      <c r="B1383" t="s">
        <v>321</v>
      </c>
      <c r="E1383" t="str">
        <f t="shared" si="82"/>
        <v/>
      </c>
      <c r="G1383" s="5" t="str">
        <f t="shared" si="83"/>
        <v/>
      </c>
      <c r="I1383" s="6" t="str">
        <f t="shared" si="81"/>
        <v>0</v>
      </c>
      <c r="O1383" t="s">
        <v>321</v>
      </c>
      <c r="P1383">
        <f>IF(C1383&lt;&gt;"",C1383,_xlfn.XLOOKUP(B1383,AI_NAMES!D:D,AI_NAMES!E:E,"",0))</f>
        <v>0</v>
      </c>
    </row>
    <row r="1384" spans="1:16" x14ac:dyDescent="0.2">
      <c r="A1384" t="s">
        <v>1556</v>
      </c>
      <c r="B1384" t="s">
        <v>321</v>
      </c>
      <c r="E1384" t="str">
        <f t="shared" si="82"/>
        <v/>
      </c>
      <c r="G1384" s="5" t="str">
        <f t="shared" si="83"/>
        <v/>
      </c>
      <c r="I1384" s="6" t="str">
        <f t="shared" si="81"/>
        <v>0</v>
      </c>
      <c r="O1384" t="s">
        <v>321</v>
      </c>
      <c r="P1384">
        <f>IF(C1384&lt;&gt;"",C1384,_xlfn.XLOOKUP(B1384,AI_NAMES!D:D,AI_NAMES!E:E,"",0))</f>
        <v>0</v>
      </c>
    </row>
    <row r="1385" spans="1:16" x14ac:dyDescent="0.2">
      <c r="A1385" t="s">
        <v>1557</v>
      </c>
      <c r="B1385" t="s">
        <v>321</v>
      </c>
      <c r="E1385" t="str">
        <f t="shared" si="82"/>
        <v/>
      </c>
      <c r="G1385" s="5" t="str">
        <f t="shared" si="83"/>
        <v/>
      </c>
      <c r="I1385" s="6" t="str">
        <f t="shared" si="81"/>
        <v>0</v>
      </c>
      <c r="O1385" t="s">
        <v>321</v>
      </c>
      <c r="P1385">
        <f>IF(C1385&lt;&gt;"",C1385,_xlfn.XLOOKUP(B1385,AI_NAMES!D:D,AI_NAMES!E:E,"",0))</f>
        <v>0</v>
      </c>
    </row>
    <row r="1386" spans="1:16" x14ac:dyDescent="0.2">
      <c r="A1386" t="s">
        <v>1558</v>
      </c>
      <c r="B1386" t="s">
        <v>321</v>
      </c>
      <c r="E1386" t="str">
        <f t="shared" si="82"/>
        <v/>
      </c>
      <c r="G1386" s="5" t="str">
        <f t="shared" si="83"/>
        <v/>
      </c>
      <c r="I1386" s="6" t="str">
        <f t="shared" si="81"/>
        <v>0</v>
      </c>
      <c r="O1386" t="s">
        <v>321</v>
      </c>
      <c r="P1386">
        <f>IF(C1386&lt;&gt;"",C1386,_xlfn.XLOOKUP(B1386,AI_NAMES!D:D,AI_NAMES!E:E,"",0))</f>
        <v>0</v>
      </c>
    </row>
    <row r="1387" spans="1:16" x14ac:dyDescent="0.2">
      <c r="A1387" t="s">
        <v>1559</v>
      </c>
      <c r="B1387" t="s">
        <v>321</v>
      </c>
      <c r="E1387" t="str">
        <f t="shared" si="82"/>
        <v/>
      </c>
      <c r="G1387" s="5" t="str">
        <f t="shared" si="83"/>
        <v/>
      </c>
      <c r="I1387" s="6" t="str">
        <f t="shared" si="81"/>
        <v>0</v>
      </c>
      <c r="O1387" t="s">
        <v>321</v>
      </c>
      <c r="P1387">
        <f>IF(C1387&lt;&gt;"",C1387,_xlfn.XLOOKUP(B1387,AI_NAMES!D:D,AI_NAMES!E:E,"",0))</f>
        <v>0</v>
      </c>
    </row>
    <row r="1388" spans="1:16" x14ac:dyDescent="0.2">
      <c r="A1388" t="s">
        <v>1560</v>
      </c>
      <c r="B1388" t="s">
        <v>321</v>
      </c>
      <c r="E1388" t="str">
        <f t="shared" si="82"/>
        <v/>
      </c>
      <c r="G1388" s="5" t="str">
        <f t="shared" si="83"/>
        <v/>
      </c>
      <c r="I1388" s="6" t="str">
        <f t="shared" si="81"/>
        <v>0</v>
      </c>
      <c r="O1388" t="s">
        <v>321</v>
      </c>
      <c r="P1388">
        <f>IF(C1388&lt;&gt;"",C1388,_xlfn.XLOOKUP(B1388,AI_NAMES!D:D,AI_NAMES!E:E,"",0))</f>
        <v>0</v>
      </c>
    </row>
    <row r="1389" spans="1:16" x14ac:dyDescent="0.2">
      <c r="A1389" t="s">
        <v>1561</v>
      </c>
      <c r="B1389" t="s">
        <v>321</v>
      </c>
      <c r="E1389" t="str">
        <f t="shared" si="82"/>
        <v/>
      </c>
      <c r="G1389" s="5" t="str">
        <f t="shared" si="83"/>
        <v/>
      </c>
      <c r="I1389" s="6" t="str">
        <f t="shared" si="81"/>
        <v>0</v>
      </c>
      <c r="O1389" t="s">
        <v>321</v>
      </c>
      <c r="P1389">
        <f>IF(C1389&lt;&gt;"",C1389,_xlfn.XLOOKUP(B1389,AI_NAMES!D:D,AI_NAMES!E:E,"",0))</f>
        <v>0</v>
      </c>
    </row>
    <row r="1390" spans="1:16" x14ac:dyDescent="0.2">
      <c r="A1390" t="s">
        <v>1562</v>
      </c>
      <c r="B1390" t="s">
        <v>321</v>
      </c>
      <c r="E1390" t="str">
        <f t="shared" si="82"/>
        <v/>
      </c>
      <c r="G1390" s="5" t="str">
        <f t="shared" si="83"/>
        <v/>
      </c>
      <c r="I1390" s="6" t="str">
        <f t="shared" si="81"/>
        <v>0</v>
      </c>
      <c r="O1390" t="s">
        <v>321</v>
      </c>
      <c r="P1390">
        <f>IF(C1390&lt;&gt;"",C1390,_xlfn.XLOOKUP(B1390,AI_NAMES!D:D,AI_NAMES!E:E,"",0))</f>
        <v>0</v>
      </c>
    </row>
    <row r="1391" spans="1:16" x14ac:dyDescent="0.2">
      <c r="A1391" t="s">
        <v>1563</v>
      </c>
      <c r="B1391" t="s">
        <v>321</v>
      </c>
      <c r="E1391" t="str">
        <f t="shared" si="82"/>
        <v/>
      </c>
      <c r="G1391" s="5" t="str">
        <f t="shared" si="83"/>
        <v/>
      </c>
      <c r="I1391" s="6" t="str">
        <f t="shared" si="81"/>
        <v>0</v>
      </c>
      <c r="O1391" t="s">
        <v>321</v>
      </c>
      <c r="P1391">
        <f>IF(C1391&lt;&gt;"",C1391,_xlfn.XLOOKUP(B1391,AI_NAMES!D:D,AI_NAMES!E:E,"",0))</f>
        <v>0</v>
      </c>
    </row>
    <row r="1392" spans="1:16" x14ac:dyDescent="0.2">
      <c r="A1392" t="s">
        <v>1564</v>
      </c>
      <c r="B1392" t="s">
        <v>321</v>
      </c>
      <c r="E1392" t="str">
        <f t="shared" si="82"/>
        <v/>
      </c>
      <c r="G1392" s="5" t="str">
        <f t="shared" si="83"/>
        <v/>
      </c>
      <c r="I1392" s="6" t="str">
        <f t="shared" si="81"/>
        <v>0</v>
      </c>
      <c r="O1392" t="s">
        <v>321</v>
      </c>
      <c r="P1392">
        <f>IF(C1392&lt;&gt;"",C1392,_xlfn.XLOOKUP(B1392,AI_NAMES!D:D,AI_NAMES!E:E,"",0))</f>
        <v>0</v>
      </c>
    </row>
    <row r="1393" spans="1:16" x14ac:dyDescent="0.2">
      <c r="A1393" t="s">
        <v>1565</v>
      </c>
      <c r="B1393" t="s">
        <v>321</v>
      </c>
      <c r="E1393" t="str">
        <f t="shared" si="82"/>
        <v/>
      </c>
      <c r="G1393" s="5" t="str">
        <f t="shared" si="83"/>
        <v/>
      </c>
      <c r="I1393" s="6" t="str">
        <f t="shared" si="81"/>
        <v>0</v>
      </c>
      <c r="O1393" t="s">
        <v>321</v>
      </c>
      <c r="P1393">
        <f>IF(C1393&lt;&gt;"",C1393,_xlfn.XLOOKUP(B1393,AI_NAMES!D:D,AI_NAMES!E:E,"",0))</f>
        <v>0</v>
      </c>
    </row>
    <row r="1394" spans="1:16" x14ac:dyDescent="0.2">
      <c r="A1394" t="s">
        <v>1566</v>
      </c>
      <c r="B1394" t="s">
        <v>321</v>
      </c>
      <c r="E1394" t="str">
        <f t="shared" si="82"/>
        <v/>
      </c>
      <c r="G1394" s="5" t="str">
        <f t="shared" si="83"/>
        <v/>
      </c>
      <c r="I1394" s="6" t="str">
        <f t="shared" si="81"/>
        <v>0</v>
      </c>
      <c r="O1394" t="s">
        <v>321</v>
      </c>
      <c r="P1394">
        <f>IF(C1394&lt;&gt;"",C1394,_xlfn.XLOOKUP(B1394,AI_NAMES!D:D,AI_NAMES!E:E,"",0))</f>
        <v>0</v>
      </c>
    </row>
    <row r="1395" spans="1:16" x14ac:dyDescent="0.2">
      <c r="A1395" t="s">
        <v>1567</v>
      </c>
      <c r="B1395" t="s">
        <v>321</v>
      </c>
      <c r="E1395" t="str">
        <f t="shared" si="82"/>
        <v/>
      </c>
      <c r="G1395" s="5" t="str">
        <f t="shared" si="83"/>
        <v/>
      </c>
      <c r="I1395" s="6" t="str">
        <f t="shared" si="81"/>
        <v>0</v>
      </c>
      <c r="O1395" t="s">
        <v>321</v>
      </c>
      <c r="P1395">
        <f>IF(C1395&lt;&gt;"",C1395,_xlfn.XLOOKUP(B1395,AI_NAMES!D:D,AI_NAMES!E:E,"",0))</f>
        <v>0</v>
      </c>
    </row>
    <row r="1396" spans="1:16" x14ac:dyDescent="0.2">
      <c r="A1396" t="s">
        <v>1568</v>
      </c>
      <c r="B1396" t="s">
        <v>321</v>
      </c>
      <c r="E1396" t="str">
        <f t="shared" si="82"/>
        <v/>
      </c>
      <c r="G1396" s="5" t="str">
        <f t="shared" si="83"/>
        <v/>
      </c>
      <c r="I1396" s="6" t="str">
        <f t="shared" si="81"/>
        <v>0</v>
      </c>
      <c r="O1396" t="s">
        <v>321</v>
      </c>
      <c r="P1396">
        <f>IF(C1396&lt;&gt;"",C1396,_xlfn.XLOOKUP(B1396,AI_NAMES!D:D,AI_NAMES!E:E,"",0))</f>
        <v>0</v>
      </c>
    </row>
    <row r="1397" spans="1:16" x14ac:dyDescent="0.2">
      <c r="A1397" t="s">
        <v>1569</v>
      </c>
      <c r="B1397" t="s">
        <v>321</v>
      </c>
      <c r="E1397" t="str">
        <f t="shared" si="82"/>
        <v/>
      </c>
      <c r="G1397" s="5" t="str">
        <f t="shared" si="83"/>
        <v/>
      </c>
      <c r="I1397" s="6" t="str">
        <f t="shared" si="81"/>
        <v>0</v>
      </c>
      <c r="O1397" t="s">
        <v>321</v>
      </c>
      <c r="P1397">
        <f>IF(C1397&lt;&gt;"",C1397,_xlfn.XLOOKUP(B1397,AI_NAMES!D:D,AI_NAMES!E:E,"",0))</f>
        <v>0</v>
      </c>
    </row>
    <row r="1398" spans="1:16" x14ac:dyDescent="0.2">
      <c r="A1398" t="s">
        <v>1570</v>
      </c>
      <c r="B1398" t="s">
        <v>321</v>
      </c>
      <c r="E1398" t="str">
        <f t="shared" si="82"/>
        <v/>
      </c>
      <c r="G1398" s="5" t="str">
        <f t="shared" si="83"/>
        <v/>
      </c>
      <c r="I1398" s="6" t="str">
        <f t="shared" si="81"/>
        <v>0</v>
      </c>
      <c r="O1398" t="s">
        <v>321</v>
      </c>
      <c r="P1398">
        <f>IF(C1398&lt;&gt;"",C1398,_xlfn.XLOOKUP(B1398,AI_NAMES!D:D,AI_NAMES!E:E,"",0))</f>
        <v>0</v>
      </c>
    </row>
    <row r="1399" spans="1:16" x14ac:dyDescent="0.2">
      <c r="A1399" t="s">
        <v>1571</v>
      </c>
      <c r="B1399" t="s">
        <v>321</v>
      </c>
      <c r="E1399" t="str">
        <f t="shared" si="82"/>
        <v/>
      </c>
      <c r="G1399" s="5" t="str">
        <f t="shared" si="83"/>
        <v/>
      </c>
      <c r="I1399" s="6" t="str">
        <f t="shared" si="81"/>
        <v>0</v>
      </c>
      <c r="O1399" t="s">
        <v>321</v>
      </c>
      <c r="P1399">
        <f>IF(C1399&lt;&gt;"",C1399,_xlfn.XLOOKUP(B1399,AI_NAMES!D:D,AI_NAMES!E:E,"",0))</f>
        <v>0</v>
      </c>
    </row>
    <row r="1400" spans="1:16" x14ac:dyDescent="0.2">
      <c r="A1400" t="s">
        <v>1572</v>
      </c>
      <c r="B1400" t="s">
        <v>321</v>
      </c>
      <c r="E1400" t="str">
        <f t="shared" si="82"/>
        <v/>
      </c>
      <c r="G1400" s="5" t="str">
        <f t="shared" si="83"/>
        <v/>
      </c>
      <c r="I1400" s="6" t="str">
        <f t="shared" si="81"/>
        <v>0</v>
      </c>
      <c r="O1400" t="s">
        <v>321</v>
      </c>
      <c r="P1400">
        <f>IF(C1400&lt;&gt;"",C1400,_xlfn.XLOOKUP(B1400,AI_NAMES!D:D,AI_NAMES!E:E,"",0))</f>
        <v>0</v>
      </c>
    </row>
    <row r="1401" spans="1:16" x14ac:dyDescent="0.2">
      <c r="A1401" t="s">
        <v>1573</v>
      </c>
      <c r="B1401" t="s">
        <v>321</v>
      </c>
      <c r="E1401" t="str">
        <f t="shared" si="82"/>
        <v/>
      </c>
      <c r="G1401" s="5" t="str">
        <f t="shared" si="83"/>
        <v/>
      </c>
      <c r="I1401" s="6" t="str">
        <f t="shared" si="81"/>
        <v>0</v>
      </c>
      <c r="O1401" t="s">
        <v>321</v>
      </c>
      <c r="P1401">
        <f>IF(C1401&lt;&gt;"",C1401,_xlfn.XLOOKUP(B1401,AI_NAMES!D:D,AI_NAMES!E:E,"",0))</f>
        <v>0</v>
      </c>
    </row>
    <row r="1402" spans="1:16" x14ac:dyDescent="0.2">
      <c r="A1402" t="s">
        <v>1574</v>
      </c>
      <c r="B1402" t="s">
        <v>321</v>
      </c>
      <c r="E1402" t="str">
        <f t="shared" si="82"/>
        <v/>
      </c>
      <c r="G1402" s="5" t="str">
        <f t="shared" si="83"/>
        <v/>
      </c>
      <c r="I1402" s="6" t="str">
        <f t="shared" si="81"/>
        <v>0</v>
      </c>
      <c r="O1402" t="s">
        <v>321</v>
      </c>
      <c r="P1402">
        <f>IF(C1402&lt;&gt;"",C1402,_xlfn.XLOOKUP(B1402,AI_NAMES!D:D,AI_NAMES!E:E,"",0))</f>
        <v>0</v>
      </c>
    </row>
    <row r="1403" spans="1:16" x14ac:dyDescent="0.2">
      <c r="A1403" t="s">
        <v>1575</v>
      </c>
      <c r="B1403" t="s">
        <v>321</v>
      </c>
      <c r="E1403" t="str">
        <f t="shared" si="82"/>
        <v/>
      </c>
      <c r="G1403" s="5" t="str">
        <f t="shared" si="83"/>
        <v/>
      </c>
      <c r="I1403" s="6" t="str">
        <f t="shared" si="81"/>
        <v>0</v>
      </c>
      <c r="O1403" t="s">
        <v>321</v>
      </c>
      <c r="P1403">
        <f>IF(C1403&lt;&gt;"",C1403,_xlfn.XLOOKUP(B1403,AI_NAMES!D:D,AI_NAMES!E:E,"",0))</f>
        <v>0</v>
      </c>
    </row>
    <row r="1404" spans="1:16" x14ac:dyDescent="0.2">
      <c r="A1404" t="s">
        <v>1576</v>
      </c>
      <c r="B1404" t="s">
        <v>321</v>
      </c>
      <c r="E1404" t="str">
        <f t="shared" si="82"/>
        <v/>
      </c>
      <c r="G1404" s="5" t="str">
        <f t="shared" si="83"/>
        <v/>
      </c>
      <c r="I1404" s="6" t="str">
        <f t="shared" si="81"/>
        <v>0</v>
      </c>
      <c r="O1404" t="s">
        <v>321</v>
      </c>
      <c r="P1404">
        <f>IF(C1404&lt;&gt;"",C1404,_xlfn.XLOOKUP(B1404,AI_NAMES!D:D,AI_NAMES!E:E,"",0))</f>
        <v>0</v>
      </c>
    </row>
    <row r="1405" spans="1:16" x14ac:dyDescent="0.2">
      <c r="A1405" t="s">
        <v>1577</v>
      </c>
      <c r="B1405" t="s">
        <v>321</v>
      </c>
      <c r="E1405" t="str">
        <f t="shared" si="82"/>
        <v/>
      </c>
      <c r="G1405" s="5" t="str">
        <f t="shared" si="83"/>
        <v/>
      </c>
      <c r="I1405" s="6" t="str">
        <f t="shared" si="81"/>
        <v>0</v>
      </c>
      <c r="O1405" t="s">
        <v>321</v>
      </c>
      <c r="P1405">
        <f>IF(C1405&lt;&gt;"",C1405,_xlfn.XLOOKUP(B1405,AI_NAMES!D:D,AI_NAMES!E:E,"",0))</f>
        <v>0</v>
      </c>
    </row>
    <row r="1406" spans="1:16" x14ac:dyDescent="0.2">
      <c r="A1406" t="s">
        <v>1578</v>
      </c>
      <c r="B1406" t="s">
        <v>321</v>
      </c>
      <c r="E1406" t="str">
        <f t="shared" si="82"/>
        <v/>
      </c>
      <c r="G1406" s="5" t="str">
        <f t="shared" si="83"/>
        <v/>
      </c>
      <c r="I1406" s="6" t="str">
        <f t="shared" si="81"/>
        <v>0</v>
      </c>
      <c r="O1406" t="s">
        <v>321</v>
      </c>
      <c r="P1406">
        <f>IF(C1406&lt;&gt;"",C1406,_xlfn.XLOOKUP(B1406,AI_NAMES!D:D,AI_NAMES!E:E,"",0))</f>
        <v>0</v>
      </c>
    </row>
    <row r="1407" spans="1:16" x14ac:dyDescent="0.2">
      <c r="A1407" t="s">
        <v>1579</v>
      </c>
      <c r="B1407" t="s">
        <v>321</v>
      </c>
      <c r="E1407" t="str">
        <f t="shared" si="82"/>
        <v/>
      </c>
      <c r="G1407" s="5" t="str">
        <f t="shared" si="83"/>
        <v/>
      </c>
      <c r="I1407" s="6" t="str">
        <f t="shared" si="81"/>
        <v>0</v>
      </c>
      <c r="O1407" t="s">
        <v>321</v>
      </c>
      <c r="P1407">
        <f>IF(C1407&lt;&gt;"",C1407,_xlfn.XLOOKUP(B1407,AI_NAMES!D:D,AI_NAMES!E:E,"",0))</f>
        <v>0</v>
      </c>
    </row>
    <row r="1408" spans="1:16" x14ac:dyDescent="0.2">
      <c r="A1408" t="s">
        <v>1580</v>
      </c>
      <c r="B1408" t="s">
        <v>321</v>
      </c>
      <c r="E1408" t="str">
        <f t="shared" si="82"/>
        <v/>
      </c>
      <c r="G1408" s="5" t="str">
        <f t="shared" si="83"/>
        <v/>
      </c>
      <c r="I1408" s="6" t="str">
        <f t="shared" si="81"/>
        <v>0</v>
      </c>
      <c r="O1408" t="s">
        <v>321</v>
      </c>
      <c r="P1408">
        <f>IF(C1408&lt;&gt;"",C1408,_xlfn.XLOOKUP(B1408,AI_NAMES!D:D,AI_NAMES!E:E,"",0))</f>
        <v>0</v>
      </c>
    </row>
    <row r="1409" spans="1:16" x14ac:dyDescent="0.2">
      <c r="A1409" t="s">
        <v>1581</v>
      </c>
      <c r="B1409" t="s">
        <v>321</v>
      </c>
      <c r="E1409" t="str">
        <f t="shared" si="82"/>
        <v/>
      </c>
      <c r="G1409" s="5" t="str">
        <f t="shared" si="83"/>
        <v/>
      </c>
      <c r="I1409" s="6" t="str">
        <f t="shared" si="81"/>
        <v>0</v>
      </c>
      <c r="O1409" t="s">
        <v>321</v>
      </c>
      <c r="P1409">
        <f>IF(C1409&lt;&gt;"",C1409,_xlfn.XLOOKUP(B1409,AI_NAMES!D:D,AI_NAMES!E:E,"",0))</f>
        <v>0</v>
      </c>
    </row>
    <row r="1410" spans="1:16" x14ac:dyDescent="0.2">
      <c r="A1410" t="s">
        <v>1582</v>
      </c>
      <c r="B1410" t="s">
        <v>321</v>
      </c>
      <c r="E1410" t="str">
        <f t="shared" si="82"/>
        <v/>
      </c>
      <c r="G1410" s="5" t="str">
        <f t="shared" si="83"/>
        <v/>
      </c>
      <c r="I1410" s="6" t="str">
        <f t="shared" si="81"/>
        <v>0</v>
      </c>
      <c r="O1410" t="s">
        <v>321</v>
      </c>
      <c r="P1410">
        <f>IF(C1410&lt;&gt;"",C1410,_xlfn.XLOOKUP(B1410,AI_NAMES!D:D,AI_NAMES!E:E,"",0))</f>
        <v>0</v>
      </c>
    </row>
    <row r="1411" spans="1:16" x14ac:dyDescent="0.2">
      <c r="A1411" t="s">
        <v>1583</v>
      </c>
      <c r="B1411" t="s">
        <v>321</v>
      </c>
      <c r="E1411" t="str">
        <f t="shared" si="82"/>
        <v/>
      </c>
      <c r="G1411" s="5" t="str">
        <f t="shared" si="83"/>
        <v/>
      </c>
      <c r="I1411" s="6" t="str">
        <f t="shared" ref="I1411:I1474" si="84">IFERROR(DEC2HEX(H1411),"")</f>
        <v>0</v>
      </c>
      <c r="O1411" t="s">
        <v>321</v>
      </c>
      <c r="P1411">
        <f>IF(C1411&lt;&gt;"",C1411,_xlfn.XLOOKUP(B1411,AI_NAMES!D:D,AI_NAMES!E:E,"",0))</f>
        <v>0</v>
      </c>
    </row>
    <row r="1412" spans="1:16" x14ac:dyDescent="0.2">
      <c r="A1412" t="s">
        <v>1584</v>
      </c>
      <c r="B1412" t="s">
        <v>321</v>
      </c>
      <c r="E1412" t="str">
        <f t="shared" ref="E1412:E1475" si="85">IF(D1412&lt;&gt;"",C1412&amp;"/"&amp;D1412,"")</f>
        <v/>
      </c>
      <c r="G1412" s="5" t="str">
        <f t="shared" si="83"/>
        <v/>
      </c>
      <c r="I1412" s="6" t="str">
        <f t="shared" si="84"/>
        <v>0</v>
      </c>
      <c r="O1412" t="s">
        <v>321</v>
      </c>
      <c r="P1412">
        <f>IF(C1412&lt;&gt;"",C1412,_xlfn.XLOOKUP(B1412,AI_NAMES!D:D,AI_NAMES!E:E,"",0))</f>
        <v>0</v>
      </c>
    </row>
    <row r="1413" spans="1:16" x14ac:dyDescent="0.2">
      <c r="A1413" t="s">
        <v>1585</v>
      </c>
      <c r="B1413" t="s">
        <v>1586</v>
      </c>
      <c r="E1413" t="str">
        <f t="shared" si="85"/>
        <v/>
      </c>
      <c r="G1413" s="5" t="str">
        <f t="shared" si="83"/>
        <v/>
      </c>
      <c r="I1413" s="6" t="str">
        <f t="shared" si="84"/>
        <v>0</v>
      </c>
      <c r="O1413" t="s">
        <v>1586</v>
      </c>
      <c r="P1413" t="str">
        <f>IF(C1413&lt;&gt;"",C1413,_xlfn.XLOOKUP(B1413,AI_NAMES!D:D,AI_NAMES!E:E,"",0))</f>
        <v/>
      </c>
    </row>
    <row r="1414" spans="1:16" x14ac:dyDescent="0.2">
      <c r="A1414" t="s">
        <v>1587</v>
      </c>
      <c r="B1414" t="s">
        <v>321</v>
      </c>
      <c r="E1414" t="str">
        <f t="shared" si="85"/>
        <v/>
      </c>
      <c r="G1414" s="5" t="str">
        <f t="shared" si="83"/>
        <v/>
      </c>
      <c r="I1414" s="6" t="str">
        <f t="shared" si="84"/>
        <v>0</v>
      </c>
      <c r="O1414" t="s">
        <v>321</v>
      </c>
      <c r="P1414">
        <f>IF(C1414&lt;&gt;"",C1414,_xlfn.XLOOKUP(B1414,AI_NAMES!D:D,AI_NAMES!E:E,"",0))</f>
        <v>0</v>
      </c>
    </row>
    <row r="1415" spans="1:16" x14ac:dyDescent="0.2">
      <c r="A1415" t="s">
        <v>1588</v>
      </c>
      <c r="B1415" t="s">
        <v>321</v>
      </c>
      <c r="E1415" t="str">
        <f t="shared" si="85"/>
        <v/>
      </c>
      <c r="G1415" s="5" t="str">
        <f t="shared" si="83"/>
        <v/>
      </c>
      <c r="I1415" s="6" t="str">
        <f t="shared" si="84"/>
        <v>0</v>
      </c>
      <c r="O1415" t="s">
        <v>321</v>
      </c>
      <c r="P1415">
        <f>IF(C1415&lt;&gt;"",C1415,_xlfn.XLOOKUP(B1415,AI_NAMES!D:D,AI_NAMES!E:E,"",0))</f>
        <v>0</v>
      </c>
    </row>
    <row r="1416" spans="1:16" x14ac:dyDescent="0.2">
      <c r="A1416" t="s">
        <v>1589</v>
      </c>
      <c r="B1416" t="s">
        <v>321</v>
      </c>
      <c r="E1416" t="str">
        <f t="shared" si="85"/>
        <v/>
      </c>
      <c r="G1416" s="5" t="str">
        <f t="shared" si="83"/>
        <v/>
      </c>
      <c r="I1416" s="6" t="str">
        <f t="shared" si="84"/>
        <v>0</v>
      </c>
      <c r="O1416" t="s">
        <v>321</v>
      </c>
      <c r="P1416">
        <f>IF(C1416&lt;&gt;"",C1416,_xlfn.XLOOKUP(B1416,AI_NAMES!D:D,AI_NAMES!E:E,"",0))</f>
        <v>0</v>
      </c>
    </row>
    <row r="1417" spans="1:16" x14ac:dyDescent="0.2">
      <c r="A1417" t="s">
        <v>1590</v>
      </c>
      <c r="B1417" t="s">
        <v>321</v>
      </c>
      <c r="E1417" t="str">
        <f t="shared" si="85"/>
        <v/>
      </c>
      <c r="G1417" s="5" t="str">
        <f t="shared" ref="G1417:G1480" si="86">IF(F1417&lt;&gt;"",HEX2DEC(SUBSTITUTE(SUBSTITUTE(F1417,"adrEA",""),"$","")),"")</f>
        <v/>
      </c>
      <c r="I1417" s="6" t="str">
        <f t="shared" si="84"/>
        <v>0</v>
      </c>
      <c r="O1417" t="s">
        <v>321</v>
      </c>
      <c r="P1417">
        <f>IF(C1417&lt;&gt;"",C1417,_xlfn.XLOOKUP(B1417,AI_NAMES!D:D,AI_NAMES!E:E,"",0))</f>
        <v>0</v>
      </c>
    </row>
    <row r="1418" spans="1:16" x14ac:dyDescent="0.2">
      <c r="A1418" t="s">
        <v>1591</v>
      </c>
      <c r="B1418" t="s">
        <v>321</v>
      </c>
      <c r="E1418" t="str">
        <f t="shared" si="85"/>
        <v/>
      </c>
      <c r="G1418" s="5" t="str">
        <f t="shared" si="86"/>
        <v/>
      </c>
      <c r="I1418" s="6" t="str">
        <f t="shared" si="84"/>
        <v>0</v>
      </c>
      <c r="O1418" t="s">
        <v>321</v>
      </c>
      <c r="P1418">
        <f>IF(C1418&lt;&gt;"",C1418,_xlfn.XLOOKUP(B1418,AI_NAMES!D:D,AI_NAMES!E:E,"",0))</f>
        <v>0</v>
      </c>
    </row>
    <row r="1419" spans="1:16" x14ac:dyDescent="0.2">
      <c r="A1419" t="s">
        <v>1592</v>
      </c>
      <c r="B1419" t="s">
        <v>321</v>
      </c>
      <c r="E1419" t="str">
        <f t="shared" si="85"/>
        <v/>
      </c>
      <c r="G1419" s="5" t="str">
        <f t="shared" si="86"/>
        <v/>
      </c>
      <c r="I1419" s="6" t="str">
        <f t="shared" si="84"/>
        <v>0</v>
      </c>
      <c r="O1419" t="s">
        <v>321</v>
      </c>
      <c r="P1419">
        <f>IF(C1419&lt;&gt;"",C1419,_xlfn.XLOOKUP(B1419,AI_NAMES!D:D,AI_NAMES!E:E,"",0))</f>
        <v>0</v>
      </c>
    </row>
    <row r="1420" spans="1:16" x14ac:dyDescent="0.2">
      <c r="A1420" t="s">
        <v>1593</v>
      </c>
      <c r="B1420" t="s">
        <v>321</v>
      </c>
      <c r="E1420" t="str">
        <f t="shared" si="85"/>
        <v/>
      </c>
      <c r="G1420" s="5" t="str">
        <f t="shared" si="86"/>
        <v/>
      </c>
      <c r="I1420" s="6" t="str">
        <f t="shared" si="84"/>
        <v>0</v>
      </c>
      <c r="O1420" t="s">
        <v>321</v>
      </c>
      <c r="P1420">
        <f>IF(C1420&lt;&gt;"",C1420,_xlfn.XLOOKUP(B1420,AI_NAMES!D:D,AI_NAMES!E:E,"",0))</f>
        <v>0</v>
      </c>
    </row>
    <row r="1421" spans="1:16" x14ac:dyDescent="0.2">
      <c r="A1421" t="s">
        <v>1594</v>
      </c>
      <c r="B1421" t="s">
        <v>321</v>
      </c>
      <c r="E1421" t="str">
        <f t="shared" si="85"/>
        <v/>
      </c>
      <c r="G1421" s="5" t="str">
        <f t="shared" si="86"/>
        <v/>
      </c>
      <c r="I1421" s="6" t="str">
        <f t="shared" si="84"/>
        <v>0</v>
      </c>
      <c r="O1421" t="s">
        <v>321</v>
      </c>
      <c r="P1421">
        <f>IF(C1421&lt;&gt;"",C1421,_xlfn.XLOOKUP(B1421,AI_NAMES!D:D,AI_NAMES!E:E,"",0))</f>
        <v>0</v>
      </c>
    </row>
    <row r="1422" spans="1:16" x14ac:dyDescent="0.2">
      <c r="A1422" t="s">
        <v>1595</v>
      </c>
      <c r="B1422" t="s">
        <v>321</v>
      </c>
      <c r="E1422" t="str">
        <f t="shared" si="85"/>
        <v/>
      </c>
      <c r="G1422" s="5" t="str">
        <f t="shared" si="86"/>
        <v/>
      </c>
      <c r="I1422" s="6" t="str">
        <f t="shared" si="84"/>
        <v>0</v>
      </c>
      <c r="O1422" t="s">
        <v>321</v>
      </c>
      <c r="P1422">
        <f>IF(C1422&lt;&gt;"",C1422,_xlfn.XLOOKUP(B1422,AI_NAMES!D:D,AI_NAMES!E:E,"",0))</f>
        <v>0</v>
      </c>
    </row>
    <row r="1423" spans="1:16" x14ac:dyDescent="0.2">
      <c r="A1423" t="s">
        <v>1596</v>
      </c>
      <c r="B1423" t="s">
        <v>321</v>
      </c>
      <c r="E1423" t="str">
        <f t="shared" si="85"/>
        <v/>
      </c>
      <c r="G1423" s="5" t="str">
        <f t="shared" si="86"/>
        <v/>
      </c>
      <c r="I1423" s="6" t="str">
        <f t="shared" si="84"/>
        <v>0</v>
      </c>
      <c r="O1423" t="s">
        <v>321</v>
      </c>
      <c r="P1423">
        <f>IF(C1423&lt;&gt;"",C1423,_xlfn.XLOOKUP(B1423,AI_NAMES!D:D,AI_NAMES!E:E,"",0))</f>
        <v>0</v>
      </c>
    </row>
    <row r="1424" spans="1:16" x14ac:dyDescent="0.2">
      <c r="A1424" t="s">
        <v>1597</v>
      </c>
      <c r="B1424" t="s">
        <v>3201</v>
      </c>
      <c r="E1424" t="str">
        <f t="shared" si="85"/>
        <v/>
      </c>
      <c r="G1424" s="5" t="str">
        <f t="shared" si="86"/>
        <v/>
      </c>
      <c r="I1424" s="6" t="str">
        <f t="shared" si="84"/>
        <v>0</v>
      </c>
      <c r="O1424" t="s">
        <v>3201</v>
      </c>
      <c r="P1424" t="str">
        <f>IF(C1424&lt;&gt;"",C1424,_xlfn.XLOOKUP(B1424,AI_NAMES!D:D,AI_NAMES!E:E,"",0))</f>
        <v/>
      </c>
    </row>
    <row r="1425" spans="1:16" x14ac:dyDescent="0.2">
      <c r="A1425" t="s">
        <v>1598</v>
      </c>
      <c r="B1425" t="s">
        <v>1599</v>
      </c>
      <c r="E1425" t="str">
        <f t="shared" si="85"/>
        <v/>
      </c>
      <c r="G1425" s="5" t="str">
        <f t="shared" si="86"/>
        <v/>
      </c>
      <c r="I1425" s="6" t="str">
        <f t="shared" si="84"/>
        <v>0</v>
      </c>
      <c r="O1425" t="s">
        <v>1599</v>
      </c>
      <c r="P1425" t="str">
        <f>IF(C1425&lt;&gt;"",C1425,_xlfn.XLOOKUP(B1425,AI_NAMES!D:D,AI_NAMES!E:E,"",0))</f>
        <v/>
      </c>
    </row>
    <row r="1426" spans="1:16" x14ac:dyDescent="0.2">
      <c r="A1426" t="s">
        <v>1600</v>
      </c>
      <c r="B1426" t="s">
        <v>321</v>
      </c>
      <c r="E1426" t="str">
        <f t="shared" si="85"/>
        <v/>
      </c>
      <c r="G1426" s="5" t="str">
        <f t="shared" si="86"/>
        <v/>
      </c>
      <c r="I1426" s="6" t="str">
        <f t="shared" si="84"/>
        <v>0</v>
      </c>
      <c r="O1426" t="s">
        <v>321</v>
      </c>
      <c r="P1426">
        <f>IF(C1426&lt;&gt;"",C1426,_xlfn.XLOOKUP(B1426,AI_NAMES!D:D,AI_NAMES!E:E,"",0))</f>
        <v>0</v>
      </c>
    </row>
    <row r="1427" spans="1:16" x14ac:dyDescent="0.2">
      <c r="A1427" t="s">
        <v>1601</v>
      </c>
      <c r="B1427" t="s">
        <v>321</v>
      </c>
      <c r="E1427" t="str">
        <f t="shared" si="85"/>
        <v/>
      </c>
      <c r="G1427" s="5" t="str">
        <f t="shared" si="86"/>
        <v/>
      </c>
      <c r="I1427" s="6" t="str">
        <f t="shared" si="84"/>
        <v>0</v>
      </c>
      <c r="O1427" t="s">
        <v>321</v>
      </c>
      <c r="P1427">
        <f>IF(C1427&lt;&gt;"",C1427,_xlfn.XLOOKUP(B1427,AI_NAMES!D:D,AI_NAMES!E:E,"",0))</f>
        <v>0</v>
      </c>
    </row>
    <row r="1428" spans="1:16" x14ac:dyDescent="0.2">
      <c r="A1428" t="s">
        <v>1602</v>
      </c>
      <c r="B1428" t="s">
        <v>321</v>
      </c>
      <c r="E1428" t="str">
        <f t="shared" si="85"/>
        <v/>
      </c>
      <c r="G1428" s="5" t="str">
        <f t="shared" si="86"/>
        <v/>
      </c>
      <c r="I1428" s="6" t="str">
        <f t="shared" si="84"/>
        <v>0</v>
      </c>
      <c r="O1428" t="s">
        <v>321</v>
      </c>
      <c r="P1428">
        <f>IF(C1428&lt;&gt;"",C1428,_xlfn.XLOOKUP(B1428,AI_NAMES!D:D,AI_NAMES!E:E,"",0))</f>
        <v>0</v>
      </c>
    </row>
    <row r="1429" spans="1:16" x14ac:dyDescent="0.2">
      <c r="A1429" t="s">
        <v>1603</v>
      </c>
      <c r="B1429" t="s">
        <v>321</v>
      </c>
      <c r="E1429" t="str">
        <f t="shared" si="85"/>
        <v/>
      </c>
      <c r="G1429" s="5" t="str">
        <f t="shared" si="86"/>
        <v/>
      </c>
      <c r="I1429" s="6" t="str">
        <f t="shared" si="84"/>
        <v>0</v>
      </c>
      <c r="O1429" t="s">
        <v>321</v>
      </c>
      <c r="P1429">
        <f>IF(C1429&lt;&gt;"",C1429,_xlfn.XLOOKUP(B1429,AI_NAMES!D:D,AI_NAMES!E:E,"",0))</f>
        <v>0</v>
      </c>
    </row>
    <row r="1430" spans="1:16" x14ac:dyDescent="0.2">
      <c r="A1430" t="s">
        <v>1604</v>
      </c>
      <c r="B1430" t="s">
        <v>1605</v>
      </c>
      <c r="E1430" t="str">
        <f t="shared" si="85"/>
        <v/>
      </c>
      <c r="G1430" s="5" t="str">
        <f t="shared" si="86"/>
        <v/>
      </c>
      <c r="I1430" s="6" t="str">
        <f t="shared" si="84"/>
        <v>0</v>
      </c>
      <c r="O1430" t="s">
        <v>1605</v>
      </c>
      <c r="P1430" t="str">
        <f>IF(C1430&lt;&gt;"",C1430,_xlfn.XLOOKUP(B1430,AI_NAMES!D:D,AI_NAMES!E:E,"",0))</f>
        <v/>
      </c>
    </row>
    <row r="1431" spans="1:16" x14ac:dyDescent="0.2">
      <c r="A1431" t="s">
        <v>1606</v>
      </c>
      <c r="B1431" t="s">
        <v>321</v>
      </c>
      <c r="E1431" t="str">
        <f t="shared" si="85"/>
        <v/>
      </c>
      <c r="G1431" s="5" t="str">
        <f t="shared" si="86"/>
        <v/>
      </c>
      <c r="I1431" s="6" t="str">
        <f t="shared" si="84"/>
        <v>0</v>
      </c>
      <c r="O1431" t="s">
        <v>321</v>
      </c>
      <c r="P1431">
        <f>IF(C1431&lt;&gt;"",C1431,_xlfn.XLOOKUP(B1431,AI_NAMES!D:D,AI_NAMES!E:E,"",0))</f>
        <v>0</v>
      </c>
    </row>
    <row r="1432" spans="1:16" x14ac:dyDescent="0.2">
      <c r="A1432" t="s">
        <v>1607</v>
      </c>
      <c r="B1432" t="s">
        <v>321</v>
      </c>
      <c r="E1432" t="str">
        <f t="shared" si="85"/>
        <v/>
      </c>
      <c r="G1432" s="5" t="str">
        <f t="shared" si="86"/>
        <v/>
      </c>
      <c r="I1432" s="6" t="str">
        <f t="shared" si="84"/>
        <v>0</v>
      </c>
      <c r="O1432" t="s">
        <v>321</v>
      </c>
      <c r="P1432">
        <f>IF(C1432&lt;&gt;"",C1432,_xlfn.XLOOKUP(B1432,AI_NAMES!D:D,AI_NAMES!E:E,"",0))</f>
        <v>0</v>
      </c>
    </row>
    <row r="1433" spans="1:16" x14ac:dyDescent="0.2">
      <c r="A1433" t="s">
        <v>1608</v>
      </c>
      <c r="B1433" t="s">
        <v>321</v>
      </c>
      <c r="E1433" t="str">
        <f t="shared" si="85"/>
        <v/>
      </c>
      <c r="G1433" s="5" t="str">
        <f t="shared" si="86"/>
        <v/>
      </c>
      <c r="I1433" s="6" t="str">
        <f t="shared" si="84"/>
        <v>0</v>
      </c>
      <c r="O1433" t="s">
        <v>321</v>
      </c>
      <c r="P1433">
        <f>IF(C1433&lt;&gt;"",C1433,_xlfn.XLOOKUP(B1433,AI_NAMES!D:D,AI_NAMES!E:E,"",0))</f>
        <v>0</v>
      </c>
    </row>
    <row r="1434" spans="1:16" x14ac:dyDescent="0.2">
      <c r="A1434" t="s">
        <v>1609</v>
      </c>
      <c r="B1434" t="s">
        <v>321</v>
      </c>
      <c r="E1434" t="str">
        <f t="shared" si="85"/>
        <v/>
      </c>
      <c r="G1434" s="5" t="str">
        <f t="shared" si="86"/>
        <v/>
      </c>
      <c r="I1434" s="6" t="str">
        <f t="shared" si="84"/>
        <v>0</v>
      </c>
      <c r="O1434" t="s">
        <v>321</v>
      </c>
      <c r="P1434">
        <f>IF(C1434&lt;&gt;"",C1434,_xlfn.XLOOKUP(B1434,AI_NAMES!D:D,AI_NAMES!E:E,"",0))</f>
        <v>0</v>
      </c>
    </row>
    <row r="1435" spans="1:16" x14ac:dyDescent="0.2">
      <c r="A1435" t="s">
        <v>1610</v>
      </c>
      <c r="B1435" t="s">
        <v>321</v>
      </c>
      <c r="E1435" t="str">
        <f t="shared" si="85"/>
        <v/>
      </c>
      <c r="G1435" s="5" t="str">
        <f t="shared" si="86"/>
        <v/>
      </c>
      <c r="I1435" s="6" t="str">
        <f t="shared" si="84"/>
        <v>0</v>
      </c>
      <c r="O1435" t="s">
        <v>321</v>
      </c>
      <c r="P1435">
        <f>IF(C1435&lt;&gt;"",C1435,_xlfn.XLOOKUP(B1435,AI_NAMES!D:D,AI_NAMES!E:E,"",0))</f>
        <v>0</v>
      </c>
    </row>
    <row r="1436" spans="1:16" x14ac:dyDescent="0.2">
      <c r="A1436" t="s">
        <v>1611</v>
      </c>
      <c r="B1436" t="s">
        <v>321</v>
      </c>
      <c r="E1436" t="str">
        <f t="shared" si="85"/>
        <v/>
      </c>
      <c r="G1436" s="5" t="str">
        <f t="shared" si="86"/>
        <v/>
      </c>
      <c r="I1436" s="6" t="str">
        <f t="shared" si="84"/>
        <v>0</v>
      </c>
      <c r="O1436" t="s">
        <v>321</v>
      </c>
      <c r="P1436">
        <f>IF(C1436&lt;&gt;"",C1436,_xlfn.XLOOKUP(B1436,AI_NAMES!D:D,AI_NAMES!E:E,"",0))</f>
        <v>0</v>
      </c>
    </row>
    <row r="1437" spans="1:16" x14ac:dyDescent="0.2">
      <c r="A1437" t="s">
        <v>1612</v>
      </c>
      <c r="B1437" t="s">
        <v>321</v>
      </c>
      <c r="E1437" t="str">
        <f t="shared" si="85"/>
        <v/>
      </c>
      <c r="G1437" s="5" t="str">
        <f t="shared" si="86"/>
        <v/>
      </c>
      <c r="I1437" s="6" t="str">
        <f t="shared" si="84"/>
        <v>0</v>
      </c>
      <c r="O1437" t="s">
        <v>321</v>
      </c>
      <c r="P1437">
        <f>IF(C1437&lt;&gt;"",C1437,_xlfn.XLOOKUP(B1437,AI_NAMES!D:D,AI_NAMES!E:E,"",0))</f>
        <v>0</v>
      </c>
    </row>
    <row r="1438" spans="1:16" x14ac:dyDescent="0.2">
      <c r="A1438" t="s">
        <v>1613</v>
      </c>
      <c r="B1438" t="s">
        <v>321</v>
      </c>
      <c r="E1438" t="str">
        <f t="shared" si="85"/>
        <v/>
      </c>
      <c r="G1438" s="5" t="str">
        <f t="shared" si="86"/>
        <v/>
      </c>
      <c r="I1438" s="6" t="str">
        <f t="shared" si="84"/>
        <v>0</v>
      </c>
      <c r="O1438" t="s">
        <v>321</v>
      </c>
      <c r="P1438">
        <f>IF(C1438&lt;&gt;"",C1438,_xlfn.XLOOKUP(B1438,AI_NAMES!D:D,AI_NAMES!E:E,"",0))</f>
        <v>0</v>
      </c>
    </row>
    <row r="1439" spans="1:16" x14ac:dyDescent="0.2">
      <c r="A1439" t="s">
        <v>1614</v>
      </c>
      <c r="B1439" t="s">
        <v>321</v>
      </c>
      <c r="E1439" t="str">
        <f t="shared" si="85"/>
        <v/>
      </c>
      <c r="G1439" s="5" t="str">
        <f t="shared" si="86"/>
        <v/>
      </c>
      <c r="I1439" s="6" t="str">
        <f t="shared" si="84"/>
        <v>0</v>
      </c>
      <c r="O1439" t="s">
        <v>321</v>
      </c>
      <c r="P1439">
        <f>IF(C1439&lt;&gt;"",C1439,_xlfn.XLOOKUP(B1439,AI_NAMES!D:D,AI_NAMES!E:E,"",0))</f>
        <v>0</v>
      </c>
    </row>
    <row r="1440" spans="1:16" x14ac:dyDescent="0.2">
      <c r="A1440" t="s">
        <v>1615</v>
      </c>
      <c r="B1440" t="s">
        <v>321</v>
      </c>
      <c r="E1440" t="str">
        <f t="shared" si="85"/>
        <v/>
      </c>
      <c r="G1440" s="5" t="str">
        <f t="shared" si="86"/>
        <v/>
      </c>
      <c r="I1440" s="6" t="str">
        <f t="shared" si="84"/>
        <v>0</v>
      </c>
      <c r="O1440" t="s">
        <v>321</v>
      </c>
      <c r="P1440">
        <f>IF(C1440&lt;&gt;"",C1440,_xlfn.XLOOKUP(B1440,AI_NAMES!D:D,AI_NAMES!E:E,"",0))</f>
        <v>0</v>
      </c>
    </row>
    <row r="1441" spans="1:16" x14ac:dyDescent="0.2">
      <c r="A1441" t="s">
        <v>1616</v>
      </c>
      <c r="B1441" t="s">
        <v>321</v>
      </c>
      <c r="E1441" t="str">
        <f t="shared" si="85"/>
        <v/>
      </c>
      <c r="G1441" s="5" t="str">
        <f t="shared" si="86"/>
        <v/>
      </c>
      <c r="I1441" s="6" t="str">
        <f t="shared" si="84"/>
        <v>0</v>
      </c>
      <c r="O1441" t="s">
        <v>321</v>
      </c>
      <c r="P1441">
        <f>IF(C1441&lt;&gt;"",C1441,_xlfn.XLOOKUP(B1441,AI_NAMES!D:D,AI_NAMES!E:E,"",0))</f>
        <v>0</v>
      </c>
    </row>
    <row r="1442" spans="1:16" x14ac:dyDescent="0.2">
      <c r="A1442" t="s">
        <v>1617</v>
      </c>
      <c r="B1442" t="s">
        <v>321</v>
      </c>
      <c r="E1442" t="str">
        <f t="shared" si="85"/>
        <v/>
      </c>
      <c r="G1442" s="5" t="str">
        <f t="shared" si="86"/>
        <v/>
      </c>
      <c r="I1442" s="6" t="str">
        <f t="shared" si="84"/>
        <v>0</v>
      </c>
      <c r="O1442" t="s">
        <v>321</v>
      </c>
      <c r="P1442">
        <f>IF(C1442&lt;&gt;"",C1442,_xlfn.XLOOKUP(B1442,AI_NAMES!D:D,AI_NAMES!E:E,"",0))</f>
        <v>0</v>
      </c>
    </row>
    <row r="1443" spans="1:16" x14ac:dyDescent="0.2">
      <c r="A1443" t="s">
        <v>1618</v>
      </c>
      <c r="B1443" t="s">
        <v>321</v>
      </c>
      <c r="E1443" t="str">
        <f t="shared" si="85"/>
        <v/>
      </c>
      <c r="G1443" s="5" t="str">
        <f t="shared" si="86"/>
        <v/>
      </c>
      <c r="I1443" s="6" t="str">
        <f t="shared" si="84"/>
        <v>0</v>
      </c>
      <c r="O1443" t="s">
        <v>321</v>
      </c>
      <c r="P1443">
        <f>IF(C1443&lt;&gt;"",C1443,_xlfn.XLOOKUP(B1443,AI_NAMES!D:D,AI_NAMES!E:E,"",0))</f>
        <v>0</v>
      </c>
    </row>
    <row r="1444" spans="1:16" x14ac:dyDescent="0.2">
      <c r="A1444" t="s">
        <v>1619</v>
      </c>
      <c r="B1444" t="s">
        <v>321</v>
      </c>
      <c r="E1444" t="str">
        <f t="shared" si="85"/>
        <v/>
      </c>
      <c r="G1444" s="5" t="str">
        <f t="shared" si="86"/>
        <v/>
      </c>
      <c r="I1444" s="6" t="str">
        <f t="shared" si="84"/>
        <v>0</v>
      </c>
      <c r="O1444" t="s">
        <v>321</v>
      </c>
      <c r="P1444">
        <f>IF(C1444&lt;&gt;"",C1444,_xlfn.XLOOKUP(B1444,AI_NAMES!D:D,AI_NAMES!E:E,"",0))</f>
        <v>0</v>
      </c>
    </row>
    <row r="1445" spans="1:16" x14ac:dyDescent="0.2">
      <c r="A1445" t="s">
        <v>1620</v>
      </c>
      <c r="B1445" t="s">
        <v>321</v>
      </c>
      <c r="E1445" t="str">
        <f t="shared" si="85"/>
        <v/>
      </c>
      <c r="G1445" s="5" t="str">
        <f t="shared" si="86"/>
        <v/>
      </c>
      <c r="I1445" s="6" t="str">
        <f t="shared" si="84"/>
        <v>0</v>
      </c>
      <c r="O1445" t="s">
        <v>321</v>
      </c>
      <c r="P1445">
        <f>IF(C1445&lt;&gt;"",C1445,_xlfn.XLOOKUP(B1445,AI_NAMES!D:D,AI_NAMES!E:E,"",0))</f>
        <v>0</v>
      </c>
    </row>
    <row r="1446" spans="1:16" x14ac:dyDescent="0.2">
      <c r="A1446" t="s">
        <v>1621</v>
      </c>
      <c r="B1446" t="s">
        <v>321</v>
      </c>
      <c r="E1446" t="str">
        <f t="shared" si="85"/>
        <v/>
      </c>
      <c r="G1446" s="5" t="str">
        <f t="shared" si="86"/>
        <v/>
      </c>
      <c r="I1446" s="6" t="str">
        <f t="shared" si="84"/>
        <v>0</v>
      </c>
      <c r="O1446" t="s">
        <v>321</v>
      </c>
      <c r="P1446">
        <f>IF(C1446&lt;&gt;"",C1446,_xlfn.XLOOKUP(B1446,AI_NAMES!D:D,AI_NAMES!E:E,"",0))</f>
        <v>0</v>
      </c>
    </row>
    <row r="1447" spans="1:16" x14ac:dyDescent="0.2">
      <c r="A1447" t="s">
        <v>1622</v>
      </c>
      <c r="B1447" t="s">
        <v>321</v>
      </c>
      <c r="E1447" t="str">
        <f t="shared" si="85"/>
        <v/>
      </c>
      <c r="G1447" s="5" t="str">
        <f t="shared" si="86"/>
        <v/>
      </c>
      <c r="I1447" s="6" t="str">
        <f t="shared" si="84"/>
        <v>0</v>
      </c>
      <c r="O1447" t="s">
        <v>321</v>
      </c>
      <c r="P1447">
        <f>IF(C1447&lt;&gt;"",C1447,_xlfn.XLOOKUP(B1447,AI_NAMES!D:D,AI_NAMES!E:E,"",0))</f>
        <v>0</v>
      </c>
    </row>
    <row r="1448" spans="1:16" x14ac:dyDescent="0.2">
      <c r="A1448" t="s">
        <v>1623</v>
      </c>
      <c r="B1448" t="s">
        <v>321</v>
      </c>
      <c r="E1448" t="str">
        <f t="shared" si="85"/>
        <v/>
      </c>
      <c r="G1448" s="5" t="str">
        <f t="shared" si="86"/>
        <v/>
      </c>
      <c r="I1448" s="6" t="str">
        <f t="shared" si="84"/>
        <v>0</v>
      </c>
      <c r="O1448" t="s">
        <v>321</v>
      </c>
      <c r="P1448">
        <f>IF(C1448&lt;&gt;"",C1448,_xlfn.XLOOKUP(B1448,AI_NAMES!D:D,AI_NAMES!E:E,"",0))</f>
        <v>0</v>
      </c>
    </row>
    <row r="1449" spans="1:16" x14ac:dyDescent="0.2">
      <c r="A1449" t="s">
        <v>1624</v>
      </c>
      <c r="B1449" t="s">
        <v>321</v>
      </c>
      <c r="E1449" t="str">
        <f t="shared" si="85"/>
        <v/>
      </c>
      <c r="G1449" s="5" t="str">
        <f t="shared" si="86"/>
        <v/>
      </c>
      <c r="I1449" s="6" t="str">
        <f t="shared" si="84"/>
        <v>0</v>
      </c>
      <c r="O1449" t="s">
        <v>321</v>
      </c>
      <c r="P1449">
        <f>IF(C1449&lt;&gt;"",C1449,_xlfn.XLOOKUP(B1449,AI_NAMES!D:D,AI_NAMES!E:E,"",0))</f>
        <v>0</v>
      </c>
    </row>
    <row r="1450" spans="1:16" x14ac:dyDescent="0.2">
      <c r="A1450" t="s">
        <v>1625</v>
      </c>
      <c r="B1450" t="s">
        <v>321</v>
      </c>
      <c r="E1450" t="str">
        <f t="shared" si="85"/>
        <v/>
      </c>
      <c r="G1450" s="5" t="str">
        <f t="shared" si="86"/>
        <v/>
      </c>
      <c r="I1450" s="6" t="str">
        <f t="shared" si="84"/>
        <v>0</v>
      </c>
      <c r="O1450" t="s">
        <v>321</v>
      </c>
      <c r="P1450">
        <f>IF(C1450&lt;&gt;"",C1450,_xlfn.XLOOKUP(B1450,AI_NAMES!D:D,AI_NAMES!E:E,"",0))</f>
        <v>0</v>
      </c>
    </row>
    <row r="1451" spans="1:16" x14ac:dyDescent="0.2">
      <c r="A1451" t="s">
        <v>1626</v>
      </c>
      <c r="B1451" t="s">
        <v>321</v>
      </c>
      <c r="E1451" t="str">
        <f t="shared" si="85"/>
        <v/>
      </c>
      <c r="G1451" s="5" t="str">
        <f t="shared" si="86"/>
        <v/>
      </c>
      <c r="I1451" s="6" t="str">
        <f t="shared" si="84"/>
        <v>0</v>
      </c>
      <c r="O1451" t="s">
        <v>321</v>
      </c>
      <c r="P1451">
        <f>IF(C1451&lt;&gt;"",C1451,_xlfn.XLOOKUP(B1451,AI_NAMES!D:D,AI_NAMES!E:E,"",0))</f>
        <v>0</v>
      </c>
    </row>
    <row r="1452" spans="1:16" x14ac:dyDescent="0.2">
      <c r="A1452" t="s">
        <v>1627</v>
      </c>
      <c r="B1452" t="s">
        <v>321</v>
      </c>
      <c r="E1452" t="str">
        <f t="shared" si="85"/>
        <v/>
      </c>
      <c r="G1452" s="5" t="str">
        <f t="shared" si="86"/>
        <v/>
      </c>
      <c r="I1452" s="6" t="str">
        <f t="shared" si="84"/>
        <v>0</v>
      </c>
      <c r="O1452" t="s">
        <v>321</v>
      </c>
      <c r="P1452">
        <f>IF(C1452&lt;&gt;"",C1452,_xlfn.XLOOKUP(B1452,AI_NAMES!D:D,AI_NAMES!E:E,"",0))</f>
        <v>0</v>
      </c>
    </row>
    <row r="1453" spans="1:16" x14ac:dyDescent="0.2">
      <c r="A1453" t="s">
        <v>1628</v>
      </c>
      <c r="B1453" t="s">
        <v>321</v>
      </c>
      <c r="E1453" t="str">
        <f t="shared" si="85"/>
        <v/>
      </c>
      <c r="G1453" s="5" t="str">
        <f t="shared" si="86"/>
        <v/>
      </c>
      <c r="I1453" s="6" t="str">
        <f t="shared" si="84"/>
        <v>0</v>
      </c>
      <c r="O1453" t="s">
        <v>321</v>
      </c>
      <c r="P1453">
        <f>IF(C1453&lt;&gt;"",C1453,_xlfn.XLOOKUP(B1453,AI_NAMES!D:D,AI_NAMES!E:E,"",0))</f>
        <v>0</v>
      </c>
    </row>
    <row r="1454" spans="1:16" x14ac:dyDescent="0.2">
      <c r="A1454" t="s">
        <v>1629</v>
      </c>
      <c r="B1454" t="s">
        <v>321</v>
      </c>
      <c r="E1454" t="str">
        <f t="shared" si="85"/>
        <v/>
      </c>
      <c r="G1454" s="5" t="str">
        <f t="shared" si="86"/>
        <v/>
      </c>
      <c r="I1454" s="6" t="str">
        <f t="shared" si="84"/>
        <v>0</v>
      </c>
      <c r="O1454" t="s">
        <v>321</v>
      </c>
      <c r="P1454">
        <f>IF(C1454&lt;&gt;"",C1454,_xlfn.XLOOKUP(B1454,AI_NAMES!D:D,AI_NAMES!E:E,"",0))</f>
        <v>0</v>
      </c>
    </row>
    <row r="1455" spans="1:16" x14ac:dyDescent="0.2">
      <c r="A1455" t="s">
        <v>1630</v>
      </c>
      <c r="B1455" t="s">
        <v>321</v>
      </c>
      <c r="E1455" t="str">
        <f t="shared" si="85"/>
        <v/>
      </c>
      <c r="G1455" s="5" t="str">
        <f t="shared" si="86"/>
        <v/>
      </c>
      <c r="I1455" s="6" t="str">
        <f t="shared" si="84"/>
        <v>0</v>
      </c>
      <c r="O1455" t="s">
        <v>321</v>
      </c>
      <c r="P1455">
        <f>IF(C1455&lt;&gt;"",C1455,_xlfn.XLOOKUP(B1455,AI_NAMES!D:D,AI_NAMES!E:E,"",0))</f>
        <v>0</v>
      </c>
    </row>
    <row r="1456" spans="1:16" x14ac:dyDescent="0.2">
      <c r="A1456" t="s">
        <v>1631</v>
      </c>
      <c r="B1456" t="s">
        <v>321</v>
      </c>
      <c r="E1456" t="str">
        <f t="shared" si="85"/>
        <v/>
      </c>
      <c r="G1456" s="5" t="str">
        <f t="shared" si="86"/>
        <v/>
      </c>
      <c r="I1456" s="6" t="str">
        <f t="shared" si="84"/>
        <v>0</v>
      </c>
      <c r="O1456" t="s">
        <v>321</v>
      </c>
      <c r="P1456">
        <f>IF(C1456&lt;&gt;"",C1456,_xlfn.XLOOKUP(B1456,AI_NAMES!D:D,AI_NAMES!E:E,"",0))</f>
        <v>0</v>
      </c>
    </row>
    <row r="1457" spans="1:16" x14ac:dyDescent="0.2">
      <c r="A1457" t="s">
        <v>1632</v>
      </c>
      <c r="B1457" t="s">
        <v>321</v>
      </c>
      <c r="E1457" t="str">
        <f t="shared" si="85"/>
        <v/>
      </c>
      <c r="G1457" s="5" t="str">
        <f t="shared" si="86"/>
        <v/>
      </c>
      <c r="I1457" s="6" t="str">
        <f t="shared" si="84"/>
        <v>0</v>
      </c>
      <c r="O1457" t="s">
        <v>321</v>
      </c>
      <c r="P1457">
        <f>IF(C1457&lt;&gt;"",C1457,_xlfn.XLOOKUP(B1457,AI_NAMES!D:D,AI_NAMES!E:E,"",0))</f>
        <v>0</v>
      </c>
    </row>
    <row r="1458" spans="1:16" x14ac:dyDescent="0.2">
      <c r="A1458" t="s">
        <v>1633</v>
      </c>
      <c r="B1458" t="s">
        <v>321</v>
      </c>
      <c r="E1458" t="str">
        <f t="shared" si="85"/>
        <v/>
      </c>
      <c r="G1458" s="5" t="str">
        <f t="shared" si="86"/>
        <v/>
      </c>
      <c r="I1458" s="6" t="str">
        <f t="shared" si="84"/>
        <v>0</v>
      </c>
      <c r="O1458" t="s">
        <v>321</v>
      </c>
      <c r="P1458">
        <f>IF(C1458&lt;&gt;"",C1458,_xlfn.XLOOKUP(B1458,AI_NAMES!D:D,AI_NAMES!E:E,"",0))</f>
        <v>0</v>
      </c>
    </row>
    <row r="1459" spans="1:16" x14ac:dyDescent="0.2">
      <c r="A1459" t="s">
        <v>1634</v>
      </c>
      <c r="B1459" t="s">
        <v>3341</v>
      </c>
      <c r="E1459" t="str">
        <f t="shared" si="85"/>
        <v/>
      </c>
      <c r="F1459" s="9"/>
      <c r="G1459" s="5" t="str">
        <f t="shared" si="86"/>
        <v/>
      </c>
      <c r="I1459" s="6" t="str">
        <f t="shared" si="84"/>
        <v>0</v>
      </c>
      <c r="O1459" t="s">
        <v>3341</v>
      </c>
      <c r="P1459" t="str">
        <f>IF(C1459&lt;&gt;"",C1459,_xlfn.XLOOKUP(B1459,AI_NAMES!D:D,AI_NAMES!E:E,"",0))</f>
        <v/>
      </c>
    </row>
    <row r="1460" spans="1:16" x14ac:dyDescent="0.2">
      <c r="A1460" t="s">
        <v>1635</v>
      </c>
      <c r="B1460" t="s">
        <v>321</v>
      </c>
      <c r="E1460" t="str">
        <f t="shared" si="85"/>
        <v/>
      </c>
      <c r="G1460" s="5" t="str">
        <f t="shared" si="86"/>
        <v/>
      </c>
      <c r="I1460" s="6" t="str">
        <f t="shared" si="84"/>
        <v>0</v>
      </c>
      <c r="O1460" t="s">
        <v>321</v>
      </c>
      <c r="P1460">
        <f>IF(C1460&lt;&gt;"",C1460,_xlfn.XLOOKUP(B1460,AI_NAMES!D:D,AI_NAMES!E:E,"",0))</f>
        <v>0</v>
      </c>
    </row>
    <row r="1461" spans="1:16" x14ac:dyDescent="0.2">
      <c r="A1461" t="s">
        <v>1636</v>
      </c>
      <c r="B1461" t="s">
        <v>321</v>
      </c>
      <c r="E1461" t="str">
        <f t="shared" si="85"/>
        <v/>
      </c>
      <c r="G1461" s="5" t="str">
        <f t="shared" si="86"/>
        <v/>
      </c>
      <c r="I1461" s="6" t="str">
        <f t="shared" si="84"/>
        <v>0</v>
      </c>
      <c r="O1461" t="s">
        <v>321</v>
      </c>
      <c r="P1461">
        <f>IF(C1461&lt;&gt;"",C1461,_xlfn.XLOOKUP(B1461,AI_NAMES!D:D,AI_NAMES!E:E,"",0))</f>
        <v>0</v>
      </c>
    </row>
    <row r="1462" spans="1:16" x14ac:dyDescent="0.2">
      <c r="A1462" t="s">
        <v>1637</v>
      </c>
      <c r="B1462" t="s">
        <v>321</v>
      </c>
      <c r="E1462" t="str">
        <f t="shared" si="85"/>
        <v/>
      </c>
      <c r="G1462" s="5" t="str">
        <f t="shared" si="86"/>
        <v/>
      </c>
      <c r="I1462" s="6" t="str">
        <f t="shared" si="84"/>
        <v>0</v>
      </c>
      <c r="O1462" t="s">
        <v>321</v>
      </c>
      <c r="P1462">
        <f>IF(C1462&lt;&gt;"",C1462,_xlfn.XLOOKUP(B1462,AI_NAMES!D:D,AI_NAMES!E:E,"",0))</f>
        <v>0</v>
      </c>
    </row>
    <row r="1463" spans="1:16" x14ac:dyDescent="0.2">
      <c r="A1463" t="s">
        <v>1638</v>
      </c>
      <c r="B1463" t="s">
        <v>321</v>
      </c>
      <c r="E1463" t="str">
        <f t="shared" si="85"/>
        <v/>
      </c>
      <c r="G1463" s="5" t="str">
        <f t="shared" si="86"/>
        <v/>
      </c>
      <c r="I1463" s="6" t="str">
        <f t="shared" si="84"/>
        <v>0</v>
      </c>
      <c r="O1463" t="s">
        <v>321</v>
      </c>
      <c r="P1463">
        <f>IF(C1463&lt;&gt;"",C1463,_xlfn.XLOOKUP(B1463,AI_NAMES!D:D,AI_NAMES!E:E,"",0))</f>
        <v>0</v>
      </c>
    </row>
    <row r="1464" spans="1:16" x14ac:dyDescent="0.2">
      <c r="A1464" t="s">
        <v>1639</v>
      </c>
      <c r="B1464" t="s">
        <v>321</v>
      </c>
      <c r="E1464" t="str">
        <f t="shared" si="85"/>
        <v/>
      </c>
      <c r="G1464" s="5" t="str">
        <f t="shared" si="86"/>
        <v/>
      </c>
      <c r="I1464" s="6" t="str">
        <f t="shared" si="84"/>
        <v>0</v>
      </c>
      <c r="O1464" t="s">
        <v>321</v>
      </c>
      <c r="P1464">
        <f>IF(C1464&lt;&gt;"",C1464,_xlfn.XLOOKUP(B1464,AI_NAMES!D:D,AI_NAMES!E:E,"",0))</f>
        <v>0</v>
      </c>
    </row>
    <row r="1465" spans="1:16" x14ac:dyDescent="0.2">
      <c r="A1465" t="s">
        <v>1640</v>
      </c>
      <c r="B1465" t="s">
        <v>321</v>
      </c>
      <c r="E1465" t="str">
        <f t="shared" si="85"/>
        <v/>
      </c>
      <c r="G1465" s="5" t="str">
        <f t="shared" si="86"/>
        <v/>
      </c>
      <c r="I1465" s="6" t="str">
        <f t="shared" si="84"/>
        <v>0</v>
      </c>
      <c r="O1465" t="s">
        <v>321</v>
      </c>
      <c r="P1465">
        <f>IF(C1465&lt;&gt;"",C1465,_xlfn.XLOOKUP(B1465,AI_NAMES!D:D,AI_NAMES!E:E,"",0))</f>
        <v>0</v>
      </c>
    </row>
    <row r="1466" spans="1:16" x14ac:dyDescent="0.2">
      <c r="A1466" t="s">
        <v>1641</v>
      </c>
      <c r="B1466" t="s">
        <v>321</v>
      </c>
      <c r="E1466" t="str">
        <f t="shared" si="85"/>
        <v/>
      </c>
      <c r="G1466" s="5" t="str">
        <f t="shared" si="86"/>
        <v/>
      </c>
      <c r="I1466" s="6" t="str">
        <f t="shared" si="84"/>
        <v>0</v>
      </c>
      <c r="O1466" t="s">
        <v>321</v>
      </c>
      <c r="P1466">
        <f>IF(C1466&lt;&gt;"",C1466,_xlfn.XLOOKUP(B1466,AI_NAMES!D:D,AI_NAMES!E:E,"",0))</f>
        <v>0</v>
      </c>
    </row>
    <row r="1467" spans="1:16" x14ac:dyDescent="0.2">
      <c r="A1467" t="s">
        <v>1642</v>
      </c>
      <c r="B1467" t="s">
        <v>321</v>
      </c>
      <c r="E1467" t="str">
        <f t="shared" si="85"/>
        <v/>
      </c>
      <c r="G1467" s="5" t="str">
        <f t="shared" si="86"/>
        <v/>
      </c>
      <c r="I1467" s="6" t="str">
        <f t="shared" si="84"/>
        <v>0</v>
      </c>
      <c r="O1467" t="s">
        <v>321</v>
      </c>
      <c r="P1467">
        <f>IF(C1467&lt;&gt;"",C1467,_xlfn.XLOOKUP(B1467,AI_NAMES!D:D,AI_NAMES!E:E,"",0))</f>
        <v>0</v>
      </c>
    </row>
    <row r="1468" spans="1:16" x14ac:dyDescent="0.2">
      <c r="A1468" t="s">
        <v>1643</v>
      </c>
      <c r="B1468" t="s">
        <v>321</v>
      </c>
      <c r="E1468" t="str">
        <f t="shared" si="85"/>
        <v/>
      </c>
      <c r="G1468" s="5" t="str">
        <f t="shared" si="86"/>
        <v/>
      </c>
      <c r="I1468" s="6" t="str">
        <f t="shared" si="84"/>
        <v>0</v>
      </c>
      <c r="O1468" t="s">
        <v>321</v>
      </c>
      <c r="P1468">
        <f>IF(C1468&lt;&gt;"",C1468,_xlfn.XLOOKUP(B1468,AI_NAMES!D:D,AI_NAMES!E:E,"",0))</f>
        <v>0</v>
      </c>
    </row>
    <row r="1469" spans="1:16" x14ac:dyDescent="0.2">
      <c r="A1469" t="s">
        <v>1644</v>
      </c>
      <c r="B1469" t="s">
        <v>321</v>
      </c>
      <c r="E1469" t="str">
        <f t="shared" si="85"/>
        <v/>
      </c>
      <c r="G1469" s="5" t="str">
        <f t="shared" si="86"/>
        <v/>
      </c>
      <c r="I1469" s="6" t="str">
        <f t="shared" si="84"/>
        <v>0</v>
      </c>
      <c r="O1469" t="s">
        <v>321</v>
      </c>
      <c r="P1469">
        <f>IF(C1469&lt;&gt;"",C1469,_xlfn.XLOOKUP(B1469,AI_NAMES!D:D,AI_NAMES!E:E,"",0))</f>
        <v>0</v>
      </c>
    </row>
    <row r="1470" spans="1:16" x14ac:dyDescent="0.2">
      <c r="A1470" t="s">
        <v>1645</v>
      </c>
      <c r="B1470" t="s">
        <v>1646</v>
      </c>
      <c r="E1470" t="str">
        <f t="shared" si="85"/>
        <v/>
      </c>
      <c r="G1470" s="5" t="str">
        <f t="shared" si="86"/>
        <v/>
      </c>
      <c r="I1470" s="6" t="str">
        <f t="shared" si="84"/>
        <v>0</v>
      </c>
      <c r="O1470" t="s">
        <v>1646</v>
      </c>
      <c r="P1470" t="str">
        <f>IF(C1470&lt;&gt;"",C1470,_xlfn.XLOOKUP(B1470,AI_NAMES!D:D,AI_NAMES!E:E,"",0))</f>
        <v/>
      </c>
    </row>
    <row r="1471" spans="1:16" x14ac:dyDescent="0.2">
      <c r="A1471" t="s">
        <v>1647</v>
      </c>
      <c r="B1471" t="s">
        <v>1648</v>
      </c>
      <c r="E1471" t="str">
        <f t="shared" si="85"/>
        <v/>
      </c>
      <c r="G1471" s="5" t="str">
        <f t="shared" si="86"/>
        <v/>
      </c>
      <c r="I1471" s="6" t="str">
        <f t="shared" si="84"/>
        <v>0</v>
      </c>
      <c r="O1471" t="s">
        <v>1648</v>
      </c>
      <c r="P1471" t="str">
        <f>IF(C1471&lt;&gt;"",C1471,_xlfn.XLOOKUP(B1471,AI_NAMES!D:D,AI_NAMES!E:E,"",0))</f>
        <v/>
      </c>
    </row>
    <row r="1472" spans="1:16" x14ac:dyDescent="0.2">
      <c r="A1472" t="s">
        <v>1649</v>
      </c>
      <c r="B1472" t="s">
        <v>1650</v>
      </c>
      <c r="E1472" t="str">
        <f t="shared" si="85"/>
        <v/>
      </c>
      <c r="G1472" s="5" t="str">
        <f t="shared" si="86"/>
        <v/>
      </c>
      <c r="I1472" s="6" t="str">
        <f t="shared" si="84"/>
        <v>0</v>
      </c>
      <c r="O1472" t="s">
        <v>1650</v>
      </c>
      <c r="P1472" t="str">
        <f>IF(C1472&lt;&gt;"",C1472,_xlfn.XLOOKUP(B1472,AI_NAMES!D:D,AI_NAMES!E:E,"",0))</f>
        <v/>
      </c>
    </row>
    <row r="1473" spans="1:16" x14ac:dyDescent="0.2">
      <c r="A1473" t="s">
        <v>1651</v>
      </c>
      <c r="B1473" t="s">
        <v>1652</v>
      </c>
      <c r="E1473" t="str">
        <f t="shared" si="85"/>
        <v/>
      </c>
      <c r="G1473" s="5" t="str">
        <f t="shared" si="86"/>
        <v/>
      </c>
      <c r="I1473" s="6" t="str">
        <f t="shared" si="84"/>
        <v>0</v>
      </c>
      <c r="O1473" t="s">
        <v>1652</v>
      </c>
      <c r="P1473" t="str">
        <f>IF(C1473&lt;&gt;"",C1473,_xlfn.XLOOKUP(B1473,AI_NAMES!D:D,AI_NAMES!E:E,"",0))</f>
        <v/>
      </c>
    </row>
    <row r="1474" spans="1:16" x14ac:dyDescent="0.2">
      <c r="A1474" t="s">
        <v>1653</v>
      </c>
      <c r="B1474" t="s">
        <v>1654</v>
      </c>
      <c r="E1474" t="str">
        <f t="shared" si="85"/>
        <v/>
      </c>
      <c r="G1474" s="5" t="str">
        <f t="shared" si="86"/>
        <v/>
      </c>
      <c r="I1474" s="6" t="str">
        <f t="shared" si="84"/>
        <v>0</v>
      </c>
      <c r="O1474" t="s">
        <v>1654</v>
      </c>
      <c r="P1474" t="str">
        <f>IF(C1474&lt;&gt;"",C1474,_xlfn.XLOOKUP(B1474,AI_NAMES!D:D,AI_NAMES!E:E,"",0))</f>
        <v/>
      </c>
    </row>
    <row r="1475" spans="1:16" x14ac:dyDescent="0.2">
      <c r="A1475" t="s">
        <v>1655</v>
      </c>
      <c r="B1475" t="s">
        <v>1656</v>
      </c>
      <c r="E1475" t="str">
        <f t="shared" si="85"/>
        <v/>
      </c>
      <c r="G1475" s="5" t="str">
        <f t="shared" si="86"/>
        <v/>
      </c>
      <c r="I1475" s="6" t="str">
        <f t="shared" ref="I1475:I1538" si="87">IFERROR(DEC2HEX(H1475),"")</f>
        <v>0</v>
      </c>
      <c r="O1475" t="s">
        <v>1656</v>
      </c>
      <c r="P1475" t="str">
        <f>IF(C1475&lt;&gt;"",C1475,_xlfn.XLOOKUP(B1475,AI_NAMES!D:D,AI_NAMES!E:E,"",0))</f>
        <v/>
      </c>
    </row>
    <row r="1476" spans="1:16" x14ac:dyDescent="0.2">
      <c r="A1476" t="s">
        <v>1657</v>
      </c>
      <c r="B1476" t="s">
        <v>321</v>
      </c>
      <c r="E1476" t="str">
        <f t="shared" ref="E1476:E1539" si="88">IF(D1476&lt;&gt;"",C1476&amp;"/"&amp;D1476,"")</f>
        <v/>
      </c>
      <c r="G1476" s="5" t="str">
        <f t="shared" si="86"/>
        <v/>
      </c>
      <c r="I1476" s="6" t="str">
        <f t="shared" si="87"/>
        <v>0</v>
      </c>
      <c r="O1476" t="s">
        <v>321</v>
      </c>
      <c r="P1476">
        <f>IF(C1476&lt;&gt;"",C1476,_xlfn.XLOOKUP(B1476,AI_NAMES!D:D,AI_NAMES!E:E,"",0))</f>
        <v>0</v>
      </c>
    </row>
    <row r="1477" spans="1:16" x14ac:dyDescent="0.2">
      <c r="A1477" t="s">
        <v>1658</v>
      </c>
      <c r="B1477" t="s">
        <v>321</v>
      </c>
      <c r="E1477" t="str">
        <f t="shared" si="88"/>
        <v/>
      </c>
      <c r="G1477" s="5" t="str">
        <f t="shared" si="86"/>
        <v/>
      </c>
      <c r="I1477" s="6" t="str">
        <f t="shared" si="87"/>
        <v>0</v>
      </c>
      <c r="O1477" t="s">
        <v>321</v>
      </c>
      <c r="P1477">
        <f>IF(C1477&lt;&gt;"",C1477,_xlfn.XLOOKUP(B1477,AI_NAMES!D:D,AI_NAMES!E:E,"",0))</f>
        <v>0</v>
      </c>
    </row>
    <row r="1478" spans="1:16" x14ac:dyDescent="0.2">
      <c r="A1478" t="s">
        <v>1659</v>
      </c>
      <c r="B1478" t="s">
        <v>321</v>
      </c>
      <c r="E1478" t="str">
        <f t="shared" si="88"/>
        <v/>
      </c>
      <c r="G1478" s="5" t="str">
        <f t="shared" si="86"/>
        <v/>
      </c>
      <c r="I1478" s="6" t="str">
        <f t="shared" si="87"/>
        <v>0</v>
      </c>
      <c r="O1478" t="s">
        <v>321</v>
      </c>
      <c r="P1478">
        <f>IF(C1478&lt;&gt;"",C1478,_xlfn.XLOOKUP(B1478,AI_NAMES!D:D,AI_NAMES!E:E,"",0))</f>
        <v>0</v>
      </c>
    </row>
    <row r="1479" spans="1:16" x14ac:dyDescent="0.2">
      <c r="A1479" t="s">
        <v>1660</v>
      </c>
      <c r="B1479" t="s">
        <v>3384</v>
      </c>
      <c r="E1479" t="str">
        <f t="shared" si="88"/>
        <v/>
      </c>
      <c r="G1479" s="5" t="str">
        <f t="shared" si="86"/>
        <v/>
      </c>
      <c r="I1479" s="6" t="str">
        <f t="shared" si="87"/>
        <v>0</v>
      </c>
      <c r="O1479" t="s">
        <v>3384</v>
      </c>
      <c r="P1479" t="str">
        <f>IF(C1479&lt;&gt;"",C1479,_xlfn.XLOOKUP(B1479,AI_NAMES!D:D,AI_NAMES!E:E,"",0))</f>
        <v/>
      </c>
    </row>
    <row r="1480" spans="1:16" x14ac:dyDescent="0.2">
      <c r="A1480" t="s">
        <v>1661</v>
      </c>
      <c r="B1480" t="s">
        <v>321</v>
      </c>
      <c r="E1480" t="str">
        <f t="shared" si="88"/>
        <v/>
      </c>
      <c r="G1480" s="5" t="str">
        <f t="shared" si="86"/>
        <v/>
      </c>
      <c r="I1480" s="6" t="str">
        <f t="shared" si="87"/>
        <v>0</v>
      </c>
      <c r="O1480" t="s">
        <v>321</v>
      </c>
      <c r="P1480">
        <f>IF(C1480&lt;&gt;"",C1480,_xlfn.XLOOKUP(B1480,AI_NAMES!D:D,AI_NAMES!E:E,"",0))</f>
        <v>0</v>
      </c>
    </row>
    <row r="1481" spans="1:16" x14ac:dyDescent="0.2">
      <c r="A1481" t="s">
        <v>1662</v>
      </c>
      <c r="B1481" t="s">
        <v>321</v>
      </c>
      <c r="E1481" t="str">
        <f t="shared" si="88"/>
        <v/>
      </c>
      <c r="G1481" s="5" t="str">
        <f t="shared" ref="G1481:G1544" si="89">IF(F1481&lt;&gt;"",HEX2DEC(SUBSTITUTE(SUBSTITUTE(F1481,"adrEA",""),"$","")),"")</f>
        <v/>
      </c>
      <c r="I1481" s="6" t="str">
        <f t="shared" si="87"/>
        <v>0</v>
      </c>
      <c r="O1481" t="s">
        <v>321</v>
      </c>
      <c r="P1481">
        <f>IF(C1481&lt;&gt;"",C1481,_xlfn.XLOOKUP(B1481,AI_NAMES!D:D,AI_NAMES!E:E,"",0))</f>
        <v>0</v>
      </c>
    </row>
    <row r="1482" spans="1:16" x14ac:dyDescent="0.2">
      <c r="A1482" t="s">
        <v>1663</v>
      </c>
      <c r="B1482" t="s">
        <v>321</v>
      </c>
      <c r="E1482" t="str">
        <f t="shared" si="88"/>
        <v/>
      </c>
      <c r="G1482" s="5" t="str">
        <f t="shared" si="89"/>
        <v/>
      </c>
      <c r="I1482" s="6" t="str">
        <f t="shared" si="87"/>
        <v>0</v>
      </c>
      <c r="O1482" t="s">
        <v>321</v>
      </c>
      <c r="P1482">
        <f>IF(C1482&lt;&gt;"",C1482,_xlfn.XLOOKUP(B1482,AI_NAMES!D:D,AI_NAMES!E:E,"",0))</f>
        <v>0</v>
      </c>
    </row>
    <row r="1483" spans="1:16" x14ac:dyDescent="0.2">
      <c r="A1483" t="s">
        <v>1664</v>
      </c>
      <c r="B1483" t="s">
        <v>321</v>
      </c>
      <c r="E1483" t="str">
        <f t="shared" si="88"/>
        <v/>
      </c>
      <c r="G1483" s="5" t="str">
        <f t="shared" si="89"/>
        <v/>
      </c>
      <c r="I1483" s="6" t="str">
        <f t="shared" si="87"/>
        <v>0</v>
      </c>
      <c r="O1483" t="s">
        <v>321</v>
      </c>
      <c r="P1483">
        <f>IF(C1483&lt;&gt;"",C1483,_xlfn.XLOOKUP(B1483,AI_NAMES!D:D,AI_NAMES!E:E,"",0))</f>
        <v>0</v>
      </c>
    </row>
    <row r="1484" spans="1:16" x14ac:dyDescent="0.2">
      <c r="A1484" t="s">
        <v>1665</v>
      </c>
      <c r="B1484" t="s">
        <v>321</v>
      </c>
      <c r="E1484" t="str">
        <f t="shared" si="88"/>
        <v/>
      </c>
      <c r="G1484" s="5" t="str">
        <f t="shared" si="89"/>
        <v/>
      </c>
      <c r="I1484" s="6" t="str">
        <f t="shared" si="87"/>
        <v>0</v>
      </c>
      <c r="O1484" t="s">
        <v>321</v>
      </c>
      <c r="P1484">
        <f>IF(C1484&lt;&gt;"",C1484,_xlfn.XLOOKUP(B1484,AI_NAMES!D:D,AI_NAMES!E:E,"",0))</f>
        <v>0</v>
      </c>
    </row>
    <row r="1485" spans="1:16" x14ac:dyDescent="0.2">
      <c r="A1485" t="s">
        <v>1666</v>
      </c>
      <c r="B1485" t="s">
        <v>3383</v>
      </c>
      <c r="E1485" t="str">
        <f t="shared" si="88"/>
        <v/>
      </c>
      <c r="G1485" s="5" t="str">
        <f t="shared" si="89"/>
        <v/>
      </c>
      <c r="I1485" s="6" t="str">
        <f t="shared" si="87"/>
        <v>0</v>
      </c>
      <c r="O1485" t="s">
        <v>3383</v>
      </c>
      <c r="P1485" t="str">
        <f>IF(C1485&lt;&gt;"",C1485,_xlfn.XLOOKUP(B1485,AI_NAMES!D:D,AI_NAMES!E:E,"",0))</f>
        <v/>
      </c>
    </row>
    <row r="1486" spans="1:16" x14ac:dyDescent="0.2">
      <c r="A1486" t="s">
        <v>1667</v>
      </c>
      <c r="B1486" t="s">
        <v>321</v>
      </c>
      <c r="E1486" t="str">
        <f t="shared" si="88"/>
        <v/>
      </c>
      <c r="G1486" s="5" t="str">
        <f t="shared" si="89"/>
        <v/>
      </c>
      <c r="I1486" s="6" t="str">
        <f t="shared" si="87"/>
        <v>0</v>
      </c>
      <c r="O1486" t="s">
        <v>321</v>
      </c>
      <c r="P1486">
        <f>IF(C1486&lt;&gt;"",C1486,_xlfn.XLOOKUP(B1486,AI_NAMES!D:D,AI_NAMES!E:E,"",0))</f>
        <v>0</v>
      </c>
    </row>
    <row r="1487" spans="1:16" x14ac:dyDescent="0.2">
      <c r="A1487" t="s">
        <v>1668</v>
      </c>
      <c r="B1487" t="s">
        <v>3379</v>
      </c>
      <c r="E1487" t="str">
        <f t="shared" si="88"/>
        <v/>
      </c>
      <c r="G1487" s="5" t="str">
        <f t="shared" si="89"/>
        <v/>
      </c>
      <c r="I1487" s="6" t="str">
        <f t="shared" si="87"/>
        <v>0</v>
      </c>
      <c r="O1487" t="s">
        <v>3379</v>
      </c>
      <c r="P1487" t="str">
        <f>IF(C1487&lt;&gt;"",C1487,_xlfn.XLOOKUP(B1487,AI_NAMES!D:D,AI_NAMES!E:E,"",0))</f>
        <v/>
      </c>
    </row>
    <row r="1488" spans="1:16" x14ac:dyDescent="0.2">
      <c r="A1488" t="s">
        <v>1669</v>
      </c>
      <c r="B1488" t="s">
        <v>3378</v>
      </c>
      <c r="E1488" t="str">
        <f t="shared" si="88"/>
        <v/>
      </c>
      <c r="G1488" s="5" t="str">
        <f t="shared" si="89"/>
        <v/>
      </c>
      <c r="I1488" s="6" t="str">
        <f t="shared" si="87"/>
        <v>0</v>
      </c>
      <c r="O1488" t="s">
        <v>3378</v>
      </c>
      <c r="P1488" t="str">
        <f>IF(C1488&lt;&gt;"",C1488,_xlfn.XLOOKUP(B1488,AI_NAMES!D:D,AI_NAMES!E:E,"",0))</f>
        <v/>
      </c>
    </row>
    <row r="1489" spans="1:16" x14ac:dyDescent="0.2">
      <c r="A1489" t="s">
        <v>1670</v>
      </c>
      <c r="B1489" t="s">
        <v>321</v>
      </c>
      <c r="E1489" t="str">
        <f t="shared" si="88"/>
        <v/>
      </c>
      <c r="G1489" s="5" t="str">
        <f t="shared" si="89"/>
        <v/>
      </c>
      <c r="I1489" s="6" t="str">
        <f t="shared" si="87"/>
        <v>0</v>
      </c>
      <c r="O1489" t="s">
        <v>321</v>
      </c>
      <c r="P1489">
        <f>IF(C1489&lt;&gt;"",C1489,_xlfn.XLOOKUP(B1489,AI_NAMES!D:D,AI_NAMES!E:E,"",0))</f>
        <v>0</v>
      </c>
    </row>
    <row r="1490" spans="1:16" x14ac:dyDescent="0.2">
      <c r="A1490" t="s">
        <v>1671</v>
      </c>
      <c r="B1490" t="s">
        <v>321</v>
      </c>
      <c r="E1490" t="str">
        <f t="shared" si="88"/>
        <v/>
      </c>
      <c r="G1490" s="5" t="str">
        <f t="shared" si="89"/>
        <v/>
      </c>
      <c r="I1490" s="6" t="str">
        <f t="shared" si="87"/>
        <v>0</v>
      </c>
      <c r="O1490" t="s">
        <v>321</v>
      </c>
      <c r="P1490">
        <f>IF(C1490&lt;&gt;"",C1490,_xlfn.XLOOKUP(B1490,AI_NAMES!D:D,AI_NAMES!E:E,"",0))</f>
        <v>0</v>
      </c>
    </row>
    <row r="1491" spans="1:16" x14ac:dyDescent="0.2">
      <c r="A1491" t="s">
        <v>1672</v>
      </c>
      <c r="B1491" t="s">
        <v>321</v>
      </c>
      <c r="E1491" t="str">
        <f t="shared" si="88"/>
        <v/>
      </c>
      <c r="G1491" s="5" t="str">
        <f t="shared" si="89"/>
        <v/>
      </c>
      <c r="I1491" s="6" t="str">
        <f t="shared" si="87"/>
        <v>0</v>
      </c>
      <c r="O1491" t="s">
        <v>321</v>
      </c>
      <c r="P1491">
        <f>IF(C1491&lt;&gt;"",C1491,_xlfn.XLOOKUP(B1491,AI_NAMES!D:D,AI_NAMES!E:E,"",0))</f>
        <v>0</v>
      </c>
    </row>
    <row r="1492" spans="1:16" x14ac:dyDescent="0.2">
      <c r="A1492" t="s">
        <v>1673</v>
      </c>
      <c r="B1492" t="s">
        <v>321</v>
      </c>
      <c r="E1492" t="str">
        <f t="shared" si="88"/>
        <v/>
      </c>
      <c r="G1492" s="5" t="str">
        <f t="shared" si="89"/>
        <v/>
      </c>
      <c r="I1492" s="6" t="str">
        <f t="shared" si="87"/>
        <v>0</v>
      </c>
      <c r="O1492" t="s">
        <v>321</v>
      </c>
      <c r="P1492">
        <f>IF(C1492&lt;&gt;"",C1492,_xlfn.XLOOKUP(B1492,AI_NAMES!D:D,AI_NAMES!E:E,"",0))</f>
        <v>0</v>
      </c>
    </row>
    <row r="1493" spans="1:16" x14ac:dyDescent="0.2">
      <c r="A1493" t="s">
        <v>1674</v>
      </c>
      <c r="B1493" t="s">
        <v>3382</v>
      </c>
      <c r="E1493" t="str">
        <f t="shared" si="88"/>
        <v/>
      </c>
      <c r="G1493" s="5" t="str">
        <f t="shared" si="89"/>
        <v/>
      </c>
      <c r="I1493" s="6" t="str">
        <f t="shared" si="87"/>
        <v>0</v>
      </c>
      <c r="O1493" t="s">
        <v>3382</v>
      </c>
      <c r="P1493" t="str">
        <f>IF(C1493&lt;&gt;"",C1493,_xlfn.XLOOKUP(B1493,AI_NAMES!D:D,AI_NAMES!E:E,"",0))</f>
        <v/>
      </c>
    </row>
    <row r="1494" spans="1:16" x14ac:dyDescent="0.2">
      <c r="A1494" t="s">
        <v>1675</v>
      </c>
      <c r="B1494" t="s">
        <v>321</v>
      </c>
      <c r="E1494" t="str">
        <f t="shared" si="88"/>
        <v/>
      </c>
      <c r="G1494" s="5" t="str">
        <f t="shared" si="89"/>
        <v/>
      </c>
      <c r="I1494" s="6" t="str">
        <f t="shared" si="87"/>
        <v>0</v>
      </c>
      <c r="O1494" t="s">
        <v>321</v>
      </c>
      <c r="P1494">
        <f>IF(C1494&lt;&gt;"",C1494,_xlfn.XLOOKUP(B1494,AI_NAMES!D:D,AI_NAMES!E:E,"",0))</f>
        <v>0</v>
      </c>
    </row>
    <row r="1495" spans="1:16" x14ac:dyDescent="0.2">
      <c r="A1495" t="s">
        <v>1676</v>
      </c>
      <c r="B1495" t="s">
        <v>321</v>
      </c>
      <c r="E1495" t="str">
        <f t="shared" si="88"/>
        <v/>
      </c>
      <c r="G1495" s="5" t="str">
        <f t="shared" si="89"/>
        <v/>
      </c>
      <c r="I1495" s="6" t="str">
        <f t="shared" si="87"/>
        <v>0</v>
      </c>
      <c r="O1495" t="s">
        <v>321</v>
      </c>
      <c r="P1495">
        <f>IF(C1495&lt;&gt;"",C1495,_xlfn.XLOOKUP(B1495,AI_NAMES!D:D,AI_NAMES!E:E,"",0))</f>
        <v>0</v>
      </c>
    </row>
    <row r="1496" spans="1:16" x14ac:dyDescent="0.2">
      <c r="A1496" t="s">
        <v>1677</v>
      </c>
      <c r="B1496" t="s">
        <v>321</v>
      </c>
      <c r="E1496" t="str">
        <f t="shared" si="88"/>
        <v/>
      </c>
      <c r="G1496" s="5" t="str">
        <f t="shared" si="89"/>
        <v/>
      </c>
      <c r="I1496" s="6" t="str">
        <f t="shared" si="87"/>
        <v>0</v>
      </c>
      <c r="O1496" t="s">
        <v>321</v>
      </c>
      <c r="P1496">
        <f>IF(C1496&lt;&gt;"",C1496,_xlfn.XLOOKUP(B1496,AI_NAMES!D:D,AI_NAMES!E:E,"",0))</f>
        <v>0</v>
      </c>
    </row>
    <row r="1497" spans="1:16" x14ac:dyDescent="0.2">
      <c r="A1497" t="s">
        <v>1678</v>
      </c>
      <c r="B1497" t="s">
        <v>321</v>
      </c>
      <c r="E1497" t="str">
        <f t="shared" si="88"/>
        <v/>
      </c>
      <c r="G1497" s="5" t="str">
        <f t="shared" si="89"/>
        <v/>
      </c>
      <c r="I1497" s="6" t="str">
        <f t="shared" si="87"/>
        <v>0</v>
      </c>
      <c r="O1497" t="s">
        <v>321</v>
      </c>
      <c r="P1497">
        <f>IF(C1497&lt;&gt;"",C1497,_xlfn.XLOOKUP(B1497,AI_NAMES!D:D,AI_NAMES!E:E,"",0))</f>
        <v>0</v>
      </c>
    </row>
    <row r="1498" spans="1:16" x14ac:dyDescent="0.2">
      <c r="A1498" t="s">
        <v>1679</v>
      </c>
      <c r="B1498" t="s">
        <v>321</v>
      </c>
      <c r="E1498" t="str">
        <f t="shared" si="88"/>
        <v/>
      </c>
      <c r="G1498" s="5" t="str">
        <f t="shared" si="89"/>
        <v/>
      </c>
      <c r="I1498" s="6" t="str">
        <f t="shared" si="87"/>
        <v>0</v>
      </c>
      <c r="O1498" t="s">
        <v>321</v>
      </c>
      <c r="P1498">
        <f>IF(C1498&lt;&gt;"",C1498,_xlfn.XLOOKUP(B1498,AI_NAMES!D:D,AI_NAMES!E:E,"",0))</f>
        <v>0</v>
      </c>
    </row>
    <row r="1499" spans="1:16" x14ac:dyDescent="0.2">
      <c r="A1499" t="s">
        <v>1680</v>
      </c>
      <c r="B1499" t="s">
        <v>321</v>
      </c>
      <c r="E1499" t="str">
        <f t="shared" si="88"/>
        <v/>
      </c>
      <c r="G1499" s="5" t="str">
        <f t="shared" si="89"/>
        <v/>
      </c>
      <c r="I1499" s="6" t="str">
        <f t="shared" si="87"/>
        <v>0</v>
      </c>
      <c r="O1499" t="s">
        <v>321</v>
      </c>
      <c r="P1499">
        <f>IF(C1499&lt;&gt;"",C1499,_xlfn.XLOOKUP(B1499,AI_NAMES!D:D,AI_NAMES!E:E,"",0))</f>
        <v>0</v>
      </c>
    </row>
    <row r="1500" spans="1:16" x14ac:dyDescent="0.2">
      <c r="A1500" t="s">
        <v>1681</v>
      </c>
      <c r="B1500" t="s">
        <v>321</v>
      </c>
      <c r="E1500" t="str">
        <f t="shared" si="88"/>
        <v/>
      </c>
      <c r="G1500" s="5" t="str">
        <f t="shared" si="89"/>
        <v/>
      </c>
      <c r="I1500" s="6" t="str">
        <f t="shared" si="87"/>
        <v>0</v>
      </c>
      <c r="O1500" t="s">
        <v>321</v>
      </c>
      <c r="P1500">
        <f>IF(C1500&lt;&gt;"",C1500,_xlfn.XLOOKUP(B1500,AI_NAMES!D:D,AI_NAMES!E:E,"",0))</f>
        <v>0</v>
      </c>
    </row>
    <row r="1501" spans="1:16" x14ac:dyDescent="0.2">
      <c r="A1501" t="s">
        <v>1682</v>
      </c>
      <c r="B1501" t="s">
        <v>321</v>
      </c>
      <c r="E1501" t="str">
        <f t="shared" si="88"/>
        <v/>
      </c>
      <c r="G1501" s="5" t="str">
        <f t="shared" si="89"/>
        <v/>
      </c>
      <c r="I1501" s="6" t="str">
        <f t="shared" si="87"/>
        <v>0</v>
      </c>
      <c r="O1501" t="s">
        <v>321</v>
      </c>
      <c r="P1501">
        <f>IF(C1501&lt;&gt;"",C1501,_xlfn.XLOOKUP(B1501,AI_NAMES!D:D,AI_NAMES!E:E,"",0))</f>
        <v>0</v>
      </c>
    </row>
    <row r="1502" spans="1:16" x14ac:dyDescent="0.2">
      <c r="A1502" t="s">
        <v>1683</v>
      </c>
      <c r="B1502" t="s">
        <v>321</v>
      </c>
      <c r="E1502" t="str">
        <f t="shared" si="88"/>
        <v/>
      </c>
      <c r="G1502" s="5" t="str">
        <f t="shared" si="89"/>
        <v/>
      </c>
      <c r="I1502" s="6" t="str">
        <f t="shared" si="87"/>
        <v>0</v>
      </c>
      <c r="O1502" t="s">
        <v>321</v>
      </c>
      <c r="P1502">
        <f>IF(C1502&lt;&gt;"",C1502,_xlfn.XLOOKUP(B1502,AI_NAMES!D:D,AI_NAMES!E:E,"",0))</f>
        <v>0</v>
      </c>
    </row>
    <row r="1503" spans="1:16" x14ac:dyDescent="0.2">
      <c r="A1503" t="s">
        <v>1684</v>
      </c>
      <c r="B1503" t="s">
        <v>321</v>
      </c>
      <c r="E1503" t="str">
        <f t="shared" si="88"/>
        <v/>
      </c>
      <c r="G1503" s="5" t="str">
        <f t="shared" si="89"/>
        <v/>
      </c>
      <c r="I1503" s="6" t="str">
        <f t="shared" si="87"/>
        <v>0</v>
      </c>
      <c r="O1503" t="s">
        <v>321</v>
      </c>
      <c r="P1503">
        <f>IF(C1503&lt;&gt;"",C1503,_xlfn.XLOOKUP(B1503,AI_NAMES!D:D,AI_NAMES!E:E,"",0))</f>
        <v>0</v>
      </c>
    </row>
    <row r="1504" spans="1:16" x14ac:dyDescent="0.2">
      <c r="A1504" t="s">
        <v>1685</v>
      </c>
      <c r="B1504" t="s">
        <v>3389</v>
      </c>
      <c r="E1504" t="str">
        <f t="shared" si="88"/>
        <v/>
      </c>
      <c r="G1504" s="5" t="str">
        <f t="shared" si="89"/>
        <v/>
      </c>
      <c r="I1504" s="6" t="str">
        <f t="shared" si="87"/>
        <v>0</v>
      </c>
      <c r="O1504" t="s">
        <v>3389</v>
      </c>
      <c r="P1504" t="str">
        <f>IF(C1504&lt;&gt;"",C1504,_xlfn.XLOOKUP(B1504,AI_NAMES!D:D,AI_NAMES!E:E,"",0))</f>
        <v/>
      </c>
    </row>
    <row r="1505" spans="1:16" x14ac:dyDescent="0.2">
      <c r="A1505" t="s">
        <v>1686</v>
      </c>
      <c r="B1505" t="s">
        <v>321</v>
      </c>
      <c r="E1505" t="str">
        <f t="shared" si="88"/>
        <v/>
      </c>
      <c r="G1505" s="5" t="str">
        <f t="shared" si="89"/>
        <v/>
      </c>
      <c r="I1505" s="6" t="str">
        <f t="shared" si="87"/>
        <v>0</v>
      </c>
      <c r="O1505" t="s">
        <v>321</v>
      </c>
      <c r="P1505">
        <f>IF(C1505&lt;&gt;"",C1505,_xlfn.XLOOKUP(B1505,AI_NAMES!D:D,AI_NAMES!E:E,"",0))</f>
        <v>0</v>
      </c>
    </row>
    <row r="1506" spans="1:16" x14ac:dyDescent="0.2">
      <c r="A1506" t="s">
        <v>1687</v>
      </c>
      <c r="B1506" t="s">
        <v>321</v>
      </c>
      <c r="E1506" t="str">
        <f t="shared" si="88"/>
        <v/>
      </c>
      <c r="G1506" s="5" t="str">
        <f t="shared" si="89"/>
        <v/>
      </c>
      <c r="I1506" s="6" t="str">
        <f t="shared" si="87"/>
        <v>0</v>
      </c>
      <c r="O1506" t="s">
        <v>321</v>
      </c>
      <c r="P1506">
        <f>IF(C1506&lt;&gt;"",C1506,_xlfn.XLOOKUP(B1506,AI_NAMES!D:D,AI_NAMES!E:E,"",0))</f>
        <v>0</v>
      </c>
    </row>
    <row r="1507" spans="1:16" x14ac:dyDescent="0.2">
      <c r="A1507" t="s">
        <v>1688</v>
      </c>
      <c r="B1507" t="s">
        <v>321</v>
      </c>
      <c r="E1507" t="str">
        <f t="shared" si="88"/>
        <v/>
      </c>
      <c r="G1507" s="5" t="str">
        <f t="shared" si="89"/>
        <v/>
      </c>
      <c r="I1507" s="6" t="str">
        <f t="shared" si="87"/>
        <v>0</v>
      </c>
      <c r="O1507" t="s">
        <v>321</v>
      </c>
      <c r="P1507">
        <f>IF(C1507&lt;&gt;"",C1507,_xlfn.XLOOKUP(B1507,AI_NAMES!D:D,AI_NAMES!E:E,"",0))</f>
        <v>0</v>
      </c>
    </row>
    <row r="1508" spans="1:16" x14ac:dyDescent="0.2">
      <c r="A1508" t="s">
        <v>1689</v>
      </c>
      <c r="B1508" t="s">
        <v>3380</v>
      </c>
      <c r="E1508" t="str">
        <f t="shared" si="88"/>
        <v/>
      </c>
      <c r="G1508" s="5" t="str">
        <f t="shared" si="89"/>
        <v/>
      </c>
      <c r="I1508" s="6" t="str">
        <f t="shared" si="87"/>
        <v>0</v>
      </c>
      <c r="O1508" t="s">
        <v>3380</v>
      </c>
      <c r="P1508" t="str">
        <f>IF(C1508&lt;&gt;"",C1508,_xlfn.XLOOKUP(B1508,AI_NAMES!D:D,AI_NAMES!E:E,"",0))</f>
        <v/>
      </c>
    </row>
    <row r="1509" spans="1:16" x14ac:dyDescent="0.2">
      <c r="A1509" t="s">
        <v>1690</v>
      </c>
      <c r="B1509" t="s">
        <v>1691</v>
      </c>
      <c r="E1509" t="str">
        <f t="shared" si="88"/>
        <v/>
      </c>
      <c r="G1509" s="5" t="str">
        <f t="shared" si="89"/>
        <v/>
      </c>
      <c r="I1509" s="6" t="str">
        <f t="shared" si="87"/>
        <v>0</v>
      </c>
      <c r="O1509" t="s">
        <v>1691</v>
      </c>
      <c r="P1509" t="str">
        <f>IF(C1509&lt;&gt;"",C1509,_xlfn.XLOOKUP(B1509,AI_NAMES!D:D,AI_NAMES!E:E,"",0))</f>
        <v/>
      </c>
    </row>
    <row r="1510" spans="1:16" x14ac:dyDescent="0.2">
      <c r="A1510" t="s">
        <v>1692</v>
      </c>
      <c r="B1510" t="s">
        <v>3381</v>
      </c>
      <c r="E1510" t="str">
        <f t="shared" si="88"/>
        <v/>
      </c>
      <c r="G1510" s="5" t="str">
        <f t="shared" si="89"/>
        <v/>
      </c>
      <c r="I1510" s="6" t="str">
        <f t="shared" si="87"/>
        <v>0</v>
      </c>
      <c r="O1510" t="s">
        <v>3381</v>
      </c>
      <c r="P1510" t="str">
        <f>IF(C1510&lt;&gt;"",C1510,_xlfn.XLOOKUP(B1510,AI_NAMES!D:D,AI_NAMES!E:E,"",0))</f>
        <v/>
      </c>
    </row>
    <row r="1511" spans="1:16" x14ac:dyDescent="0.2">
      <c r="A1511" t="s">
        <v>1693</v>
      </c>
      <c r="B1511" t="s">
        <v>321</v>
      </c>
      <c r="E1511" t="str">
        <f t="shared" si="88"/>
        <v/>
      </c>
      <c r="G1511" s="5" t="str">
        <f t="shared" si="89"/>
        <v/>
      </c>
      <c r="I1511" s="6" t="str">
        <f t="shared" si="87"/>
        <v>0</v>
      </c>
      <c r="O1511" t="s">
        <v>321</v>
      </c>
      <c r="P1511">
        <f>IF(C1511&lt;&gt;"",C1511,_xlfn.XLOOKUP(B1511,AI_NAMES!D:D,AI_NAMES!E:E,"",0))</f>
        <v>0</v>
      </c>
    </row>
    <row r="1512" spans="1:16" x14ac:dyDescent="0.2">
      <c r="A1512" t="s">
        <v>1694</v>
      </c>
      <c r="B1512" t="s">
        <v>321</v>
      </c>
      <c r="E1512" t="str">
        <f t="shared" si="88"/>
        <v/>
      </c>
      <c r="G1512" s="5" t="str">
        <f t="shared" si="89"/>
        <v/>
      </c>
      <c r="I1512" s="6" t="str">
        <f t="shared" si="87"/>
        <v>0</v>
      </c>
      <c r="O1512" t="s">
        <v>321</v>
      </c>
      <c r="P1512">
        <f>IF(C1512&lt;&gt;"",C1512,_xlfn.XLOOKUP(B1512,AI_NAMES!D:D,AI_NAMES!E:E,"",0))</f>
        <v>0</v>
      </c>
    </row>
    <row r="1513" spans="1:16" x14ac:dyDescent="0.2">
      <c r="A1513" t="s">
        <v>1695</v>
      </c>
      <c r="B1513" t="s">
        <v>321</v>
      </c>
      <c r="E1513" t="str">
        <f t="shared" si="88"/>
        <v/>
      </c>
      <c r="G1513" s="5" t="str">
        <f t="shared" si="89"/>
        <v/>
      </c>
      <c r="I1513" s="6" t="str">
        <f t="shared" si="87"/>
        <v>0</v>
      </c>
      <c r="O1513" t="s">
        <v>321</v>
      </c>
      <c r="P1513">
        <f>IF(C1513&lt;&gt;"",C1513,_xlfn.XLOOKUP(B1513,AI_NAMES!D:D,AI_NAMES!E:E,"",0))</f>
        <v>0</v>
      </c>
    </row>
    <row r="1514" spans="1:16" x14ac:dyDescent="0.2">
      <c r="A1514" t="s">
        <v>1696</v>
      </c>
      <c r="B1514" t="s">
        <v>321</v>
      </c>
      <c r="E1514" t="str">
        <f t="shared" si="88"/>
        <v/>
      </c>
      <c r="G1514" s="5" t="str">
        <f t="shared" si="89"/>
        <v/>
      </c>
      <c r="I1514" s="6" t="str">
        <f t="shared" si="87"/>
        <v>0</v>
      </c>
      <c r="O1514" t="s">
        <v>321</v>
      </c>
      <c r="P1514">
        <f>IF(C1514&lt;&gt;"",C1514,_xlfn.XLOOKUP(B1514,AI_NAMES!D:D,AI_NAMES!E:E,"",0))</f>
        <v>0</v>
      </c>
    </row>
    <row r="1515" spans="1:16" x14ac:dyDescent="0.2">
      <c r="A1515" t="s">
        <v>1697</v>
      </c>
      <c r="B1515" t="s">
        <v>321</v>
      </c>
      <c r="E1515" t="str">
        <f t="shared" si="88"/>
        <v/>
      </c>
      <c r="G1515" s="5" t="str">
        <f t="shared" si="89"/>
        <v/>
      </c>
      <c r="I1515" s="6" t="str">
        <f t="shared" si="87"/>
        <v>0</v>
      </c>
      <c r="O1515" t="s">
        <v>321</v>
      </c>
      <c r="P1515">
        <f>IF(C1515&lt;&gt;"",C1515,_xlfn.XLOOKUP(B1515,AI_NAMES!D:D,AI_NAMES!E:E,"",0))</f>
        <v>0</v>
      </c>
    </row>
    <row r="1516" spans="1:16" x14ac:dyDescent="0.2">
      <c r="A1516" t="s">
        <v>1698</v>
      </c>
      <c r="B1516" t="s">
        <v>321</v>
      </c>
      <c r="E1516" t="str">
        <f t="shared" si="88"/>
        <v/>
      </c>
      <c r="G1516" s="5" t="str">
        <f t="shared" si="89"/>
        <v/>
      </c>
      <c r="I1516" s="6" t="str">
        <f t="shared" si="87"/>
        <v>0</v>
      </c>
      <c r="O1516" t="s">
        <v>321</v>
      </c>
      <c r="P1516">
        <f>IF(C1516&lt;&gt;"",C1516,_xlfn.XLOOKUP(B1516,AI_NAMES!D:D,AI_NAMES!E:E,"",0))</f>
        <v>0</v>
      </c>
    </row>
    <row r="1517" spans="1:16" x14ac:dyDescent="0.2">
      <c r="A1517" t="s">
        <v>1699</v>
      </c>
      <c r="B1517" t="s">
        <v>321</v>
      </c>
      <c r="E1517" t="str">
        <f t="shared" si="88"/>
        <v/>
      </c>
      <c r="G1517" s="5" t="str">
        <f t="shared" si="89"/>
        <v/>
      </c>
      <c r="I1517" s="6" t="str">
        <f t="shared" si="87"/>
        <v>0</v>
      </c>
      <c r="O1517" t="s">
        <v>321</v>
      </c>
      <c r="P1517">
        <f>IF(C1517&lt;&gt;"",C1517,_xlfn.XLOOKUP(B1517,AI_NAMES!D:D,AI_NAMES!E:E,"",0))</f>
        <v>0</v>
      </c>
    </row>
    <row r="1518" spans="1:16" x14ac:dyDescent="0.2">
      <c r="A1518" t="s">
        <v>1700</v>
      </c>
      <c r="B1518" t="s">
        <v>321</v>
      </c>
      <c r="E1518" t="str">
        <f t="shared" si="88"/>
        <v/>
      </c>
      <c r="G1518" s="5" t="str">
        <f t="shared" si="89"/>
        <v/>
      </c>
      <c r="I1518" s="6" t="str">
        <f t="shared" si="87"/>
        <v>0</v>
      </c>
      <c r="O1518" t="s">
        <v>321</v>
      </c>
      <c r="P1518">
        <f>IF(C1518&lt;&gt;"",C1518,_xlfn.XLOOKUP(B1518,AI_NAMES!D:D,AI_NAMES!E:E,"",0))</f>
        <v>0</v>
      </c>
    </row>
    <row r="1519" spans="1:16" x14ac:dyDescent="0.2">
      <c r="A1519" t="s">
        <v>1701</v>
      </c>
      <c r="B1519" t="s">
        <v>321</v>
      </c>
      <c r="E1519" t="str">
        <f t="shared" si="88"/>
        <v/>
      </c>
      <c r="G1519" s="5" t="str">
        <f t="shared" si="89"/>
        <v/>
      </c>
      <c r="I1519" s="6" t="str">
        <f t="shared" si="87"/>
        <v>0</v>
      </c>
      <c r="O1519" t="s">
        <v>321</v>
      </c>
      <c r="P1519">
        <f>IF(C1519&lt;&gt;"",C1519,_xlfn.XLOOKUP(B1519,AI_NAMES!D:D,AI_NAMES!E:E,"",0))</f>
        <v>0</v>
      </c>
    </row>
    <row r="1520" spans="1:16" x14ac:dyDescent="0.2">
      <c r="A1520" t="s">
        <v>1702</v>
      </c>
      <c r="B1520" t="s">
        <v>321</v>
      </c>
      <c r="E1520" t="str">
        <f t="shared" si="88"/>
        <v/>
      </c>
      <c r="G1520" s="5" t="str">
        <f t="shared" si="89"/>
        <v/>
      </c>
      <c r="I1520" s="6" t="str">
        <f t="shared" si="87"/>
        <v>0</v>
      </c>
      <c r="O1520" t="s">
        <v>321</v>
      </c>
      <c r="P1520">
        <f>IF(C1520&lt;&gt;"",C1520,_xlfn.XLOOKUP(B1520,AI_NAMES!D:D,AI_NAMES!E:E,"",0))</f>
        <v>0</v>
      </c>
    </row>
    <row r="1521" spans="1:16" x14ac:dyDescent="0.2">
      <c r="A1521" t="s">
        <v>1703</v>
      </c>
      <c r="B1521" t="s">
        <v>321</v>
      </c>
      <c r="E1521" t="str">
        <f t="shared" si="88"/>
        <v/>
      </c>
      <c r="G1521" s="5" t="str">
        <f t="shared" si="89"/>
        <v/>
      </c>
      <c r="I1521" s="6" t="str">
        <f t="shared" si="87"/>
        <v>0</v>
      </c>
      <c r="O1521" t="s">
        <v>321</v>
      </c>
      <c r="P1521">
        <f>IF(C1521&lt;&gt;"",C1521,_xlfn.XLOOKUP(B1521,AI_NAMES!D:D,AI_NAMES!E:E,"",0))</f>
        <v>0</v>
      </c>
    </row>
    <row r="1522" spans="1:16" x14ac:dyDescent="0.2">
      <c r="A1522" t="s">
        <v>1704</v>
      </c>
      <c r="B1522" t="s">
        <v>321</v>
      </c>
      <c r="E1522" t="str">
        <f t="shared" si="88"/>
        <v/>
      </c>
      <c r="G1522" s="5" t="str">
        <f t="shared" si="89"/>
        <v/>
      </c>
      <c r="I1522" s="6" t="str">
        <f t="shared" si="87"/>
        <v>0</v>
      </c>
      <c r="O1522" t="s">
        <v>321</v>
      </c>
      <c r="P1522">
        <f>IF(C1522&lt;&gt;"",C1522,_xlfn.XLOOKUP(B1522,AI_NAMES!D:D,AI_NAMES!E:E,"",0))</f>
        <v>0</v>
      </c>
    </row>
    <row r="1523" spans="1:16" x14ac:dyDescent="0.2">
      <c r="A1523" t="s">
        <v>1705</v>
      </c>
      <c r="B1523" t="s">
        <v>321</v>
      </c>
      <c r="E1523" t="str">
        <f t="shared" si="88"/>
        <v/>
      </c>
      <c r="G1523" s="5" t="str">
        <f t="shared" si="89"/>
        <v/>
      </c>
      <c r="I1523" s="6" t="str">
        <f t="shared" si="87"/>
        <v>0</v>
      </c>
      <c r="O1523" t="s">
        <v>321</v>
      </c>
      <c r="P1523">
        <f>IF(C1523&lt;&gt;"",C1523,_xlfn.XLOOKUP(B1523,AI_NAMES!D:D,AI_NAMES!E:E,"",0))</f>
        <v>0</v>
      </c>
    </row>
    <row r="1524" spans="1:16" x14ac:dyDescent="0.2">
      <c r="A1524" t="s">
        <v>1706</v>
      </c>
      <c r="B1524" t="s">
        <v>321</v>
      </c>
      <c r="E1524" t="str">
        <f t="shared" si="88"/>
        <v/>
      </c>
      <c r="G1524" s="5" t="str">
        <f t="shared" si="89"/>
        <v/>
      </c>
      <c r="I1524" s="6" t="str">
        <f t="shared" si="87"/>
        <v>0</v>
      </c>
      <c r="O1524" t="s">
        <v>321</v>
      </c>
      <c r="P1524">
        <f>IF(C1524&lt;&gt;"",C1524,_xlfn.XLOOKUP(B1524,AI_NAMES!D:D,AI_NAMES!E:E,"",0))</f>
        <v>0</v>
      </c>
    </row>
    <row r="1525" spans="1:16" x14ac:dyDescent="0.2">
      <c r="A1525" t="s">
        <v>1707</v>
      </c>
      <c r="B1525" t="s">
        <v>3387</v>
      </c>
      <c r="E1525" t="str">
        <f t="shared" si="88"/>
        <v/>
      </c>
      <c r="G1525" s="5" t="str">
        <f t="shared" si="89"/>
        <v/>
      </c>
      <c r="I1525" s="6" t="str">
        <f t="shared" si="87"/>
        <v>0</v>
      </c>
      <c r="O1525" t="s">
        <v>3387</v>
      </c>
      <c r="P1525" t="str">
        <f>IF(C1525&lt;&gt;"",C1525,_xlfn.XLOOKUP(B1525,AI_NAMES!D:D,AI_NAMES!E:E,"",0))</f>
        <v/>
      </c>
    </row>
    <row r="1526" spans="1:16" x14ac:dyDescent="0.2">
      <c r="A1526" t="s">
        <v>1708</v>
      </c>
      <c r="B1526" t="s">
        <v>3386</v>
      </c>
      <c r="E1526" t="str">
        <f t="shared" si="88"/>
        <v/>
      </c>
      <c r="G1526" s="5" t="str">
        <f t="shared" si="89"/>
        <v/>
      </c>
      <c r="I1526" s="6" t="str">
        <f t="shared" si="87"/>
        <v>0</v>
      </c>
      <c r="O1526" t="s">
        <v>3386</v>
      </c>
      <c r="P1526" t="str">
        <f>IF(C1526&lt;&gt;"",C1526,_xlfn.XLOOKUP(B1526,AI_NAMES!D:D,AI_NAMES!E:E,"",0))</f>
        <v/>
      </c>
    </row>
    <row r="1527" spans="1:16" x14ac:dyDescent="0.2">
      <c r="A1527" t="s">
        <v>1709</v>
      </c>
      <c r="B1527" t="s">
        <v>3385</v>
      </c>
      <c r="E1527" t="str">
        <f t="shared" si="88"/>
        <v/>
      </c>
      <c r="G1527" s="5" t="str">
        <f t="shared" si="89"/>
        <v/>
      </c>
      <c r="I1527" s="6" t="str">
        <f t="shared" si="87"/>
        <v>0</v>
      </c>
      <c r="O1527" t="s">
        <v>3385</v>
      </c>
      <c r="P1527" t="str">
        <f>IF(C1527&lt;&gt;"",C1527,_xlfn.XLOOKUP(B1527,AI_NAMES!D:D,AI_NAMES!E:E,"",0))</f>
        <v/>
      </c>
    </row>
    <row r="1528" spans="1:16" x14ac:dyDescent="0.2">
      <c r="A1528" t="s">
        <v>1710</v>
      </c>
      <c r="B1528" t="s">
        <v>3388</v>
      </c>
      <c r="E1528" t="str">
        <f t="shared" si="88"/>
        <v/>
      </c>
      <c r="G1528" s="5" t="str">
        <f t="shared" si="89"/>
        <v/>
      </c>
      <c r="I1528" s="6" t="str">
        <f t="shared" si="87"/>
        <v>0</v>
      </c>
      <c r="O1528" t="s">
        <v>3388</v>
      </c>
      <c r="P1528" t="str">
        <f>IF(C1528&lt;&gt;"",C1528,_xlfn.XLOOKUP(B1528,AI_NAMES!D:D,AI_NAMES!E:E,"",0))</f>
        <v/>
      </c>
    </row>
    <row r="1529" spans="1:16" x14ac:dyDescent="0.2">
      <c r="A1529" t="s">
        <v>1711</v>
      </c>
      <c r="B1529" t="s">
        <v>3391</v>
      </c>
      <c r="E1529" t="str">
        <f t="shared" si="88"/>
        <v/>
      </c>
      <c r="G1529" s="5" t="str">
        <f t="shared" si="89"/>
        <v/>
      </c>
      <c r="I1529" s="6" t="str">
        <f t="shared" si="87"/>
        <v>0</v>
      </c>
      <c r="O1529" t="s">
        <v>3391</v>
      </c>
      <c r="P1529" t="str">
        <f>IF(C1529&lt;&gt;"",C1529,_xlfn.XLOOKUP(B1529,AI_NAMES!D:D,AI_NAMES!E:E,"",0))</f>
        <v/>
      </c>
    </row>
    <row r="1530" spans="1:16" x14ac:dyDescent="0.2">
      <c r="A1530" t="s">
        <v>1712</v>
      </c>
      <c r="B1530" t="s">
        <v>1713</v>
      </c>
      <c r="E1530" t="str">
        <f t="shared" si="88"/>
        <v/>
      </c>
      <c r="G1530" s="5" t="str">
        <f t="shared" si="89"/>
        <v/>
      </c>
      <c r="I1530" s="6" t="str">
        <f t="shared" si="87"/>
        <v>0</v>
      </c>
      <c r="O1530" t="s">
        <v>1713</v>
      </c>
      <c r="P1530" t="str">
        <f>IF(C1530&lt;&gt;"",C1530,_xlfn.XLOOKUP(B1530,AI_NAMES!D:D,AI_NAMES!E:E,"",0))</f>
        <v/>
      </c>
    </row>
    <row r="1531" spans="1:16" x14ac:dyDescent="0.2">
      <c r="A1531" t="s">
        <v>1714</v>
      </c>
      <c r="B1531" t="s">
        <v>1715</v>
      </c>
      <c r="E1531" t="str">
        <f t="shared" si="88"/>
        <v/>
      </c>
      <c r="G1531" s="5" t="str">
        <f t="shared" si="89"/>
        <v/>
      </c>
      <c r="I1531" s="6" t="str">
        <f t="shared" si="87"/>
        <v>0</v>
      </c>
      <c r="O1531" t="s">
        <v>1715</v>
      </c>
      <c r="P1531" t="str">
        <f>IF(C1531&lt;&gt;"",C1531,_xlfn.XLOOKUP(B1531,AI_NAMES!D:D,AI_NAMES!E:E,"",0))</f>
        <v/>
      </c>
    </row>
    <row r="1532" spans="1:16" x14ac:dyDescent="0.2">
      <c r="A1532" t="s">
        <v>1716</v>
      </c>
      <c r="B1532" t="s">
        <v>1717</v>
      </c>
      <c r="E1532" t="str">
        <f t="shared" si="88"/>
        <v/>
      </c>
      <c r="G1532" s="5" t="str">
        <f t="shared" si="89"/>
        <v/>
      </c>
      <c r="I1532" s="6" t="str">
        <f t="shared" si="87"/>
        <v>0</v>
      </c>
      <c r="O1532" t="s">
        <v>1717</v>
      </c>
      <c r="P1532" t="str">
        <f>IF(C1532&lt;&gt;"",C1532,_xlfn.XLOOKUP(B1532,AI_NAMES!D:D,AI_NAMES!E:E,"",0))</f>
        <v/>
      </c>
    </row>
    <row r="1533" spans="1:16" x14ac:dyDescent="0.2">
      <c r="A1533" t="s">
        <v>1718</v>
      </c>
      <c r="B1533" t="s">
        <v>1719</v>
      </c>
      <c r="E1533" t="str">
        <f t="shared" si="88"/>
        <v/>
      </c>
      <c r="G1533" s="5" t="str">
        <f t="shared" si="89"/>
        <v/>
      </c>
      <c r="I1533" s="6" t="str">
        <f t="shared" si="87"/>
        <v>0</v>
      </c>
      <c r="O1533" t="s">
        <v>1719</v>
      </c>
      <c r="P1533" t="str">
        <f>IF(C1533&lt;&gt;"",C1533,_xlfn.XLOOKUP(B1533,AI_NAMES!D:D,AI_NAMES!E:E,"",0))</f>
        <v/>
      </c>
    </row>
    <row r="1534" spans="1:16" x14ac:dyDescent="0.2">
      <c r="A1534" t="s">
        <v>1720</v>
      </c>
      <c r="B1534" t="s">
        <v>3666</v>
      </c>
      <c r="E1534" t="str">
        <f t="shared" si="88"/>
        <v/>
      </c>
      <c r="G1534" s="5" t="str">
        <f t="shared" si="89"/>
        <v/>
      </c>
      <c r="I1534" s="6" t="str">
        <f t="shared" si="87"/>
        <v>0</v>
      </c>
      <c r="O1534" t="s">
        <v>3419</v>
      </c>
      <c r="P1534" t="str">
        <f>IF(C1534&lt;&gt;"",C1534,_xlfn.XLOOKUP(B1534,AI_NAMES!D:D,AI_NAMES!E:E,"",0))</f>
        <v/>
      </c>
    </row>
    <row r="1535" spans="1:16" x14ac:dyDescent="0.2">
      <c r="A1535" t="s">
        <v>1721</v>
      </c>
      <c r="B1535" t="s">
        <v>3667</v>
      </c>
      <c r="E1535" t="str">
        <f t="shared" si="88"/>
        <v/>
      </c>
      <c r="G1535" s="5" t="str">
        <f t="shared" si="89"/>
        <v/>
      </c>
      <c r="I1535" s="6" t="str">
        <f t="shared" si="87"/>
        <v>0</v>
      </c>
      <c r="O1535" t="s">
        <v>3397</v>
      </c>
      <c r="P1535" t="str">
        <f>IF(C1535&lt;&gt;"",C1535,_xlfn.XLOOKUP(B1535,AI_NAMES!D:D,AI_NAMES!E:E,"",0))</f>
        <v/>
      </c>
    </row>
    <row r="1536" spans="1:16" x14ac:dyDescent="0.2">
      <c r="A1536" t="s">
        <v>1722</v>
      </c>
      <c r="B1536" t="s">
        <v>3399</v>
      </c>
      <c r="C1536" s="5" t="s">
        <v>3398</v>
      </c>
      <c r="E1536" t="str">
        <f t="shared" si="88"/>
        <v/>
      </c>
      <c r="G1536" s="5" t="str">
        <f t="shared" si="89"/>
        <v/>
      </c>
      <c r="I1536" s="6" t="str">
        <f t="shared" si="87"/>
        <v>0</v>
      </c>
      <c r="O1536" t="s">
        <v>3399</v>
      </c>
      <c r="P1536" t="str">
        <f>IF(C1536&lt;&gt;"",C1536,_xlfn.XLOOKUP(B1536,AI_NAMES!D:D,AI_NAMES!E:E,"",0))</f>
        <v>.CheckStairs</v>
      </c>
    </row>
    <row r="1537" spans="1:16" x14ac:dyDescent="0.2">
      <c r="A1537" t="s">
        <v>1723</v>
      </c>
      <c r="B1537" t="s">
        <v>3401</v>
      </c>
      <c r="E1537" t="str">
        <f t="shared" si="88"/>
        <v/>
      </c>
      <c r="G1537" s="5" t="str">
        <f t="shared" si="89"/>
        <v/>
      </c>
      <c r="I1537" s="6" t="str">
        <f t="shared" si="87"/>
        <v>0</v>
      </c>
      <c r="O1537" t="s">
        <v>3401</v>
      </c>
      <c r="P1537">
        <f>IF(C1537&lt;&gt;"",C1537,_xlfn.XLOOKUP(B1537,AI_NAMES!D:D,AI_NAMES!E:E,"",0))</f>
        <v>0</v>
      </c>
    </row>
    <row r="1538" spans="1:16" x14ac:dyDescent="0.2">
      <c r="A1538" t="s">
        <v>1724</v>
      </c>
      <c r="B1538" t="s">
        <v>3402</v>
      </c>
      <c r="E1538" t="str">
        <f t="shared" si="88"/>
        <v/>
      </c>
      <c r="G1538" s="5" t="str">
        <f t="shared" si="89"/>
        <v/>
      </c>
      <c r="I1538" s="6" t="str">
        <f t="shared" si="87"/>
        <v>0</v>
      </c>
      <c r="O1538" t="s">
        <v>3402</v>
      </c>
      <c r="P1538">
        <f>IF(C1538&lt;&gt;"",C1538,_xlfn.XLOOKUP(B1538,AI_NAMES!D:D,AI_NAMES!E:E,"",0))</f>
        <v>0</v>
      </c>
    </row>
    <row r="1539" spans="1:16" x14ac:dyDescent="0.2">
      <c r="A1539" t="s">
        <v>1725</v>
      </c>
      <c r="B1539" t="s">
        <v>3403</v>
      </c>
      <c r="E1539" t="str">
        <f t="shared" si="88"/>
        <v/>
      </c>
      <c r="G1539" s="5" t="str">
        <f t="shared" si="89"/>
        <v/>
      </c>
      <c r="I1539" s="6" t="str">
        <f t="shared" ref="I1539:I1602" si="90">IFERROR(DEC2HEX(H1539),"")</f>
        <v>0</v>
      </c>
      <c r="O1539" t="s">
        <v>3403</v>
      </c>
      <c r="P1539">
        <f>IF(C1539&lt;&gt;"",C1539,_xlfn.XLOOKUP(B1539,AI_NAMES!D:D,AI_NAMES!E:E,"",0))</f>
        <v>0</v>
      </c>
    </row>
    <row r="1540" spans="1:16" x14ac:dyDescent="0.2">
      <c r="A1540" t="s">
        <v>1726</v>
      </c>
      <c r="B1540" t="s">
        <v>3404</v>
      </c>
      <c r="E1540" t="str">
        <f t="shared" ref="E1540:E1603" si="91">IF(D1540&lt;&gt;"",C1540&amp;"/"&amp;D1540,"")</f>
        <v/>
      </c>
      <c r="G1540" s="5" t="str">
        <f t="shared" si="89"/>
        <v/>
      </c>
      <c r="I1540" s="6" t="str">
        <f t="shared" si="90"/>
        <v>0</v>
      </c>
      <c r="O1540" t="s">
        <v>3404</v>
      </c>
      <c r="P1540">
        <f>IF(C1540&lt;&gt;"",C1540,_xlfn.XLOOKUP(B1540,AI_NAMES!D:D,AI_NAMES!E:E,"",0))</f>
        <v>0</v>
      </c>
    </row>
    <row r="1541" spans="1:16" x14ac:dyDescent="0.2">
      <c r="A1541" t="s">
        <v>1727</v>
      </c>
      <c r="B1541" t="s">
        <v>3405</v>
      </c>
      <c r="E1541" t="str">
        <f t="shared" si="91"/>
        <v/>
      </c>
      <c r="G1541" s="5" t="str">
        <f t="shared" si="89"/>
        <v/>
      </c>
      <c r="I1541" s="6" t="str">
        <f t="shared" si="90"/>
        <v>0</v>
      </c>
      <c r="O1541" t="s">
        <v>3405</v>
      </c>
      <c r="P1541">
        <f>IF(C1541&lt;&gt;"",C1541,_xlfn.XLOOKUP(B1541,AI_NAMES!D:D,AI_NAMES!E:E,"",0))</f>
        <v>0</v>
      </c>
    </row>
    <row r="1542" spans="1:16" x14ac:dyDescent="0.2">
      <c r="A1542" t="s">
        <v>1728</v>
      </c>
      <c r="B1542" t="s">
        <v>3406</v>
      </c>
      <c r="E1542" t="str">
        <f t="shared" si="91"/>
        <v/>
      </c>
      <c r="G1542" s="5" t="str">
        <f t="shared" si="89"/>
        <v/>
      </c>
      <c r="I1542" s="6" t="str">
        <f t="shared" si="90"/>
        <v>0</v>
      </c>
      <c r="O1542" t="s">
        <v>3406</v>
      </c>
      <c r="P1542">
        <f>IF(C1542&lt;&gt;"",C1542,_xlfn.XLOOKUP(B1542,AI_NAMES!D:D,AI_NAMES!E:E,"",0))</f>
        <v>0</v>
      </c>
    </row>
    <row r="1543" spans="1:16" x14ac:dyDescent="0.2">
      <c r="A1543" t="s">
        <v>1729</v>
      </c>
      <c r="B1543" t="s">
        <v>3407</v>
      </c>
      <c r="E1543" t="str">
        <f t="shared" si="91"/>
        <v/>
      </c>
      <c r="G1543" s="5" t="str">
        <f t="shared" si="89"/>
        <v/>
      </c>
      <c r="I1543" s="6" t="str">
        <f t="shared" si="90"/>
        <v>0</v>
      </c>
      <c r="O1543" t="s">
        <v>3407</v>
      </c>
      <c r="P1543">
        <f>IF(C1543&lt;&gt;"",C1543,_xlfn.XLOOKUP(B1543,AI_NAMES!D:D,AI_NAMES!E:E,"",0))</f>
        <v>0</v>
      </c>
    </row>
    <row r="1544" spans="1:16" x14ac:dyDescent="0.2">
      <c r="A1544" t="s">
        <v>1730</v>
      </c>
      <c r="B1544" t="s">
        <v>3408</v>
      </c>
      <c r="E1544" t="str">
        <f t="shared" si="91"/>
        <v/>
      </c>
      <c r="G1544" s="5" t="str">
        <f t="shared" si="89"/>
        <v/>
      </c>
      <c r="I1544" s="6" t="str">
        <f t="shared" si="90"/>
        <v>0</v>
      </c>
      <c r="O1544" t="s">
        <v>3408</v>
      </c>
      <c r="P1544">
        <f>IF(C1544&lt;&gt;"",C1544,_xlfn.XLOOKUP(B1544,AI_NAMES!D:D,AI_NAMES!E:E,"",0))</f>
        <v>0</v>
      </c>
    </row>
    <row r="1545" spans="1:16" x14ac:dyDescent="0.2">
      <c r="A1545" t="s">
        <v>1731</v>
      </c>
      <c r="B1545" t="s">
        <v>3409</v>
      </c>
      <c r="E1545" t="str">
        <f t="shared" si="91"/>
        <v/>
      </c>
      <c r="G1545" s="5" t="str">
        <f t="shared" ref="G1545:G1608" si="92">IF(F1545&lt;&gt;"",HEX2DEC(SUBSTITUTE(SUBSTITUTE(F1545,"adrEA",""),"$","")),"")</f>
        <v/>
      </c>
      <c r="I1545" s="6" t="str">
        <f t="shared" si="90"/>
        <v>0</v>
      </c>
      <c r="O1545" t="s">
        <v>3409</v>
      </c>
      <c r="P1545">
        <f>IF(C1545&lt;&gt;"",C1545,_xlfn.XLOOKUP(B1545,AI_NAMES!D:D,AI_NAMES!E:E,"",0))</f>
        <v>0</v>
      </c>
    </row>
    <row r="1546" spans="1:16" x14ac:dyDescent="0.2">
      <c r="A1546" t="s">
        <v>1732</v>
      </c>
      <c r="B1546" t="s">
        <v>1733</v>
      </c>
      <c r="E1546" t="str">
        <f t="shared" si="91"/>
        <v/>
      </c>
      <c r="G1546" s="5" t="str">
        <f t="shared" si="92"/>
        <v/>
      </c>
      <c r="I1546" s="6" t="str">
        <f t="shared" si="90"/>
        <v>0</v>
      </c>
      <c r="O1546" t="s">
        <v>1733</v>
      </c>
      <c r="P1546" t="str">
        <f>IF(C1546&lt;&gt;"",C1546,_xlfn.XLOOKUP(B1546,AI_NAMES!D:D,AI_NAMES!E:E,"",0))</f>
        <v/>
      </c>
    </row>
    <row r="1547" spans="1:16" x14ac:dyDescent="0.2">
      <c r="A1547" t="s">
        <v>1734</v>
      </c>
      <c r="B1547" t="s">
        <v>1735</v>
      </c>
      <c r="E1547" t="str">
        <f t="shared" si="91"/>
        <v/>
      </c>
      <c r="G1547" s="5" t="str">
        <f t="shared" si="92"/>
        <v/>
      </c>
      <c r="I1547" s="6" t="str">
        <f t="shared" si="90"/>
        <v>0</v>
      </c>
      <c r="O1547" t="s">
        <v>1735</v>
      </c>
      <c r="P1547" t="str">
        <f>IF(C1547&lt;&gt;"",C1547,_xlfn.XLOOKUP(B1547,AI_NAMES!D:D,AI_NAMES!E:E,"",0))</f>
        <v/>
      </c>
    </row>
    <row r="1548" spans="1:16" x14ac:dyDescent="0.2">
      <c r="A1548" t="s">
        <v>1736</v>
      </c>
      <c r="B1548" t="s">
        <v>3400</v>
      </c>
      <c r="E1548" t="str">
        <f t="shared" si="91"/>
        <v/>
      </c>
      <c r="G1548" s="5" t="str">
        <f t="shared" si="92"/>
        <v/>
      </c>
      <c r="I1548" s="6" t="str">
        <f t="shared" si="90"/>
        <v>0</v>
      </c>
      <c r="O1548" t="s">
        <v>3400</v>
      </c>
      <c r="P1548" t="str">
        <f>IF(C1548&lt;&gt;"",C1548,_xlfn.XLOOKUP(B1548,AI_NAMES!D:D,AI_NAMES!E:E,"",0))</f>
        <v/>
      </c>
    </row>
    <row r="1549" spans="1:16" x14ac:dyDescent="0.2">
      <c r="A1549" t="s">
        <v>1737</v>
      </c>
      <c r="B1549" t="s">
        <v>3418</v>
      </c>
      <c r="E1549" t="str">
        <f t="shared" si="91"/>
        <v/>
      </c>
      <c r="G1549" s="5" t="str">
        <f t="shared" si="92"/>
        <v/>
      </c>
      <c r="I1549" s="6" t="str">
        <f t="shared" si="90"/>
        <v>0</v>
      </c>
      <c r="O1549" t="s">
        <v>3418</v>
      </c>
      <c r="P1549">
        <f>IF(C1549&lt;&gt;"",C1549,_xlfn.XLOOKUP(B1549,AI_NAMES!D:D,AI_NAMES!E:E,"",0))</f>
        <v>0</v>
      </c>
    </row>
    <row r="1550" spans="1:16" x14ac:dyDescent="0.2">
      <c r="A1550" t="s">
        <v>1738</v>
      </c>
      <c r="B1550" t="s">
        <v>3417</v>
      </c>
      <c r="E1550" t="str">
        <f t="shared" si="91"/>
        <v/>
      </c>
      <c r="G1550" s="5" t="str">
        <f t="shared" si="92"/>
        <v/>
      </c>
      <c r="I1550" s="6" t="str">
        <f t="shared" si="90"/>
        <v>0</v>
      </c>
      <c r="O1550" t="s">
        <v>3417</v>
      </c>
      <c r="P1550">
        <f>IF(C1550&lt;&gt;"",C1550,_xlfn.XLOOKUP(B1550,AI_NAMES!D:D,AI_NAMES!E:E,"",0))</f>
        <v>0</v>
      </c>
    </row>
    <row r="1551" spans="1:16" x14ac:dyDescent="0.2">
      <c r="A1551" t="s">
        <v>1739</v>
      </c>
      <c r="B1551" t="s">
        <v>3416</v>
      </c>
      <c r="E1551" t="str">
        <f t="shared" si="91"/>
        <v/>
      </c>
      <c r="G1551" s="5" t="str">
        <f t="shared" si="92"/>
        <v/>
      </c>
      <c r="I1551" s="6" t="str">
        <f t="shared" si="90"/>
        <v>0</v>
      </c>
      <c r="O1551" t="s">
        <v>3416</v>
      </c>
      <c r="P1551">
        <f>IF(C1551&lt;&gt;"",C1551,_xlfn.XLOOKUP(B1551,AI_NAMES!D:D,AI_NAMES!E:E,"",0))</f>
        <v>0</v>
      </c>
    </row>
    <row r="1552" spans="1:16" x14ac:dyDescent="0.2">
      <c r="A1552" t="s">
        <v>1740</v>
      </c>
      <c r="B1552" t="s">
        <v>3415</v>
      </c>
      <c r="E1552" t="str">
        <f t="shared" si="91"/>
        <v/>
      </c>
      <c r="G1552" s="5" t="str">
        <f t="shared" si="92"/>
        <v/>
      </c>
      <c r="I1552" s="6" t="str">
        <f t="shared" si="90"/>
        <v>0</v>
      </c>
      <c r="O1552" t="s">
        <v>3415</v>
      </c>
      <c r="P1552">
        <f>IF(C1552&lt;&gt;"",C1552,_xlfn.XLOOKUP(B1552,AI_NAMES!D:D,AI_NAMES!E:E,"",0))</f>
        <v>0</v>
      </c>
    </row>
    <row r="1553" spans="1:16" x14ac:dyDescent="0.2">
      <c r="A1553" t="s">
        <v>1741</v>
      </c>
      <c r="B1553" t="s">
        <v>3414</v>
      </c>
      <c r="E1553" t="str">
        <f t="shared" si="91"/>
        <v/>
      </c>
      <c r="G1553" s="5" t="str">
        <f t="shared" si="92"/>
        <v/>
      </c>
      <c r="I1553" s="6" t="str">
        <f t="shared" si="90"/>
        <v>0</v>
      </c>
      <c r="O1553" t="s">
        <v>3414</v>
      </c>
      <c r="P1553">
        <f>IF(C1553&lt;&gt;"",C1553,_xlfn.XLOOKUP(B1553,AI_NAMES!D:D,AI_NAMES!E:E,"",0))</f>
        <v>0</v>
      </c>
    </row>
    <row r="1554" spans="1:16" x14ac:dyDescent="0.2">
      <c r="A1554" t="s">
        <v>1742</v>
      </c>
      <c r="B1554" t="s">
        <v>3413</v>
      </c>
      <c r="E1554" t="str">
        <f t="shared" si="91"/>
        <v/>
      </c>
      <c r="G1554" s="5" t="str">
        <f t="shared" si="92"/>
        <v/>
      </c>
      <c r="I1554" s="6" t="str">
        <f t="shared" si="90"/>
        <v>0</v>
      </c>
      <c r="O1554" t="s">
        <v>3413</v>
      </c>
      <c r="P1554">
        <f>IF(C1554&lt;&gt;"",C1554,_xlfn.XLOOKUP(B1554,AI_NAMES!D:D,AI_NAMES!E:E,"",0))</f>
        <v>0</v>
      </c>
    </row>
    <row r="1555" spans="1:16" x14ac:dyDescent="0.2">
      <c r="A1555" t="s">
        <v>1743</v>
      </c>
      <c r="B1555" t="s">
        <v>3412</v>
      </c>
      <c r="E1555" t="str">
        <f t="shared" si="91"/>
        <v/>
      </c>
      <c r="G1555" s="5" t="str">
        <f t="shared" si="92"/>
        <v/>
      </c>
      <c r="I1555" s="6" t="str">
        <f t="shared" si="90"/>
        <v>0</v>
      </c>
      <c r="O1555" t="s">
        <v>3412</v>
      </c>
      <c r="P1555">
        <f>IF(C1555&lt;&gt;"",C1555,_xlfn.XLOOKUP(B1555,AI_NAMES!D:D,AI_NAMES!E:E,"",0))</f>
        <v>0</v>
      </c>
    </row>
    <row r="1556" spans="1:16" x14ac:dyDescent="0.2">
      <c r="A1556" t="s">
        <v>1744</v>
      </c>
      <c r="B1556" t="s">
        <v>3411</v>
      </c>
      <c r="E1556" t="str">
        <f t="shared" si="91"/>
        <v/>
      </c>
      <c r="G1556" s="5" t="str">
        <f t="shared" si="92"/>
        <v/>
      </c>
      <c r="I1556" s="6" t="str">
        <f t="shared" si="90"/>
        <v>0</v>
      </c>
      <c r="O1556" t="s">
        <v>3411</v>
      </c>
      <c r="P1556">
        <f>IF(C1556&lt;&gt;"",C1556,_xlfn.XLOOKUP(B1556,AI_NAMES!D:D,AI_NAMES!E:E,"",0))</f>
        <v>0</v>
      </c>
    </row>
    <row r="1557" spans="1:16" x14ac:dyDescent="0.2">
      <c r="A1557" t="s">
        <v>1745</v>
      </c>
      <c r="B1557" t="s">
        <v>3410</v>
      </c>
      <c r="E1557" t="str">
        <f t="shared" si="91"/>
        <v/>
      </c>
      <c r="G1557" s="5" t="str">
        <f t="shared" si="92"/>
        <v/>
      </c>
      <c r="I1557" s="6" t="str">
        <f t="shared" si="90"/>
        <v>0</v>
      </c>
      <c r="O1557" t="s">
        <v>3410</v>
      </c>
      <c r="P1557">
        <f>IF(C1557&lt;&gt;"",C1557,_xlfn.XLOOKUP(B1557,AI_NAMES!D:D,AI_NAMES!E:E,"",0))</f>
        <v>0</v>
      </c>
    </row>
    <row r="1558" spans="1:16" x14ac:dyDescent="0.2">
      <c r="A1558" t="s">
        <v>1746</v>
      </c>
      <c r="B1558" t="s">
        <v>1747</v>
      </c>
      <c r="E1558" t="str">
        <f t="shared" si="91"/>
        <v/>
      </c>
      <c r="G1558" s="5" t="str">
        <f t="shared" si="92"/>
        <v/>
      </c>
      <c r="I1558" s="6" t="str">
        <f t="shared" si="90"/>
        <v>0</v>
      </c>
      <c r="O1558" t="s">
        <v>1747</v>
      </c>
      <c r="P1558" t="str">
        <f>IF(C1558&lt;&gt;"",C1558,_xlfn.XLOOKUP(B1558,AI_NAMES!D:D,AI_NAMES!E:E,"",0))</f>
        <v/>
      </c>
    </row>
    <row r="1559" spans="1:16" x14ac:dyDescent="0.2">
      <c r="A1559" t="s">
        <v>1748</v>
      </c>
      <c r="B1559" t="s">
        <v>1749</v>
      </c>
      <c r="E1559" t="str">
        <f t="shared" si="91"/>
        <v/>
      </c>
      <c r="G1559" s="5" t="str">
        <f t="shared" si="92"/>
        <v/>
      </c>
      <c r="I1559" s="6" t="str">
        <f t="shared" si="90"/>
        <v>0</v>
      </c>
      <c r="O1559" t="s">
        <v>1749</v>
      </c>
      <c r="P1559" t="str">
        <f>IF(C1559&lt;&gt;"",C1559,_xlfn.XLOOKUP(B1559,AI_NAMES!D:D,AI_NAMES!E:E,"",0))</f>
        <v/>
      </c>
    </row>
    <row r="1560" spans="1:16" x14ac:dyDescent="0.2">
      <c r="A1560" t="s">
        <v>1750</v>
      </c>
      <c r="B1560" t="s">
        <v>3428</v>
      </c>
      <c r="E1560" t="str">
        <f t="shared" si="91"/>
        <v/>
      </c>
      <c r="G1560" s="5" t="str">
        <f t="shared" si="92"/>
        <v/>
      </c>
      <c r="I1560" s="6" t="str">
        <f t="shared" si="90"/>
        <v>0</v>
      </c>
      <c r="O1560" t="s">
        <v>3428</v>
      </c>
      <c r="P1560" t="str">
        <f>IF(C1560&lt;&gt;"",C1560,_xlfn.XLOOKUP(B1560,AI_NAMES!D:D,AI_NAMES!E:E,"",0))</f>
        <v/>
      </c>
    </row>
    <row r="1561" spans="1:16" x14ac:dyDescent="0.2">
      <c r="A1561" t="s">
        <v>1751</v>
      </c>
      <c r="B1561" t="s">
        <v>3427</v>
      </c>
      <c r="E1561" t="str">
        <f t="shared" si="91"/>
        <v/>
      </c>
      <c r="G1561" s="5" t="str">
        <f t="shared" si="92"/>
        <v/>
      </c>
      <c r="I1561" s="6" t="str">
        <f t="shared" si="90"/>
        <v>0</v>
      </c>
      <c r="O1561" t="s">
        <v>3427</v>
      </c>
      <c r="P1561" t="str">
        <f>IF(C1561&lt;&gt;"",C1561,_xlfn.XLOOKUP(B1561,AI_NAMES!D:D,AI_NAMES!E:E,"",0))</f>
        <v/>
      </c>
    </row>
    <row r="1562" spans="1:16" x14ac:dyDescent="0.2">
      <c r="A1562" t="s">
        <v>1752</v>
      </c>
      <c r="E1562" t="str">
        <f t="shared" si="91"/>
        <v/>
      </c>
      <c r="G1562" s="5" t="str">
        <f t="shared" si="92"/>
        <v/>
      </c>
      <c r="I1562" s="6" t="str">
        <f t="shared" si="90"/>
        <v>0</v>
      </c>
      <c r="P1562">
        <f>IF(C1562&lt;&gt;"",C1562,_xlfn.XLOOKUP(B1562,AI_NAMES!D:D,AI_NAMES!E:E,"",0))</f>
        <v>0</v>
      </c>
    </row>
    <row r="1563" spans="1:16" x14ac:dyDescent="0.2">
      <c r="A1563" t="s">
        <v>1753</v>
      </c>
      <c r="B1563" t="s">
        <v>321</v>
      </c>
      <c r="E1563" t="str">
        <f t="shared" si="91"/>
        <v/>
      </c>
      <c r="G1563" s="5" t="str">
        <f t="shared" si="92"/>
        <v/>
      </c>
      <c r="I1563" s="6" t="str">
        <f t="shared" si="90"/>
        <v>0</v>
      </c>
      <c r="O1563" t="s">
        <v>321</v>
      </c>
      <c r="P1563">
        <f>IF(C1563&lt;&gt;"",C1563,_xlfn.XLOOKUP(B1563,AI_NAMES!D:D,AI_NAMES!E:E,"",0))</f>
        <v>0</v>
      </c>
    </row>
    <row r="1564" spans="1:16" x14ac:dyDescent="0.2">
      <c r="A1564" t="s">
        <v>1756</v>
      </c>
      <c r="B1564" t="s">
        <v>3426</v>
      </c>
      <c r="E1564" t="str">
        <f t="shared" si="91"/>
        <v/>
      </c>
      <c r="G1564" s="5" t="str">
        <f t="shared" si="92"/>
        <v/>
      </c>
      <c r="I1564" s="6" t="str">
        <f t="shared" si="90"/>
        <v>0</v>
      </c>
      <c r="O1564" t="s">
        <v>3426</v>
      </c>
      <c r="P1564" t="str">
        <f>IF(C1564&lt;&gt;"",C1564,_xlfn.XLOOKUP(B1564,AI_NAMES!D:D,AI_NAMES!E:E,"",0))</f>
        <v/>
      </c>
    </row>
    <row r="1565" spans="1:16" x14ac:dyDescent="0.2">
      <c r="A1565" t="s">
        <v>1757</v>
      </c>
      <c r="B1565" t="s">
        <v>321</v>
      </c>
      <c r="E1565" t="str">
        <f t="shared" si="91"/>
        <v/>
      </c>
      <c r="G1565" s="5" t="str">
        <f t="shared" si="92"/>
        <v/>
      </c>
      <c r="I1565" s="6" t="str">
        <f t="shared" si="90"/>
        <v>0</v>
      </c>
      <c r="O1565" t="s">
        <v>321</v>
      </c>
      <c r="P1565">
        <f>IF(C1565&lt;&gt;"",C1565,_xlfn.XLOOKUP(B1565,AI_NAMES!D:D,AI_NAMES!E:E,"",0))</f>
        <v>0</v>
      </c>
    </row>
    <row r="1566" spans="1:16" x14ac:dyDescent="0.2">
      <c r="A1566" t="s">
        <v>1758</v>
      </c>
      <c r="B1566" t="s">
        <v>3425</v>
      </c>
      <c r="E1566" t="str">
        <f t="shared" si="91"/>
        <v/>
      </c>
      <c r="G1566" s="5" t="str">
        <f t="shared" si="92"/>
        <v/>
      </c>
      <c r="I1566" s="6" t="str">
        <f t="shared" si="90"/>
        <v>0</v>
      </c>
      <c r="O1566" t="s">
        <v>3425</v>
      </c>
      <c r="P1566" t="str">
        <f>IF(C1566&lt;&gt;"",C1566,_xlfn.XLOOKUP(B1566,AI_NAMES!D:D,AI_NAMES!E:E,"",0))</f>
        <v/>
      </c>
    </row>
    <row r="1567" spans="1:16" x14ac:dyDescent="0.2">
      <c r="A1567" t="s">
        <v>1759</v>
      </c>
      <c r="B1567" t="s">
        <v>321</v>
      </c>
      <c r="E1567" t="str">
        <f t="shared" si="91"/>
        <v/>
      </c>
      <c r="G1567" s="5" t="str">
        <f t="shared" si="92"/>
        <v/>
      </c>
      <c r="I1567" s="6" t="str">
        <f t="shared" si="90"/>
        <v>0</v>
      </c>
      <c r="O1567" t="s">
        <v>321</v>
      </c>
      <c r="P1567">
        <f>IF(C1567&lt;&gt;"",C1567,_xlfn.XLOOKUP(B1567,AI_NAMES!D:D,AI_NAMES!E:E,"",0))</f>
        <v>0</v>
      </c>
    </row>
    <row r="1568" spans="1:16" x14ac:dyDescent="0.2">
      <c r="A1568" t="s">
        <v>1760</v>
      </c>
      <c r="B1568" t="s">
        <v>321</v>
      </c>
      <c r="E1568" t="str">
        <f t="shared" si="91"/>
        <v/>
      </c>
      <c r="G1568" s="5" t="str">
        <f t="shared" si="92"/>
        <v/>
      </c>
      <c r="I1568" s="6" t="str">
        <f t="shared" si="90"/>
        <v>0</v>
      </c>
      <c r="O1568" t="s">
        <v>321</v>
      </c>
      <c r="P1568">
        <f>IF(C1568&lt;&gt;"",C1568,_xlfn.XLOOKUP(B1568,AI_NAMES!D:D,AI_NAMES!E:E,"",0))</f>
        <v>0</v>
      </c>
    </row>
    <row r="1569" spans="1:16" x14ac:dyDescent="0.2">
      <c r="A1569" t="s">
        <v>1761</v>
      </c>
      <c r="B1569" t="s">
        <v>321</v>
      </c>
      <c r="E1569" t="str">
        <f t="shared" si="91"/>
        <v/>
      </c>
      <c r="G1569" s="5" t="str">
        <f t="shared" si="92"/>
        <v/>
      </c>
      <c r="I1569" s="6" t="str">
        <f t="shared" si="90"/>
        <v>0</v>
      </c>
      <c r="O1569" t="s">
        <v>321</v>
      </c>
      <c r="P1569">
        <f>IF(C1569&lt;&gt;"",C1569,_xlfn.XLOOKUP(B1569,AI_NAMES!D:D,AI_NAMES!E:E,"",0))</f>
        <v>0</v>
      </c>
    </row>
    <row r="1570" spans="1:16" x14ac:dyDescent="0.2">
      <c r="A1570" t="s">
        <v>1762</v>
      </c>
      <c r="B1570" t="s">
        <v>321</v>
      </c>
      <c r="E1570" t="str">
        <f t="shared" si="91"/>
        <v/>
      </c>
      <c r="G1570" s="5" t="str">
        <f t="shared" si="92"/>
        <v/>
      </c>
      <c r="I1570" s="6" t="str">
        <f t="shared" si="90"/>
        <v>0</v>
      </c>
      <c r="O1570" t="s">
        <v>321</v>
      </c>
      <c r="P1570">
        <f>IF(C1570&lt;&gt;"",C1570,_xlfn.XLOOKUP(B1570,AI_NAMES!D:D,AI_NAMES!E:E,"",0))</f>
        <v>0</v>
      </c>
    </row>
    <row r="1571" spans="1:16" x14ac:dyDescent="0.2">
      <c r="A1571" t="s">
        <v>1764</v>
      </c>
      <c r="B1571" t="s">
        <v>321</v>
      </c>
      <c r="E1571" t="str">
        <f t="shared" si="91"/>
        <v/>
      </c>
      <c r="G1571" s="5" t="str">
        <f t="shared" si="92"/>
        <v/>
      </c>
      <c r="I1571" s="6" t="str">
        <f t="shared" si="90"/>
        <v>0</v>
      </c>
      <c r="O1571" t="s">
        <v>321</v>
      </c>
      <c r="P1571">
        <f>IF(C1571&lt;&gt;"",C1571,_xlfn.XLOOKUP(B1571,AI_NAMES!D:D,AI_NAMES!E:E,"",0))</f>
        <v>0</v>
      </c>
    </row>
    <row r="1572" spans="1:16" x14ac:dyDescent="0.2">
      <c r="A1572" t="s">
        <v>1765</v>
      </c>
      <c r="B1572" t="s">
        <v>1766</v>
      </c>
      <c r="E1572" t="str">
        <f t="shared" si="91"/>
        <v/>
      </c>
      <c r="G1572" s="5" t="str">
        <f t="shared" si="92"/>
        <v/>
      </c>
      <c r="I1572" s="6" t="str">
        <f t="shared" si="90"/>
        <v>0</v>
      </c>
      <c r="O1572" t="s">
        <v>1766</v>
      </c>
      <c r="P1572" t="str">
        <f>IF(C1572&lt;&gt;"",C1572,_xlfn.XLOOKUP(B1572,AI_NAMES!D:D,AI_NAMES!E:E,"",0))</f>
        <v/>
      </c>
    </row>
    <row r="1573" spans="1:16" x14ac:dyDescent="0.2">
      <c r="A1573" t="s">
        <v>1767</v>
      </c>
      <c r="B1573" t="s">
        <v>1768</v>
      </c>
      <c r="E1573" t="str">
        <f t="shared" si="91"/>
        <v/>
      </c>
      <c r="G1573" s="5" t="str">
        <f t="shared" si="92"/>
        <v/>
      </c>
      <c r="I1573" s="6" t="str">
        <f t="shared" si="90"/>
        <v>0</v>
      </c>
      <c r="O1573" t="s">
        <v>1768</v>
      </c>
      <c r="P1573" t="str">
        <f>IF(C1573&lt;&gt;"",C1573,_xlfn.XLOOKUP(B1573,AI_NAMES!D:D,AI_NAMES!E:E,"",0))</f>
        <v/>
      </c>
    </row>
    <row r="1574" spans="1:16" x14ac:dyDescent="0.2">
      <c r="A1574" t="s">
        <v>1769</v>
      </c>
      <c r="B1574" t="s">
        <v>1770</v>
      </c>
      <c r="E1574" t="str">
        <f t="shared" si="91"/>
        <v/>
      </c>
      <c r="G1574" s="5" t="str">
        <f t="shared" si="92"/>
        <v/>
      </c>
      <c r="I1574" s="6" t="str">
        <f t="shared" si="90"/>
        <v>0</v>
      </c>
      <c r="O1574" t="s">
        <v>1770</v>
      </c>
      <c r="P1574" t="str">
        <f>IF(C1574&lt;&gt;"",C1574,_xlfn.XLOOKUP(B1574,AI_NAMES!D:D,AI_NAMES!E:E,"",0))</f>
        <v/>
      </c>
    </row>
    <row r="1575" spans="1:16" x14ac:dyDescent="0.2">
      <c r="A1575" t="s">
        <v>1771</v>
      </c>
      <c r="B1575" t="s">
        <v>321</v>
      </c>
      <c r="E1575" t="str">
        <f t="shared" si="91"/>
        <v/>
      </c>
      <c r="G1575" s="5" t="str">
        <f t="shared" si="92"/>
        <v/>
      </c>
      <c r="I1575" s="6" t="str">
        <f t="shared" si="90"/>
        <v>0</v>
      </c>
      <c r="O1575" t="s">
        <v>321</v>
      </c>
      <c r="P1575">
        <f>IF(C1575&lt;&gt;"",C1575,_xlfn.XLOOKUP(B1575,AI_NAMES!D:D,AI_NAMES!E:E,"",0))</f>
        <v>0</v>
      </c>
    </row>
    <row r="1576" spans="1:16" x14ac:dyDescent="0.2">
      <c r="A1576" t="s">
        <v>3127</v>
      </c>
      <c r="B1576" t="s">
        <v>1772</v>
      </c>
      <c r="E1576" t="str">
        <f t="shared" si="91"/>
        <v/>
      </c>
      <c r="G1576" s="5" t="str">
        <f t="shared" si="92"/>
        <v/>
      </c>
      <c r="I1576" s="6" t="str">
        <f t="shared" si="90"/>
        <v>0</v>
      </c>
      <c r="O1576" t="s">
        <v>1772</v>
      </c>
      <c r="P1576" t="str">
        <f>IF(C1576&lt;&gt;"",C1576,_xlfn.XLOOKUP(B1576,AI_NAMES!D:D,AI_NAMES!E:E,"",0))</f>
        <v/>
      </c>
    </row>
    <row r="1577" spans="1:16" x14ac:dyDescent="0.2">
      <c r="A1577" t="s">
        <v>1773</v>
      </c>
      <c r="B1577" t="s">
        <v>1773</v>
      </c>
      <c r="E1577" t="str">
        <f t="shared" si="91"/>
        <v/>
      </c>
      <c r="G1577" s="5" t="str">
        <f t="shared" si="92"/>
        <v/>
      </c>
      <c r="I1577" s="6" t="str">
        <f t="shared" si="90"/>
        <v>0</v>
      </c>
      <c r="O1577" t="s">
        <v>1773</v>
      </c>
      <c r="P1577" t="str">
        <f>IF(C1577&lt;&gt;"",C1577,_xlfn.XLOOKUP(B1577,AI_NAMES!D:D,AI_NAMES!E:E,"",0))</f>
        <v/>
      </c>
    </row>
    <row r="1578" spans="1:16" x14ac:dyDescent="0.2">
      <c r="A1578" t="s">
        <v>1774</v>
      </c>
      <c r="B1578" t="s">
        <v>1774</v>
      </c>
      <c r="E1578" t="str">
        <f t="shared" si="91"/>
        <v/>
      </c>
      <c r="G1578" s="5" t="str">
        <f t="shared" si="92"/>
        <v/>
      </c>
      <c r="I1578" s="6" t="str">
        <f t="shared" si="90"/>
        <v>0</v>
      </c>
      <c r="O1578" t="s">
        <v>1774</v>
      </c>
      <c r="P1578" t="str">
        <f>IF(C1578&lt;&gt;"",C1578,_xlfn.XLOOKUP(B1578,AI_NAMES!D:D,AI_NAMES!E:E,"",0))</f>
        <v/>
      </c>
    </row>
    <row r="1579" spans="1:16" x14ac:dyDescent="0.2">
      <c r="A1579" t="s">
        <v>1775</v>
      </c>
      <c r="B1579" t="s">
        <v>3424</v>
      </c>
      <c r="E1579" t="str">
        <f t="shared" si="91"/>
        <v/>
      </c>
      <c r="G1579" s="5" t="str">
        <f t="shared" si="92"/>
        <v/>
      </c>
      <c r="I1579" s="6" t="str">
        <f t="shared" si="90"/>
        <v>0</v>
      </c>
      <c r="O1579" t="s">
        <v>3424</v>
      </c>
      <c r="P1579" t="str">
        <f>IF(C1579&lt;&gt;"",C1579,_xlfn.XLOOKUP(B1579,AI_NAMES!D:D,AI_NAMES!E:E,"",0))</f>
        <v/>
      </c>
    </row>
    <row r="1580" spans="1:16" x14ac:dyDescent="0.2">
      <c r="A1580" t="s">
        <v>1776</v>
      </c>
      <c r="B1580" t="s">
        <v>1777</v>
      </c>
      <c r="E1580" t="str">
        <f t="shared" si="91"/>
        <v/>
      </c>
      <c r="G1580" s="5" t="str">
        <f t="shared" si="92"/>
        <v/>
      </c>
      <c r="I1580" s="6" t="str">
        <f t="shared" si="90"/>
        <v>0</v>
      </c>
      <c r="O1580" t="s">
        <v>1777</v>
      </c>
      <c r="P1580" t="str">
        <f>IF(C1580&lt;&gt;"",C1580,_xlfn.XLOOKUP(B1580,AI_NAMES!D:D,AI_NAMES!E:E,"",0))</f>
        <v/>
      </c>
    </row>
    <row r="1581" spans="1:16" x14ac:dyDescent="0.2">
      <c r="A1581" t="s">
        <v>1778</v>
      </c>
      <c r="E1581" t="str">
        <f t="shared" si="91"/>
        <v/>
      </c>
      <c r="G1581" s="5" t="str">
        <f t="shared" si="92"/>
        <v/>
      </c>
      <c r="I1581" s="6" t="str">
        <f t="shared" si="90"/>
        <v>0</v>
      </c>
      <c r="P1581">
        <f>IF(C1581&lt;&gt;"",C1581,_xlfn.XLOOKUP(B1581,AI_NAMES!D:D,AI_NAMES!E:E,"",0))</f>
        <v>0</v>
      </c>
    </row>
    <row r="1582" spans="1:16" x14ac:dyDescent="0.2">
      <c r="A1582" t="s">
        <v>1779</v>
      </c>
      <c r="B1582" t="s">
        <v>321</v>
      </c>
      <c r="E1582" t="str">
        <f t="shared" si="91"/>
        <v/>
      </c>
      <c r="G1582" s="5" t="str">
        <f t="shared" si="92"/>
        <v/>
      </c>
      <c r="I1582" s="6" t="str">
        <f t="shared" si="90"/>
        <v>0</v>
      </c>
      <c r="O1582" t="s">
        <v>321</v>
      </c>
      <c r="P1582">
        <f>IF(C1582&lt;&gt;"",C1582,_xlfn.XLOOKUP(B1582,AI_NAMES!D:D,AI_NAMES!E:E,"",0))</f>
        <v>0</v>
      </c>
    </row>
    <row r="1583" spans="1:16" x14ac:dyDescent="0.2">
      <c r="A1583" t="s">
        <v>1780</v>
      </c>
      <c r="B1583" t="s">
        <v>3430</v>
      </c>
      <c r="E1583" t="str">
        <f t="shared" si="91"/>
        <v/>
      </c>
      <c r="G1583" s="5" t="str">
        <f t="shared" si="92"/>
        <v/>
      </c>
      <c r="I1583" s="6" t="str">
        <f t="shared" si="90"/>
        <v>0</v>
      </c>
      <c r="O1583" t="s">
        <v>3430</v>
      </c>
      <c r="P1583" t="str">
        <f>IF(C1583&lt;&gt;"",C1583,_xlfn.XLOOKUP(B1583,AI_NAMES!D:D,AI_NAMES!E:E,"",0))</f>
        <v/>
      </c>
    </row>
    <row r="1584" spans="1:16" x14ac:dyDescent="0.2">
      <c r="A1584" t="s">
        <v>1781</v>
      </c>
      <c r="B1584" t="s">
        <v>321</v>
      </c>
      <c r="E1584" t="str">
        <f t="shared" si="91"/>
        <v/>
      </c>
      <c r="G1584" s="5" t="str">
        <f t="shared" si="92"/>
        <v/>
      </c>
      <c r="I1584" s="6" t="str">
        <f t="shared" si="90"/>
        <v>0</v>
      </c>
      <c r="O1584" t="s">
        <v>321</v>
      </c>
      <c r="P1584">
        <f>IF(C1584&lt;&gt;"",C1584,_xlfn.XLOOKUP(B1584,AI_NAMES!D:D,AI_NAMES!E:E,"",0))</f>
        <v>0</v>
      </c>
    </row>
    <row r="1585" spans="1:16" x14ac:dyDescent="0.2">
      <c r="A1585" t="s">
        <v>1782</v>
      </c>
      <c r="B1585" t="s">
        <v>3432</v>
      </c>
      <c r="E1585" t="str">
        <f t="shared" si="91"/>
        <v/>
      </c>
      <c r="G1585" s="5" t="str">
        <f t="shared" si="92"/>
        <v/>
      </c>
      <c r="I1585" s="6" t="str">
        <f t="shared" si="90"/>
        <v>0</v>
      </c>
      <c r="O1585" t="s">
        <v>3432</v>
      </c>
      <c r="P1585" t="str">
        <f>IF(C1585&lt;&gt;"",C1585,_xlfn.XLOOKUP(B1585,AI_NAMES!D:D,AI_NAMES!E:E,"",0))</f>
        <v/>
      </c>
    </row>
    <row r="1586" spans="1:16" x14ac:dyDescent="0.2">
      <c r="A1586" t="s">
        <v>1783</v>
      </c>
      <c r="B1586" t="s">
        <v>1784</v>
      </c>
      <c r="E1586" t="str">
        <f t="shared" si="91"/>
        <v/>
      </c>
      <c r="G1586" s="5" t="str">
        <f t="shared" si="92"/>
        <v/>
      </c>
      <c r="I1586" s="6" t="str">
        <f t="shared" si="90"/>
        <v>0</v>
      </c>
      <c r="O1586" t="s">
        <v>1784</v>
      </c>
      <c r="P1586" t="str">
        <f>IF(C1586&lt;&gt;"",C1586,_xlfn.XLOOKUP(B1586,AI_NAMES!D:D,AI_NAMES!E:E,"",0))</f>
        <v/>
      </c>
    </row>
    <row r="1587" spans="1:16" x14ac:dyDescent="0.2">
      <c r="A1587" t="s">
        <v>1785</v>
      </c>
      <c r="B1587" t="s">
        <v>1786</v>
      </c>
      <c r="E1587" t="str">
        <f t="shared" si="91"/>
        <v/>
      </c>
      <c r="G1587" s="5" t="str">
        <f t="shared" si="92"/>
        <v/>
      </c>
      <c r="I1587" s="6" t="str">
        <f t="shared" si="90"/>
        <v>0</v>
      </c>
      <c r="O1587" t="s">
        <v>1786</v>
      </c>
      <c r="P1587" t="str">
        <f>IF(C1587&lt;&gt;"",C1587,_xlfn.XLOOKUP(B1587,AI_NAMES!D:D,AI_NAMES!E:E,"",0))</f>
        <v/>
      </c>
    </row>
    <row r="1588" spans="1:16" x14ac:dyDescent="0.2">
      <c r="A1588" t="s">
        <v>1787</v>
      </c>
      <c r="B1588" t="s">
        <v>3429</v>
      </c>
      <c r="E1588" t="str">
        <f t="shared" si="91"/>
        <v/>
      </c>
      <c r="G1588" s="5" t="str">
        <f t="shared" si="92"/>
        <v/>
      </c>
      <c r="I1588" s="6" t="str">
        <f t="shared" si="90"/>
        <v>0</v>
      </c>
      <c r="O1588" t="s">
        <v>3429</v>
      </c>
      <c r="P1588" t="str">
        <f>IF(C1588&lt;&gt;"",C1588,_xlfn.XLOOKUP(B1588,AI_NAMES!D:D,AI_NAMES!E:E,"",0))</f>
        <v/>
      </c>
    </row>
    <row r="1589" spans="1:16" x14ac:dyDescent="0.2">
      <c r="A1589" t="s">
        <v>1788</v>
      </c>
      <c r="B1589" t="s">
        <v>321</v>
      </c>
      <c r="E1589" t="str">
        <f t="shared" si="91"/>
        <v/>
      </c>
      <c r="G1589" s="5" t="str">
        <f t="shared" si="92"/>
        <v/>
      </c>
      <c r="I1589" s="6" t="str">
        <f t="shared" si="90"/>
        <v>0</v>
      </c>
      <c r="O1589" t="s">
        <v>321</v>
      </c>
      <c r="P1589">
        <f>IF(C1589&lt;&gt;"",C1589,_xlfn.XLOOKUP(B1589,AI_NAMES!D:D,AI_NAMES!E:E,"",0))</f>
        <v>0</v>
      </c>
    </row>
    <row r="1590" spans="1:16" x14ac:dyDescent="0.2">
      <c r="A1590" t="s">
        <v>1789</v>
      </c>
      <c r="B1590" t="s">
        <v>1790</v>
      </c>
      <c r="E1590" t="str">
        <f t="shared" si="91"/>
        <v/>
      </c>
      <c r="G1590" s="5" t="str">
        <f t="shared" si="92"/>
        <v/>
      </c>
      <c r="I1590" s="6" t="str">
        <f t="shared" si="90"/>
        <v>0</v>
      </c>
      <c r="O1590" t="s">
        <v>1790</v>
      </c>
      <c r="P1590" t="str">
        <f>IF(C1590&lt;&gt;"",C1590,_xlfn.XLOOKUP(B1590,AI_NAMES!D:D,AI_NAMES!E:E,"",0))</f>
        <v/>
      </c>
    </row>
    <row r="1591" spans="1:16" x14ac:dyDescent="0.2">
      <c r="A1591" t="s">
        <v>1791</v>
      </c>
      <c r="B1591" t="s">
        <v>1792</v>
      </c>
      <c r="E1591" t="str">
        <f t="shared" si="91"/>
        <v/>
      </c>
      <c r="G1591" s="5" t="str">
        <f t="shared" si="92"/>
        <v/>
      </c>
      <c r="I1591" s="6" t="str">
        <f t="shared" si="90"/>
        <v>0</v>
      </c>
      <c r="O1591" t="s">
        <v>1792</v>
      </c>
      <c r="P1591" t="str">
        <f>IF(C1591&lt;&gt;"",C1591,_xlfn.XLOOKUP(B1591,AI_NAMES!D:D,AI_NAMES!E:E,"",0))</f>
        <v/>
      </c>
    </row>
    <row r="1592" spans="1:16" x14ac:dyDescent="0.2">
      <c r="A1592" t="s">
        <v>1793</v>
      </c>
      <c r="B1592" t="s">
        <v>321</v>
      </c>
      <c r="E1592" t="str">
        <f t="shared" si="91"/>
        <v/>
      </c>
      <c r="G1592" s="5" t="str">
        <f t="shared" si="92"/>
        <v/>
      </c>
      <c r="I1592" s="6" t="str">
        <f t="shared" si="90"/>
        <v>0</v>
      </c>
      <c r="O1592" t="s">
        <v>321</v>
      </c>
      <c r="P1592">
        <f>IF(C1592&lt;&gt;"",C1592,_xlfn.XLOOKUP(B1592,AI_NAMES!D:D,AI_NAMES!E:E,"",0))</f>
        <v>0</v>
      </c>
    </row>
    <row r="1593" spans="1:16" x14ac:dyDescent="0.2">
      <c r="A1593" t="s">
        <v>1794</v>
      </c>
      <c r="B1593" t="s">
        <v>3438</v>
      </c>
      <c r="E1593" t="str">
        <f t="shared" si="91"/>
        <v/>
      </c>
      <c r="G1593" s="5" t="str">
        <f t="shared" si="92"/>
        <v/>
      </c>
      <c r="I1593" s="6" t="str">
        <f t="shared" si="90"/>
        <v>0</v>
      </c>
      <c r="O1593" t="s">
        <v>3438</v>
      </c>
      <c r="P1593" t="str">
        <f>IF(C1593&lt;&gt;"",C1593,_xlfn.XLOOKUP(B1593,AI_NAMES!D:D,AI_NAMES!E:E,"",0))</f>
        <v/>
      </c>
    </row>
    <row r="1594" spans="1:16" x14ac:dyDescent="0.2">
      <c r="A1594" t="s">
        <v>1795</v>
      </c>
      <c r="B1594" t="s">
        <v>3433</v>
      </c>
      <c r="E1594" t="str">
        <f t="shared" si="91"/>
        <v/>
      </c>
      <c r="G1594" s="5" t="str">
        <f t="shared" si="92"/>
        <v/>
      </c>
      <c r="I1594" s="6" t="str">
        <f t="shared" si="90"/>
        <v>0</v>
      </c>
      <c r="O1594" t="s">
        <v>3433</v>
      </c>
      <c r="P1594" t="str">
        <f>IF(C1594&lt;&gt;"",C1594,_xlfn.XLOOKUP(B1594,AI_NAMES!D:D,AI_NAMES!E:E,"",0))</f>
        <v/>
      </c>
    </row>
    <row r="1595" spans="1:16" x14ac:dyDescent="0.2">
      <c r="A1595" t="s">
        <v>1796</v>
      </c>
      <c r="B1595" t="s">
        <v>3434</v>
      </c>
      <c r="E1595" t="str">
        <f t="shared" si="91"/>
        <v/>
      </c>
      <c r="G1595" s="5" t="str">
        <f t="shared" si="92"/>
        <v/>
      </c>
      <c r="I1595" s="6" t="str">
        <f t="shared" si="90"/>
        <v>0</v>
      </c>
      <c r="O1595" t="s">
        <v>3434</v>
      </c>
      <c r="P1595" t="str">
        <f>IF(C1595&lt;&gt;"",C1595,_xlfn.XLOOKUP(B1595,AI_NAMES!D:D,AI_NAMES!E:E,"",0))</f>
        <v/>
      </c>
    </row>
    <row r="1596" spans="1:16" x14ac:dyDescent="0.2">
      <c r="A1596" t="s">
        <v>1797</v>
      </c>
      <c r="B1596" t="s">
        <v>3435</v>
      </c>
      <c r="E1596" t="str">
        <f t="shared" si="91"/>
        <v/>
      </c>
      <c r="G1596" s="5" t="str">
        <f t="shared" si="92"/>
        <v/>
      </c>
      <c r="I1596" s="6" t="str">
        <f t="shared" si="90"/>
        <v>0</v>
      </c>
      <c r="O1596" t="s">
        <v>3435</v>
      </c>
      <c r="P1596" t="str">
        <f>IF(C1596&lt;&gt;"",C1596,_xlfn.XLOOKUP(B1596,AI_NAMES!D:D,AI_NAMES!E:E,"",0))</f>
        <v/>
      </c>
    </row>
    <row r="1597" spans="1:16" x14ac:dyDescent="0.2">
      <c r="A1597" t="s">
        <v>1798</v>
      </c>
      <c r="B1597" t="s">
        <v>3436</v>
      </c>
      <c r="E1597" t="str">
        <f t="shared" si="91"/>
        <v/>
      </c>
      <c r="G1597" s="5" t="str">
        <f t="shared" si="92"/>
        <v/>
      </c>
      <c r="I1597" s="6" t="str">
        <f t="shared" si="90"/>
        <v>0</v>
      </c>
      <c r="O1597" t="s">
        <v>3436</v>
      </c>
      <c r="P1597" t="str">
        <f>IF(C1597&lt;&gt;"",C1597,_xlfn.XLOOKUP(B1597,AI_NAMES!D:D,AI_NAMES!E:E,"",0))</f>
        <v/>
      </c>
    </row>
    <row r="1598" spans="1:16" x14ac:dyDescent="0.2">
      <c r="A1598" t="s">
        <v>1799</v>
      </c>
      <c r="B1598" t="s">
        <v>3437</v>
      </c>
      <c r="E1598" t="str">
        <f t="shared" si="91"/>
        <v/>
      </c>
      <c r="G1598" s="5" t="str">
        <f t="shared" si="92"/>
        <v/>
      </c>
      <c r="I1598" s="6" t="str">
        <f t="shared" si="90"/>
        <v>0</v>
      </c>
      <c r="O1598" t="s">
        <v>3437</v>
      </c>
      <c r="P1598" t="str">
        <f>IF(C1598&lt;&gt;"",C1598,_xlfn.XLOOKUP(B1598,AI_NAMES!D:D,AI_NAMES!E:E,"",0))</f>
        <v/>
      </c>
    </row>
    <row r="1599" spans="1:16" x14ac:dyDescent="0.2">
      <c r="A1599" t="s">
        <v>1800</v>
      </c>
      <c r="B1599" t="s">
        <v>3431</v>
      </c>
      <c r="E1599" t="str">
        <f t="shared" si="91"/>
        <v/>
      </c>
      <c r="G1599" s="5" t="str">
        <f t="shared" si="92"/>
        <v/>
      </c>
      <c r="I1599" s="6" t="str">
        <f t="shared" si="90"/>
        <v>0</v>
      </c>
      <c r="O1599" t="s">
        <v>3431</v>
      </c>
      <c r="P1599" t="str">
        <f>IF(C1599&lt;&gt;"",C1599,_xlfn.XLOOKUP(B1599,AI_NAMES!D:D,AI_NAMES!E:E,"",0))</f>
        <v/>
      </c>
    </row>
    <row r="1600" spans="1:16" x14ac:dyDescent="0.2">
      <c r="A1600" t="s">
        <v>1801</v>
      </c>
      <c r="B1600" t="s">
        <v>3420</v>
      </c>
      <c r="E1600" t="str">
        <f t="shared" si="91"/>
        <v/>
      </c>
      <c r="G1600" s="5" t="str">
        <f t="shared" si="92"/>
        <v/>
      </c>
      <c r="I1600" s="6" t="str">
        <f t="shared" si="90"/>
        <v>0</v>
      </c>
      <c r="O1600" t="s">
        <v>3420</v>
      </c>
      <c r="P1600" t="str">
        <f>IF(C1600&lt;&gt;"",C1600,_xlfn.XLOOKUP(B1600,AI_NAMES!D:D,AI_NAMES!E:E,"",0))</f>
        <v/>
      </c>
    </row>
    <row r="1601" spans="1:16" x14ac:dyDescent="0.2">
      <c r="A1601" t="s">
        <v>1802</v>
      </c>
      <c r="B1601" t="s">
        <v>3421</v>
      </c>
      <c r="E1601" t="str">
        <f t="shared" si="91"/>
        <v/>
      </c>
      <c r="G1601" s="5" t="str">
        <f t="shared" si="92"/>
        <v/>
      </c>
      <c r="I1601" s="6" t="str">
        <f t="shared" si="90"/>
        <v>0</v>
      </c>
      <c r="O1601" t="s">
        <v>3421</v>
      </c>
      <c r="P1601" t="str">
        <f>IF(C1601&lt;&gt;"",C1601,_xlfn.XLOOKUP(B1601,AI_NAMES!D:D,AI_NAMES!E:E,"",0))</f>
        <v/>
      </c>
    </row>
    <row r="1602" spans="1:16" x14ac:dyDescent="0.2">
      <c r="A1602" t="s">
        <v>1803</v>
      </c>
      <c r="B1602" t="s">
        <v>3422</v>
      </c>
      <c r="E1602" t="str">
        <f t="shared" si="91"/>
        <v/>
      </c>
      <c r="G1602" s="5" t="str">
        <f t="shared" si="92"/>
        <v/>
      </c>
      <c r="I1602" s="6" t="str">
        <f t="shared" si="90"/>
        <v>0</v>
      </c>
      <c r="O1602" t="s">
        <v>3422</v>
      </c>
      <c r="P1602" t="str">
        <f>IF(C1602&lt;&gt;"",C1602,_xlfn.XLOOKUP(B1602,AI_NAMES!D:D,AI_NAMES!E:E,"",0))</f>
        <v/>
      </c>
    </row>
    <row r="1603" spans="1:16" x14ac:dyDescent="0.2">
      <c r="A1603" t="s">
        <v>1804</v>
      </c>
      <c r="B1603" t="s">
        <v>321</v>
      </c>
      <c r="E1603" t="str">
        <f t="shared" si="91"/>
        <v/>
      </c>
      <c r="G1603" s="5" t="str">
        <f t="shared" si="92"/>
        <v/>
      </c>
      <c r="I1603" s="6" t="str">
        <f t="shared" ref="I1603:I1666" si="93">IFERROR(DEC2HEX(H1603),"")</f>
        <v>0</v>
      </c>
      <c r="O1603" t="s">
        <v>321</v>
      </c>
      <c r="P1603">
        <f>IF(C1603&lt;&gt;"",C1603,_xlfn.XLOOKUP(B1603,AI_NAMES!D:D,AI_NAMES!E:E,"",0))</f>
        <v>0</v>
      </c>
    </row>
    <row r="1604" spans="1:16" x14ac:dyDescent="0.2">
      <c r="A1604" t="s">
        <v>1805</v>
      </c>
      <c r="B1604" t="s">
        <v>321</v>
      </c>
      <c r="E1604" t="str">
        <f t="shared" ref="E1604:E1667" si="94">IF(D1604&lt;&gt;"",C1604&amp;"/"&amp;D1604,"")</f>
        <v/>
      </c>
      <c r="G1604" s="5" t="str">
        <f t="shared" si="92"/>
        <v/>
      </c>
      <c r="I1604" s="6" t="str">
        <f t="shared" si="93"/>
        <v>0</v>
      </c>
      <c r="O1604" t="s">
        <v>321</v>
      </c>
      <c r="P1604">
        <f>IF(C1604&lt;&gt;"",C1604,_xlfn.XLOOKUP(B1604,AI_NAMES!D:D,AI_NAMES!E:E,"",0))</f>
        <v>0</v>
      </c>
    </row>
    <row r="1605" spans="1:16" x14ac:dyDescent="0.2">
      <c r="A1605" t="s">
        <v>1806</v>
      </c>
      <c r="B1605" t="s">
        <v>321</v>
      </c>
      <c r="E1605" t="str">
        <f t="shared" si="94"/>
        <v/>
      </c>
      <c r="G1605" s="5" t="str">
        <f t="shared" si="92"/>
        <v/>
      </c>
      <c r="I1605" s="6" t="str">
        <f t="shared" si="93"/>
        <v>0</v>
      </c>
      <c r="O1605" t="s">
        <v>321</v>
      </c>
      <c r="P1605">
        <f>IF(C1605&lt;&gt;"",C1605,_xlfn.XLOOKUP(B1605,AI_NAMES!D:D,AI_NAMES!E:E,"",0))</f>
        <v>0</v>
      </c>
    </row>
    <row r="1606" spans="1:16" x14ac:dyDescent="0.2">
      <c r="A1606" t="s">
        <v>1807</v>
      </c>
      <c r="B1606" t="s">
        <v>321</v>
      </c>
      <c r="E1606" t="str">
        <f t="shared" si="94"/>
        <v/>
      </c>
      <c r="G1606" s="5" t="str">
        <f t="shared" si="92"/>
        <v/>
      </c>
      <c r="I1606" s="6" t="str">
        <f t="shared" si="93"/>
        <v>0</v>
      </c>
      <c r="O1606" t="s">
        <v>321</v>
      </c>
      <c r="P1606">
        <f>IF(C1606&lt;&gt;"",C1606,_xlfn.XLOOKUP(B1606,AI_NAMES!D:D,AI_NAMES!E:E,"",0))</f>
        <v>0</v>
      </c>
    </row>
    <row r="1607" spans="1:16" x14ac:dyDescent="0.2">
      <c r="A1607" t="s">
        <v>1808</v>
      </c>
      <c r="B1607" t="s">
        <v>321</v>
      </c>
      <c r="E1607" t="str">
        <f t="shared" si="94"/>
        <v/>
      </c>
      <c r="G1607" s="5" t="str">
        <f t="shared" si="92"/>
        <v/>
      </c>
      <c r="I1607" s="6" t="str">
        <f t="shared" si="93"/>
        <v>0</v>
      </c>
      <c r="O1607" t="s">
        <v>321</v>
      </c>
      <c r="P1607">
        <f>IF(C1607&lt;&gt;"",C1607,_xlfn.XLOOKUP(B1607,AI_NAMES!D:D,AI_NAMES!E:E,"",0))</f>
        <v>0</v>
      </c>
    </row>
    <row r="1608" spans="1:16" x14ac:dyDescent="0.2">
      <c r="A1608" t="s">
        <v>1809</v>
      </c>
      <c r="B1608" t="s">
        <v>321</v>
      </c>
      <c r="E1608" t="str">
        <f t="shared" si="94"/>
        <v/>
      </c>
      <c r="G1608" s="5" t="str">
        <f t="shared" si="92"/>
        <v/>
      </c>
      <c r="I1608" s="6" t="str">
        <f t="shared" si="93"/>
        <v>0</v>
      </c>
      <c r="O1608" t="s">
        <v>321</v>
      </c>
      <c r="P1608">
        <f>IF(C1608&lt;&gt;"",C1608,_xlfn.XLOOKUP(B1608,AI_NAMES!D:D,AI_NAMES!E:E,"",0))</f>
        <v>0</v>
      </c>
    </row>
    <row r="1609" spans="1:16" x14ac:dyDescent="0.2">
      <c r="A1609" t="s">
        <v>1810</v>
      </c>
      <c r="B1609" t="s">
        <v>321</v>
      </c>
      <c r="E1609" t="str">
        <f t="shared" si="94"/>
        <v/>
      </c>
      <c r="G1609" s="5" t="str">
        <f t="shared" ref="G1609:G1672" si="95">IF(F1609&lt;&gt;"",HEX2DEC(SUBSTITUTE(SUBSTITUTE(F1609,"adrEA",""),"$","")),"")</f>
        <v/>
      </c>
      <c r="I1609" s="6" t="str">
        <f t="shared" si="93"/>
        <v>0</v>
      </c>
      <c r="O1609" t="s">
        <v>321</v>
      </c>
      <c r="P1609">
        <f>IF(C1609&lt;&gt;"",C1609,_xlfn.XLOOKUP(B1609,AI_NAMES!D:D,AI_NAMES!E:E,"",0))</f>
        <v>0</v>
      </c>
    </row>
    <row r="1610" spans="1:16" x14ac:dyDescent="0.2">
      <c r="A1610" t="s">
        <v>1811</v>
      </c>
      <c r="B1610" t="s">
        <v>321</v>
      </c>
      <c r="E1610" t="str">
        <f t="shared" si="94"/>
        <v/>
      </c>
      <c r="G1610" s="5" t="str">
        <f t="shared" si="95"/>
        <v/>
      </c>
      <c r="I1610" s="6" t="str">
        <f t="shared" si="93"/>
        <v>0</v>
      </c>
      <c r="O1610" t="s">
        <v>321</v>
      </c>
      <c r="P1610">
        <f>IF(C1610&lt;&gt;"",C1610,_xlfn.XLOOKUP(B1610,AI_NAMES!D:D,AI_NAMES!E:E,"",0))</f>
        <v>0</v>
      </c>
    </row>
    <row r="1611" spans="1:16" x14ac:dyDescent="0.2">
      <c r="A1611" t="s">
        <v>1812</v>
      </c>
      <c r="B1611" t="s">
        <v>321</v>
      </c>
      <c r="E1611" t="str">
        <f t="shared" si="94"/>
        <v/>
      </c>
      <c r="G1611" s="5" t="str">
        <f t="shared" si="95"/>
        <v/>
      </c>
      <c r="I1611" s="6" t="str">
        <f t="shared" si="93"/>
        <v>0</v>
      </c>
      <c r="O1611" t="s">
        <v>321</v>
      </c>
      <c r="P1611">
        <f>IF(C1611&lt;&gt;"",C1611,_xlfn.XLOOKUP(B1611,AI_NAMES!D:D,AI_NAMES!E:E,"",0))</f>
        <v>0</v>
      </c>
    </row>
    <row r="1612" spans="1:16" x14ac:dyDescent="0.2">
      <c r="A1612" t="s">
        <v>1813</v>
      </c>
      <c r="B1612" t="s">
        <v>321</v>
      </c>
      <c r="E1612" t="str">
        <f t="shared" si="94"/>
        <v/>
      </c>
      <c r="G1612" s="5" t="str">
        <f t="shared" si="95"/>
        <v/>
      </c>
      <c r="I1612" s="6" t="str">
        <f t="shared" si="93"/>
        <v>0</v>
      </c>
      <c r="O1612" t="s">
        <v>321</v>
      </c>
      <c r="P1612">
        <f>IF(C1612&lt;&gt;"",C1612,_xlfn.XLOOKUP(B1612,AI_NAMES!D:D,AI_NAMES!E:E,"",0))</f>
        <v>0</v>
      </c>
    </row>
    <row r="1613" spans="1:16" x14ac:dyDescent="0.2">
      <c r="A1613" t="s">
        <v>1814</v>
      </c>
      <c r="B1613" t="s">
        <v>321</v>
      </c>
      <c r="E1613" t="str">
        <f t="shared" si="94"/>
        <v/>
      </c>
      <c r="G1613" s="5" t="str">
        <f t="shared" si="95"/>
        <v/>
      </c>
      <c r="I1613" s="6" t="str">
        <f t="shared" si="93"/>
        <v>0</v>
      </c>
      <c r="O1613" t="s">
        <v>321</v>
      </c>
      <c r="P1613">
        <f>IF(C1613&lt;&gt;"",C1613,_xlfn.XLOOKUP(B1613,AI_NAMES!D:D,AI_NAMES!E:E,"",0))</f>
        <v>0</v>
      </c>
    </row>
    <row r="1614" spans="1:16" x14ac:dyDescent="0.2">
      <c r="A1614" t="s">
        <v>1815</v>
      </c>
      <c r="B1614" t="s">
        <v>321</v>
      </c>
      <c r="E1614" t="str">
        <f t="shared" si="94"/>
        <v/>
      </c>
      <c r="G1614" s="5" t="str">
        <f t="shared" si="95"/>
        <v/>
      </c>
      <c r="I1614" s="6" t="str">
        <f t="shared" si="93"/>
        <v>0</v>
      </c>
      <c r="O1614" t="s">
        <v>321</v>
      </c>
      <c r="P1614">
        <f>IF(C1614&lt;&gt;"",C1614,_xlfn.XLOOKUP(B1614,AI_NAMES!D:D,AI_NAMES!E:E,"",0))</f>
        <v>0</v>
      </c>
    </row>
    <row r="1615" spans="1:16" x14ac:dyDescent="0.2">
      <c r="A1615" t="s">
        <v>1816</v>
      </c>
      <c r="B1615" t="s">
        <v>321</v>
      </c>
      <c r="E1615" t="str">
        <f t="shared" si="94"/>
        <v/>
      </c>
      <c r="G1615" s="5" t="str">
        <f t="shared" si="95"/>
        <v/>
      </c>
      <c r="I1615" s="6" t="str">
        <f t="shared" si="93"/>
        <v>0</v>
      </c>
      <c r="O1615" t="s">
        <v>321</v>
      </c>
      <c r="P1615">
        <f>IF(C1615&lt;&gt;"",C1615,_xlfn.XLOOKUP(B1615,AI_NAMES!D:D,AI_NAMES!E:E,"",0))</f>
        <v>0</v>
      </c>
    </row>
    <row r="1616" spans="1:16" x14ac:dyDescent="0.2">
      <c r="A1616" t="s">
        <v>1817</v>
      </c>
      <c r="B1616" t="s">
        <v>3423</v>
      </c>
      <c r="E1616" t="str">
        <f t="shared" si="94"/>
        <v/>
      </c>
      <c r="G1616" s="5" t="str">
        <f t="shared" si="95"/>
        <v/>
      </c>
      <c r="I1616" s="6" t="str">
        <f t="shared" si="93"/>
        <v>0</v>
      </c>
      <c r="O1616" t="s">
        <v>3423</v>
      </c>
      <c r="P1616" t="str">
        <f>IF(C1616&lt;&gt;"",C1616,_xlfn.XLOOKUP(B1616,AI_NAMES!D:D,AI_NAMES!E:E,"",0))</f>
        <v/>
      </c>
    </row>
    <row r="1617" spans="1:16" x14ac:dyDescent="0.2">
      <c r="A1617" t="s">
        <v>1818</v>
      </c>
      <c r="B1617" t="s">
        <v>321</v>
      </c>
      <c r="E1617" t="str">
        <f t="shared" si="94"/>
        <v/>
      </c>
      <c r="G1617" s="5" t="str">
        <f t="shared" si="95"/>
        <v/>
      </c>
      <c r="I1617" s="6" t="str">
        <f t="shared" si="93"/>
        <v>0</v>
      </c>
      <c r="O1617" t="s">
        <v>321</v>
      </c>
      <c r="P1617">
        <f>IF(C1617&lt;&gt;"",C1617,_xlfn.XLOOKUP(B1617,AI_NAMES!D:D,AI_NAMES!E:E,"",0))</f>
        <v>0</v>
      </c>
    </row>
    <row r="1618" spans="1:16" x14ac:dyDescent="0.2">
      <c r="A1618" t="s">
        <v>1819</v>
      </c>
      <c r="B1618" t="s">
        <v>321</v>
      </c>
      <c r="E1618" t="str">
        <f t="shared" si="94"/>
        <v/>
      </c>
      <c r="G1618" s="5" t="str">
        <f t="shared" si="95"/>
        <v/>
      </c>
      <c r="I1618" s="6" t="str">
        <f t="shared" si="93"/>
        <v>0</v>
      </c>
      <c r="O1618" t="s">
        <v>321</v>
      </c>
      <c r="P1618">
        <f>IF(C1618&lt;&gt;"",C1618,_xlfn.XLOOKUP(B1618,AI_NAMES!D:D,AI_NAMES!E:E,"",0))</f>
        <v>0</v>
      </c>
    </row>
    <row r="1619" spans="1:16" x14ac:dyDescent="0.2">
      <c r="A1619" t="s">
        <v>1820</v>
      </c>
      <c r="B1619" t="s">
        <v>321</v>
      </c>
      <c r="E1619" t="str">
        <f t="shared" si="94"/>
        <v/>
      </c>
      <c r="G1619" s="5" t="str">
        <f t="shared" si="95"/>
        <v/>
      </c>
      <c r="I1619" s="6" t="str">
        <f t="shared" si="93"/>
        <v>0</v>
      </c>
      <c r="O1619" t="s">
        <v>321</v>
      </c>
      <c r="P1619">
        <f>IF(C1619&lt;&gt;"",C1619,_xlfn.XLOOKUP(B1619,AI_NAMES!D:D,AI_NAMES!E:E,"",0))</f>
        <v>0</v>
      </c>
    </row>
    <row r="1620" spans="1:16" x14ac:dyDescent="0.2">
      <c r="A1620" t="s">
        <v>1821</v>
      </c>
      <c r="B1620" t="s">
        <v>321</v>
      </c>
      <c r="E1620" t="str">
        <f t="shared" si="94"/>
        <v/>
      </c>
      <c r="G1620" s="5" t="str">
        <f t="shared" si="95"/>
        <v/>
      </c>
      <c r="I1620" s="6" t="str">
        <f t="shared" si="93"/>
        <v>0</v>
      </c>
      <c r="O1620" t="s">
        <v>321</v>
      </c>
      <c r="P1620">
        <f>IF(C1620&lt;&gt;"",C1620,_xlfn.XLOOKUP(B1620,AI_NAMES!D:D,AI_NAMES!E:E,"",0))</f>
        <v>0</v>
      </c>
    </row>
    <row r="1621" spans="1:16" x14ac:dyDescent="0.2">
      <c r="A1621" t="s">
        <v>1822</v>
      </c>
      <c r="B1621" t="s">
        <v>321</v>
      </c>
      <c r="E1621" t="str">
        <f t="shared" si="94"/>
        <v/>
      </c>
      <c r="G1621" s="5" t="str">
        <f t="shared" si="95"/>
        <v/>
      </c>
      <c r="I1621" s="6" t="str">
        <f t="shared" si="93"/>
        <v>0</v>
      </c>
      <c r="O1621" t="s">
        <v>321</v>
      </c>
      <c r="P1621">
        <f>IF(C1621&lt;&gt;"",C1621,_xlfn.XLOOKUP(B1621,AI_NAMES!D:D,AI_NAMES!E:E,"",0))</f>
        <v>0</v>
      </c>
    </row>
    <row r="1622" spans="1:16" x14ac:dyDescent="0.2">
      <c r="A1622" t="s">
        <v>1823</v>
      </c>
      <c r="B1622" t="s">
        <v>321</v>
      </c>
      <c r="E1622" t="str">
        <f t="shared" si="94"/>
        <v/>
      </c>
      <c r="G1622" s="5" t="str">
        <f t="shared" si="95"/>
        <v/>
      </c>
      <c r="I1622" s="6" t="str">
        <f t="shared" si="93"/>
        <v>0</v>
      </c>
      <c r="O1622" t="s">
        <v>321</v>
      </c>
      <c r="P1622">
        <f>IF(C1622&lt;&gt;"",C1622,_xlfn.XLOOKUP(B1622,AI_NAMES!D:D,AI_NAMES!E:E,"",0))</f>
        <v>0</v>
      </c>
    </row>
    <row r="1623" spans="1:16" x14ac:dyDescent="0.2">
      <c r="A1623" t="s">
        <v>1824</v>
      </c>
      <c r="B1623" t="s">
        <v>321</v>
      </c>
      <c r="E1623" t="str">
        <f t="shared" si="94"/>
        <v/>
      </c>
      <c r="G1623" s="5" t="str">
        <f t="shared" si="95"/>
        <v/>
      </c>
      <c r="I1623" s="6" t="str">
        <f t="shared" si="93"/>
        <v>0</v>
      </c>
      <c r="O1623" t="s">
        <v>321</v>
      </c>
      <c r="P1623">
        <f>IF(C1623&lt;&gt;"",C1623,_xlfn.XLOOKUP(B1623,AI_NAMES!D:D,AI_NAMES!E:E,"",0))</f>
        <v>0</v>
      </c>
    </row>
    <row r="1624" spans="1:16" x14ac:dyDescent="0.2">
      <c r="A1624" t="s">
        <v>1825</v>
      </c>
      <c r="B1624" t="s">
        <v>321</v>
      </c>
      <c r="E1624" t="str">
        <f t="shared" si="94"/>
        <v/>
      </c>
      <c r="G1624" s="5" t="str">
        <f t="shared" si="95"/>
        <v/>
      </c>
      <c r="I1624" s="6" t="str">
        <f t="shared" si="93"/>
        <v>0</v>
      </c>
      <c r="O1624" t="s">
        <v>321</v>
      </c>
      <c r="P1624">
        <f>IF(C1624&lt;&gt;"",C1624,_xlfn.XLOOKUP(B1624,AI_NAMES!D:D,AI_NAMES!E:E,"",0))</f>
        <v>0</v>
      </c>
    </row>
    <row r="1625" spans="1:16" x14ac:dyDescent="0.2">
      <c r="A1625" t="s">
        <v>1826</v>
      </c>
      <c r="B1625" t="s">
        <v>321</v>
      </c>
      <c r="E1625" t="str">
        <f t="shared" si="94"/>
        <v/>
      </c>
      <c r="G1625" s="5" t="str">
        <f t="shared" si="95"/>
        <v/>
      </c>
      <c r="I1625" s="6" t="str">
        <f t="shared" si="93"/>
        <v>0</v>
      </c>
      <c r="O1625" t="s">
        <v>321</v>
      </c>
      <c r="P1625">
        <f>IF(C1625&lt;&gt;"",C1625,_xlfn.XLOOKUP(B1625,AI_NAMES!D:D,AI_NAMES!E:E,"",0))</f>
        <v>0</v>
      </c>
    </row>
    <row r="1626" spans="1:16" x14ac:dyDescent="0.2">
      <c r="A1626" t="s">
        <v>1827</v>
      </c>
      <c r="B1626" t="s">
        <v>321</v>
      </c>
      <c r="E1626" t="str">
        <f t="shared" si="94"/>
        <v/>
      </c>
      <c r="G1626" s="5" t="str">
        <f t="shared" si="95"/>
        <v/>
      </c>
      <c r="I1626" s="6" t="str">
        <f t="shared" si="93"/>
        <v>0</v>
      </c>
      <c r="O1626" t="s">
        <v>321</v>
      </c>
      <c r="P1626">
        <f>IF(C1626&lt;&gt;"",C1626,_xlfn.XLOOKUP(B1626,AI_NAMES!D:D,AI_NAMES!E:E,"",0))</f>
        <v>0</v>
      </c>
    </row>
    <row r="1627" spans="1:16" x14ac:dyDescent="0.2">
      <c r="A1627" t="s">
        <v>1828</v>
      </c>
      <c r="B1627" t="s">
        <v>321</v>
      </c>
      <c r="E1627" t="str">
        <f t="shared" si="94"/>
        <v/>
      </c>
      <c r="G1627" s="5" t="str">
        <f t="shared" si="95"/>
        <v/>
      </c>
      <c r="I1627" s="6" t="str">
        <f t="shared" si="93"/>
        <v>0</v>
      </c>
      <c r="O1627" t="s">
        <v>321</v>
      </c>
      <c r="P1627">
        <f>IF(C1627&lt;&gt;"",C1627,_xlfn.XLOOKUP(B1627,AI_NAMES!D:D,AI_NAMES!E:E,"",0))</f>
        <v>0</v>
      </c>
    </row>
    <row r="1628" spans="1:16" x14ac:dyDescent="0.2">
      <c r="A1628" t="s">
        <v>1829</v>
      </c>
      <c r="B1628" t="s">
        <v>321</v>
      </c>
      <c r="E1628" t="str">
        <f t="shared" si="94"/>
        <v/>
      </c>
      <c r="G1628" s="5" t="str">
        <f t="shared" si="95"/>
        <v/>
      </c>
      <c r="I1628" s="6" t="str">
        <f t="shared" si="93"/>
        <v>0</v>
      </c>
      <c r="O1628" t="s">
        <v>321</v>
      </c>
      <c r="P1628">
        <f>IF(C1628&lt;&gt;"",C1628,_xlfn.XLOOKUP(B1628,AI_NAMES!D:D,AI_NAMES!E:E,"",0))</f>
        <v>0</v>
      </c>
    </row>
    <row r="1629" spans="1:16" x14ac:dyDescent="0.2">
      <c r="A1629" t="s">
        <v>1830</v>
      </c>
      <c r="B1629" t="s">
        <v>321</v>
      </c>
      <c r="E1629" t="str">
        <f t="shared" si="94"/>
        <v/>
      </c>
      <c r="G1629" s="5" t="str">
        <f t="shared" si="95"/>
        <v/>
      </c>
      <c r="I1629" s="6" t="str">
        <f t="shared" si="93"/>
        <v>0</v>
      </c>
      <c r="O1629" t="s">
        <v>321</v>
      </c>
      <c r="P1629">
        <f>IF(C1629&lt;&gt;"",C1629,_xlfn.XLOOKUP(B1629,AI_NAMES!D:D,AI_NAMES!E:E,"",0))</f>
        <v>0</v>
      </c>
    </row>
    <row r="1630" spans="1:16" x14ac:dyDescent="0.2">
      <c r="A1630" t="s">
        <v>1831</v>
      </c>
      <c r="B1630" t="s">
        <v>321</v>
      </c>
      <c r="E1630" t="str">
        <f t="shared" si="94"/>
        <v/>
      </c>
      <c r="G1630" s="5" t="str">
        <f t="shared" si="95"/>
        <v/>
      </c>
      <c r="I1630" s="6" t="str">
        <f t="shared" si="93"/>
        <v>0</v>
      </c>
      <c r="O1630" t="s">
        <v>321</v>
      </c>
      <c r="P1630">
        <f>IF(C1630&lt;&gt;"",C1630,_xlfn.XLOOKUP(B1630,AI_NAMES!D:D,AI_NAMES!E:E,"",0))</f>
        <v>0</v>
      </c>
    </row>
    <row r="1631" spans="1:16" x14ac:dyDescent="0.2">
      <c r="A1631" t="s">
        <v>1832</v>
      </c>
      <c r="B1631" t="s">
        <v>321</v>
      </c>
      <c r="E1631" t="str">
        <f t="shared" si="94"/>
        <v/>
      </c>
      <c r="G1631" s="5" t="str">
        <f t="shared" si="95"/>
        <v/>
      </c>
      <c r="I1631" s="6" t="str">
        <f t="shared" si="93"/>
        <v>0</v>
      </c>
      <c r="O1631" t="s">
        <v>321</v>
      </c>
      <c r="P1631">
        <f>IF(C1631&lt;&gt;"",C1631,_xlfn.XLOOKUP(B1631,AI_NAMES!D:D,AI_NAMES!E:E,"",0))</f>
        <v>0</v>
      </c>
    </row>
    <row r="1632" spans="1:16" x14ac:dyDescent="0.2">
      <c r="A1632" t="s">
        <v>1833</v>
      </c>
      <c r="B1632" t="s">
        <v>321</v>
      </c>
      <c r="E1632" t="str">
        <f t="shared" si="94"/>
        <v/>
      </c>
      <c r="G1632" s="5" t="str">
        <f t="shared" si="95"/>
        <v/>
      </c>
      <c r="I1632" s="6" t="str">
        <f t="shared" si="93"/>
        <v>0</v>
      </c>
      <c r="O1632" t="s">
        <v>321</v>
      </c>
      <c r="P1632">
        <f>IF(C1632&lt;&gt;"",C1632,_xlfn.XLOOKUP(B1632,AI_NAMES!D:D,AI_NAMES!E:E,"",0))</f>
        <v>0</v>
      </c>
    </row>
    <row r="1633" spans="1:16" x14ac:dyDescent="0.2">
      <c r="A1633" t="s">
        <v>1834</v>
      </c>
      <c r="B1633" t="s">
        <v>3392</v>
      </c>
      <c r="E1633" t="str">
        <f t="shared" si="94"/>
        <v/>
      </c>
      <c r="G1633" s="5" t="str">
        <f t="shared" si="95"/>
        <v/>
      </c>
      <c r="I1633" s="6" t="str">
        <f t="shared" si="93"/>
        <v>0</v>
      </c>
      <c r="O1633" t="s">
        <v>3392</v>
      </c>
      <c r="P1633" t="str">
        <f>IF(C1633&lt;&gt;"",C1633,_xlfn.XLOOKUP(B1633,AI_NAMES!D:D,AI_NAMES!E:E,"",0))</f>
        <v/>
      </c>
    </row>
    <row r="1634" spans="1:16" x14ac:dyDescent="0.2">
      <c r="A1634" t="s">
        <v>1835</v>
      </c>
      <c r="B1634" t="s">
        <v>321</v>
      </c>
      <c r="E1634" t="str">
        <f t="shared" si="94"/>
        <v/>
      </c>
      <c r="G1634" s="5" t="str">
        <f t="shared" si="95"/>
        <v/>
      </c>
      <c r="I1634" s="6" t="str">
        <f t="shared" si="93"/>
        <v>0</v>
      </c>
      <c r="O1634" t="s">
        <v>321</v>
      </c>
      <c r="P1634">
        <f>IF(C1634&lt;&gt;"",C1634,_xlfn.XLOOKUP(B1634,AI_NAMES!D:D,AI_NAMES!E:E,"",0))</f>
        <v>0</v>
      </c>
    </row>
    <row r="1635" spans="1:16" x14ac:dyDescent="0.2">
      <c r="A1635" t="s">
        <v>1836</v>
      </c>
      <c r="B1635" t="s">
        <v>321</v>
      </c>
      <c r="E1635" t="str">
        <f t="shared" si="94"/>
        <v/>
      </c>
      <c r="G1635" s="5" t="str">
        <f t="shared" si="95"/>
        <v/>
      </c>
      <c r="I1635" s="6" t="str">
        <f t="shared" si="93"/>
        <v>0</v>
      </c>
      <c r="O1635" t="s">
        <v>321</v>
      </c>
      <c r="P1635">
        <f>IF(C1635&lt;&gt;"",C1635,_xlfn.XLOOKUP(B1635,AI_NAMES!D:D,AI_NAMES!E:E,"",0))</f>
        <v>0</v>
      </c>
    </row>
    <row r="1636" spans="1:16" x14ac:dyDescent="0.2">
      <c r="A1636" t="s">
        <v>1837</v>
      </c>
      <c r="B1636" t="s">
        <v>321</v>
      </c>
      <c r="E1636" t="str">
        <f t="shared" si="94"/>
        <v/>
      </c>
      <c r="G1636" s="5" t="str">
        <f t="shared" si="95"/>
        <v/>
      </c>
      <c r="I1636" s="6" t="str">
        <f t="shared" si="93"/>
        <v>0</v>
      </c>
      <c r="O1636" t="s">
        <v>321</v>
      </c>
      <c r="P1636">
        <f>IF(C1636&lt;&gt;"",C1636,_xlfn.XLOOKUP(B1636,AI_NAMES!D:D,AI_NAMES!E:E,"",0))</f>
        <v>0</v>
      </c>
    </row>
    <row r="1637" spans="1:16" x14ac:dyDescent="0.2">
      <c r="A1637" t="s">
        <v>1838</v>
      </c>
      <c r="B1637" t="s">
        <v>321</v>
      </c>
      <c r="E1637" t="str">
        <f t="shared" si="94"/>
        <v/>
      </c>
      <c r="G1637" s="5" t="str">
        <f t="shared" si="95"/>
        <v/>
      </c>
      <c r="I1637" s="6" t="str">
        <f t="shared" si="93"/>
        <v>0</v>
      </c>
      <c r="O1637" t="s">
        <v>321</v>
      </c>
      <c r="P1637">
        <f>IF(C1637&lt;&gt;"",C1637,_xlfn.XLOOKUP(B1637,AI_NAMES!D:D,AI_NAMES!E:E,"",0))</f>
        <v>0</v>
      </c>
    </row>
    <row r="1638" spans="1:16" x14ac:dyDescent="0.2">
      <c r="A1638" t="s">
        <v>1839</v>
      </c>
      <c r="B1638" t="s">
        <v>321</v>
      </c>
      <c r="E1638" t="str">
        <f t="shared" si="94"/>
        <v/>
      </c>
      <c r="G1638" s="5" t="str">
        <f t="shared" si="95"/>
        <v/>
      </c>
      <c r="I1638" s="6" t="str">
        <f t="shared" si="93"/>
        <v>0</v>
      </c>
      <c r="O1638" t="s">
        <v>321</v>
      </c>
      <c r="P1638">
        <f>IF(C1638&lt;&gt;"",C1638,_xlfn.XLOOKUP(B1638,AI_NAMES!D:D,AI_NAMES!E:E,"",0))</f>
        <v>0</v>
      </c>
    </row>
    <row r="1639" spans="1:16" x14ac:dyDescent="0.2">
      <c r="A1639" t="s">
        <v>1840</v>
      </c>
      <c r="B1639" t="s">
        <v>321</v>
      </c>
      <c r="E1639" t="str">
        <f t="shared" si="94"/>
        <v/>
      </c>
      <c r="G1639" s="5" t="str">
        <f t="shared" si="95"/>
        <v/>
      </c>
      <c r="I1639" s="6" t="str">
        <f t="shared" si="93"/>
        <v>0</v>
      </c>
      <c r="O1639" t="s">
        <v>321</v>
      </c>
      <c r="P1639">
        <f>IF(C1639&lt;&gt;"",C1639,_xlfn.XLOOKUP(B1639,AI_NAMES!D:D,AI_NAMES!E:E,"",0))</f>
        <v>0</v>
      </c>
    </row>
    <row r="1640" spans="1:16" x14ac:dyDescent="0.2">
      <c r="A1640" t="s">
        <v>1841</v>
      </c>
      <c r="B1640" t="s">
        <v>321</v>
      </c>
      <c r="E1640" t="str">
        <f t="shared" si="94"/>
        <v/>
      </c>
      <c r="G1640" s="5" t="str">
        <f t="shared" si="95"/>
        <v/>
      </c>
      <c r="I1640" s="6" t="str">
        <f t="shared" si="93"/>
        <v>0</v>
      </c>
      <c r="O1640" t="s">
        <v>321</v>
      </c>
      <c r="P1640">
        <f>IF(C1640&lt;&gt;"",C1640,_xlfn.XLOOKUP(B1640,AI_NAMES!D:D,AI_NAMES!E:E,"",0))</f>
        <v>0</v>
      </c>
    </row>
    <row r="1641" spans="1:16" x14ac:dyDescent="0.2">
      <c r="A1641" t="s">
        <v>1842</v>
      </c>
      <c r="B1641" t="s">
        <v>321</v>
      </c>
      <c r="E1641" t="str">
        <f t="shared" si="94"/>
        <v/>
      </c>
      <c r="G1641" s="5" t="str">
        <f t="shared" si="95"/>
        <v/>
      </c>
      <c r="I1641" s="6" t="str">
        <f t="shared" si="93"/>
        <v>0</v>
      </c>
      <c r="O1641" t="s">
        <v>321</v>
      </c>
      <c r="P1641">
        <f>IF(C1641&lt;&gt;"",C1641,_xlfn.XLOOKUP(B1641,AI_NAMES!D:D,AI_NAMES!E:E,"",0))</f>
        <v>0</v>
      </c>
    </row>
    <row r="1642" spans="1:16" x14ac:dyDescent="0.2">
      <c r="A1642" t="s">
        <v>1843</v>
      </c>
      <c r="B1642" t="s">
        <v>321</v>
      </c>
      <c r="E1642" t="str">
        <f t="shared" si="94"/>
        <v/>
      </c>
      <c r="G1642" s="5" t="str">
        <f t="shared" si="95"/>
        <v/>
      </c>
      <c r="I1642" s="6" t="str">
        <f t="shared" si="93"/>
        <v>0</v>
      </c>
      <c r="O1642" t="s">
        <v>321</v>
      </c>
      <c r="P1642">
        <f>IF(C1642&lt;&gt;"",C1642,_xlfn.XLOOKUP(B1642,AI_NAMES!D:D,AI_NAMES!E:E,"",0))</f>
        <v>0</v>
      </c>
    </row>
    <row r="1643" spans="1:16" x14ac:dyDescent="0.2">
      <c r="A1643" t="s">
        <v>1844</v>
      </c>
      <c r="B1643" t="s">
        <v>321</v>
      </c>
      <c r="E1643" t="str">
        <f t="shared" si="94"/>
        <v/>
      </c>
      <c r="G1643" s="5" t="str">
        <f t="shared" si="95"/>
        <v/>
      </c>
      <c r="I1643" s="6" t="str">
        <f t="shared" si="93"/>
        <v>0</v>
      </c>
      <c r="O1643" t="s">
        <v>321</v>
      </c>
      <c r="P1643">
        <f>IF(C1643&lt;&gt;"",C1643,_xlfn.XLOOKUP(B1643,AI_NAMES!D:D,AI_NAMES!E:E,"",0))</f>
        <v>0</v>
      </c>
    </row>
    <row r="1644" spans="1:16" x14ac:dyDescent="0.2">
      <c r="A1644" t="s">
        <v>1845</v>
      </c>
      <c r="B1644" t="s">
        <v>321</v>
      </c>
      <c r="E1644" t="str">
        <f t="shared" si="94"/>
        <v/>
      </c>
      <c r="G1644" s="5" t="str">
        <f t="shared" si="95"/>
        <v/>
      </c>
      <c r="I1644" s="6" t="str">
        <f t="shared" si="93"/>
        <v>0</v>
      </c>
      <c r="O1644" t="s">
        <v>321</v>
      </c>
      <c r="P1644">
        <f>IF(C1644&lt;&gt;"",C1644,_xlfn.XLOOKUP(B1644,AI_NAMES!D:D,AI_NAMES!E:E,"",0))</f>
        <v>0</v>
      </c>
    </row>
    <row r="1645" spans="1:16" x14ac:dyDescent="0.2">
      <c r="A1645" t="s">
        <v>1846</v>
      </c>
      <c r="B1645" t="s">
        <v>321</v>
      </c>
      <c r="E1645" t="str">
        <f t="shared" si="94"/>
        <v/>
      </c>
      <c r="G1645" s="5" t="str">
        <f t="shared" si="95"/>
        <v/>
      </c>
      <c r="I1645" s="6" t="str">
        <f t="shared" si="93"/>
        <v>0</v>
      </c>
      <c r="O1645" t="s">
        <v>321</v>
      </c>
      <c r="P1645">
        <f>IF(C1645&lt;&gt;"",C1645,_xlfn.XLOOKUP(B1645,AI_NAMES!D:D,AI_NAMES!E:E,"",0))</f>
        <v>0</v>
      </c>
    </row>
    <row r="1646" spans="1:16" x14ac:dyDescent="0.2">
      <c r="A1646" t="s">
        <v>1847</v>
      </c>
      <c r="B1646" t="s">
        <v>321</v>
      </c>
      <c r="E1646" t="str">
        <f t="shared" si="94"/>
        <v/>
      </c>
      <c r="G1646" s="5" t="str">
        <f t="shared" si="95"/>
        <v/>
      </c>
      <c r="I1646" s="6" t="str">
        <f t="shared" si="93"/>
        <v>0</v>
      </c>
      <c r="O1646" t="s">
        <v>321</v>
      </c>
      <c r="P1646">
        <f>IF(C1646&lt;&gt;"",C1646,_xlfn.XLOOKUP(B1646,AI_NAMES!D:D,AI_NAMES!E:E,"",0))</f>
        <v>0</v>
      </c>
    </row>
    <row r="1647" spans="1:16" x14ac:dyDescent="0.2">
      <c r="A1647" t="s">
        <v>1848</v>
      </c>
      <c r="B1647" t="s">
        <v>321</v>
      </c>
      <c r="E1647" t="str">
        <f t="shared" si="94"/>
        <v/>
      </c>
      <c r="G1647" s="5" t="str">
        <f t="shared" si="95"/>
        <v/>
      </c>
      <c r="I1647" s="6" t="str">
        <f t="shared" si="93"/>
        <v>0</v>
      </c>
      <c r="O1647" t="s">
        <v>321</v>
      </c>
      <c r="P1647">
        <f>IF(C1647&lt;&gt;"",C1647,_xlfn.XLOOKUP(B1647,AI_NAMES!D:D,AI_NAMES!E:E,"",0))</f>
        <v>0</v>
      </c>
    </row>
    <row r="1648" spans="1:16" x14ac:dyDescent="0.2">
      <c r="A1648" t="s">
        <v>1849</v>
      </c>
      <c r="B1648" t="s">
        <v>321</v>
      </c>
      <c r="E1648" t="str">
        <f t="shared" si="94"/>
        <v/>
      </c>
      <c r="G1648" s="5" t="str">
        <f t="shared" si="95"/>
        <v/>
      </c>
      <c r="I1648" s="6" t="str">
        <f t="shared" si="93"/>
        <v>0</v>
      </c>
      <c r="O1648" t="s">
        <v>321</v>
      </c>
      <c r="P1648">
        <f>IF(C1648&lt;&gt;"",C1648,_xlfn.XLOOKUP(B1648,AI_NAMES!D:D,AI_NAMES!E:E,"",0))</f>
        <v>0</v>
      </c>
    </row>
    <row r="1649" spans="1:16" x14ac:dyDescent="0.2">
      <c r="A1649" t="s">
        <v>1850</v>
      </c>
      <c r="B1649" t="s">
        <v>321</v>
      </c>
      <c r="E1649" t="str">
        <f t="shared" si="94"/>
        <v/>
      </c>
      <c r="G1649" s="5" t="str">
        <f t="shared" si="95"/>
        <v/>
      </c>
      <c r="I1649" s="6" t="str">
        <f t="shared" si="93"/>
        <v>0</v>
      </c>
      <c r="O1649" t="s">
        <v>321</v>
      </c>
      <c r="P1649">
        <f>IF(C1649&lt;&gt;"",C1649,_xlfn.XLOOKUP(B1649,AI_NAMES!D:D,AI_NAMES!E:E,"",0))</f>
        <v>0</v>
      </c>
    </row>
    <row r="1650" spans="1:16" x14ac:dyDescent="0.2">
      <c r="A1650" t="s">
        <v>1851</v>
      </c>
      <c r="B1650" t="s">
        <v>321</v>
      </c>
      <c r="E1650" t="str">
        <f t="shared" si="94"/>
        <v/>
      </c>
      <c r="G1650" s="5" t="str">
        <f t="shared" si="95"/>
        <v/>
      </c>
      <c r="I1650" s="6" t="str">
        <f t="shared" si="93"/>
        <v>0</v>
      </c>
      <c r="O1650" t="s">
        <v>321</v>
      </c>
      <c r="P1650">
        <f>IF(C1650&lt;&gt;"",C1650,_xlfn.XLOOKUP(B1650,AI_NAMES!D:D,AI_NAMES!E:E,"",0))</f>
        <v>0</v>
      </c>
    </row>
    <row r="1651" spans="1:16" x14ac:dyDescent="0.2">
      <c r="A1651" t="s">
        <v>1852</v>
      </c>
      <c r="B1651" t="s">
        <v>321</v>
      </c>
      <c r="E1651" t="str">
        <f t="shared" si="94"/>
        <v/>
      </c>
      <c r="G1651" s="5" t="str">
        <f t="shared" si="95"/>
        <v/>
      </c>
      <c r="I1651" s="6" t="str">
        <f t="shared" si="93"/>
        <v>0</v>
      </c>
      <c r="O1651" t="s">
        <v>321</v>
      </c>
      <c r="P1651">
        <f>IF(C1651&lt;&gt;"",C1651,_xlfn.XLOOKUP(B1651,AI_NAMES!D:D,AI_NAMES!E:E,"",0))</f>
        <v>0</v>
      </c>
    </row>
    <row r="1652" spans="1:16" x14ac:dyDescent="0.2">
      <c r="A1652" t="s">
        <v>1853</v>
      </c>
      <c r="B1652" t="s">
        <v>321</v>
      </c>
      <c r="E1652" t="str">
        <f t="shared" si="94"/>
        <v/>
      </c>
      <c r="G1652" s="5" t="str">
        <f t="shared" si="95"/>
        <v/>
      </c>
      <c r="I1652" s="6" t="str">
        <f t="shared" si="93"/>
        <v>0</v>
      </c>
      <c r="O1652" t="s">
        <v>321</v>
      </c>
      <c r="P1652">
        <f>IF(C1652&lt;&gt;"",C1652,_xlfn.XLOOKUP(B1652,AI_NAMES!D:D,AI_NAMES!E:E,"",0))</f>
        <v>0</v>
      </c>
    </row>
    <row r="1653" spans="1:16" x14ac:dyDescent="0.2">
      <c r="A1653" t="s">
        <v>1854</v>
      </c>
      <c r="B1653" t="s">
        <v>321</v>
      </c>
      <c r="E1653" t="str">
        <f t="shared" si="94"/>
        <v/>
      </c>
      <c r="G1653" s="5" t="str">
        <f t="shared" si="95"/>
        <v/>
      </c>
      <c r="I1653" s="6" t="str">
        <f t="shared" si="93"/>
        <v>0</v>
      </c>
      <c r="O1653" t="s">
        <v>321</v>
      </c>
      <c r="P1653">
        <f>IF(C1653&lt;&gt;"",C1653,_xlfn.XLOOKUP(B1653,AI_NAMES!D:D,AI_NAMES!E:E,"",0))</f>
        <v>0</v>
      </c>
    </row>
    <row r="1654" spans="1:16" x14ac:dyDescent="0.2">
      <c r="A1654" t="s">
        <v>1855</v>
      </c>
      <c r="B1654" t="s">
        <v>321</v>
      </c>
      <c r="E1654" t="str">
        <f t="shared" si="94"/>
        <v/>
      </c>
      <c r="G1654" s="5" t="str">
        <f t="shared" si="95"/>
        <v/>
      </c>
      <c r="I1654" s="6" t="str">
        <f t="shared" si="93"/>
        <v>0</v>
      </c>
      <c r="O1654" t="s">
        <v>321</v>
      </c>
      <c r="P1654">
        <f>IF(C1654&lt;&gt;"",C1654,_xlfn.XLOOKUP(B1654,AI_NAMES!D:D,AI_NAMES!E:E,"",0))</f>
        <v>0</v>
      </c>
    </row>
    <row r="1655" spans="1:16" x14ac:dyDescent="0.2">
      <c r="A1655" t="s">
        <v>1856</v>
      </c>
      <c r="B1655" t="s">
        <v>321</v>
      </c>
      <c r="E1655" t="str">
        <f t="shared" si="94"/>
        <v/>
      </c>
      <c r="G1655" s="5" t="str">
        <f t="shared" si="95"/>
        <v/>
      </c>
      <c r="I1655" s="6" t="str">
        <f t="shared" si="93"/>
        <v>0</v>
      </c>
      <c r="O1655" t="s">
        <v>321</v>
      </c>
      <c r="P1655">
        <f>IF(C1655&lt;&gt;"",C1655,_xlfn.XLOOKUP(B1655,AI_NAMES!D:D,AI_NAMES!E:E,"",0))</f>
        <v>0</v>
      </c>
    </row>
    <row r="1656" spans="1:16" x14ac:dyDescent="0.2">
      <c r="A1656" t="s">
        <v>1857</v>
      </c>
      <c r="B1656" t="s">
        <v>321</v>
      </c>
      <c r="E1656" t="str">
        <f t="shared" si="94"/>
        <v/>
      </c>
      <c r="G1656" s="5" t="str">
        <f t="shared" si="95"/>
        <v/>
      </c>
      <c r="I1656" s="6" t="str">
        <f t="shared" si="93"/>
        <v>0</v>
      </c>
      <c r="O1656" t="s">
        <v>321</v>
      </c>
      <c r="P1656">
        <f>IF(C1656&lt;&gt;"",C1656,_xlfn.XLOOKUP(B1656,AI_NAMES!D:D,AI_NAMES!E:E,"",0))</f>
        <v>0</v>
      </c>
    </row>
    <row r="1657" spans="1:16" x14ac:dyDescent="0.2">
      <c r="A1657" t="s">
        <v>1858</v>
      </c>
      <c r="B1657" t="s">
        <v>321</v>
      </c>
      <c r="E1657" t="str">
        <f t="shared" si="94"/>
        <v/>
      </c>
      <c r="G1657" s="5" t="str">
        <f t="shared" si="95"/>
        <v/>
      </c>
      <c r="I1657" s="6" t="str">
        <f t="shared" si="93"/>
        <v>0</v>
      </c>
      <c r="O1657" t="s">
        <v>321</v>
      </c>
      <c r="P1657">
        <f>IF(C1657&lt;&gt;"",C1657,_xlfn.XLOOKUP(B1657,AI_NAMES!D:D,AI_NAMES!E:E,"",0))</f>
        <v>0</v>
      </c>
    </row>
    <row r="1658" spans="1:16" x14ac:dyDescent="0.2">
      <c r="A1658" t="s">
        <v>1859</v>
      </c>
      <c r="B1658" t="s">
        <v>321</v>
      </c>
      <c r="E1658" t="str">
        <f t="shared" si="94"/>
        <v/>
      </c>
      <c r="G1658" s="5" t="str">
        <f t="shared" si="95"/>
        <v/>
      </c>
      <c r="I1658" s="6" t="str">
        <f t="shared" si="93"/>
        <v>0</v>
      </c>
      <c r="O1658" t="s">
        <v>321</v>
      </c>
      <c r="P1658">
        <f>IF(C1658&lt;&gt;"",C1658,_xlfn.XLOOKUP(B1658,AI_NAMES!D:D,AI_NAMES!E:E,"",0))</f>
        <v>0</v>
      </c>
    </row>
    <row r="1659" spans="1:16" x14ac:dyDescent="0.2">
      <c r="A1659" t="s">
        <v>1860</v>
      </c>
      <c r="B1659" t="s">
        <v>321</v>
      </c>
      <c r="E1659" t="str">
        <f t="shared" si="94"/>
        <v/>
      </c>
      <c r="G1659" s="5" t="str">
        <f t="shared" si="95"/>
        <v/>
      </c>
      <c r="I1659" s="6" t="str">
        <f t="shared" si="93"/>
        <v>0</v>
      </c>
      <c r="O1659" t="s">
        <v>321</v>
      </c>
      <c r="P1659">
        <f>IF(C1659&lt;&gt;"",C1659,_xlfn.XLOOKUP(B1659,AI_NAMES!D:D,AI_NAMES!E:E,"",0))</f>
        <v>0</v>
      </c>
    </row>
    <row r="1660" spans="1:16" x14ac:dyDescent="0.2">
      <c r="A1660" t="s">
        <v>1861</v>
      </c>
      <c r="B1660" t="s">
        <v>321</v>
      </c>
      <c r="E1660" t="str">
        <f t="shared" si="94"/>
        <v/>
      </c>
      <c r="G1660" s="5" t="str">
        <f t="shared" si="95"/>
        <v/>
      </c>
      <c r="I1660" s="6" t="str">
        <f t="shared" si="93"/>
        <v>0</v>
      </c>
      <c r="O1660" t="s">
        <v>321</v>
      </c>
      <c r="P1660">
        <f>IF(C1660&lt;&gt;"",C1660,_xlfn.XLOOKUP(B1660,AI_NAMES!D:D,AI_NAMES!E:E,"",0))</f>
        <v>0</v>
      </c>
    </row>
    <row r="1661" spans="1:16" x14ac:dyDescent="0.2">
      <c r="A1661" t="s">
        <v>1862</v>
      </c>
      <c r="B1661" t="s">
        <v>321</v>
      </c>
      <c r="E1661" t="str">
        <f t="shared" si="94"/>
        <v/>
      </c>
      <c r="G1661" s="5" t="str">
        <f t="shared" si="95"/>
        <v/>
      </c>
      <c r="I1661" s="6" t="str">
        <f t="shared" si="93"/>
        <v>0</v>
      </c>
      <c r="O1661" t="s">
        <v>321</v>
      </c>
      <c r="P1661">
        <f>IF(C1661&lt;&gt;"",C1661,_xlfn.XLOOKUP(B1661,AI_NAMES!D:D,AI_NAMES!E:E,"",0))</f>
        <v>0</v>
      </c>
    </row>
    <row r="1662" spans="1:16" x14ac:dyDescent="0.2">
      <c r="A1662" t="s">
        <v>1863</v>
      </c>
      <c r="B1662" t="s">
        <v>321</v>
      </c>
      <c r="E1662" t="str">
        <f t="shared" si="94"/>
        <v/>
      </c>
      <c r="G1662" s="5" t="str">
        <f t="shared" si="95"/>
        <v/>
      </c>
      <c r="I1662" s="6" t="str">
        <f t="shared" si="93"/>
        <v>0</v>
      </c>
      <c r="O1662" t="s">
        <v>321</v>
      </c>
      <c r="P1662">
        <f>IF(C1662&lt;&gt;"",C1662,_xlfn.XLOOKUP(B1662,AI_NAMES!D:D,AI_NAMES!E:E,"",0))</f>
        <v>0</v>
      </c>
    </row>
    <row r="1663" spans="1:16" x14ac:dyDescent="0.2">
      <c r="A1663" t="s">
        <v>1864</v>
      </c>
      <c r="B1663" t="s">
        <v>321</v>
      </c>
      <c r="E1663" t="str">
        <f t="shared" si="94"/>
        <v/>
      </c>
      <c r="G1663" s="5" t="str">
        <f t="shared" si="95"/>
        <v/>
      </c>
      <c r="I1663" s="6" t="str">
        <f t="shared" si="93"/>
        <v>0</v>
      </c>
      <c r="O1663" t="s">
        <v>321</v>
      </c>
      <c r="P1663">
        <f>IF(C1663&lt;&gt;"",C1663,_xlfn.XLOOKUP(B1663,AI_NAMES!D:D,AI_NAMES!E:E,"",0))</f>
        <v>0</v>
      </c>
    </row>
    <row r="1664" spans="1:16" x14ac:dyDescent="0.2">
      <c r="A1664" t="s">
        <v>1865</v>
      </c>
      <c r="B1664" t="s">
        <v>321</v>
      </c>
      <c r="E1664" t="str">
        <f t="shared" si="94"/>
        <v/>
      </c>
      <c r="G1664" s="5" t="str">
        <f t="shared" si="95"/>
        <v/>
      </c>
      <c r="I1664" s="6" t="str">
        <f t="shared" si="93"/>
        <v>0</v>
      </c>
      <c r="O1664" t="s">
        <v>321</v>
      </c>
      <c r="P1664">
        <f>IF(C1664&lt;&gt;"",C1664,_xlfn.XLOOKUP(B1664,AI_NAMES!D:D,AI_NAMES!E:E,"",0))</f>
        <v>0</v>
      </c>
    </row>
    <row r="1665" spans="1:16" x14ac:dyDescent="0.2">
      <c r="A1665" t="s">
        <v>1866</v>
      </c>
      <c r="B1665" t="s">
        <v>321</v>
      </c>
      <c r="E1665" t="str">
        <f t="shared" si="94"/>
        <v/>
      </c>
      <c r="G1665" s="5" t="str">
        <f t="shared" si="95"/>
        <v/>
      </c>
      <c r="I1665" s="6" t="str">
        <f t="shared" si="93"/>
        <v>0</v>
      </c>
      <c r="O1665" t="s">
        <v>321</v>
      </c>
      <c r="P1665">
        <f>IF(C1665&lt;&gt;"",C1665,_xlfn.XLOOKUP(B1665,AI_NAMES!D:D,AI_NAMES!E:E,"",0))</f>
        <v>0</v>
      </c>
    </row>
    <row r="1666" spans="1:16" x14ac:dyDescent="0.2">
      <c r="A1666" t="s">
        <v>1867</v>
      </c>
      <c r="B1666" t="s">
        <v>321</v>
      </c>
      <c r="E1666" t="str">
        <f t="shared" si="94"/>
        <v/>
      </c>
      <c r="G1666" s="5" t="str">
        <f t="shared" si="95"/>
        <v/>
      </c>
      <c r="I1666" s="6" t="str">
        <f t="shared" si="93"/>
        <v>0</v>
      </c>
      <c r="O1666" t="s">
        <v>321</v>
      </c>
      <c r="P1666">
        <f>IF(C1666&lt;&gt;"",C1666,_xlfn.XLOOKUP(B1666,AI_NAMES!D:D,AI_NAMES!E:E,"",0))</f>
        <v>0</v>
      </c>
    </row>
    <row r="1667" spans="1:16" x14ac:dyDescent="0.2">
      <c r="A1667" t="s">
        <v>1868</v>
      </c>
      <c r="B1667" t="s">
        <v>321</v>
      </c>
      <c r="E1667" t="str">
        <f t="shared" si="94"/>
        <v/>
      </c>
      <c r="G1667" s="5" t="str">
        <f t="shared" si="95"/>
        <v/>
      </c>
      <c r="I1667" s="6" t="str">
        <f t="shared" ref="I1667:I1730" si="96">IFERROR(DEC2HEX(H1667),"")</f>
        <v>0</v>
      </c>
      <c r="O1667" t="s">
        <v>321</v>
      </c>
      <c r="P1667">
        <f>IF(C1667&lt;&gt;"",C1667,_xlfn.XLOOKUP(B1667,AI_NAMES!D:D,AI_NAMES!E:E,"",0))</f>
        <v>0</v>
      </c>
    </row>
    <row r="1668" spans="1:16" x14ac:dyDescent="0.2">
      <c r="A1668" t="s">
        <v>1869</v>
      </c>
      <c r="B1668" t="s">
        <v>321</v>
      </c>
      <c r="E1668" t="str">
        <f t="shared" ref="E1668:E1731" si="97">IF(D1668&lt;&gt;"",C1668&amp;"/"&amp;D1668,"")</f>
        <v/>
      </c>
      <c r="G1668" s="5" t="str">
        <f t="shared" si="95"/>
        <v/>
      </c>
      <c r="I1668" s="6" t="str">
        <f t="shared" si="96"/>
        <v>0</v>
      </c>
      <c r="O1668" t="s">
        <v>321</v>
      </c>
      <c r="P1668">
        <f>IF(C1668&lt;&gt;"",C1668,_xlfn.XLOOKUP(B1668,AI_NAMES!D:D,AI_NAMES!E:E,"",0))</f>
        <v>0</v>
      </c>
    </row>
    <row r="1669" spans="1:16" x14ac:dyDescent="0.2">
      <c r="A1669" t="s">
        <v>1870</v>
      </c>
      <c r="B1669" t="s">
        <v>321</v>
      </c>
      <c r="E1669" t="str">
        <f t="shared" si="97"/>
        <v/>
      </c>
      <c r="G1669" s="5" t="str">
        <f t="shared" si="95"/>
        <v/>
      </c>
      <c r="I1669" s="6" t="str">
        <f t="shared" si="96"/>
        <v>0</v>
      </c>
      <c r="O1669" t="s">
        <v>321</v>
      </c>
      <c r="P1669">
        <f>IF(C1669&lt;&gt;"",C1669,_xlfn.XLOOKUP(B1669,AI_NAMES!D:D,AI_NAMES!E:E,"",0))</f>
        <v>0</v>
      </c>
    </row>
    <row r="1670" spans="1:16" x14ac:dyDescent="0.2">
      <c r="A1670" t="s">
        <v>1871</v>
      </c>
      <c r="B1670" t="s">
        <v>321</v>
      </c>
      <c r="E1670" t="str">
        <f t="shared" si="97"/>
        <v/>
      </c>
      <c r="G1670" s="5" t="str">
        <f t="shared" si="95"/>
        <v/>
      </c>
      <c r="I1670" s="6" t="str">
        <f t="shared" si="96"/>
        <v>0</v>
      </c>
      <c r="O1670" t="s">
        <v>321</v>
      </c>
      <c r="P1670">
        <f>IF(C1670&lt;&gt;"",C1670,_xlfn.XLOOKUP(B1670,AI_NAMES!D:D,AI_NAMES!E:E,"",0))</f>
        <v>0</v>
      </c>
    </row>
    <row r="1671" spans="1:16" x14ac:dyDescent="0.2">
      <c r="A1671" t="s">
        <v>1872</v>
      </c>
      <c r="B1671" t="s">
        <v>321</v>
      </c>
      <c r="E1671" t="str">
        <f t="shared" si="97"/>
        <v/>
      </c>
      <c r="G1671" s="5" t="str">
        <f t="shared" si="95"/>
        <v/>
      </c>
      <c r="I1671" s="6" t="str">
        <f t="shared" si="96"/>
        <v>0</v>
      </c>
      <c r="O1671" t="s">
        <v>321</v>
      </c>
      <c r="P1671">
        <f>IF(C1671&lt;&gt;"",C1671,_xlfn.XLOOKUP(B1671,AI_NAMES!D:D,AI_NAMES!E:E,"",0))</f>
        <v>0</v>
      </c>
    </row>
    <row r="1672" spans="1:16" x14ac:dyDescent="0.2">
      <c r="A1672" t="s">
        <v>1873</v>
      </c>
      <c r="B1672" t="s">
        <v>321</v>
      </c>
      <c r="E1672" t="str">
        <f t="shared" si="97"/>
        <v/>
      </c>
      <c r="G1672" s="5" t="str">
        <f t="shared" si="95"/>
        <v/>
      </c>
      <c r="I1672" s="6" t="str">
        <f t="shared" si="96"/>
        <v>0</v>
      </c>
      <c r="O1672" t="s">
        <v>321</v>
      </c>
      <c r="P1672">
        <f>IF(C1672&lt;&gt;"",C1672,_xlfn.XLOOKUP(B1672,AI_NAMES!D:D,AI_NAMES!E:E,"",0))</f>
        <v>0</v>
      </c>
    </row>
    <row r="1673" spans="1:16" x14ac:dyDescent="0.2">
      <c r="A1673" t="s">
        <v>1874</v>
      </c>
      <c r="B1673" t="s">
        <v>321</v>
      </c>
      <c r="E1673" t="str">
        <f t="shared" si="97"/>
        <v/>
      </c>
      <c r="G1673" s="5" t="str">
        <f t="shared" ref="G1673:G1736" si="98">IF(F1673&lt;&gt;"",HEX2DEC(SUBSTITUTE(SUBSTITUTE(F1673,"adrEA",""),"$","")),"")</f>
        <v/>
      </c>
      <c r="I1673" s="6" t="str">
        <f t="shared" si="96"/>
        <v>0</v>
      </c>
      <c r="O1673" t="s">
        <v>321</v>
      </c>
      <c r="P1673">
        <f>IF(C1673&lt;&gt;"",C1673,_xlfn.XLOOKUP(B1673,AI_NAMES!D:D,AI_NAMES!E:E,"",0))</f>
        <v>0</v>
      </c>
    </row>
    <row r="1674" spans="1:16" x14ac:dyDescent="0.2">
      <c r="A1674" t="s">
        <v>1875</v>
      </c>
      <c r="B1674" t="s">
        <v>321</v>
      </c>
      <c r="E1674" t="str">
        <f t="shared" si="97"/>
        <v/>
      </c>
      <c r="G1674" s="5" t="str">
        <f t="shared" si="98"/>
        <v/>
      </c>
      <c r="I1674" s="6" t="str">
        <f t="shared" si="96"/>
        <v>0</v>
      </c>
      <c r="O1674" t="s">
        <v>321</v>
      </c>
      <c r="P1674">
        <f>IF(C1674&lt;&gt;"",C1674,_xlfn.XLOOKUP(B1674,AI_NAMES!D:D,AI_NAMES!E:E,"",0))</f>
        <v>0</v>
      </c>
    </row>
    <row r="1675" spans="1:16" x14ac:dyDescent="0.2">
      <c r="A1675" t="s">
        <v>1876</v>
      </c>
      <c r="B1675" t="s">
        <v>321</v>
      </c>
      <c r="E1675" t="str">
        <f t="shared" si="97"/>
        <v/>
      </c>
      <c r="G1675" s="5" t="str">
        <f t="shared" si="98"/>
        <v/>
      </c>
      <c r="I1675" s="6" t="str">
        <f t="shared" si="96"/>
        <v>0</v>
      </c>
      <c r="O1675" t="s">
        <v>321</v>
      </c>
      <c r="P1675">
        <f>IF(C1675&lt;&gt;"",C1675,_xlfn.XLOOKUP(B1675,AI_NAMES!D:D,AI_NAMES!E:E,"",0))</f>
        <v>0</v>
      </c>
    </row>
    <row r="1676" spans="1:16" x14ac:dyDescent="0.2">
      <c r="A1676" t="s">
        <v>1877</v>
      </c>
      <c r="B1676" t="s">
        <v>321</v>
      </c>
      <c r="E1676" t="str">
        <f t="shared" si="97"/>
        <v/>
      </c>
      <c r="G1676" s="5" t="str">
        <f t="shared" si="98"/>
        <v/>
      </c>
      <c r="I1676" s="6" t="str">
        <f t="shared" si="96"/>
        <v>0</v>
      </c>
      <c r="O1676" t="s">
        <v>321</v>
      </c>
      <c r="P1676">
        <f>IF(C1676&lt;&gt;"",C1676,_xlfn.XLOOKUP(B1676,AI_NAMES!D:D,AI_NAMES!E:E,"",0))</f>
        <v>0</v>
      </c>
    </row>
    <row r="1677" spans="1:16" x14ac:dyDescent="0.2">
      <c r="A1677" t="s">
        <v>1878</v>
      </c>
      <c r="B1677" t="s">
        <v>321</v>
      </c>
      <c r="E1677" t="str">
        <f t="shared" si="97"/>
        <v/>
      </c>
      <c r="G1677" s="5" t="str">
        <f t="shared" si="98"/>
        <v/>
      </c>
      <c r="I1677" s="6" t="str">
        <f t="shared" si="96"/>
        <v>0</v>
      </c>
      <c r="O1677" t="s">
        <v>321</v>
      </c>
      <c r="P1677">
        <f>IF(C1677&lt;&gt;"",C1677,_xlfn.XLOOKUP(B1677,AI_NAMES!D:D,AI_NAMES!E:E,"",0))</f>
        <v>0</v>
      </c>
    </row>
    <row r="1678" spans="1:16" x14ac:dyDescent="0.2">
      <c r="A1678" t="s">
        <v>1879</v>
      </c>
      <c r="B1678" t="s">
        <v>321</v>
      </c>
      <c r="E1678" t="str">
        <f t="shared" si="97"/>
        <v/>
      </c>
      <c r="G1678" s="5" t="str">
        <f t="shared" si="98"/>
        <v/>
      </c>
      <c r="I1678" s="6" t="str">
        <f t="shared" si="96"/>
        <v>0</v>
      </c>
      <c r="O1678" t="s">
        <v>321</v>
      </c>
      <c r="P1678">
        <f>IF(C1678&lt;&gt;"",C1678,_xlfn.XLOOKUP(B1678,AI_NAMES!D:D,AI_NAMES!E:E,"",0))</f>
        <v>0</v>
      </c>
    </row>
    <row r="1679" spans="1:16" x14ac:dyDescent="0.2">
      <c r="A1679" t="s">
        <v>1880</v>
      </c>
      <c r="B1679" t="s">
        <v>321</v>
      </c>
      <c r="E1679" t="str">
        <f t="shared" si="97"/>
        <v/>
      </c>
      <c r="G1679" s="5" t="str">
        <f t="shared" si="98"/>
        <v/>
      </c>
      <c r="I1679" s="6" t="str">
        <f t="shared" si="96"/>
        <v>0</v>
      </c>
      <c r="O1679" t="s">
        <v>321</v>
      </c>
      <c r="P1679">
        <f>IF(C1679&lt;&gt;"",C1679,_xlfn.XLOOKUP(B1679,AI_NAMES!D:D,AI_NAMES!E:E,"",0))</f>
        <v>0</v>
      </c>
    </row>
    <row r="1680" spans="1:16" x14ac:dyDescent="0.2">
      <c r="A1680" t="s">
        <v>1881</v>
      </c>
      <c r="B1680" t="s">
        <v>321</v>
      </c>
      <c r="E1680" t="str">
        <f t="shared" si="97"/>
        <v/>
      </c>
      <c r="G1680" s="5" t="str">
        <f t="shared" si="98"/>
        <v/>
      </c>
      <c r="I1680" s="6" t="str">
        <f t="shared" si="96"/>
        <v>0</v>
      </c>
      <c r="O1680" t="s">
        <v>321</v>
      </c>
      <c r="P1680">
        <f>IF(C1680&lt;&gt;"",C1680,_xlfn.XLOOKUP(B1680,AI_NAMES!D:D,AI_NAMES!E:E,"",0))</f>
        <v>0</v>
      </c>
    </row>
    <row r="1681" spans="1:16" x14ac:dyDescent="0.2">
      <c r="A1681" t="s">
        <v>1882</v>
      </c>
      <c r="B1681" t="s">
        <v>321</v>
      </c>
      <c r="E1681" t="str">
        <f t="shared" si="97"/>
        <v/>
      </c>
      <c r="G1681" s="5" t="str">
        <f t="shared" si="98"/>
        <v/>
      </c>
      <c r="I1681" s="6" t="str">
        <f t="shared" si="96"/>
        <v>0</v>
      </c>
      <c r="O1681" t="s">
        <v>321</v>
      </c>
      <c r="P1681">
        <f>IF(C1681&lt;&gt;"",C1681,_xlfn.XLOOKUP(B1681,AI_NAMES!D:D,AI_NAMES!E:E,"",0))</f>
        <v>0</v>
      </c>
    </row>
    <row r="1682" spans="1:16" x14ac:dyDescent="0.2">
      <c r="A1682" t="s">
        <v>1883</v>
      </c>
      <c r="B1682" t="s">
        <v>321</v>
      </c>
      <c r="E1682" t="str">
        <f t="shared" si="97"/>
        <v/>
      </c>
      <c r="G1682" s="5" t="str">
        <f t="shared" si="98"/>
        <v/>
      </c>
      <c r="I1682" s="6" t="str">
        <f t="shared" si="96"/>
        <v>0</v>
      </c>
      <c r="O1682" t="s">
        <v>321</v>
      </c>
      <c r="P1682">
        <f>IF(C1682&lt;&gt;"",C1682,_xlfn.XLOOKUP(B1682,AI_NAMES!D:D,AI_NAMES!E:E,"",0))</f>
        <v>0</v>
      </c>
    </row>
    <row r="1683" spans="1:16" x14ac:dyDescent="0.2">
      <c r="A1683" t="s">
        <v>1884</v>
      </c>
      <c r="B1683" t="s">
        <v>321</v>
      </c>
      <c r="E1683" t="str">
        <f t="shared" si="97"/>
        <v/>
      </c>
      <c r="G1683" s="5" t="str">
        <f t="shared" si="98"/>
        <v/>
      </c>
      <c r="I1683" s="6" t="str">
        <f t="shared" si="96"/>
        <v>0</v>
      </c>
      <c r="O1683" t="s">
        <v>321</v>
      </c>
      <c r="P1683">
        <f>IF(C1683&lt;&gt;"",C1683,_xlfn.XLOOKUP(B1683,AI_NAMES!D:D,AI_NAMES!E:E,"",0))</f>
        <v>0</v>
      </c>
    </row>
    <row r="1684" spans="1:16" x14ac:dyDescent="0.2">
      <c r="A1684" t="s">
        <v>1885</v>
      </c>
      <c r="B1684" t="s">
        <v>321</v>
      </c>
      <c r="E1684" t="str">
        <f t="shared" si="97"/>
        <v/>
      </c>
      <c r="G1684" s="5" t="str">
        <f t="shared" si="98"/>
        <v/>
      </c>
      <c r="I1684" s="6" t="str">
        <f t="shared" si="96"/>
        <v>0</v>
      </c>
      <c r="O1684" t="s">
        <v>321</v>
      </c>
      <c r="P1684">
        <f>IF(C1684&lt;&gt;"",C1684,_xlfn.XLOOKUP(B1684,AI_NAMES!D:D,AI_NAMES!E:E,"",0))</f>
        <v>0</v>
      </c>
    </row>
    <row r="1685" spans="1:16" x14ac:dyDescent="0.2">
      <c r="A1685" t="s">
        <v>1886</v>
      </c>
      <c r="B1685" t="s">
        <v>321</v>
      </c>
      <c r="E1685" t="str">
        <f t="shared" si="97"/>
        <v/>
      </c>
      <c r="G1685" s="5" t="str">
        <f t="shared" si="98"/>
        <v/>
      </c>
      <c r="I1685" s="6" t="str">
        <f t="shared" si="96"/>
        <v>0</v>
      </c>
      <c r="O1685" t="s">
        <v>321</v>
      </c>
      <c r="P1685">
        <f>IF(C1685&lt;&gt;"",C1685,_xlfn.XLOOKUP(B1685,AI_NAMES!D:D,AI_NAMES!E:E,"",0))</f>
        <v>0</v>
      </c>
    </row>
    <row r="1686" spans="1:16" x14ac:dyDescent="0.2">
      <c r="A1686" t="s">
        <v>1887</v>
      </c>
      <c r="B1686" t="s">
        <v>321</v>
      </c>
      <c r="E1686" t="str">
        <f t="shared" si="97"/>
        <v/>
      </c>
      <c r="G1686" s="5" t="str">
        <f t="shared" si="98"/>
        <v/>
      </c>
      <c r="I1686" s="6" t="str">
        <f t="shared" si="96"/>
        <v>0</v>
      </c>
      <c r="O1686" t="s">
        <v>321</v>
      </c>
      <c r="P1686">
        <f>IF(C1686&lt;&gt;"",C1686,_xlfn.XLOOKUP(B1686,AI_NAMES!D:D,AI_NAMES!E:E,"",0))</f>
        <v>0</v>
      </c>
    </row>
    <row r="1687" spans="1:16" x14ac:dyDescent="0.2">
      <c r="A1687" t="s">
        <v>1888</v>
      </c>
      <c r="B1687" t="s">
        <v>321</v>
      </c>
      <c r="E1687" t="str">
        <f t="shared" si="97"/>
        <v/>
      </c>
      <c r="G1687" s="5" t="str">
        <f t="shared" si="98"/>
        <v/>
      </c>
      <c r="I1687" s="6" t="str">
        <f t="shared" si="96"/>
        <v>0</v>
      </c>
      <c r="O1687" t="s">
        <v>321</v>
      </c>
      <c r="P1687">
        <f>IF(C1687&lt;&gt;"",C1687,_xlfn.XLOOKUP(B1687,AI_NAMES!D:D,AI_NAMES!E:E,"",0))</f>
        <v>0</v>
      </c>
    </row>
    <row r="1688" spans="1:16" x14ac:dyDescent="0.2">
      <c r="A1688" t="s">
        <v>1889</v>
      </c>
      <c r="B1688" t="s">
        <v>321</v>
      </c>
      <c r="E1688" t="str">
        <f t="shared" si="97"/>
        <v/>
      </c>
      <c r="G1688" s="5" t="str">
        <f t="shared" si="98"/>
        <v/>
      </c>
      <c r="I1688" s="6" t="str">
        <f t="shared" si="96"/>
        <v>0</v>
      </c>
      <c r="O1688" t="s">
        <v>321</v>
      </c>
      <c r="P1688">
        <f>IF(C1688&lt;&gt;"",C1688,_xlfn.XLOOKUP(B1688,AI_NAMES!D:D,AI_NAMES!E:E,"",0))</f>
        <v>0</v>
      </c>
    </row>
    <row r="1689" spans="1:16" x14ac:dyDescent="0.2">
      <c r="A1689" t="s">
        <v>1890</v>
      </c>
      <c r="B1689" t="s">
        <v>321</v>
      </c>
      <c r="E1689" t="str">
        <f t="shared" si="97"/>
        <v/>
      </c>
      <c r="G1689" s="5" t="str">
        <f t="shared" si="98"/>
        <v/>
      </c>
      <c r="I1689" s="6" t="str">
        <f t="shared" si="96"/>
        <v>0</v>
      </c>
      <c r="O1689" t="s">
        <v>321</v>
      </c>
      <c r="P1689">
        <f>IF(C1689&lt;&gt;"",C1689,_xlfn.XLOOKUP(B1689,AI_NAMES!D:D,AI_NAMES!E:E,"",0))</f>
        <v>0</v>
      </c>
    </row>
    <row r="1690" spans="1:16" x14ac:dyDescent="0.2">
      <c r="A1690" t="s">
        <v>1891</v>
      </c>
      <c r="B1690" t="s">
        <v>321</v>
      </c>
      <c r="E1690" t="str">
        <f t="shared" si="97"/>
        <v/>
      </c>
      <c r="G1690" s="5" t="str">
        <f t="shared" si="98"/>
        <v/>
      </c>
      <c r="I1690" s="6" t="str">
        <f t="shared" si="96"/>
        <v>0</v>
      </c>
      <c r="O1690" t="s">
        <v>321</v>
      </c>
      <c r="P1690">
        <f>IF(C1690&lt;&gt;"",C1690,_xlfn.XLOOKUP(B1690,AI_NAMES!D:D,AI_NAMES!E:E,"",0))</f>
        <v>0</v>
      </c>
    </row>
    <row r="1691" spans="1:16" x14ac:dyDescent="0.2">
      <c r="A1691" t="s">
        <v>1892</v>
      </c>
      <c r="B1691" t="s">
        <v>321</v>
      </c>
      <c r="E1691" t="str">
        <f t="shared" si="97"/>
        <v/>
      </c>
      <c r="G1691" s="5" t="str">
        <f t="shared" si="98"/>
        <v/>
      </c>
      <c r="I1691" s="6" t="str">
        <f t="shared" si="96"/>
        <v>0</v>
      </c>
      <c r="O1691" t="s">
        <v>321</v>
      </c>
      <c r="P1691">
        <f>IF(C1691&lt;&gt;"",C1691,_xlfn.XLOOKUP(B1691,AI_NAMES!D:D,AI_NAMES!E:E,"",0))</f>
        <v>0</v>
      </c>
    </row>
    <row r="1692" spans="1:16" x14ac:dyDescent="0.2">
      <c r="A1692" t="s">
        <v>1893</v>
      </c>
      <c r="B1692" t="s">
        <v>321</v>
      </c>
      <c r="E1692" t="str">
        <f t="shared" si="97"/>
        <v/>
      </c>
      <c r="G1692" s="5" t="str">
        <f t="shared" si="98"/>
        <v/>
      </c>
      <c r="I1692" s="6" t="str">
        <f t="shared" si="96"/>
        <v>0</v>
      </c>
      <c r="O1692" t="s">
        <v>321</v>
      </c>
      <c r="P1692">
        <f>IF(C1692&lt;&gt;"",C1692,_xlfn.XLOOKUP(B1692,AI_NAMES!D:D,AI_NAMES!E:E,"",0))</f>
        <v>0</v>
      </c>
    </row>
    <row r="1693" spans="1:16" x14ac:dyDescent="0.2">
      <c r="A1693" t="s">
        <v>1894</v>
      </c>
      <c r="B1693" t="s">
        <v>321</v>
      </c>
      <c r="E1693" t="str">
        <f t="shared" si="97"/>
        <v/>
      </c>
      <c r="G1693" s="5" t="str">
        <f t="shared" si="98"/>
        <v/>
      </c>
      <c r="I1693" s="6" t="str">
        <f t="shared" si="96"/>
        <v>0</v>
      </c>
      <c r="O1693" t="s">
        <v>321</v>
      </c>
      <c r="P1693">
        <f>IF(C1693&lt;&gt;"",C1693,_xlfn.XLOOKUP(B1693,AI_NAMES!D:D,AI_NAMES!E:E,"",0))</f>
        <v>0</v>
      </c>
    </row>
    <row r="1694" spans="1:16" x14ac:dyDescent="0.2">
      <c r="A1694" t="s">
        <v>1895</v>
      </c>
      <c r="B1694" t="s">
        <v>321</v>
      </c>
      <c r="E1694" t="str">
        <f t="shared" si="97"/>
        <v/>
      </c>
      <c r="G1694" s="5" t="str">
        <f t="shared" si="98"/>
        <v/>
      </c>
      <c r="I1694" s="6" t="str">
        <f t="shared" si="96"/>
        <v>0</v>
      </c>
      <c r="O1694" t="s">
        <v>321</v>
      </c>
      <c r="P1694">
        <f>IF(C1694&lt;&gt;"",C1694,_xlfn.XLOOKUP(B1694,AI_NAMES!D:D,AI_NAMES!E:E,"",0))</f>
        <v>0</v>
      </c>
    </row>
    <row r="1695" spans="1:16" x14ac:dyDescent="0.2">
      <c r="A1695" t="s">
        <v>1896</v>
      </c>
      <c r="B1695" t="s">
        <v>321</v>
      </c>
      <c r="E1695" t="str">
        <f t="shared" si="97"/>
        <v/>
      </c>
      <c r="G1695" s="5" t="str">
        <f t="shared" si="98"/>
        <v/>
      </c>
      <c r="I1695" s="6" t="str">
        <f t="shared" si="96"/>
        <v>0</v>
      </c>
      <c r="O1695" t="s">
        <v>321</v>
      </c>
      <c r="P1695">
        <f>IF(C1695&lt;&gt;"",C1695,_xlfn.XLOOKUP(B1695,AI_NAMES!D:D,AI_NAMES!E:E,"",0))</f>
        <v>0</v>
      </c>
    </row>
    <row r="1696" spans="1:16" x14ac:dyDescent="0.2">
      <c r="A1696" t="s">
        <v>1897</v>
      </c>
      <c r="B1696" t="s">
        <v>321</v>
      </c>
      <c r="E1696" t="str">
        <f t="shared" si="97"/>
        <v/>
      </c>
      <c r="G1696" s="5" t="str">
        <f t="shared" si="98"/>
        <v/>
      </c>
      <c r="I1696" s="6" t="str">
        <f t="shared" si="96"/>
        <v>0</v>
      </c>
      <c r="O1696" t="s">
        <v>321</v>
      </c>
      <c r="P1696">
        <f>IF(C1696&lt;&gt;"",C1696,_xlfn.XLOOKUP(B1696,AI_NAMES!D:D,AI_NAMES!E:E,"",0))</f>
        <v>0</v>
      </c>
    </row>
    <row r="1697" spans="1:16" x14ac:dyDescent="0.2">
      <c r="A1697" t="s">
        <v>1898</v>
      </c>
      <c r="B1697" t="s">
        <v>321</v>
      </c>
      <c r="E1697" t="str">
        <f t="shared" si="97"/>
        <v/>
      </c>
      <c r="G1697" s="5" t="str">
        <f t="shared" si="98"/>
        <v/>
      </c>
      <c r="I1697" s="6" t="str">
        <f t="shared" si="96"/>
        <v>0</v>
      </c>
      <c r="O1697" t="s">
        <v>321</v>
      </c>
      <c r="P1697">
        <f>IF(C1697&lt;&gt;"",C1697,_xlfn.XLOOKUP(B1697,AI_NAMES!D:D,AI_NAMES!E:E,"",0))</f>
        <v>0</v>
      </c>
    </row>
    <row r="1698" spans="1:16" x14ac:dyDescent="0.2">
      <c r="A1698" t="s">
        <v>1899</v>
      </c>
      <c r="B1698" t="s">
        <v>321</v>
      </c>
      <c r="E1698" t="str">
        <f t="shared" si="97"/>
        <v/>
      </c>
      <c r="G1698" s="5" t="str">
        <f t="shared" si="98"/>
        <v/>
      </c>
      <c r="I1698" s="6" t="str">
        <f t="shared" si="96"/>
        <v>0</v>
      </c>
      <c r="O1698" t="s">
        <v>321</v>
      </c>
      <c r="P1698">
        <f>IF(C1698&lt;&gt;"",C1698,_xlfn.XLOOKUP(B1698,AI_NAMES!D:D,AI_NAMES!E:E,"",0))</f>
        <v>0</v>
      </c>
    </row>
    <row r="1699" spans="1:16" x14ac:dyDescent="0.2">
      <c r="A1699" t="s">
        <v>1900</v>
      </c>
      <c r="B1699" t="s">
        <v>321</v>
      </c>
      <c r="E1699" t="str">
        <f t="shared" si="97"/>
        <v/>
      </c>
      <c r="G1699" s="5" t="str">
        <f t="shared" si="98"/>
        <v/>
      </c>
      <c r="I1699" s="6" t="str">
        <f t="shared" si="96"/>
        <v>0</v>
      </c>
      <c r="O1699" t="s">
        <v>321</v>
      </c>
      <c r="P1699">
        <f>IF(C1699&lt;&gt;"",C1699,_xlfn.XLOOKUP(B1699,AI_NAMES!D:D,AI_NAMES!E:E,"",0))</f>
        <v>0</v>
      </c>
    </row>
    <row r="1700" spans="1:16" x14ac:dyDescent="0.2">
      <c r="A1700" t="s">
        <v>1901</v>
      </c>
      <c r="B1700" t="s">
        <v>321</v>
      </c>
      <c r="E1700" t="str">
        <f t="shared" si="97"/>
        <v/>
      </c>
      <c r="G1700" s="5" t="str">
        <f t="shared" si="98"/>
        <v/>
      </c>
      <c r="I1700" s="6" t="str">
        <f t="shared" si="96"/>
        <v>0</v>
      </c>
      <c r="O1700" t="s">
        <v>321</v>
      </c>
      <c r="P1700">
        <f>IF(C1700&lt;&gt;"",C1700,_xlfn.XLOOKUP(B1700,AI_NAMES!D:D,AI_NAMES!E:E,"",0))</f>
        <v>0</v>
      </c>
    </row>
    <row r="1701" spans="1:16" x14ac:dyDescent="0.2">
      <c r="A1701" t="s">
        <v>1902</v>
      </c>
      <c r="B1701" t="s">
        <v>321</v>
      </c>
      <c r="E1701" t="str">
        <f t="shared" si="97"/>
        <v/>
      </c>
      <c r="G1701" s="5" t="str">
        <f t="shared" si="98"/>
        <v/>
      </c>
      <c r="I1701" s="6" t="str">
        <f t="shared" si="96"/>
        <v>0</v>
      </c>
      <c r="O1701" t="s">
        <v>321</v>
      </c>
      <c r="P1701">
        <f>IF(C1701&lt;&gt;"",C1701,_xlfn.XLOOKUP(B1701,AI_NAMES!D:D,AI_NAMES!E:E,"",0))</f>
        <v>0</v>
      </c>
    </row>
    <row r="1702" spans="1:16" x14ac:dyDescent="0.2">
      <c r="A1702" t="s">
        <v>1903</v>
      </c>
      <c r="B1702" t="s">
        <v>321</v>
      </c>
      <c r="E1702" t="str">
        <f t="shared" si="97"/>
        <v/>
      </c>
      <c r="G1702" s="5" t="str">
        <f t="shared" si="98"/>
        <v/>
      </c>
      <c r="I1702" s="6" t="str">
        <f t="shared" si="96"/>
        <v>0</v>
      </c>
      <c r="O1702" t="s">
        <v>321</v>
      </c>
      <c r="P1702">
        <f>IF(C1702&lt;&gt;"",C1702,_xlfn.XLOOKUP(B1702,AI_NAMES!D:D,AI_NAMES!E:E,"",0))</f>
        <v>0</v>
      </c>
    </row>
    <row r="1703" spans="1:16" x14ac:dyDescent="0.2">
      <c r="A1703" t="s">
        <v>1904</v>
      </c>
      <c r="B1703" t="s">
        <v>321</v>
      </c>
      <c r="E1703" t="str">
        <f t="shared" si="97"/>
        <v/>
      </c>
      <c r="G1703" s="5" t="str">
        <f t="shared" si="98"/>
        <v/>
      </c>
      <c r="I1703" s="6" t="str">
        <f t="shared" si="96"/>
        <v>0</v>
      </c>
      <c r="O1703" t="s">
        <v>321</v>
      </c>
      <c r="P1703">
        <f>IF(C1703&lt;&gt;"",C1703,_xlfn.XLOOKUP(B1703,AI_NAMES!D:D,AI_NAMES!E:E,"",0))</f>
        <v>0</v>
      </c>
    </row>
    <row r="1704" spans="1:16" x14ac:dyDescent="0.2">
      <c r="A1704" t="s">
        <v>1905</v>
      </c>
      <c r="B1704" t="s">
        <v>321</v>
      </c>
      <c r="E1704" t="str">
        <f t="shared" si="97"/>
        <v/>
      </c>
      <c r="G1704" s="5" t="str">
        <f t="shared" si="98"/>
        <v/>
      </c>
      <c r="I1704" s="6" t="str">
        <f t="shared" si="96"/>
        <v>0</v>
      </c>
      <c r="O1704" t="s">
        <v>321</v>
      </c>
      <c r="P1704">
        <f>IF(C1704&lt;&gt;"",C1704,_xlfn.XLOOKUP(B1704,AI_NAMES!D:D,AI_NAMES!E:E,"",0))</f>
        <v>0</v>
      </c>
    </row>
    <row r="1705" spans="1:16" x14ac:dyDescent="0.2">
      <c r="A1705" t="s">
        <v>1906</v>
      </c>
      <c r="B1705" t="s">
        <v>321</v>
      </c>
      <c r="E1705" t="str">
        <f t="shared" si="97"/>
        <v/>
      </c>
      <c r="G1705" s="5" t="str">
        <f t="shared" si="98"/>
        <v/>
      </c>
      <c r="I1705" s="6" t="str">
        <f t="shared" si="96"/>
        <v>0</v>
      </c>
      <c r="O1705" t="s">
        <v>321</v>
      </c>
      <c r="P1705">
        <f>IF(C1705&lt;&gt;"",C1705,_xlfn.XLOOKUP(B1705,AI_NAMES!D:D,AI_NAMES!E:E,"",0))</f>
        <v>0</v>
      </c>
    </row>
    <row r="1706" spans="1:16" x14ac:dyDescent="0.2">
      <c r="A1706" t="s">
        <v>1907</v>
      </c>
      <c r="B1706" t="s">
        <v>321</v>
      </c>
      <c r="E1706" t="str">
        <f t="shared" si="97"/>
        <v/>
      </c>
      <c r="G1706" s="5" t="str">
        <f t="shared" si="98"/>
        <v/>
      </c>
      <c r="I1706" s="6" t="str">
        <f t="shared" si="96"/>
        <v>0</v>
      </c>
      <c r="O1706" t="s">
        <v>321</v>
      </c>
      <c r="P1706">
        <f>IF(C1706&lt;&gt;"",C1706,_xlfn.XLOOKUP(B1706,AI_NAMES!D:D,AI_NAMES!E:E,"",0))</f>
        <v>0</v>
      </c>
    </row>
    <row r="1707" spans="1:16" x14ac:dyDescent="0.2">
      <c r="A1707" t="s">
        <v>1908</v>
      </c>
      <c r="B1707" t="s">
        <v>321</v>
      </c>
      <c r="E1707" t="str">
        <f t="shared" si="97"/>
        <v/>
      </c>
      <c r="G1707" s="5" t="str">
        <f t="shared" si="98"/>
        <v/>
      </c>
      <c r="I1707" s="6" t="str">
        <f t="shared" si="96"/>
        <v>0</v>
      </c>
      <c r="O1707" t="s">
        <v>321</v>
      </c>
      <c r="P1707">
        <f>IF(C1707&lt;&gt;"",C1707,_xlfn.XLOOKUP(B1707,AI_NAMES!D:D,AI_NAMES!E:E,"",0))</f>
        <v>0</v>
      </c>
    </row>
    <row r="1708" spans="1:16" x14ac:dyDescent="0.2">
      <c r="A1708" t="s">
        <v>1909</v>
      </c>
      <c r="B1708" t="s">
        <v>321</v>
      </c>
      <c r="E1708" t="str">
        <f t="shared" si="97"/>
        <v/>
      </c>
      <c r="G1708" s="5" t="str">
        <f t="shared" si="98"/>
        <v/>
      </c>
      <c r="I1708" s="6" t="str">
        <f t="shared" si="96"/>
        <v>0</v>
      </c>
      <c r="O1708" t="s">
        <v>321</v>
      </c>
      <c r="P1708">
        <f>IF(C1708&lt;&gt;"",C1708,_xlfn.XLOOKUP(B1708,AI_NAMES!D:D,AI_NAMES!E:E,"",0))</f>
        <v>0</v>
      </c>
    </row>
    <row r="1709" spans="1:16" x14ac:dyDescent="0.2">
      <c r="A1709" t="s">
        <v>1910</v>
      </c>
      <c r="B1709" t="s">
        <v>321</v>
      </c>
      <c r="E1709" t="str">
        <f t="shared" si="97"/>
        <v/>
      </c>
      <c r="G1709" s="5" t="str">
        <f t="shared" si="98"/>
        <v/>
      </c>
      <c r="I1709" s="6" t="str">
        <f t="shared" si="96"/>
        <v>0</v>
      </c>
      <c r="O1709" t="s">
        <v>321</v>
      </c>
      <c r="P1709">
        <f>IF(C1709&lt;&gt;"",C1709,_xlfn.XLOOKUP(B1709,AI_NAMES!D:D,AI_NAMES!E:E,"",0))</f>
        <v>0</v>
      </c>
    </row>
    <row r="1710" spans="1:16" x14ac:dyDescent="0.2">
      <c r="A1710" t="s">
        <v>1911</v>
      </c>
      <c r="B1710" t="s">
        <v>321</v>
      </c>
      <c r="E1710" t="str">
        <f t="shared" si="97"/>
        <v/>
      </c>
      <c r="G1710" s="5" t="str">
        <f t="shared" si="98"/>
        <v/>
      </c>
      <c r="I1710" s="6" t="str">
        <f t="shared" si="96"/>
        <v>0</v>
      </c>
      <c r="O1710" t="s">
        <v>321</v>
      </c>
      <c r="P1710">
        <f>IF(C1710&lt;&gt;"",C1710,_xlfn.XLOOKUP(B1710,AI_NAMES!D:D,AI_NAMES!E:E,"",0))</f>
        <v>0</v>
      </c>
    </row>
    <row r="1711" spans="1:16" x14ac:dyDescent="0.2">
      <c r="A1711" t="s">
        <v>1912</v>
      </c>
      <c r="B1711" t="s">
        <v>321</v>
      </c>
      <c r="E1711" t="str">
        <f t="shared" si="97"/>
        <v/>
      </c>
      <c r="G1711" s="5" t="str">
        <f t="shared" si="98"/>
        <v/>
      </c>
      <c r="I1711" s="6" t="str">
        <f t="shared" si="96"/>
        <v>0</v>
      </c>
      <c r="O1711" t="s">
        <v>321</v>
      </c>
      <c r="P1711">
        <f>IF(C1711&lt;&gt;"",C1711,_xlfn.XLOOKUP(B1711,AI_NAMES!D:D,AI_NAMES!E:E,"",0))</f>
        <v>0</v>
      </c>
    </row>
    <row r="1712" spans="1:16" x14ac:dyDescent="0.2">
      <c r="A1712" t="s">
        <v>1913</v>
      </c>
      <c r="B1712" t="s">
        <v>321</v>
      </c>
      <c r="E1712" t="str">
        <f t="shared" si="97"/>
        <v/>
      </c>
      <c r="G1712" s="5" t="str">
        <f t="shared" si="98"/>
        <v/>
      </c>
      <c r="I1712" s="6" t="str">
        <f t="shared" si="96"/>
        <v>0</v>
      </c>
      <c r="O1712" t="s">
        <v>321</v>
      </c>
      <c r="P1712">
        <f>IF(C1712&lt;&gt;"",C1712,_xlfn.XLOOKUP(B1712,AI_NAMES!D:D,AI_NAMES!E:E,"",0))</f>
        <v>0</v>
      </c>
    </row>
    <row r="1713" spans="1:16" x14ac:dyDescent="0.2">
      <c r="A1713" t="s">
        <v>1914</v>
      </c>
      <c r="B1713" t="s">
        <v>321</v>
      </c>
      <c r="E1713" t="str">
        <f t="shared" si="97"/>
        <v/>
      </c>
      <c r="G1713" s="5" t="str">
        <f t="shared" si="98"/>
        <v/>
      </c>
      <c r="I1713" s="6" t="str">
        <f t="shared" si="96"/>
        <v>0</v>
      </c>
      <c r="O1713" t="s">
        <v>321</v>
      </c>
      <c r="P1713">
        <f>IF(C1713&lt;&gt;"",C1713,_xlfn.XLOOKUP(B1713,AI_NAMES!D:D,AI_NAMES!E:E,"",0))</f>
        <v>0</v>
      </c>
    </row>
    <row r="1714" spans="1:16" x14ac:dyDescent="0.2">
      <c r="A1714" t="s">
        <v>1915</v>
      </c>
      <c r="B1714" t="s">
        <v>321</v>
      </c>
      <c r="E1714" t="str">
        <f t="shared" si="97"/>
        <v/>
      </c>
      <c r="G1714" s="5" t="str">
        <f t="shared" si="98"/>
        <v/>
      </c>
      <c r="I1714" s="6" t="str">
        <f t="shared" si="96"/>
        <v>0</v>
      </c>
      <c r="O1714" t="s">
        <v>321</v>
      </c>
      <c r="P1714">
        <f>IF(C1714&lt;&gt;"",C1714,_xlfn.XLOOKUP(B1714,AI_NAMES!D:D,AI_NAMES!E:E,"",0))</f>
        <v>0</v>
      </c>
    </row>
    <row r="1715" spans="1:16" x14ac:dyDescent="0.2">
      <c r="A1715" t="s">
        <v>1916</v>
      </c>
      <c r="B1715" t="s">
        <v>321</v>
      </c>
      <c r="E1715" t="str">
        <f t="shared" si="97"/>
        <v/>
      </c>
      <c r="G1715" s="5" t="str">
        <f t="shared" si="98"/>
        <v/>
      </c>
      <c r="I1715" s="6" t="str">
        <f t="shared" si="96"/>
        <v>0</v>
      </c>
      <c r="O1715" t="s">
        <v>321</v>
      </c>
      <c r="P1715">
        <f>IF(C1715&lt;&gt;"",C1715,_xlfn.XLOOKUP(B1715,AI_NAMES!D:D,AI_NAMES!E:E,"",0))</f>
        <v>0</v>
      </c>
    </row>
    <row r="1716" spans="1:16" x14ac:dyDescent="0.2">
      <c r="A1716" t="s">
        <v>1917</v>
      </c>
      <c r="B1716" t="s">
        <v>321</v>
      </c>
      <c r="E1716" t="str">
        <f t="shared" si="97"/>
        <v/>
      </c>
      <c r="G1716" s="5" t="str">
        <f t="shared" si="98"/>
        <v/>
      </c>
      <c r="I1716" s="6" t="str">
        <f t="shared" si="96"/>
        <v>0</v>
      </c>
      <c r="O1716" t="s">
        <v>321</v>
      </c>
      <c r="P1716">
        <f>IF(C1716&lt;&gt;"",C1716,_xlfn.XLOOKUP(B1716,AI_NAMES!D:D,AI_NAMES!E:E,"",0))</f>
        <v>0</v>
      </c>
    </row>
    <row r="1717" spans="1:16" x14ac:dyDescent="0.2">
      <c r="A1717" t="s">
        <v>1918</v>
      </c>
      <c r="B1717" t="s">
        <v>321</v>
      </c>
      <c r="E1717" t="str">
        <f t="shared" si="97"/>
        <v/>
      </c>
      <c r="G1717" s="5" t="str">
        <f t="shared" si="98"/>
        <v/>
      </c>
      <c r="I1717" s="6" t="str">
        <f t="shared" si="96"/>
        <v>0</v>
      </c>
      <c r="O1717" t="s">
        <v>321</v>
      </c>
      <c r="P1717">
        <f>IF(C1717&lt;&gt;"",C1717,_xlfn.XLOOKUP(B1717,AI_NAMES!D:D,AI_NAMES!E:E,"",0))</f>
        <v>0</v>
      </c>
    </row>
    <row r="1718" spans="1:16" x14ac:dyDescent="0.2">
      <c r="A1718" t="s">
        <v>1919</v>
      </c>
      <c r="B1718" t="s">
        <v>321</v>
      </c>
      <c r="E1718" t="str">
        <f t="shared" si="97"/>
        <v/>
      </c>
      <c r="G1718" s="5" t="str">
        <f t="shared" si="98"/>
        <v/>
      </c>
      <c r="I1718" s="6" t="str">
        <f t="shared" si="96"/>
        <v>0</v>
      </c>
      <c r="O1718" t="s">
        <v>321</v>
      </c>
      <c r="P1718">
        <f>IF(C1718&lt;&gt;"",C1718,_xlfn.XLOOKUP(B1718,AI_NAMES!D:D,AI_NAMES!E:E,"",0))</f>
        <v>0</v>
      </c>
    </row>
    <row r="1719" spans="1:16" x14ac:dyDescent="0.2">
      <c r="A1719" t="s">
        <v>1920</v>
      </c>
      <c r="B1719" t="s">
        <v>321</v>
      </c>
      <c r="E1719" t="str">
        <f t="shared" si="97"/>
        <v/>
      </c>
      <c r="G1719" s="5" t="str">
        <f t="shared" si="98"/>
        <v/>
      </c>
      <c r="I1719" s="6" t="str">
        <f t="shared" si="96"/>
        <v>0</v>
      </c>
      <c r="O1719" t="s">
        <v>321</v>
      </c>
      <c r="P1719">
        <f>IF(C1719&lt;&gt;"",C1719,_xlfn.XLOOKUP(B1719,AI_NAMES!D:D,AI_NAMES!E:E,"",0))</f>
        <v>0</v>
      </c>
    </row>
    <row r="1720" spans="1:16" x14ac:dyDescent="0.2">
      <c r="A1720" t="s">
        <v>1921</v>
      </c>
      <c r="B1720" t="s">
        <v>321</v>
      </c>
      <c r="E1720" t="str">
        <f t="shared" si="97"/>
        <v/>
      </c>
      <c r="G1720" s="5" t="str">
        <f t="shared" si="98"/>
        <v/>
      </c>
      <c r="I1720" s="6" t="str">
        <f t="shared" si="96"/>
        <v>0</v>
      </c>
      <c r="O1720" t="s">
        <v>321</v>
      </c>
      <c r="P1720">
        <f>IF(C1720&lt;&gt;"",C1720,_xlfn.XLOOKUP(B1720,AI_NAMES!D:D,AI_NAMES!E:E,"",0))</f>
        <v>0</v>
      </c>
    </row>
    <row r="1721" spans="1:16" x14ac:dyDescent="0.2">
      <c r="A1721" t="s">
        <v>1922</v>
      </c>
      <c r="B1721" t="s">
        <v>321</v>
      </c>
      <c r="E1721" t="str">
        <f t="shared" si="97"/>
        <v/>
      </c>
      <c r="G1721" s="5" t="str">
        <f t="shared" si="98"/>
        <v/>
      </c>
      <c r="I1721" s="6" t="str">
        <f t="shared" si="96"/>
        <v>0</v>
      </c>
      <c r="O1721" t="s">
        <v>321</v>
      </c>
      <c r="P1721">
        <f>IF(C1721&lt;&gt;"",C1721,_xlfn.XLOOKUP(B1721,AI_NAMES!D:D,AI_NAMES!E:E,"",0))</f>
        <v>0</v>
      </c>
    </row>
    <row r="1722" spans="1:16" x14ac:dyDescent="0.2">
      <c r="A1722" t="s">
        <v>1923</v>
      </c>
      <c r="B1722" t="s">
        <v>321</v>
      </c>
      <c r="E1722" t="str">
        <f t="shared" si="97"/>
        <v/>
      </c>
      <c r="G1722" s="5" t="str">
        <f t="shared" si="98"/>
        <v/>
      </c>
      <c r="I1722" s="6" t="str">
        <f t="shared" si="96"/>
        <v>0</v>
      </c>
      <c r="O1722" t="s">
        <v>321</v>
      </c>
      <c r="P1722">
        <f>IF(C1722&lt;&gt;"",C1722,_xlfn.XLOOKUP(B1722,AI_NAMES!D:D,AI_NAMES!E:E,"",0))</f>
        <v>0</v>
      </c>
    </row>
    <row r="1723" spans="1:16" x14ac:dyDescent="0.2">
      <c r="A1723" t="s">
        <v>1924</v>
      </c>
      <c r="B1723" t="s">
        <v>321</v>
      </c>
      <c r="E1723" t="str">
        <f t="shared" si="97"/>
        <v/>
      </c>
      <c r="G1723" s="5" t="str">
        <f t="shared" si="98"/>
        <v/>
      </c>
      <c r="I1723" s="6" t="str">
        <f t="shared" si="96"/>
        <v>0</v>
      </c>
      <c r="O1723" t="s">
        <v>321</v>
      </c>
      <c r="P1723">
        <f>IF(C1723&lt;&gt;"",C1723,_xlfn.XLOOKUP(B1723,AI_NAMES!D:D,AI_NAMES!E:E,"",0))</f>
        <v>0</v>
      </c>
    </row>
    <row r="1724" spans="1:16" x14ac:dyDescent="0.2">
      <c r="A1724" t="s">
        <v>1925</v>
      </c>
      <c r="B1724" t="s">
        <v>3396</v>
      </c>
      <c r="E1724" t="str">
        <f t="shared" si="97"/>
        <v/>
      </c>
      <c r="G1724" s="5" t="str">
        <f t="shared" si="98"/>
        <v/>
      </c>
      <c r="I1724" s="6" t="str">
        <f t="shared" si="96"/>
        <v>0</v>
      </c>
      <c r="O1724" t="s">
        <v>3396</v>
      </c>
      <c r="P1724" t="str">
        <f>IF(C1724&lt;&gt;"",C1724,_xlfn.XLOOKUP(B1724,AI_NAMES!D:D,AI_NAMES!E:E,"",0))</f>
        <v/>
      </c>
    </row>
    <row r="1725" spans="1:16" x14ac:dyDescent="0.2">
      <c r="A1725" t="s">
        <v>1926</v>
      </c>
      <c r="B1725" t="s">
        <v>321</v>
      </c>
      <c r="E1725" t="str">
        <f t="shared" si="97"/>
        <v/>
      </c>
      <c r="G1725" s="5" t="str">
        <f t="shared" si="98"/>
        <v/>
      </c>
      <c r="I1725" s="6" t="str">
        <f t="shared" si="96"/>
        <v>0</v>
      </c>
      <c r="O1725" t="s">
        <v>321</v>
      </c>
      <c r="P1725">
        <f>IF(C1725&lt;&gt;"",C1725,_xlfn.XLOOKUP(B1725,AI_NAMES!D:D,AI_NAMES!E:E,"",0))</f>
        <v>0</v>
      </c>
    </row>
    <row r="1726" spans="1:16" x14ac:dyDescent="0.2">
      <c r="A1726" t="s">
        <v>1927</v>
      </c>
      <c r="B1726" t="s">
        <v>321</v>
      </c>
      <c r="E1726" t="str">
        <f t="shared" si="97"/>
        <v/>
      </c>
      <c r="G1726" s="5" t="str">
        <f t="shared" si="98"/>
        <v/>
      </c>
      <c r="I1726" s="6" t="str">
        <f t="shared" si="96"/>
        <v>0</v>
      </c>
      <c r="O1726" t="s">
        <v>321</v>
      </c>
      <c r="P1726">
        <f>IF(C1726&lt;&gt;"",C1726,_xlfn.XLOOKUP(B1726,AI_NAMES!D:D,AI_NAMES!E:E,"",0))</f>
        <v>0</v>
      </c>
    </row>
    <row r="1727" spans="1:16" x14ac:dyDescent="0.2">
      <c r="A1727" t="s">
        <v>1928</v>
      </c>
      <c r="B1727" t="s">
        <v>321</v>
      </c>
      <c r="E1727" t="str">
        <f t="shared" si="97"/>
        <v/>
      </c>
      <c r="G1727" s="5" t="str">
        <f t="shared" si="98"/>
        <v/>
      </c>
      <c r="I1727" s="6" t="str">
        <f t="shared" si="96"/>
        <v>0</v>
      </c>
      <c r="O1727" t="s">
        <v>321</v>
      </c>
      <c r="P1727">
        <f>IF(C1727&lt;&gt;"",C1727,_xlfn.XLOOKUP(B1727,AI_NAMES!D:D,AI_NAMES!E:E,"",0))</f>
        <v>0</v>
      </c>
    </row>
    <row r="1728" spans="1:16" x14ac:dyDescent="0.2">
      <c r="A1728" t="s">
        <v>1929</v>
      </c>
      <c r="B1728" t="s">
        <v>321</v>
      </c>
      <c r="E1728" t="str">
        <f t="shared" si="97"/>
        <v/>
      </c>
      <c r="G1728" s="5" t="str">
        <f t="shared" si="98"/>
        <v/>
      </c>
      <c r="I1728" s="6" t="str">
        <f t="shared" si="96"/>
        <v>0</v>
      </c>
      <c r="O1728" t="s">
        <v>321</v>
      </c>
      <c r="P1728">
        <f>IF(C1728&lt;&gt;"",C1728,_xlfn.XLOOKUP(B1728,AI_NAMES!D:D,AI_NAMES!E:E,"",0))</f>
        <v>0</v>
      </c>
    </row>
    <row r="1729" spans="1:16" x14ac:dyDescent="0.2">
      <c r="A1729" t="s">
        <v>1930</v>
      </c>
      <c r="B1729" t="s">
        <v>321</v>
      </c>
      <c r="E1729" t="str">
        <f t="shared" si="97"/>
        <v/>
      </c>
      <c r="G1729" s="5" t="str">
        <f t="shared" si="98"/>
        <v/>
      </c>
      <c r="I1729" s="6" t="str">
        <f t="shared" si="96"/>
        <v>0</v>
      </c>
      <c r="O1729" t="s">
        <v>321</v>
      </c>
      <c r="P1729">
        <f>IF(C1729&lt;&gt;"",C1729,_xlfn.XLOOKUP(B1729,AI_NAMES!D:D,AI_NAMES!E:E,"",0))</f>
        <v>0</v>
      </c>
    </row>
    <row r="1730" spans="1:16" x14ac:dyDescent="0.2">
      <c r="A1730" t="s">
        <v>1931</v>
      </c>
      <c r="B1730" t="s">
        <v>321</v>
      </c>
      <c r="E1730" t="str">
        <f t="shared" si="97"/>
        <v/>
      </c>
      <c r="G1730" s="5" t="str">
        <f t="shared" si="98"/>
        <v/>
      </c>
      <c r="I1730" s="6" t="str">
        <f t="shared" si="96"/>
        <v>0</v>
      </c>
      <c r="O1730" t="s">
        <v>321</v>
      </c>
      <c r="P1730">
        <f>IF(C1730&lt;&gt;"",C1730,_xlfn.XLOOKUP(B1730,AI_NAMES!D:D,AI_NAMES!E:E,"",0))</f>
        <v>0</v>
      </c>
    </row>
    <row r="1731" spans="1:16" x14ac:dyDescent="0.2">
      <c r="A1731" t="s">
        <v>1932</v>
      </c>
      <c r="B1731" t="s">
        <v>321</v>
      </c>
      <c r="E1731" t="str">
        <f t="shared" si="97"/>
        <v/>
      </c>
      <c r="G1731" s="5" t="str">
        <f t="shared" si="98"/>
        <v/>
      </c>
      <c r="I1731" s="6" t="str">
        <f t="shared" ref="I1731:I1794" si="99">IFERROR(DEC2HEX(H1731),"")</f>
        <v>0</v>
      </c>
      <c r="O1731" t="s">
        <v>321</v>
      </c>
      <c r="P1731">
        <f>IF(C1731&lt;&gt;"",C1731,_xlfn.XLOOKUP(B1731,AI_NAMES!D:D,AI_NAMES!E:E,"",0))</f>
        <v>0</v>
      </c>
    </row>
    <row r="1732" spans="1:16" x14ac:dyDescent="0.2">
      <c r="A1732" t="s">
        <v>1933</v>
      </c>
      <c r="B1732" t="s">
        <v>321</v>
      </c>
      <c r="E1732" t="str">
        <f t="shared" ref="E1732:E1795" si="100">IF(D1732&lt;&gt;"",C1732&amp;"/"&amp;D1732,"")</f>
        <v/>
      </c>
      <c r="G1732" s="5" t="str">
        <f t="shared" si="98"/>
        <v/>
      </c>
      <c r="I1732" s="6" t="str">
        <f t="shared" si="99"/>
        <v>0</v>
      </c>
      <c r="O1732" t="s">
        <v>321</v>
      </c>
      <c r="P1732">
        <f>IF(C1732&lt;&gt;"",C1732,_xlfn.XLOOKUP(B1732,AI_NAMES!D:D,AI_NAMES!E:E,"",0))</f>
        <v>0</v>
      </c>
    </row>
    <row r="1733" spans="1:16" x14ac:dyDescent="0.2">
      <c r="A1733" t="s">
        <v>1934</v>
      </c>
      <c r="B1733" t="s">
        <v>321</v>
      </c>
      <c r="E1733" t="str">
        <f t="shared" si="100"/>
        <v/>
      </c>
      <c r="G1733" s="5" t="str">
        <f t="shared" si="98"/>
        <v/>
      </c>
      <c r="I1733" s="6" t="str">
        <f t="shared" si="99"/>
        <v>0</v>
      </c>
      <c r="O1733" t="s">
        <v>321</v>
      </c>
      <c r="P1733">
        <f>IF(C1733&lt;&gt;"",C1733,_xlfn.XLOOKUP(B1733,AI_NAMES!D:D,AI_NAMES!E:E,"",0))</f>
        <v>0</v>
      </c>
    </row>
    <row r="1734" spans="1:16" x14ac:dyDescent="0.2">
      <c r="A1734" t="s">
        <v>1935</v>
      </c>
      <c r="B1734" t="s">
        <v>321</v>
      </c>
      <c r="E1734" t="str">
        <f t="shared" si="100"/>
        <v/>
      </c>
      <c r="G1734" s="5" t="str">
        <f t="shared" si="98"/>
        <v/>
      </c>
      <c r="I1734" s="6" t="str">
        <f t="shared" si="99"/>
        <v>0</v>
      </c>
      <c r="O1734" t="s">
        <v>321</v>
      </c>
      <c r="P1734">
        <f>IF(C1734&lt;&gt;"",C1734,_xlfn.XLOOKUP(B1734,AI_NAMES!D:D,AI_NAMES!E:E,"",0))</f>
        <v>0</v>
      </c>
    </row>
    <row r="1735" spans="1:16" x14ac:dyDescent="0.2">
      <c r="A1735" t="s">
        <v>1936</v>
      </c>
      <c r="B1735" t="s">
        <v>321</v>
      </c>
      <c r="E1735" t="str">
        <f t="shared" si="100"/>
        <v/>
      </c>
      <c r="G1735" s="5" t="str">
        <f t="shared" si="98"/>
        <v/>
      </c>
      <c r="I1735" s="6" t="str">
        <f t="shared" si="99"/>
        <v>0</v>
      </c>
      <c r="O1735" t="s">
        <v>321</v>
      </c>
      <c r="P1735">
        <f>IF(C1735&lt;&gt;"",C1735,_xlfn.XLOOKUP(B1735,AI_NAMES!D:D,AI_NAMES!E:E,"",0))</f>
        <v>0</v>
      </c>
    </row>
    <row r="1736" spans="1:16" x14ac:dyDescent="0.2">
      <c r="A1736" t="s">
        <v>1937</v>
      </c>
      <c r="B1736" t="s">
        <v>321</v>
      </c>
      <c r="E1736" t="str">
        <f t="shared" si="100"/>
        <v/>
      </c>
      <c r="G1736" s="5" t="str">
        <f t="shared" si="98"/>
        <v/>
      </c>
      <c r="I1736" s="6" t="str">
        <f t="shared" si="99"/>
        <v>0</v>
      </c>
      <c r="O1736" t="s">
        <v>321</v>
      </c>
      <c r="P1736">
        <f>IF(C1736&lt;&gt;"",C1736,_xlfn.XLOOKUP(B1736,AI_NAMES!D:D,AI_NAMES!E:E,"",0))</f>
        <v>0</v>
      </c>
    </row>
    <row r="1737" spans="1:16" x14ac:dyDescent="0.2">
      <c r="A1737" t="s">
        <v>1938</v>
      </c>
      <c r="B1737" t="s">
        <v>321</v>
      </c>
      <c r="E1737" t="str">
        <f t="shared" si="100"/>
        <v/>
      </c>
      <c r="G1737" s="5" t="str">
        <f t="shared" ref="G1737:G1800" si="101">IF(F1737&lt;&gt;"",HEX2DEC(SUBSTITUTE(SUBSTITUTE(F1737,"adrEA",""),"$","")),"")</f>
        <v/>
      </c>
      <c r="I1737" s="6" t="str">
        <f t="shared" si="99"/>
        <v>0</v>
      </c>
      <c r="O1737" t="s">
        <v>321</v>
      </c>
      <c r="P1737">
        <f>IF(C1737&lt;&gt;"",C1737,_xlfn.XLOOKUP(B1737,AI_NAMES!D:D,AI_NAMES!E:E,"",0))</f>
        <v>0</v>
      </c>
    </row>
    <row r="1738" spans="1:16" x14ac:dyDescent="0.2">
      <c r="A1738" t="s">
        <v>1939</v>
      </c>
      <c r="B1738" t="s">
        <v>321</v>
      </c>
      <c r="E1738" t="str">
        <f t="shared" si="100"/>
        <v/>
      </c>
      <c r="G1738" s="5" t="str">
        <f t="shared" si="101"/>
        <v/>
      </c>
      <c r="I1738" s="6" t="str">
        <f t="shared" si="99"/>
        <v>0</v>
      </c>
      <c r="O1738" t="s">
        <v>321</v>
      </c>
      <c r="P1738">
        <f>IF(C1738&lt;&gt;"",C1738,_xlfn.XLOOKUP(B1738,AI_NAMES!D:D,AI_NAMES!E:E,"",0))</f>
        <v>0</v>
      </c>
    </row>
    <row r="1739" spans="1:16" x14ac:dyDescent="0.2">
      <c r="A1739" t="s">
        <v>1940</v>
      </c>
      <c r="B1739" t="s">
        <v>321</v>
      </c>
      <c r="E1739" t="str">
        <f t="shared" si="100"/>
        <v/>
      </c>
      <c r="G1739" s="5" t="str">
        <f t="shared" si="101"/>
        <v/>
      </c>
      <c r="I1739" s="6" t="str">
        <f t="shared" si="99"/>
        <v>0</v>
      </c>
      <c r="O1739" t="s">
        <v>321</v>
      </c>
      <c r="P1739">
        <f>IF(C1739&lt;&gt;"",C1739,_xlfn.XLOOKUP(B1739,AI_NAMES!D:D,AI_NAMES!E:E,"",0))</f>
        <v>0</v>
      </c>
    </row>
    <row r="1740" spans="1:16" x14ac:dyDescent="0.2">
      <c r="A1740" t="s">
        <v>1941</v>
      </c>
      <c r="B1740" t="s">
        <v>321</v>
      </c>
      <c r="E1740" t="str">
        <f t="shared" si="100"/>
        <v/>
      </c>
      <c r="G1740" s="5" t="str">
        <f t="shared" si="101"/>
        <v/>
      </c>
      <c r="I1740" s="6" t="str">
        <f t="shared" si="99"/>
        <v>0</v>
      </c>
      <c r="O1740" t="s">
        <v>321</v>
      </c>
      <c r="P1740">
        <f>IF(C1740&lt;&gt;"",C1740,_xlfn.XLOOKUP(B1740,AI_NAMES!D:D,AI_NAMES!E:E,"",0))</f>
        <v>0</v>
      </c>
    </row>
    <row r="1741" spans="1:16" x14ac:dyDescent="0.2">
      <c r="A1741" t="s">
        <v>1942</v>
      </c>
      <c r="B1741" t="s">
        <v>321</v>
      </c>
      <c r="E1741" t="str">
        <f t="shared" si="100"/>
        <v/>
      </c>
      <c r="G1741" s="5" t="str">
        <f t="shared" si="101"/>
        <v/>
      </c>
      <c r="I1741" s="6" t="str">
        <f t="shared" si="99"/>
        <v>0</v>
      </c>
      <c r="O1741" t="s">
        <v>321</v>
      </c>
      <c r="P1741">
        <f>IF(C1741&lt;&gt;"",C1741,_xlfn.XLOOKUP(B1741,AI_NAMES!D:D,AI_NAMES!E:E,"",0))</f>
        <v>0</v>
      </c>
    </row>
    <row r="1742" spans="1:16" x14ac:dyDescent="0.2">
      <c r="A1742" t="s">
        <v>1943</v>
      </c>
      <c r="B1742" t="s">
        <v>321</v>
      </c>
      <c r="E1742" t="str">
        <f t="shared" si="100"/>
        <v/>
      </c>
      <c r="G1742" s="5" t="str">
        <f t="shared" si="101"/>
        <v/>
      </c>
      <c r="I1742" s="6" t="str">
        <f t="shared" si="99"/>
        <v>0</v>
      </c>
      <c r="O1742" t="s">
        <v>321</v>
      </c>
      <c r="P1742">
        <f>IF(C1742&lt;&gt;"",C1742,_xlfn.XLOOKUP(B1742,AI_NAMES!D:D,AI_NAMES!E:E,"",0))</f>
        <v>0</v>
      </c>
    </row>
    <row r="1743" spans="1:16" x14ac:dyDescent="0.2">
      <c r="A1743" t="s">
        <v>1944</v>
      </c>
      <c r="B1743" t="s">
        <v>321</v>
      </c>
      <c r="E1743" t="str">
        <f t="shared" si="100"/>
        <v/>
      </c>
      <c r="G1743" s="5" t="str">
        <f t="shared" si="101"/>
        <v/>
      </c>
      <c r="I1743" s="6" t="str">
        <f t="shared" si="99"/>
        <v>0</v>
      </c>
      <c r="O1743" t="s">
        <v>321</v>
      </c>
      <c r="P1743">
        <f>IF(C1743&lt;&gt;"",C1743,_xlfn.XLOOKUP(B1743,AI_NAMES!D:D,AI_NAMES!E:E,"",0))</f>
        <v>0</v>
      </c>
    </row>
    <row r="1744" spans="1:16" x14ac:dyDescent="0.2">
      <c r="A1744" t="s">
        <v>1945</v>
      </c>
      <c r="B1744" t="s">
        <v>321</v>
      </c>
      <c r="E1744" t="str">
        <f t="shared" si="100"/>
        <v/>
      </c>
      <c r="G1744" s="5" t="str">
        <f t="shared" si="101"/>
        <v/>
      </c>
      <c r="I1744" s="6" t="str">
        <f t="shared" si="99"/>
        <v>0</v>
      </c>
      <c r="O1744" t="s">
        <v>321</v>
      </c>
      <c r="P1744">
        <f>IF(C1744&lt;&gt;"",C1744,_xlfn.XLOOKUP(B1744,AI_NAMES!D:D,AI_NAMES!E:E,"",0))</f>
        <v>0</v>
      </c>
    </row>
    <row r="1745" spans="1:16" x14ac:dyDescent="0.2">
      <c r="A1745" t="s">
        <v>1946</v>
      </c>
      <c r="B1745" t="s">
        <v>321</v>
      </c>
      <c r="E1745" t="str">
        <f t="shared" si="100"/>
        <v/>
      </c>
      <c r="G1745" s="5" t="str">
        <f t="shared" si="101"/>
        <v/>
      </c>
      <c r="I1745" s="6" t="str">
        <f t="shared" si="99"/>
        <v>0</v>
      </c>
      <c r="O1745" t="s">
        <v>321</v>
      </c>
      <c r="P1745">
        <f>IF(C1745&lt;&gt;"",C1745,_xlfn.XLOOKUP(B1745,AI_NAMES!D:D,AI_NAMES!E:E,"",0))</f>
        <v>0</v>
      </c>
    </row>
    <row r="1746" spans="1:16" x14ac:dyDescent="0.2">
      <c r="A1746" t="s">
        <v>1947</v>
      </c>
      <c r="B1746" t="s">
        <v>321</v>
      </c>
      <c r="E1746" t="str">
        <f t="shared" si="100"/>
        <v/>
      </c>
      <c r="G1746" s="5" t="str">
        <f t="shared" si="101"/>
        <v/>
      </c>
      <c r="I1746" s="6" t="str">
        <f t="shared" si="99"/>
        <v>0</v>
      </c>
      <c r="O1746" t="s">
        <v>321</v>
      </c>
      <c r="P1746">
        <f>IF(C1746&lt;&gt;"",C1746,_xlfn.XLOOKUP(B1746,AI_NAMES!D:D,AI_NAMES!E:E,"",0))</f>
        <v>0</v>
      </c>
    </row>
    <row r="1747" spans="1:16" x14ac:dyDescent="0.2">
      <c r="A1747" t="s">
        <v>1948</v>
      </c>
      <c r="B1747" t="s">
        <v>321</v>
      </c>
      <c r="E1747" t="str">
        <f t="shared" si="100"/>
        <v/>
      </c>
      <c r="G1747" s="5" t="str">
        <f t="shared" si="101"/>
        <v/>
      </c>
      <c r="I1747" s="6" t="str">
        <f t="shared" si="99"/>
        <v>0</v>
      </c>
      <c r="O1747" t="s">
        <v>321</v>
      </c>
      <c r="P1747">
        <f>IF(C1747&lt;&gt;"",C1747,_xlfn.XLOOKUP(B1747,AI_NAMES!D:D,AI_NAMES!E:E,"",0))</f>
        <v>0</v>
      </c>
    </row>
    <row r="1748" spans="1:16" x14ac:dyDescent="0.2">
      <c r="A1748" t="s">
        <v>1949</v>
      </c>
      <c r="B1748" t="s">
        <v>321</v>
      </c>
      <c r="E1748" t="str">
        <f t="shared" si="100"/>
        <v/>
      </c>
      <c r="G1748" s="5" t="str">
        <f t="shared" si="101"/>
        <v/>
      </c>
      <c r="I1748" s="6" t="str">
        <f t="shared" si="99"/>
        <v>0</v>
      </c>
      <c r="O1748" t="s">
        <v>321</v>
      </c>
      <c r="P1748">
        <f>IF(C1748&lt;&gt;"",C1748,_xlfn.XLOOKUP(B1748,AI_NAMES!D:D,AI_NAMES!E:E,"",0))</f>
        <v>0</v>
      </c>
    </row>
    <row r="1749" spans="1:16" x14ac:dyDescent="0.2">
      <c r="A1749" t="s">
        <v>1950</v>
      </c>
      <c r="B1749" t="s">
        <v>321</v>
      </c>
      <c r="E1749" t="str">
        <f t="shared" si="100"/>
        <v/>
      </c>
      <c r="G1749" s="5" t="str">
        <f t="shared" si="101"/>
        <v/>
      </c>
      <c r="I1749" s="6" t="str">
        <f t="shared" si="99"/>
        <v>0</v>
      </c>
      <c r="O1749" t="s">
        <v>321</v>
      </c>
      <c r="P1749">
        <f>IF(C1749&lt;&gt;"",C1749,_xlfn.XLOOKUP(B1749,AI_NAMES!D:D,AI_NAMES!E:E,"",0))</f>
        <v>0</v>
      </c>
    </row>
    <row r="1750" spans="1:16" x14ac:dyDescent="0.2">
      <c r="A1750" t="s">
        <v>1951</v>
      </c>
      <c r="B1750" t="s">
        <v>321</v>
      </c>
      <c r="E1750" t="str">
        <f t="shared" si="100"/>
        <v/>
      </c>
      <c r="G1750" s="5" t="str">
        <f t="shared" si="101"/>
        <v/>
      </c>
      <c r="I1750" s="6" t="str">
        <f t="shared" si="99"/>
        <v>0</v>
      </c>
      <c r="O1750" t="s">
        <v>321</v>
      </c>
      <c r="P1750">
        <f>IF(C1750&lt;&gt;"",C1750,_xlfn.XLOOKUP(B1750,AI_NAMES!D:D,AI_NAMES!E:E,"",0))</f>
        <v>0</v>
      </c>
    </row>
    <row r="1751" spans="1:16" x14ac:dyDescent="0.2">
      <c r="A1751" t="s">
        <v>1952</v>
      </c>
      <c r="B1751" t="s">
        <v>321</v>
      </c>
      <c r="E1751" t="str">
        <f t="shared" si="100"/>
        <v/>
      </c>
      <c r="G1751" s="5" t="str">
        <f t="shared" si="101"/>
        <v/>
      </c>
      <c r="I1751" s="6" t="str">
        <f t="shared" si="99"/>
        <v>0</v>
      </c>
      <c r="O1751" t="s">
        <v>321</v>
      </c>
      <c r="P1751">
        <f>IF(C1751&lt;&gt;"",C1751,_xlfn.XLOOKUP(B1751,AI_NAMES!D:D,AI_NAMES!E:E,"",0))</f>
        <v>0</v>
      </c>
    </row>
    <row r="1752" spans="1:16" x14ac:dyDescent="0.2">
      <c r="A1752" t="s">
        <v>1953</v>
      </c>
      <c r="B1752" t="s">
        <v>321</v>
      </c>
      <c r="E1752" t="str">
        <f t="shared" si="100"/>
        <v/>
      </c>
      <c r="G1752" s="5" t="str">
        <f t="shared" si="101"/>
        <v/>
      </c>
      <c r="I1752" s="6" t="str">
        <f t="shared" si="99"/>
        <v>0</v>
      </c>
      <c r="O1752" t="s">
        <v>321</v>
      </c>
      <c r="P1752">
        <f>IF(C1752&lt;&gt;"",C1752,_xlfn.XLOOKUP(B1752,AI_NAMES!D:D,AI_NAMES!E:E,"",0))</f>
        <v>0</v>
      </c>
    </row>
    <row r="1753" spans="1:16" x14ac:dyDescent="0.2">
      <c r="A1753" t="s">
        <v>1954</v>
      </c>
      <c r="B1753" t="s">
        <v>321</v>
      </c>
      <c r="E1753" t="str">
        <f t="shared" si="100"/>
        <v/>
      </c>
      <c r="G1753" s="5" t="str">
        <f t="shared" si="101"/>
        <v/>
      </c>
      <c r="I1753" s="6" t="str">
        <f t="shared" si="99"/>
        <v>0</v>
      </c>
      <c r="O1753" t="s">
        <v>321</v>
      </c>
      <c r="P1753">
        <f>IF(C1753&lt;&gt;"",C1753,_xlfn.XLOOKUP(B1753,AI_NAMES!D:D,AI_NAMES!E:E,"",0))</f>
        <v>0</v>
      </c>
    </row>
    <row r="1754" spans="1:16" x14ac:dyDescent="0.2">
      <c r="A1754" t="s">
        <v>1955</v>
      </c>
      <c r="B1754" t="s">
        <v>321</v>
      </c>
      <c r="E1754" t="str">
        <f t="shared" si="100"/>
        <v/>
      </c>
      <c r="G1754" s="5" t="str">
        <f t="shared" si="101"/>
        <v/>
      </c>
      <c r="I1754" s="6" t="str">
        <f t="shared" si="99"/>
        <v>0</v>
      </c>
      <c r="O1754" t="s">
        <v>321</v>
      </c>
      <c r="P1754">
        <f>IF(C1754&lt;&gt;"",C1754,_xlfn.XLOOKUP(B1754,AI_NAMES!D:D,AI_NAMES!E:E,"",0))</f>
        <v>0</v>
      </c>
    </row>
    <row r="1755" spans="1:16" x14ac:dyDescent="0.2">
      <c r="A1755" t="s">
        <v>1956</v>
      </c>
      <c r="B1755" t="s">
        <v>1957</v>
      </c>
      <c r="E1755" t="str">
        <f t="shared" si="100"/>
        <v/>
      </c>
      <c r="G1755" s="5" t="str">
        <f t="shared" si="101"/>
        <v/>
      </c>
      <c r="I1755" s="6" t="str">
        <f t="shared" si="99"/>
        <v>0</v>
      </c>
      <c r="O1755" t="s">
        <v>1957</v>
      </c>
      <c r="P1755" t="str">
        <f>IF(C1755&lt;&gt;"",C1755,_xlfn.XLOOKUP(B1755,AI_NAMES!D:D,AI_NAMES!E:E,"",0))</f>
        <v/>
      </c>
    </row>
    <row r="1756" spans="1:16" x14ac:dyDescent="0.2">
      <c r="A1756" t="s">
        <v>1958</v>
      </c>
      <c r="B1756" t="s">
        <v>321</v>
      </c>
      <c r="E1756" t="str">
        <f t="shared" si="100"/>
        <v/>
      </c>
      <c r="G1756" s="5" t="str">
        <f t="shared" si="101"/>
        <v/>
      </c>
      <c r="I1756" s="6" t="str">
        <f t="shared" si="99"/>
        <v>0</v>
      </c>
      <c r="O1756" t="s">
        <v>321</v>
      </c>
      <c r="P1756">
        <f>IF(C1756&lt;&gt;"",C1756,_xlfn.XLOOKUP(B1756,AI_NAMES!D:D,AI_NAMES!E:E,"",0))</f>
        <v>0</v>
      </c>
    </row>
    <row r="1757" spans="1:16" x14ac:dyDescent="0.2">
      <c r="A1757" t="s">
        <v>1959</v>
      </c>
      <c r="B1757" t="s">
        <v>321</v>
      </c>
      <c r="E1757" t="str">
        <f t="shared" si="100"/>
        <v/>
      </c>
      <c r="G1757" s="5" t="str">
        <f t="shared" si="101"/>
        <v/>
      </c>
      <c r="I1757" s="6" t="str">
        <f t="shared" si="99"/>
        <v>0</v>
      </c>
      <c r="O1757" t="s">
        <v>321</v>
      </c>
      <c r="P1757">
        <f>IF(C1757&lt;&gt;"",C1757,_xlfn.XLOOKUP(B1757,AI_NAMES!D:D,AI_NAMES!E:E,"",0))</f>
        <v>0</v>
      </c>
    </row>
    <row r="1758" spans="1:16" x14ac:dyDescent="0.2">
      <c r="A1758" t="s">
        <v>1960</v>
      </c>
      <c r="B1758" t="s">
        <v>321</v>
      </c>
      <c r="E1758" t="str">
        <f t="shared" si="100"/>
        <v/>
      </c>
      <c r="G1758" s="5" t="str">
        <f t="shared" si="101"/>
        <v/>
      </c>
      <c r="I1758" s="6" t="str">
        <f t="shared" si="99"/>
        <v>0</v>
      </c>
      <c r="O1758" t="s">
        <v>321</v>
      </c>
      <c r="P1758">
        <f>IF(C1758&lt;&gt;"",C1758,_xlfn.XLOOKUP(B1758,AI_NAMES!D:D,AI_NAMES!E:E,"",0))</f>
        <v>0</v>
      </c>
    </row>
    <row r="1759" spans="1:16" x14ac:dyDescent="0.2">
      <c r="A1759" t="s">
        <v>1961</v>
      </c>
      <c r="B1759" t="s">
        <v>321</v>
      </c>
      <c r="E1759" t="str">
        <f t="shared" si="100"/>
        <v/>
      </c>
      <c r="G1759" s="5" t="str">
        <f t="shared" si="101"/>
        <v/>
      </c>
      <c r="I1759" s="6" t="str">
        <f t="shared" si="99"/>
        <v>0</v>
      </c>
      <c r="O1759" t="s">
        <v>321</v>
      </c>
      <c r="P1759">
        <f>IF(C1759&lt;&gt;"",C1759,_xlfn.XLOOKUP(B1759,AI_NAMES!D:D,AI_NAMES!E:E,"",0))</f>
        <v>0</v>
      </c>
    </row>
    <row r="1760" spans="1:16" x14ac:dyDescent="0.2">
      <c r="A1760" t="s">
        <v>1962</v>
      </c>
      <c r="B1760" t="s">
        <v>1962</v>
      </c>
      <c r="E1760" t="str">
        <f t="shared" si="100"/>
        <v/>
      </c>
      <c r="G1760" s="5" t="str">
        <f t="shared" si="101"/>
        <v/>
      </c>
      <c r="I1760" s="6" t="str">
        <f t="shared" si="99"/>
        <v>0</v>
      </c>
      <c r="O1760" t="s">
        <v>1962</v>
      </c>
      <c r="P1760" t="str">
        <f>IF(C1760&lt;&gt;"",C1760,_xlfn.XLOOKUP(B1760,AI_NAMES!D:D,AI_NAMES!E:E,"",0))</f>
        <v/>
      </c>
    </row>
    <row r="1761" spans="1:16" x14ac:dyDescent="0.2">
      <c r="A1761" t="s">
        <v>1963</v>
      </c>
      <c r="B1761" t="s">
        <v>321</v>
      </c>
      <c r="E1761" t="str">
        <f t="shared" si="100"/>
        <v/>
      </c>
      <c r="G1761" s="5" t="str">
        <f t="shared" si="101"/>
        <v/>
      </c>
      <c r="I1761" s="6" t="str">
        <f t="shared" si="99"/>
        <v>0</v>
      </c>
      <c r="O1761" t="s">
        <v>321</v>
      </c>
      <c r="P1761">
        <f>IF(C1761&lt;&gt;"",C1761,_xlfn.XLOOKUP(B1761,AI_NAMES!D:D,AI_NAMES!E:E,"",0))</f>
        <v>0</v>
      </c>
    </row>
    <row r="1762" spans="1:16" x14ac:dyDescent="0.2">
      <c r="A1762" t="s">
        <v>1964</v>
      </c>
      <c r="B1762" t="s">
        <v>321</v>
      </c>
      <c r="E1762" t="str">
        <f t="shared" si="100"/>
        <v/>
      </c>
      <c r="G1762" s="5" t="str">
        <f t="shared" si="101"/>
        <v/>
      </c>
      <c r="I1762" s="6" t="str">
        <f t="shared" si="99"/>
        <v>0</v>
      </c>
      <c r="O1762" t="s">
        <v>321</v>
      </c>
      <c r="P1762">
        <f>IF(C1762&lt;&gt;"",C1762,_xlfn.XLOOKUP(B1762,AI_NAMES!D:D,AI_NAMES!E:E,"",0))</f>
        <v>0</v>
      </c>
    </row>
    <row r="1763" spans="1:16" x14ac:dyDescent="0.2">
      <c r="A1763" t="s">
        <v>1965</v>
      </c>
      <c r="B1763" t="s">
        <v>321</v>
      </c>
      <c r="E1763" t="str">
        <f t="shared" si="100"/>
        <v/>
      </c>
      <c r="G1763" s="5" t="str">
        <f t="shared" si="101"/>
        <v/>
      </c>
      <c r="I1763" s="6" t="str">
        <f t="shared" si="99"/>
        <v>0</v>
      </c>
      <c r="O1763" t="s">
        <v>321</v>
      </c>
      <c r="P1763">
        <f>IF(C1763&lt;&gt;"",C1763,_xlfn.XLOOKUP(B1763,AI_NAMES!D:D,AI_NAMES!E:E,"",0))</f>
        <v>0</v>
      </c>
    </row>
    <row r="1764" spans="1:16" x14ac:dyDescent="0.2">
      <c r="A1764" t="s">
        <v>1966</v>
      </c>
      <c r="B1764" t="s">
        <v>321</v>
      </c>
      <c r="E1764" t="str">
        <f t="shared" si="100"/>
        <v/>
      </c>
      <c r="G1764" s="5" t="str">
        <f t="shared" si="101"/>
        <v/>
      </c>
      <c r="I1764" s="6" t="str">
        <f t="shared" si="99"/>
        <v>0</v>
      </c>
      <c r="O1764" t="s">
        <v>321</v>
      </c>
      <c r="P1764">
        <f>IF(C1764&lt;&gt;"",C1764,_xlfn.XLOOKUP(B1764,AI_NAMES!D:D,AI_NAMES!E:E,"",0))</f>
        <v>0</v>
      </c>
    </row>
    <row r="1765" spans="1:16" x14ac:dyDescent="0.2">
      <c r="A1765" t="s">
        <v>1967</v>
      </c>
      <c r="B1765" t="s">
        <v>321</v>
      </c>
      <c r="E1765" t="str">
        <f t="shared" si="100"/>
        <v/>
      </c>
      <c r="G1765" s="5" t="str">
        <f t="shared" si="101"/>
        <v/>
      </c>
      <c r="I1765" s="6" t="str">
        <f t="shared" si="99"/>
        <v>0</v>
      </c>
      <c r="O1765" t="s">
        <v>321</v>
      </c>
      <c r="P1765">
        <f>IF(C1765&lt;&gt;"",C1765,_xlfn.XLOOKUP(B1765,AI_NAMES!D:D,AI_NAMES!E:E,"",0))</f>
        <v>0</v>
      </c>
    </row>
    <row r="1766" spans="1:16" x14ac:dyDescent="0.2">
      <c r="A1766" t="s">
        <v>1968</v>
      </c>
      <c r="B1766" t="s">
        <v>321</v>
      </c>
      <c r="E1766" t="str">
        <f t="shared" si="100"/>
        <v/>
      </c>
      <c r="G1766" s="5" t="str">
        <f t="shared" si="101"/>
        <v/>
      </c>
      <c r="I1766" s="6" t="str">
        <f t="shared" si="99"/>
        <v>0</v>
      </c>
      <c r="O1766" t="s">
        <v>321</v>
      </c>
      <c r="P1766">
        <f>IF(C1766&lt;&gt;"",C1766,_xlfn.XLOOKUP(B1766,AI_NAMES!D:D,AI_NAMES!E:E,"",0))</f>
        <v>0</v>
      </c>
    </row>
    <row r="1767" spans="1:16" x14ac:dyDescent="0.2">
      <c r="A1767" t="s">
        <v>1969</v>
      </c>
      <c r="B1767" t="s">
        <v>321</v>
      </c>
      <c r="E1767" t="str">
        <f t="shared" si="100"/>
        <v/>
      </c>
      <c r="G1767" s="5" t="str">
        <f t="shared" si="101"/>
        <v/>
      </c>
      <c r="I1767" s="6" t="str">
        <f t="shared" si="99"/>
        <v>0</v>
      </c>
      <c r="O1767" t="s">
        <v>321</v>
      </c>
      <c r="P1767">
        <f>IF(C1767&lt;&gt;"",C1767,_xlfn.XLOOKUP(B1767,AI_NAMES!D:D,AI_NAMES!E:E,"",0))</f>
        <v>0</v>
      </c>
    </row>
    <row r="1768" spans="1:16" x14ac:dyDescent="0.2">
      <c r="A1768" t="s">
        <v>1970</v>
      </c>
      <c r="B1768" t="s">
        <v>321</v>
      </c>
      <c r="E1768" t="str">
        <f t="shared" si="100"/>
        <v/>
      </c>
      <c r="G1768" s="5" t="str">
        <f t="shared" si="101"/>
        <v/>
      </c>
      <c r="I1768" s="6" t="str">
        <f t="shared" si="99"/>
        <v>0</v>
      </c>
      <c r="O1768" t="s">
        <v>321</v>
      </c>
      <c r="P1768">
        <f>IF(C1768&lt;&gt;"",C1768,_xlfn.XLOOKUP(B1768,AI_NAMES!D:D,AI_NAMES!E:E,"",0))</f>
        <v>0</v>
      </c>
    </row>
    <row r="1769" spans="1:16" x14ac:dyDescent="0.2">
      <c r="A1769" t="s">
        <v>1971</v>
      </c>
      <c r="B1769" t="s">
        <v>321</v>
      </c>
      <c r="E1769" t="str">
        <f t="shared" si="100"/>
        <v/>
      </c>
      <c r="G1769" s="5" t="str">
        <f t="shared" si="101"/>
        <v/>
      </c>
      <c r="I1769" s="6" t="str">
        <f t="shared" si="99"/>
        <v>0</v>
      </c>
      <c r="O1769" t="s">
        <v>321</v>
      </c>
      <c r="P1769">
        <f>IF(C1769&lt;&gt;"",C1769,_xlfn.XLOOKUP(B1769,AI_NAMES!D:D,AI_NAMES!E:E,"",0))</f>
        <v>0</v>
      </c>
    </row>
    <row r="1770" spans="1:16" x14ac:dyDescent="0.2">
      <c r="A1770" t="s">
        <v>1972</v>
      </c>
      <c r="B1770" t="s">
        <v>321</v>
      </c>
      <c r="E1770" t="str">
        <f t="shared" si="100"/>
        <v/>
      </c>
      <c r="G1770" s="5" t="str">
        <f t="shared" si="101"/>
        <v/>
      </c>
      <c r="I1770" s="6" t="str">
        <f t="shared" si="99"/>
        <v>0</v>
      </c>
      <c r="O1770" t="s">
        <v>321</v>
      </c>
      <c r="P1770">
        <f>IF(C1770&lt;&gt;"",C1770,_xlfn.XLOOKUP(B1770,AI_NAMES!D:D,AI_NAMES!E:E,"",0))</f>
        <v>0</v>
      </c>
    </row>
    <row r="1771" spans="1:16" x14ac:dyDescent="0.2">
      <c r="A1771" t="s">
        <v>1973</v>
      </c>
      <c r="B1771" t="s">
        <v>321</v>
      </c>
      <c r="E1771" t="str">
        <f t="shared" si="100"/>
        <v/>
      </c>
      <c r="G1771" s="5" t="str">
        <f t="shared" si="101"/>
        <v/>
      </c>
      <c r="I1771" s="6" t="str">
        <f t="shared" si="99"/>
        <v>0</v>
      </c>
      <c r="O1771" t="s">
        <v>321</v>
      </c>
      <c r="P1771">
        <f>IF(C1771&lt;&gt;"",C1771,_xlfn.XLOOKUP(B1771,AI_NAMES!D:D,AI_NAMES!E:E,"",0))</f>
        <v>0</v>
      </c>
    </row>
    <row r="1772" spans="1:16" x14ac:dyDescent="0.2">
      <c r="A1772" t="s">
        <v>1974</v>
      </c>
      <c r="B1772" t="s">
        <v>321</v>
      </c>
      <c r="E1772" t="str">
        <f t="shared" si="100"/>
        <v/>
      </c>
      <c r="G1772" s="5" t="str">
        <f t="shared" si="101"/>
        <v/>
      </c>
      <c r="I1772" s="6" t="str">
        <f t="shared" si="99"/>
        <v>0</v>
      </c>
      <c r="O1772" t="s">
        <v>321</v>
      </c>
      <c r="P1772">
        <f>IF(C1772&lt;&gt;"",C1772,_xlfn.XLOOKUP(B1772,AI_NAMES!D:D,AI_NAMES!E:E,"",0))</f>
        <v>0</v>
      </c>
    </row>
    <row r="1773" spans="1:16" x14ac:dyDescent="0.2">
      <c r="A1773" t="s">
        <v>1975</v>
      </c>
      <c r="B1773" t="s">
        <v>321</v>
      </c>
      <c r="E1773" t="str">
        <f t="shared" si="100"/>
        <v/>
      </c>
      <c r="G1773" s="5" t="str">
        <f t="shared" si="101"/>
        <v/>
      </c>
      <c r="I1773" s="6" t="str">
        <f t="shared" si="99"/>
        <v>0</v>
      </c>
      <c r="O1773" t="s">
        <v>321</v>
      </c>
      <c r="P1773">
        <f>IF(C1773&lt;&gt;"",C1773,_xlfn.XLOOKUP(B1773,AI_NAMES!D:D,AI_NAMES!E:E,"",0))</f>
        <v>0</v>
      </c>
    </row>
    <row r="1774" spans="1:16" x14ac:dyDescent="0.2">
      <c r="A1774" t="s">
        <v>1976</v>
      </c>
      <c r="B1774" t="s">
        <v>321</v>
      </c>
      <c r="E1774" t="str">
        <f t="shared" si="100"/>
        <v/>
      </c>
      <c r="G1774" s="5" t="str">
        <f t="shared" si="101"/>
        <v/>
      </c>
      <c r="I1774" s="6" t="str">
        <f t="shared" si="99"/>
        <v>0</v>
      </c>
      <c r="O1774" t="s">
        <v>321</v>
      </c>
      <c r="P1774">
        <f>IF(C1774&lt;&gt;"",C1774,_xlfn.XLOOKUP(B1774,AI_NAMES!D:D,AI_NAMES!E:E,"",0))</f>
        <v>0</v>
      </c>
    </row>
    <row r="1775" spans="1:16" x14ac:dyDescent="0.2">
      <c r="A1775" t="s">
        <v>1977</v>
      </c>
      <c r="B1775" t="s">
        <v>321</v>
      </c>
      <c r="E1775" t="str">
        <f t="shared" si="100"/>
        <v/>
      </c>
      <c r="G1775" s="5" t="str">
        <f t="shared" si="101"/>
        <v/>
      </c>
      <c r="I1775" s="6" t="str">
        <f t="shared" si="99"/>
        <v>0</v>
      </c>
      <c r="O1775" t="s">
        <v>321</v>
      </c>
      <c r="P1775">
        <f>IF(C1775&lt;&gt;"",C1775,_xlfn.XLOOKUP(B1775,AI_NAMES!D:D,AI_NAMES!E:E,"",0))</f>
        <v>0</v>
      </c>
    </row>
    <row r="1776" spans="1:16" x14ac:dyDescent="0.2">
      <c r="A1776" t="s">
        <v>1978</v>
      </c>
      <c r="B1776" t="s">
        <v>321</v>
      </c>
      <c r="E1776" t="str">
        <f t="shared" si="100"/>
        <v/>
      </c>
      <c r="G1776" s="5" t="str">
        <f t="shared" si="101"/>
        <v/>
      </c>
      <c r="I1776" s="6" t="str">
        <f t="shared" si="99"/>
        <v>0</v>
      </c>
      <c r="O1776" t="s">
        <v>321</v>
      </c>
      <c r="P1776">
        <f>IF(C1776&lt;&gt;"",C1776,_xlfn.XLOOKUP(B1776,AI_NAMES!D:D,AI_NAMES!E:E,"",0))</f>
        <v>0</v>
      </c>
    </row>
    <row r="1777" spans="1:16" x14ac:dyDescent="0.2">
      <c r="A1777" t="s">
        <v>1979</v>
      </c>
      <c r="B1777" t="s">
        <v>321</v>
      </c>
      <c r="E1777" t="str">
        <f t="shared" si="100"/>
        <v/>
      </c>
      <c r="G1777" s="5" t="str">
        <f t="shared" si="101"/>
        <v/>
      </c>
      <c r="I1777" s="6" t="str">
        <f t="shared" si="99"/>
        <v>0</v>
      </c>
      <c r="O1777" t="s">
        <v>321</v>
      </c>
      <c r="P1777">
        <f>IF(C1777&lt;&gt;"",C1777,_xlfn.XLOOKUP(B1777,AI_NAMES!D:D,AI_NAMES!E:E,"",0))</f>
        <v>0</v>
      </c>
    </row>
    <row r="1778" spans="1:16" x14ac:dyDescent="0.2">
      <c r="A1778" t="s">
        <v>1980</v>
      </c>
      <c r="B1778" t="s">
        <v>321</v>
      </c>
      <c r="E1778" t="str">
        <f t="shared" si="100"/>
        <v/>
      </c>
      <c r="G1778" s="5" t="str">
        <f t="shared" si="101"/>
        <v/>
      </c>
      <c r="I1778" s="6" t="str">
        <f t="shared" si="99"/>
        <v>0</v>
      </c>
      <c r="O1778" t="s">
        <v>321</v>
      </c>
      <c r="P1778">
        <f>IF(C1778&lt;&gt;"",C1778,_xlfn.XLOOKUP(B1778,AI_NAMES!D:D,AI_NAMES!E:E,"",0))</f>
        <v>0</v>
      </c>
    </row>
    <row r="1779" spans="1:16" x14ac:dyDescent="0.2">
      <c r="A1779" t="s">
        <v>1981</v>
      </c>
      <c r="B1779" t="s">
        <v>321</v>
      </c>
      <c r="E1779" t="str">
        <f t="shared" si="100"/>
        <v/>
      </c>
      <c r="G1779" s="5" t="str">
        <f t="shared" si="101"/>
        <v/>
      </c>
      <c r="I1779" s="6" t="str">
        <f t="shared" si="99"/>
        <v>0</v>
      </c>
      <c r="O1779" t="s">
        <v>321</v>
      </c>
      <c r="P1779">
        <f>IF(C1779&lt;&gt;"",C1779,_xlfn.XLOOKUP(B1779,AI_NAMES!D:D,AI_NAMES!E:E,"",0))</f>
        <v>0</v>
      </c>
    </row>
    <row r="1780" spans="1:16" x14ac:dyDescent="0.2">
      <c r="A1780" t="s">
        <v>1982</v>
      </c>
      <c r="B1780" t="s">
        <v>321</v>
      </c>
      <c r="E1780" t="str">
        <f t="shared" si="100"/>
        <v/>
      </c>
      <c r="G1780" s="5" t="str">
        <f t="shared" si="101"/>
        <v/>
      </c>
      <c r="I1780" s="6" t="str">
        <f t="shared" si="99"/>
        <v>0</v>
      </c>
      <c r="O1780" t="s">
        <v>321</v>
      </c>
      <c r="P1780">
        <f>IF(C1780&lt;&gt;"",C1780,_xlfn.XLOOKUP(B1780,AI_NAMES!D:D,AI_NAMES!E:E,"",0))</f>
        <v>0</v>
      </c>
    </row>
    <row r="1781" spans="1:16" x14ac:dyDescent="0.2">
      <c r="A1781" t="s">
        <v>1983</v>
      </c>
      <c r="B1781" t="s">
        <v>321</v>
      </c>
      <c r="E1781" t="str">
        <f t="shared" si="100"/>
        <v/>
      </c>
      <c r="G1781" s="5" t="str">
        <f t="shared" si="101"/>
        <v/>
      </c>
      <c r="I1781" s="6" t="str">
        <f t="shared" si="99"/>
        <v>0</v>
      </c>
      <c r="O1781" t="s">
        <v>321</v>
      </c>
      <c r="P1781">
        <f>IF(C1781&lt;&gt;"",C1781,_xlfn.XLOOKUP(B1781,AI_NAMES!D:D,AI_NAMES!E:E,"",0))</f>
        <v>0</v>
      </c>
    </row>
    <row r="1782" spans="1:16" x14ac:dyDescent="0.2">
      <c r="A1782" t="s">
        <v>1984</v>
      </c>
      <c r="B1782" t="s">
        <v>321</v>
      </c>
      <c r="E1782" t="str">
        <f t="shared" si="100"/>
        <v/>
      </c>
      <c r="G1782" s="5" t="str">
        <f t="shared" si="101"/>
        <v/>
      </c>
      <c r="I1782" s="6" t="str">
        <f t="shared" si="99"/>
        <v>0</v>
      </c>
      <c r="O1782" t="s">
        <v>321</v>
      </c>
      <c r="P1782">
        <f>IF(C1782&lt;&gt;"",C1782,_xlfn.XLOOKUP(B1782,AI_NAMES!D:D,AI_NAMES!E:E,"",0))</f>
        <v>0</v>
      </c>
    </row>
    <row r="1783" spans="1:16" x14ac:dyDescent="0.2">
      <c r="A1783" t="s">
        <v>1985</v>
      </c>
      <c r="B1783" t="s">
        <v>321</v>
      </c>
      <c r="E1783" t="str">
        <f t="shared" si="100"/>
        <v/>
      </c>
      <c r="G1783" s="5" t="str">
        <f t="shared" si="101"/>
        <v/>
      </c>
      <c r="I1783" s="6" t="str">
        <f t="shared" si="99"/>
        <v>0</v>
      </c>
      <c r="O1783" t="s">
        <v>321</v>
      </c>
      <c r="P1783">
        <f>IF(C1783&lt;&gt;"",C1783,_xlfn.XLOOKUP(B1783,AI_NAMES!D:D,AI_NAMES!E:E,"",0))</f>
        <v>0</v>
      </c>
    </row>
    <row r="1784" spans="1:16" x14ac:dyDescent="0.2">
      <c r="A1784" t="s">
        <v>1986</v>
      </c>
      <c r="B1784" t="s">
        <v>321</v>
      </c>
      <c r="E1784" t="str">
        <f t="shared" si="100"/>
        <v/>
      </c>
      <c r="G1784" s="5" t="str">
        <f t="shared" si="101"/>
        <v/>
      </c>
      <c r="I1784" s="6" t="str">
        <f t="shared" si="99"/>
        <v>0</v>
      </c>
      <c r="O1784" t="s">
        <v>321</v>
      </c>
      <c r="P1784">
        <f>IF(C1784&lt;&gt;"",C1784,_xlfn.XLOOKUP(B1784,AI_NAMES!D:D,AI_NAMES!E:E,"",0))</f>
        <v>0</v>
      </c>
    </row>
    <row r="1785" spans="1:16" x14ac:dyDescent="0.2">
      <c r="A1785" t="s">
        <v>1987</v>
      </c>
      <c r="B1785" t="s">
        <v>321</v>
      </c>
      <c r="E1785" t="str">
        <f t="shared" si="100"/>
        <v/>
      </c>
      <c r="G1785" s="5" t="str">
        <f t="shared" si="101"/>
        <v/>
      </c>
      <c r="I1785" s="6" t="str">
        <f t="shared" si="99"/>
        <v>0</v>
      </c>
      <c r="O1785" t="s">
        <v>321</v>
      </c>
      <c r="P1785">
        <f>IF(C1785&lt;&gt;"",C1785,_xlfn.XLOOKUP(B1785,AI_NAMES!D:D,AI_NAMES!E:E,"",0))</f>
        <v>0</v>
      </c>
    </row>
    <row r="1786" spans="1:16" x14ac:dyDescent="0.2">
      <c r="A1786" t="s">
        <v>1988</v>
      </c>
      <c r="B1786" t="s">
        <v>321</v>
      </c>
      <c r="E1786" t="str">
        <f t="shared" si="100"/>
        <v/>
      </c>
      <c r="G1786" s="5" t="str">
        <f t="shared" si="101"/>
        <v/>
      </c>
      <c r="I1786" s="6" t="str">
        <f t="shared" si="99"/>
        <v>0</v>
      </c>
      <c r="O1786" t="s">
        <v>321</v>
      </c>
      <c r="P1786">
        <f>IF(C1786&lt;&gt;"",C1786,_xlfn.XLOOKUP(B1786,AI_NAMES!D:D,AI_NAMES!E:E,"",0))</f>
        <v>0</v>
      </c>
    </row>
    <row r="1787" spans="1:16" x14ac:dyDescent="0.2">
      <c r="A1787" t="s">
        <v>1989</v>
      </c>
      <c r="B1787" t="s">
        <v>321</v>
      </c>
      <c r="E1787" t="str">
        <f t="shared" si="100"/>
        <v/>
      </c>
      <c r="G1787" s="5" t="str">
        <f t="shared" si="101"/>
        <v/>
      </c>
      <c r="I1787" s="6" t="str">
        <f t="shared" si="99"/>
        <v>0</v>
      </c>
      <c r="O1787" t="s">
        <v>321</v>
      </c>
      <c r="P1787">
        <f>IF(C1787&lt;&gt;"",C1787,_xlfn.XLOOKUP(B1787,AI_NAMES!D:D,AI_NAMES!E:E,"",0))</f>
        <v>0</v>
      </c>
    </row>
    <row r="1788" spans="1:16" x14ac:dyDescent="0.2">
      <c r="A1788" t="s">
        <v>1990</v>
      </c>
      <c r="B1788" t="s">
        <v>321</v>
      </c>
      <c r="E1788" t="str">
        <f t="shared" si="100"/>
        <v/>
      </c>
      <c r="G1788" s="5" t="str">
        <f t="shared" si="101"/>
        <v/>
      </c>
      <c r="I1788" s="6" t="str">
        <f t="shared" si="99"/>
        <v>0</v>
      </c>
      <c r="O1788" t="s">
        <v>321</v>
      </c>
      <c r="P1788">
        <f>IF(C1788&lt;&gt;"",C1788,_xlfn.XLOOKUP(B1788,AI_NAMES!D:D,AI_NAMES!E:E,"",0))</f>
        <v>0</v>
      </c>
    </row>
    <row r="1789" spans="1:16" x14ac:dyDescent="0.2">
      <c r="A1789" t="s">
        <v>1991</v>
      </c>
      <c r="B1789" t="s">
        <v>321</v>
      </c>
      <c r="E1789" t="str">
        <f t="shared" si="100"/>
        <v/>
      </c>
      <c r="G1789" s="5" t="str">
        <f t="shared" si="101"/>
        <v/>
      </c>
      <c r="I1789" s="6" t="str">
        <f t="shared" si="99"/>
        <v>0</v>
      </c>
      <c r="O1789" t="s">
        <v>321</v>
      </c>
      <c r="P1789">
        <f>IF(C1789&lt;&gt;"",C1789,_xlfn.XLOOKUP(B1789,AI_NAMES!D:D,AI_NAMES!E:E,"",0))</f>
        <v>0</v>
      </c>
    </row>
    <row r="1790" spans="1:16" x14ac:dyDescent="0.2">
      <c r="A1790" t="s">
        <v>1992</v>
      </c>
      <c r="B1790" t="s">
        <v>321</v>
      </c>
      <c r="E1790" t="str">
        <f t="shared" si="100"/>
        <v/>
      </c>
      <c r="G1790" s="5" t="str">
        <f t="shared" si="101"/>
        <v/>
      </c>
      <c r="I1790" s="6" t="str">
        <f t="shared" si="99"/>
        <v>0</v>
      </c>
      <c r="O1790" t="s">
        <v>321</v>
      </c>
      <c r="P1790">
        <f>IF(C1790&lt;&gt;"",C1790,_xlfn.XLOOKUP(B1790,AI_NAMES!D:D,AI_NAMES!E:E,"",0))</f>
        <v>0</v>
      </c>
    </row>
    <row r="1791" spans="1:16" x14ac:dyDescent="0.2">
      <c r="A1791" t="s">
        <v>1993</v>
      </c>
      <c r="B1791" t="s">
        <v>321</v>
      </c>
      <c r="E1791" t="str">
        <f t="shared" si="100"/>
        <v/>
      </c>
      <c r="G1791" s="5" t="str">
        <f t="shared" si="101"/>
        <v/>
      </c>
      <c r="I1791" s="6" t="str">
        <f t="shared" si="99"/>
        <v>0</v>
      </c>
      <c r="O1791" t="s">
        <v>321</v>
      </c>
      <c r="P1791">
        <f>IF(C1791&lt;&gt;"",C1791,_xlfn.XLOOKUP(B1791,AI_NAMES!D:D,AI_NAMES!E:E,"",0))</f>
        <v>0</v>
      </c>
    </row>
    <row r="1792" spans="1:16" x14ac:dyDescent="0.2">
      <c r="A1792" t="s">
        <v>1994</v>
      </c>
      <c r="B1792" t="s">
        <v>321</v>
      </c>
      <c r="E1792" t="str">
        <f t="shared" si="100"/>
        <v/>
      </c>
      <c r="G1792" s="5" t="str">
        <f t="shared" si="101"/>
        <v/>
      </c>
      <c r="I1792" s="6" t="str">
        <f t="shared" si="99"/>
        <v>0</v>
      </c>
      <c r="O1792" t="s">
        <v>321</v>
      </c>
      <c r="P1792">
        <f>IF(C1792&lt;&gt;"",C1792,_xlfn.XLOOKUP(B1792,AI_NAMES!D:D,AI_NAMES!E:E,"",0))</f>
        <v>0</v>
      </c>
    </row>
    <row r="1793" spans="1:16" x14ac:dyDescent="0.2">
      <c r="A1793" t="s">
        <v>1995</v>
      </c>
      <c r="B1793" t="s">
        <v>321</v>
      </c>
      <c r="E1793" t="str">
        <f t="shared" si="100"/>
        <v/>
      </c>
      <c r="G1793" s="5" t="str">
        <f t="shared" si="101"/>
        <v/>
      </c>
      <c r="I1793" s="6" t="str">
        <f t="shared" si="99"/>
        <v>0</v>
      </c>
      <c r="O1793" t="s">
        <v>321</v>
      </c>
      <c r="P1793">
        <f>IF(C1793&lt;&gt;"",C1793,_xlfn.XLOOKUP(B1793,AI_NAMES!D:D,AI_NAMES!E:E,"",0))</f>
        <v>0</v>
      </c>
    </row>
    <row r="1794" spans="1:16" x14ac:dyDescent="0.2">
      <c r="A1794" t="s">
        <v>1996</v>
      </c>
      <c r="B1794" t="s">
        <v>321</v>
      </c>
      <c r="E1794" t="str">
        <f t="shared" si="100"/>
        <v/>
      </c>
      <c r="G1794" s="5" t="str">
        <f t="shared" si="101"/>
        <v/>
      </c>
      <c r="I1794" s="6" t="str">
        <f t="shared" si="99"/>
        <v>0</v>
      </c>
      <c r="O1794" t="s">
        <v>321</v>
      </c>
      <c r="P1794">
        <f>IF(C1794&lt;&gt;"",C1794,_xlfn.XLOOKUP(B1794,AI_NAMES!D:D,AI_NAMES!E:E,"",0))</f>
        <v>0</v>
      </c>
    </row>
    <row r="1795" spans="1:16" x14ac:dyDescent="0.2">
      <c r="A1795" t="s">
        <v>1997</v>
      </c>
      <c r="B1795" t="s">
        <v>321</v>
      </c>
      <c r="E1795" t="str">
        <f t="shared" si="100"/>
        <v/>
      </c>
      <c r="G1795" s="5" t="str">
        <f t="shared" si="101"/>
        <v/>
      </c>
      <c r="I1795" s="6" t="str">
        <f t="shared" ref="I1795:I1858" si="102">IFERROR(DEC2HEX(H1795),"")</f>
        <v>0</v>
      </c>
      <c r="O1795" t="s">
        <v>321</v>
      </c>
      <c r="P1795">
        <f>IF(C1795&lt;&gt;"",C1795,_xlfn.XLOOKUP(B1795,AI_NAMES!D:D,AI_NAMES!E:E,"",0))</f>
        <v>0</v>
      </c>
    </row>
    <row r="1796" spans="1:16" x14ac:dyDescent="0.2">
      <c r="A1796" t="s">
        <v>1998</v>
      </c>
      <c r="B1796" t="s">
        <v>321</v>
      </c>
      <c r="E1796" t="str">
        <f t="shared" ref="E1796:E1859" si="103">IF(D1796&lt;&gt;"",C1796&amp;"/"&amp;D1796,"")</f>
        <v/>
      </c>
      <c r="G1796" s="5" t="str">
        <f t="shared" si="101"/>
        <v/>
      </c>
      <c r="I1796" s="6" t="str">
        <f t="shared" si="102"/>
        <v>0</v>
      </c>
      <c r="O1796" t="s">
        <v>321</v>
      </c>
      <c r="P1796">
        <f>IF(C1796&lt;&gt;"",C1796,_xlfn.XLOOKUP(B1796,AI_NAMES!D:D,AI_NAMES!E:E,"",0))</f>
        <v>0</v>
      </c>
    </row>
    <row r="1797" spans="1:16" x14ac:dyDescent="0.2">
      <c r="A1797" t="s">
        <v>1999</v>
      </c>
      <c r="B1797" t="s">
        <v>321</v>
      </c>
      <c r="E1797" t="str">
        <f t="shared" si="103"/>
        <v/>
      </c>
      <c r="G1797" s="5" t="str">
        <f t="shared" si="101"/>
        <v/>
      </c>
      <c r="I1797" s="6" t="str">
        <f t="shared" si="102"/>
        <v>0</v>
      </c>
      <c r="O1797" t="s">
        <v>321</v>
      </c>
      <c r="P1797">
        <f>IF(C1797&lt;&gt;"",C1797,_xlfn.XLOOKUP(B1797,AI_NAMES!D:D,AI_NAMES!E:E,"",0))</f>
        <v>0</v>
      </c>
    </row>
    <row r="1798" spans="1:16" x14ac:dyDescent="0.2">
      <c r="A1798" t="s">
        <v>2000</v>
      </c>
      <c r="B1798" t="s">
        <v>321</v>
      </c>
      <c r="E1798" t="str">
        <f t="shared" si="103"/>
        <v/>
      </c>
      <c r="G1798" s="5" t="str">
        <f t="shared" si="101"/>
        <v/>
      </c>
      <c r="I1798" s="6" t="str">
        <f t="shared" si="102"/>
        <v>0</v>
      </c>
      <c r="O1798" t="s">
        <v>321</v>
      </c>
      <c r="P1798">
        <f>IF(C1798&lt;&gt;"",C1798,_xlfn.XLOOKUP(B1798,AI_NAMES!D:D,AI_NAMES!E:E,"",0))</f>
        <v>0</v>
      </c>
    </row>
    <row r="1799" spans="1:16" x14ac:dyDescent="0.2">
      <c r="A1799" t="s">
        <v>2001</v>
      </c>
      <c r="B1799" t="s">
        <v>321</v>
      </c>
      <c r="E1799" t="str">
        <f t="shared" si="103"/>
        <v/>
      </c>
      <c r="G1799" s="5" t="str">
        <f t="shared" si="101"/>
        <v/>
      </c>
      <c r="I1799" s="6" t="str">
        <f t="shared" si="102"/>
        <v>0</v>
      </c>
      <c r="O1799" t="s">
        <v>321</v>
      </c>
      <c r="P1799">
        <f>IF(C1799&lt;&gt;"",C1799,_xlfn.XLOOKUP(B1799,AI_NAMES!D:D,AI_NAMES!E:E,"",0))</f>
        <v>0</v>
      </c>
    </row>
    <row r="1800" spans="1:16" x14ac:dyDescent="0.2">
      <c r="A1800" t="s">
        <v>2002</v>
      </c>
      <c r="B1800" t="s">
        <v>321</v>
      </c>
      <c r="E1800" t="str">
        <f t="shared" si="103"/>
        <v/>
      </c>
      <c r="G1800" s="5" t="str">
        <f t="shared" si="101"/>
        <v/>
      </c>
      <c r="I1800" s="6" t="str">
        <f t="shared" si="102"/>
        <v>0</v>
      </c>
      <c r="O1800" t="s">
        <v>321</v>
      </c>
      <c r="P1800">
        <f>IF(C1800&lt;&gt;"",C1800,_xlfn.XLOOKUP(B1800,AI_NAMES!D:D,AI_NAMES!E:E,"",0))</f>
        <v>0</v>
      </c>
    </row>
    <row r="1801" spans="1:16" x14ac:dyDescent="0.2">
      <c r="A1801" t="s">
        <v>2003</v>
      </c>
      <c r="B1801" t="s">
        <v>321</v>
      </c>
      <c r="E1801" t="str">
        <f t="shared" si="103"/>
        <v/>
      </c>
      <c r="G1801" s="5" t="str">
        <f t="shared" ref="G1801:G1864" si="104">IF(F1801&lt;&gt;"",HEX2DEC(SUBSTITUTE(SUBSTITUTE(F1801,"adrEA",""),"$","")),"")</f>
        <v/>
      </c>
      <c r="I1801" s="6" t="str">
        <f t="shared" si="102"/>
        <v>0</v>
      </c>
      <c r="O1801" t="s">
        <v>321</v>
      </c>
      <c r="P1801">
        <f>IF(C1801&lt;&gt;"",C1801,_xlfn.XLOOKUP(B1801,AI_NAMES!D:D,AI_NAMES!E:E,"",0))</f>
        <v>0</v>
      </c>
    </row>
    <row r="1802" spans="1:16" x14ac:dyDescent="0.2">
      <c r="A1802" t="s">
        <v>2004</v>
      </c>
      <c r="B1802" t="s">
        <v>321</v>
      </c>
      <c r="E1802" t="str">
        <f t="shared" si="103"/>
        <v/>
      </c>
      <c r="G1802" s="5" t="str">
        <f t="shared" si="104"/>
        <v/>
      </c>
      <c r="I1802" s="6" t="str">
        <f t="shared" si="102"/>
        <v>0</v>
      </c>
      <c r="O1802" t="s">
        <v>321</v>
      </c>
      <c r="P1802">
        <f>IF(C1802&lt;&gt;"",C1802,_xlfn.XLOOKUP(B1802,AI_NAMES!D:D,AI_NAMES!E:E,"",0))</f>
        <v>0</v>
      </c>
    </row>
    <row r="1803" spans="1:16" x14ac:dyDescent="0.2">
      <c r="A1803" t="s">
        <v>2005</v>
      </c>
      <c r="B1803" t="s">
        <v>321</v>
      </c>
      <c r="E1803" t="str">
        <f t="shared" si="103"/>
        <v/>
      </c>
      <c r="G1803" s="5" t="str">
        <f t="shared" si="104"/>
        <v/>
      </c>
      <c r="I1803" s="6" t="str">
        <f t="shared" si="102"/>
        <v>0</v>
      </c>
      <c r="O1803" t="s">
        <v>321</v>
      </c>
      <c r="P1803">
        <f>IF(C1803&lt;&gt;"",C1803,_xlfn.XLOOKUP(B1803,AI_NAMES!D:D,AI_NAMES!E:E,"",0))</f>
        <v>0</v>
      </c>
    </row>
    <row r="1804" spans="1:16" x14ac:dyDescent="0.2">
      <c r="A1804" t="s">
        <v>2006</v>
      </c>
      <c r="B1804" t="s">
        <v>321</v>
      </c>
      <c r="E1804" t="str">
        <f t="shared" si="103"/>
        <v/>
      </c>
      <c r="G1804" s="5" t="str">
        <f t="shared" si="104"/>
        <v/>
      </c>
      <c r="I1804" s="6" t="str">
        <f t="shared" si="102"/>
        <v>0</v>
      </c>
      <c r="O1804" t="s">
        <v>321</v>
      </c>
      <c r="P1804">
        <f>IF(C1804&lt;&gt;"",C1804,_xlfn.XLOOKUP(B1804,AI_NAMES!D:D,AI_NAMES!E:E,"",0))</f>
        <v>0</v>
      </c>
    </row>
    <row r="1805" spans="1:16" x14ac:dyDescent="0.2">
      <c r="A1805" t="s">
        <v>2007</v>
      </c>
      <c r="B1805" t="s">
        <v>321</v>
      </c>
      <c r="E1805" t="str">
        <f t="shared" si="103"/>
        <v/>
      </c>
      <c r="G1805" s="5" t="str">
        <f t="shared" si="104"/>
        <v/>
      </c>
      <c r="I1805" s="6" t="str">
        <f t="shared" si="102"/>
        <v>0</v>
      </c>
      <c r="O1805" t="s">
        <v>321</v>
      </c>
      <c r="P1805">
        <f>IF(C1805&lt;&gt;"",C1805,_xlfn.XLOOKUP(B1805,AI_NAMES!D:D,AI_NAMES!E:E,"",0))</f>
        <v>0</v>
      </c>
    </row>
    <row r="1806" spans="1:16" x14ac:dyDescent="0.2">
      <c r="A1806" t="s">
        <v>2008</v>
      </c>
      <c r="B1806" t="s">
        <v>321</v>
      </c>
      <c r="E1806" t="str">
        <f t="shared" si="103"/>
        <v/>
      </c>
      <c r="G1806" s="5" t="str">
        <f t="shared" si="104"/>
        <v/>
      </c>
      <c r="I1806" s="6" t="str">
        <f t="shared" si="102"/>
        <v>0</v>
      </c>
      <c r="O1806" t="s">
        <v>321</v>
      </c>
      <c r="P1806">
        <f>IF(C1806&lt;&gt;"",C1806,_xlfn.XLOOKUP(B1806,AI_NAMES!D:D,AI_NAMES!E:E,"",0))</f>
        <v>0</v>
      </c>
    </row>
    <row r="1807" spans="1:16" x14ac:dyDescent="0.2">
      <c r="A1807" t="s">
        <v>2009</v>
      </c>
      <c r="B1807" t="s">
        <v>2009</v>
      </c>
      <c r="E1807" t="str">
        <f t="shared" si="103"/>
        <v/>
      </c>
      <c r="G1807" s="5" t="str">
        <f t="shared" si="104"/>
        <v/>
      </c>
      <c r="I1807" s="6" t="str">
        <f t="shared" si="102"/>
        <v>0</v>
      </c>
      <c r="O1807" t="s">
        <v>2009</v>
      </c>
      <c r="P1807" t="str">
        <f>IF(C1807&lt;&gt;"",C1807,_xlfn.XLOOKUP(B1807,AI_NAMES!D:D,AI_NAMES!E:E,"",0))</f>
        <v/>
      </c>
    </row>
    <row r="1808" spans="1:16" x14ac:dyDescent="0.2">
      <c r="A1808" t="s">
        <v>2010</v>
      </c>
      <c r="B1808" t="s">
        <v>2011</v>
      </c>
      <c r="E1808" t="str">
        <f t="shared" si="103"/>
        <v/>
      </c>
      <c r="G1808" s="5" t="str">
        <f t="shared" si="104"/>
        <v/>
      </c>
      <c r="I1808" s="6" t="str">
        <f t="shared" si="102"/>
        <v>0</v>
      </c>
      <c r="O1808" t="s">
        <v>2011</v>
      </c>
      <c r="P1808" t="str">
        <f>IF(C1808&lt;&gt;"",C1808,_xlfn.XLOOKUP(B1808,AI_NAMES!D:D,AI_NAMES!E:E,"",0))</f>
        <v/>
      </c>
    </row>
    <row r="1809" spans="1:16" x14ac:dyDescent="0.2">
      <c r="A1809" t="s">
        <v>2012</v>
      </c>
      <c r="B1809" t="s">
        <v>2013</v>
      </c>
      <c r="E1809" t="str">
        <f t="shared" si="103"/>
        <v/>
      </c>
      <c r="G1809" s="5" t="str">
        <f t="shared" si="104"/>
        <v/>
      </c>
      <c r="I1809" s="6" t="str">
        <f t="shared" si="102"/>
        <v>0</v>
      </c>
      <c r="O1809" t="s">
        <v>2013</v>
      </c>
      <c r="P1809" t="str">
        <f>IF(C1809&lt;&gt;"",C1809,_xlfn.XLOOKUP(B1809,AI_NAMES!D:D,AI_NAMES!E:E,"",0))</f>
        <v/>
      </c>
    </row>
    <row r="1810" spans="1:16" x14ac:dyDescent="0.2">
      <c r="A1810" t="s">
        <v>2014</v>
      </c>
      <c r="B1810" t="s">
        <v>2015</v>
      </c>
      <c r="E1810" t="str">
        <f t="shared" si="103"/>
        <v/>
      </c>
      <c r="G1810" s="5" t="str">
        <f t="shared" si="104"/>
        <v/>
      </c>
      <c r="I1810" s="6" t="str">
        <f t="shared" si="102"/>
        <v>0</v>
      </c>
      <c r="O1810" t="s">
        <v>2015</v>
      </c>
      <c r="P1810" t="str">
        <f>IF(C1810&lt;&gt;"",C1810,_xlfn.XLOOKUP(B1810,AI_NAMES!D:D,AI_NAMES!E:E,"",0))</f>
        <v/>
      </c>
    </row>
    <row r="1811" spans="1:16" x14ac:dyDescent="0.2">
      <c r="A1811" t="s">
        <v>2016</v>
      </c>
      <c r="B1811" t="s">
        <v>3125</v>
      </c>
      <c r="E1811" t="str">
        <f t="shared" si="103"/>
        <v/>
      </c>
      <c r="G1811" s="5" t="str">
        <f t="shared" si="104"/>
        <v/>
      </c>
      <c r="I1811" s="6" t="str">
        <f t="shared" si="102"/>
        <v>0</v>
      </c>
      <c r="O1811" t="s">
        <v>3125</v>
      </c>
      <c r="P1811" t="str">
        <f>IF(C1811&lt;&gt;"",C1811,_xlfn.XLOOKUP(B1811,AI_NAMES!D:D,AI_NAMES!E:E,"",0))</f>
        <v/>
      </c>
    </row>
    <row r="1812" spans="1:16" x14ac:dyDescent="0.2">
      <c r="A1812" t="s">
        <v>2017</v>
      </c>
      <c r="B1812" t="s">
        <v>321</v>
      </c>
      <c r="E1812" t="str">
        <f t="shared" si="103"/>
        <v/>
      </c>
      <c r="G1812" s="5" t="str">
        <f t="shared" si="104"/>
        <v/>
      </c>
      <c r="I1812" s="6" t="str">
        <f t="shared" si="102"/>
        <v>0</v>
      </c>
      <c r="O1812" t="s">
        <v>321</v>
      </c>
      <c r="P1812">
        <f>IF(C1812&lt;&gt;"",C1812,_xlfn.XLOOKUP(B1812,AI_NAMES!D:D,AI_NAMES!E:E,"",0))</f>
        <v>0</v>
      </c>
    </row>
    <row r="1813" spans="1:16" x14ac:dyDescent="0.2">
      <c r="A1813" t="s">
        <v>2018</v>
      </c>
      <c r="B1813" t="s">
        <v>2019</v>
      </c>
      <c r="E1813" t="str">
        <f t="shared" si="103"/>
        <v/>
      </c>
      <c r="G1813" s="5" t="str">
        <f t="shared" si="104"/>
        <v/>
      </c>
      <c r="I1813" s="6" t="str">
        <f t="shared" si="102"/>
        <v>0</v>
      </c>
      <c r="O1813" t="s">
        <v>2019</v>
      </c>
      <c r="P1813" t="str">
        <f>IF(C1813&lt;&gt;"",C1813,_xlfn.XLOOKUP(B1813,AI_NAMES!D:D,AI_NAMES!E:E,"",0))</f>
        <v/>
      </c>
    </row>
    <row r="1814" spans="1:16" x14ac:dyDescent="0.2">
      <c r="A1814" t="s">
        <v>2020</v>
      </c>
      <c r="B1814" t="s">
        <v>321</v>
      </c>
      <c r="E1814" t="str">
        <f t="shared" si="103"/>
        <v/>
      </c>
      <c r="G1814" s="5" t="str">
        <f t="shared" si="104"/>
        <v/>
      </c>
      <c r="I1814" s="6" t="str">
        <f t="shared" si="102"/>
        <v>0</v>
      </c>
      <c r="O1814" t="s">
        <v>321</v>
      </c>
      <c r="P1814">
        <f>IF(C1814&lt;&gt;"",C1814,_xlfn.XLOOKUP(B1814,AI_NAMES!D:D,AI_NAMES!E:E,"",0))</f>
        <v>0</v>
      </c>
    </row>
    <row r="1815" spans="1:16" x14ac:dyDescent="0.2">
      <c r="A1815" t="s">
        <v>2021</v>
      </c>
      <c r="B1815" t="s">
        <v>321</v>
      </c>
      <c r="E1815" t="str">
        <f t="shared" si="103"/>
        <v/>
      </c>
      <c r="G1815" s="5" t="str">
        <f t="shared" si="104"/>
        <v/>
      </c>
      <c r="I1815" s="6" t="str">
        <f t="shared" si="102"/>
        <v>0</v>
      </c>
      <c r="O1815" t="s">
        <v>321</v>
      </c>
      <c r="P1815">
        <f>IF(C1815&lt;&gt;"",C1815,_xlfn.XLOOKUP(B1815,AI_NAMES!D:D,AI_NAMES!E:E,"",0))</f>
        <v>0</v>
      </c>
    </row>
    <row r="1816" spans="1:16" x14ac:dyDescent="0.2">
      <c r="A1816" t="s">
        <v>2022</v>
      </c>
      <c r="B1816" t="s">
        <v>321</v>
      </c>
      <c r="E1816" t="str">
        <f t="shared" si="103"/>
        <v/>
      </c>
      <c r="G1816" s="5" t="str">
        <f t="shared" si="104"/>
        <v/>
      </c>
      <c r="I1816" s="6" t="str">
        <f t="shared" si="102"/>
        <v>0</v>
      </c>
      <c r="O1816" t="s">
        <v>321</v>
      </c>
      <c r="P1816">
        <f>IF(C1816&lt;&gt;"",C1816,_xlfn.XLOOKUP(B1816,AI_NAMES!D:D,AI_NAMES!E:E,"",0))</f>
        <v>0</v>
      </c>
    </row>
    <row r="1817" spans="1:16" x14ac:dyDescent="0.2">
      <c r="A1817" t="s">
        <v>2023</v>
      </c>
      <c r="B1817" t="s">
        <v>321</v>
      </c>
      <c r="E1817" t="str">
        <f t="shared" si="103"/>
        <v/>
      </c>
      <c r="G1817" s="5" t="str">
        <f t="shared" si="104"/>
        <v/>
      </c>
      <c r="I1817" s="6" t="str">
        <f t="shared" si="102"/>
        <v>0</v>
      </c>
      <c r="O1817" t="s">
        <v>321</v>
      </c>
      <c r="P1817">
        <f>IF(C1817&lt;&gt;"",C1817,_xlfn.XLOOKUP(B1817,AI_NAMES!D:D,AI_NAMES!E:E,"",0))</f>
        <v>0</v>
      </c>
    </row>
    <row r="1818" spans="1:16" x14ac:dyDescent="0.2">
      <c r="A1818" t="s">
        <v>2024</v>
      </c>
      <c r="B1818" t="s">
        <v>321</v>
      </c>
      <c r="E1818" t="str">
        <f t="shared" si="103"/>
        <v/>
      </c>
      <c r="G1818" s="5" t="str">
        <f t="shared" si="104"/>
        <v/>
      </c>
      <c r="I1818" s="6" t="str">
        <f t="shared" si="102"/>
        <v>0</v>
      </c>
      <c r="O1818" t="s">
        <v>321</v>
      </c>
      <c r="P1818">
        <f>IF(C1818&lt;&gt;"",C1818,_xlfn.XLOOKUP(B1818,AI_NAMES!D:D,AI_NAMES!E:E,"",0))</f>
        <v>0</v>
      </c>
    </row>
    <row r="1819" spans="1:16" x14ac:dyDescent="0.2">
      <c r="A1819" t="s">
        <v>2025</v>
      </c>
      <c r="B1819" t="s">
        <v>321</v>
      </c>
      <c r="E1819" t="str">
        <f t="shared" si="103"/>
        <v/>
      </c>
      <c r="G1819" s="5" t="str">
        <f t="shared" si="104"/>
        <v/>
      </c>
      <c r="I1819" s="6" t="str">
        <f t="shared" si="102"/>
        <v>0</v>
      </c>
      <c r="O1819" t="s">
        <v>321</v>
      </c>
      <c r="P1819">
        <f>IF(C1819&lt;&gt;"",C1819,_xlfn.XLOOKUP(B1819,AI_NAMES!D:D,AI_NAMES!E:E,"",0))</f>
        <v>0</v>
      </c>
    </row>
    <row r="1820" spans="1:16" x14ac:dyDescent="0.2">
      <c r="A1820" t="s">
        <v>2026</v>
      </c>
      <c r="B1820" t="s">
        <v>321</v>
      </c>
      <c r="E1820" t="str">
        <f t="shared" si="103"/>
        <v/>
      </c>
      <c r="G1820" s="5" t="str">
        <f t="shared" si="104"/>
        <v/>
      </c>
      <c r="I1820" s="6" t="str">
        <f t="shared" si="102"/>
        <v>0</v>
      </c>
      <c r="O1820" t="s">
        <v>321</v>
      </c>
      <c r="P1820">
        <f>IF(C1820&lt;&gt;"",C1820,_xlfn.XLOOKUP(B1820,AI_NAMES!D:D,AI_NAMES!E:E,"",0))</f>
        <v>0</v>
      </c>
    </row>
    <row r="1821" spans="1:16" x14ac:dyDescent="0.2">
      <c r="A1821" t="s">
        <v>2027</v>
      </c>
      <c r="B1821" t="s">
        <v>321</v>
      </c>
      <c r="E1821" t="str">
        <f t="shared" si="103"/>
        <v/>
      </c>
      <c r="G1821" s="5" t="str">
        <f t="shared" si="104"/>
        <v/>
      </c>
      <c r="I1821" s="6" t="str">
        <f t="shared" si="102"/>
        <v>0</v>
      </c>
      <c r="O1821" t="s">
        <v>321</v>
      </c>
      <c r="P1821">
        <f>IF(C1821&lt;&gt;"",C1821,_xlfn.XLOOKUP(B1821,AI_NAMES!D:D,AI_NAMES!E:E,"",0))</f>
        <v>0</v>
      </c>
    </row>
    <row r="1822" spans="1:16" x14ac:dyDescent="0.2">
      <c r="A1822" t="s">
        <v>2028</v>
      </c>
      <c r="B1822" t="s">
        <v>321</v>
      </c>
      <c r="E1822" t="str">
        <f t="shared" si="103"/>
        <v/>
      </c>
      <c r="G1822" s="5" t="str">
        <f t="shared" si="104"/>
        <v/>
      </c>
      <c r="I1822" s="6" t="str">
        <f t="shared" si="102"/>
        <v>0</v>
      </c>
      <c r="O1822" t="s">
        <v>321</v>
      </c>
      <c r="P1822">
        <f>IF(C1822&lt;&gt;"",C1822,_xlfn.XLOOKUP(B1822,AI_NAMES!D:D,AI_NAMES!E:E,"",0))</f>
        <v>0</v>
      </c>
    </row>
    <row r="1823" spans="1:16" x14ac:dyDescent="0.2">
      <c r="A1823" t="s">
        <v>2029</v>
      </c>
      <c r="B1823" t="s">
        <v>321</v>
      </c>
      <c r="E1823" t="str">
        <f t="shared" si="103"/>
        <v/>
      </c>
      <c r="G1823" s="5" t="str">
        <f t="shared" si="104"/>
        <v/>
      </c>
      <c r="I1823" s="6" t="str">
        <f t="shared" si="102"/>
        <v>0</v>
      </c>
      <c r="O1823" t="s">
        <v>321</v>
      </c>
      <c r="P1823">
        <f>IF(C1823&lt;&gt;"",C1823,_xlfn.XLOOKUP(B1823,AI_NAMES!D:D,AI_NAMES!E:E,"",0))</f>
        <v>0</v>
      </c>
    </row>
    <row r="1824" spans="1:16" x14ac:dyDescent="0.2">
      <c r="A1824" t="s">
        <v>2030</v>
      </c>
      <c r="B1824" t="s">
        <v>321</v>
      </c>
      <c r="E1824" t="str">
        <f t="shared" si="103"/>
        <v/>
      </c>
      <c r="G1824" s="5" t="str">
        <f t="shared" si="104"/>
        <v/>
      </c>
      <c r="I1824" s="6" t="str">
        <f t="shared" si="102"/>
        <v>0</v>
      </c>
      <c r="O1824" t="s">
        <v>321</v>
      </c>
      <c r="P1824">
        <f>IF(C1824&lt;&gt;"",C1824,_xlfn.XLOOKUP(B1824,AI_NAMES!D:D,AI_NAMES!E:E,"",0))</f>
        <v>0</v>
      </c>
    </row>
    <row r="1825" spans="1:16" x14ac:dyDescent="0.2">
      <c r="A1825" t="s">
        <v>2031</v>
      </c>
      <c r="B1825" t="s">
        <v>2032</v>
      </c>
      <c r="E1825" t="str">
        <f t="shared" si="103"/>
        <v/>
      </c>
      <c r="G1825" s="5" t="str">
        <f t="shared" si="104"/>
        <v/>
      </c>
      <c r="I1825" s="6" t="str">
        <f t="shared" si="102"/>
        <v>0</v>
      </c>
      <c r="O1825" t="s">
        <v>2032</v>
      </c>
      <c r="P1825" t="str">
        <f>IF(C1825&lt;&gt;"",C1825,_xlfn.XLOOKUP(B1825,AI_NAMES!D:D,AI_NAMES!E:E,"",0))</f>
        <v/>
      </c>
    </row>
    <row r="1826" spans="1:16" x14ac:dyDescent="0.2">
      <c r="A1826" t="s">
        <v>2033</v>
      </c>
      <c r="B1826" t="s">
        <v>321</v>
      </c>
      <c r="E1826" t="str">
        <f t="shared" si="103"/>
        <v/>
      </c>
      <c r="G1826" s="5" t="str">
        <f t="shared" si="104"/>
        <v/>
      </c>
      <c r="I1826" s="6" t="str">
        <f t="shared" si="102"/>
        <v>0</v>
      </c>
      <c r="O1826" t="s">
        <v>321</v>
      </c>
      <c r="P1826">
        <f>IF(C1826&lt;&gt;"",C1826,_xlfn.XLOOKUP(B1826,AI_NAMES!D:D,AI_NAMES!E:E,"",0))</f>
        <v>0</v>
      </c>
    </row>
    <row r="1827" spans="1:16" x14ac:dyDescent="0.2">
      <c r="A1827" t="s">
        <v>2034</v>
      </c>
      <c r="B1827" t="s">
        <v>321</v>
      </c>
      <c r="E1827" t="str">
        <f t="shared" si="103"/>
        <v/>
      </c>
      <c r="G1827" s="5" t="str">
        <f t="shared" si="104"/>
        <v/>
      </c>
      <c r="I1827" s="6" t="str">
        <f t="shared" si="102"/>
        <v>0</v>
      </c>
      <c r="O1827" t="s">
        <v>321</v>
      </c>
      <c r="P1827">
        <f>IF(C1827&lt;&gt;"",C1827,_xlfn.XLOOKUP(B1827,AI_NAMES!D:D,AI_NAMES!E:E,"",0))</f>
        <v>0</v>
      </c>
    </row>
    <row r="1828" spans="1:16" x14ac:dyDescent="0.2">
      <c r="A1828" t="s">
        <v>2035</v>
      </c>
      <c r="B1828" t="s">
        <v>321</v>
      </c>
      <c r="E1828" t="str">
        <f t="shared" si="103"/>
        <v/>
      </c>
      <c r="G1828" s="5" t="str">
        <f t="shared" si="104"/>
        <v/>
      </c>
      <c r="I1828" s="6" t="str">
        <f t="shared" si="102"/>
        <v>0</v>
      </c>
      <c r="O1828" t="s">
        <v>321</v>
      </c>
      <c r="P1828">
        <f>IF(C1828&lt;&gt;"",C1828,_xlfn.XLOOKUP(B1828,AI_NAMES!D:D,AI_NAMES!E:E,"",0))</f>
        <v>0</v>
      </c>
    </row>
    <row r="1829" spans="1:16" x14ac:dyDescent="0.2">
      <c r="A1829" t="s">
        <v>2036</v>
      </c>
      <c r="B1829" t="s">
        <v>321</v>
      </c>
      <c r="E1829" t="str">
        <f t="shared" si="103"/>
        <v/>
      </c>
      <c r="G1829" s="5" t="str">
        <f t="shared" si="104"/>
        <v/>
      </c>
      <c r="I1829" s="6" t="str">
        <f t="shared" si="102"/>
        <v>0</v>
      </c>
      <c r="O1829" t="s">
        <v>321</v>
      </c>
      <c r="P1829">
        <f>IF(C1829&lt;&gt;"",C1829,_xlfn.XLOOKUP(B1829,AI_NAMES!D:D,AI_NAMES!E:E,"",0))</f>
        <v>0</v>
      </c>
    </row>
    <row r="1830" spans="1:16" x14ac:dyDescent="0.2">
      <c r="A1830" t="s">
        <v>2037</v>
      </c>
      <c r="B1830" t="s">
        <v>321</v>
      </c>
      <c r="E1830" t="str">
        <f t="shared" si="103"/>
        <v/>
      </c>
      <c r="G1830" s="5" t="str">
        <f t="shared" si="104"/>
        <v/>
      </c>
      <c r="I1830" s="6" t="str">
        <f t="shared" si="102"/>
        <v>0</v>
      </c>
      <c r="O1830" t="s">
        <v>321</v>
      </c>
      <c r="P1830">
        <f>IF(C1830&lt;&gt;"",C1830,_xlfn.XLOOKUP(B1830,AI_NAMES!D:D,AI_NAMES!E:E,"",0))</f>
        <v>0</v>
      </c>
    </row>
    <row r="1831" spans="1:16" x14ac:dyDescent="0.2">
      <c r="A1831" t="s">
        <v>2038</v>
      </c>
      <c r="B1831" t="s">
        <v>321</v>
      </c>
      <c r="E1831" t="str">
        <f t="shared" si="103"/>
        <v/>
      </c>
      <c r="G1831" s="5" t="str">
        <f t="shared" si="104"/>
        <v/>
      </c>
      <c r="I1831" s="6" t="str">
        <f t="shared" si="102"/>
        <v>0</v>
      </c>
      <c r="O1831" t="s">
        <v>321</v>
      </c>
      <c r="P1831">
        <f>IF(C1831&lt;&gt;"",C1831,_xlfn.XLOOKUP(B1831,AI_NAMES!D:D,AI_NAMES!E:E,"",0))</f>
        <v>0</v>
      </c>
    </row>
    <row r="1832" spans="1:16" x14ac:dyDescent="0.2">
      <c r="A1832" t="s">
        <v>2039</v>
      </c>
      <c r="B1832" t="s">
        <v>321</v>
      </c>
      <c r="E1832" t="str">
        <f t="shared" si="103"/>
        <v/>
      </c>
      <c r="G1832" s="5" t="str">
        <f t="shared" si="104"/>
        <v/>
      </c>
      <c r="I1832" s="6" t="str">
        <f t="shared" si="102"/>
        <v>0</v>
      </c>
      <c r="O1832" t="s">
        <v>321</v>
      </c>
      <c r="P1832">
        <f>IF(C1832&lt;&gt;"",C1832,_xlfn.XLOOKUP(B1832,AI_NAMES!D:D,AI_NAMES!E:E,"",0))</f>
        <v>0</v>
      </c>
    </row>
    <row r="1833" spans="1:16" x14ac:dyDescent="0.2">
      <c r="A1833" t="s">
        <v>2040</v>
      </c>
      <c r="B1833" t="s">
        <v>321</v>
      </c>
      <c r="E1833" t="str">
        <f t="shared" si="103"/>
        <v/>
      </c>
      <c r="G1833" s="5" t="str">
        <f t="shared" si="104"/>
        <v/>
      </c>
      <c r="I1833" s="6" t="str">
        <f t="shared" si="102"/>
        <v>0</v>
      </c>
      <c r="O1833" t="s">
        <v>321</v>
      </c>
      <c r="P1833">
        <f>IF(C1833&lt;&gt;"",C1833,_xlfn.XLOOKUP(B1833,AI_NAMES!D:D,AI_NAMES!E:E,"",0))</f>
        <v>0</v>
      </c>
    </row>
    <row r="1834" spans="1:16" x14ac:dyDescent="0.2">
      <c r="A1834" t="s">
        <v>2041</v>
      </c>
      <c r="B1834" t="s">
        <v>321</v>
      </c>
      <c r="E1834" t="str">
        <f t="shared" si="103"/>
        <v/>
      </c>
      <c r="G1834" s="5" t="str">
        <f t="shared" si="104"/>
        <v/>
      </c>
      <c r="I1834" s="6" t="str">
        <f t="shared" si="102"/>
        <v>0</v>
      </c>
      <c r="O1834" t="s">
        <v>321</v>
      </c>
      <c r="P1834">
        <f>IF(C1834&lt;&gt;"",C1834,_xlfn.XLOOKUP(B1834,AI_NAMES!D:D,AI_NAMES!E:E,"",0))</f>
        <v>0</v>
      </c>
    </row>
    <row r="1835" spans="1:16" x14ac:dyDescent="0.2">
      <c r="A1835" t="s">
        <v>2042</v>
      </c>
      <c r="B1835" t="s">
        <v>321</v>
      </c>
      <c r="E1835" t="str">
        <f t="shared" si="103"/>
        <v/>
      </c>
      <c r="G1835" s="5" t="str">
        <f t="shared" si="104"/>
        <v/>
      </c>
      <c r="I1835" s="6" t="str">
        <f t="shared" si="102"/>
        <v>0</v>
      </c>
      <c r="O1835" t="s">
        <v>321</v>
      </c>
      <c r="P1835">
        <f>IF(C1835&lt;&gt;"",C1835,_xlfn.XLOOKUP(B1835,AI_NAMES!D:D,AI_NAMES!E:E,"",0))</f>
        <v>0</v>
      </c>
    </row>
    <row r="1836" spans="1:16" x14ac:dyDescent="0.2">
      <c r="A1836" t="s">
        <v>2043</v>
      </c>
      <c r="B1836" t="s">
        <v>2044</v>
      </c>
      <c r="E1836" t="str">
        <f t="shared" si="103"/>
        <v/>
      </c>
      <c r="G1836" s="5" t="str">
        <f t="shared" si="104"/>
        <v/>
      </c>
      <c r="I1836" s="6" t="str">
        <f t="shared" si="102"/>
        <v>0</v>
      </c>
      <c r="O1836" t="s">
        <v>2044</v>
      </c>
      <c r="P1836" t="str">
        <f>IF(C1836&lt;&gt;"",C1836,_xlfn.XLOOKUP(B1836,AI_NAMES!D:D,AI_NAMES!E:E,"",0))</f>
        <v/>
      </c>
    </row>
    <row r="1837" spans="1:16" x14ac:dyDescent="0.2">
      <c r="A1837" t="s">
        <v>2045</v>
      </c>
      <c r="B1837" t="s">
        <v>321</v>
      </c>
      <c r="E1837" t="str">
        <f t="shared" si="103"/>
        <v/>
      </c>
      <c r="G1837" s="5" t="str">
        <f t="shared" si="104"/>
        <v/>
      </c>
      <c r="I1837" s="6" t="str">
        <f t="shared" si="102"/>
        <v>0</v>
      </c>
      <c r="O1837" t="s">
        <v>321</v>
      </c>
      <c r="P1837">
        <f>IF(C1837&lt;&gt;"",C1837,_xlfn.XLOOKUP(B1837,AI_NAMES!D:D,AI_NAMES!E:E,"",0))</f>
        <v>0</v>
      </c>
    </row>
    <row r="1838" spans="1:16" x14ac:dyDescent="0.2">
      <c r="A1838" t="s">
        <v>2046</v>
      </c>
      <c r="B1838" t="s">
        <v>321</v>
      </c>
      <c r="E1838" t="str">
        <f t="shared" si="103"/>
        <v/>
      </c>
      <c r="G1838" s="5" t="str">
        <f t="shared" si="104"/>
        <v/>
      </c>
      <c r="I1838" s="6" t="str">
        <f t="shared" si="102"/>
        <v>0</v>
      </c>
      <c r="O1838" t="s">
        <v>321</v>
      </c>
      <c r="P1838">
        <f>IF(C1838&lt;&gt;"",C1838,_xlfn.XLOOKUP(B1838,AI_NAMES!D:D,AI_NAMES!E:E,"",0))</f>
        <v>0</v>
      </c>
    </row>
    <row r="1839" spans="1:16" x14ac:dyDescent="0.2">
      <c r="A1839" t="s">
        <v>2047</v>
      </c>
      <c r="B1839" t="s">
        <v>321</v>
      </c>
      <c r="E1839" t="str">
        <f t="shared" si="103"/>
        <v/>
      </c>
      <c r="G1839" s="5" t="str">
        <f t="shared" si="104"/>
        <v/>
      </c>
      <c r="I1839" s="6" t="str">
        <f t="shared" si="102"/>
        <v>0</v>
      </c>
      <c r="O1839" t="s">
        <v>321</v>
      </c>
      <c r="P1839">
        <f>IF(C1839&lt;&gt;"",C1839,_xlfn.XLOOKUP(B1839,AI_NAMES!D:D,AI_NAMES!E:E,"",0))</f>
        <v>0</v>
      </c>
    </row>
    <row r="1840" spans="1:16" x14ac:dyDescent="0.2">
      <c r="A1840" t="s">
        <v>2048</v>
      </c>
      <c r="B1840" t="s">
        <v>321</v>
      </c>
      <c r="E1840" t="str">
        <f t="shared" si="103"/>
        <v/>
      </c>
      <c r="G1840" s="5" t="str">
        <f t="shared" si="104"/>
        <v/>
      </c>
      <c r="I1840" s="6" t="str">
        <f t="shared" si="102"/>
        <v>0</v>
      </c>
      <c r="O1840" t="s">
        <v>321</v>
      </c>
      <c r="P1840">
        <f>IF(C1840&lt;&gt;"",C1840,_xlfn.XLOOKUP(B1840,AI_NAMES!D:D,AI_NAMES!E:E,"",0))</f>
        <v>0</v>
      </c>
    </row>
    <row r="1841" spans="1:16" x14ac:dyDescent="0.2">
      <c r="A1841" t="s">
        <v>2049</v>
      </c>
      <c r="B1841" t="s">
        <v>321</v>
      </c>
      <c r="E1841" t="str">
        <f t="shared" si="103"/>
        <v/>
      </c>
      <c r="G1841" s="5" t="str">
        <f t="shared" si="104"/>
        <v/>
      </c>
      <c r="I1841" s="6" t="str">
        <f t="shared" si="102"/>
        <v>0</v>
      </c>
      <c r="O1841" t="s">
        <v>321</v>
      </c>
      <c r="P1841">
        <f>IF(C1841&lt;&gt;"",C1841,_xlfn.XLOOKUP(B1841,AI_NAMES!D:D,AI_NAMES!E:E,"",0))</f>
        <v>0</v>
      </c>
    </row>
    <row r="1842" spans="1:16" x14ac:dyDescent="0.2">
      <c r="A1842" t="s">
        <v>2050</v>
      </c>
      <c r="B1842" t="s">
        <v>321</v>
      </c>
      <c r="E1842" t="str">
        <f t="shared" si="103"/>
        <v/>
      </c>
      <c r="G1842" s="5" t="str">
        <f t="shared" si="104"/>
        <v/>
      </c>
      <c r="I1842" s="6" t="str">
        <f t="shared" si="102"/>
        <v>0</v>
      </c>
      <c r="O1842" t="s">
        <v>321</v>
      </c>
      <c r="P1842">
        <f>IF(C1842&lt;&gt;"",C1842,_xlfn.XLOOKUP(B1842,AI_NAMES!D:D,AI_NAMES!E:E,"",0))</f>
        <v>0</v>
      </c>
    </row>
    <row r="1843" spans="1:16" x14ac:dyDescent="0.2">
      <c r="A1843" t="s">
        <v>2051</v>
      </c>
      <c r="B1843" t="s">
        <v>321</v>
      </c>
      <c r="E1843" t="str">
        <f t="shared" si="103"/>
        <v/>
      </c>
      <c r="G1843" s="5" t="str">
        <f t="shared" si="104"/>
        <v/>
      </c>
      <c r="I1843" s="6" t="str">
        <f t="shared" si="102"/>
        <v>0</v>
      </c>
      <c r="O1843" t="s">
        <v>321</v>
      </c>
      <c r="P1843">
        <f>IF(C1843&lt;&gt;"",C1843,_xlfn.XLOOKUP(B1843,AI_NAMES!D:D,AI_NAMES!E:E,"",0))</f>
        <v>0</v>
      </c>
    </row>
    <row r="1844" spans="1:16" x14ac:dyDescent="0.2">
      <c r="A1844" t="s">
        <v>2052</v>
      </c>
      <c r="B1844" t="s">
        <v>321</v>
      </c>
      <c r="E1844" t="str">
        <f t="shared" si="103"/>
        <v/>
      </c>
      <c r="G1844" s="5" t="str">
        <f t="shared" si="104"/>
        <v/>
      </c>
      <c r="I1844" s="6" t="str">
        <f t="shared" si="102"/>
        <v>0</v>
      </c>
      <c r="O1844" t="s">
        <v>321</v>
      </c>
      <c r="P1844">
        <f>IF(C1844&lt;&gt;"",C1844,_xlfn.XLOOKUP(B1844,AI_NAMES!D:D,AI_NAMES!E:E,"",0))</f>
        <v>0</v>
      </c>
    </row>
    <row r="1845" spans="1:16" x14ac:dyDescent="0.2">
      <c r="A1845" t="s">
        <v>2053</v>
      </c>
      <c r="B1845" t="s">
        <v>321</v>
      </c>
      <c r="E1845" t="str">
        <f t="shared" si="103"/>
        <v/>
      </c>
      <c r="G1845" s="5" t="str">
        <f t="shared" si="104"/>
        <v/>
      </c>
      <c r="I1845" s="6" t="str">
        <f t="shared" si="102"/>
        <v>0</v>
      </c>
      <c r="O1845" t="s">
        <v>321</v>
      </c>
      <c r="P1845">
        <f>IF(C1845&lt;&gt;"",C1845,_xlfn.XLOOKUP(B1845,AI_NAMES!D:D,AI_NAMES!E:E,"",0))</f>
        <v>0</v>
      </c>
    </row>
    <row r="1846" spans="1:16" x14ac:dyDescent="0.2">
      <c r="A1846" t="s">
        <v>2054</v>
      </c>
      <c r="B1846" t="s">
        <v>321</v>
      </c>
      <c r="E1846" t="str">
        <f t="shared" si="103"/>
        <v/>
      </c>
      <c r="G1846" s="5" t="str">
        <f t="shared" si="104"/>
        <v/>
      </c>
      <c r="I1846" s="6" t="str">
        <f t="shared" si="102"/>
        <v>0</v>
      </c>
      <c r="O1846" t="s">
        <v>321</v>
      </c>
      <c r="P1846">
        <f>IF(C1846&lt;&gt;"",C1846,_xlfn.XLOOKUP(B1846,AI_NAMES!D:D,AI_NAMES!E:E,"",0))</f>
        <v>0</v>
      </c>
    </row>
    <row r="1847" spans="1:16" x14ac:dyDescent="0.2">
      <c r="A1847" t="s">
        <v>2055</v>
      </c>
      <c r="B1847" t="s">
        <v>321</v>
      </c>
      <c r="E1847" t="str">
        <f t="shared" si="103"/>
        <v/>
      </c>
      <c r="G1847" s="5" t="str">
        <f t="shared" si="104"/>
        <v/>
      </c>
      <c r="I1847" s="6" t="str">
        <f t="shared" si="102"/>
        <v>0</v>
      </c>
      <c r="O1847" t="s">
        <v>321</v>
      </c>
      <c r="P1847">
        <f>IF(C1847&lt;&gt;"",C1847,_xlfn.XLOOKUP(B1847,AI_NAMES!D:D,AI_NAMES!E:E,"",0))</f>
        <v>0</v>
      </c>
    </row>
    <row r="1848" spans="1:16" x14ac:dyDescent="0.2">
      <c r="A1848" t="s">
        <v>2056</v>
      </c>
      <c r="B1848" t="s">
        <v>321</v>
      </c>
      <c r="E1848" t="str">
        <f t="shared" si="103"/>
        <v/>
      </c>
      <c r="G1848" s="5" t="str">
        <f t="shared" si="104"/>
        <v/>
      </c>
      <c r="I1848" s="6" t="str">
        <f t="shared" si="102"/>
        <v>0</v>
      </c>
      <c r="O1848" t="s">
        <v>321</v>
      </c>
      <c r="P1848">
        <f>IF(C1848&lt;&gt;"",C1848,_xlfn.XLOOKUP(B1848,AI_NAMES!D:D,AI_NAMES!E:E,"",0))</f>
        <v>0</v>
      </c>
    </row>
    <row r="1849" spans="1:16" x14ac:dyDescent="0.2">
      <c r="A1849" t="s">
        <v>2057</v>
      </c>
      <c r="B1849" t="s">
        <v>2058</v>
      </c>
      <c r="E1849" t="str">
        <f t="shared" si="103"/>
        <v/>
      </c>
      <c r="G1849" s="5" t="str">
        <f t="shared" si="104"/>
        <v/>
      </c>
      <c r="I1849" s="6" t="str">
        <f t="shared" si="102"/>
        <v>0</v>
      </c>
      <c r="O1849" t="s">
        <v>2058</v>
      </c>
      <c r="P1849" t="str">
        <f>IF(C1849&lt;&gt;"",C1849,_xlfn.XLOOKUP(B1849,AI_NAMES!D:D,AI_NAMES!E:E,"",0))</f>
        <v/>
      </c>
    </row>
    <row r="1850" spans="1:16" x14ac:dyDescent="0.2">
      <c r="A1850" t="s">
        <v>2059</v>
      </c>
      <c r="B1850" t="s">
        <v>2060</v>
      </c>
      <c r="E1850" t="str">
        <f t="shared" si="103"/>
        <v/>
      </c>
      <c r="G1850" s="5" t="str">
        <f t="shared" si="104"/>
        <v/>
      </c>
      <c r="I1850" s="6" t="str">
        <f t="shared" si="102"/>
        <v>0</v>
      </c>
      <c r="O1850" t="s">
        <v>2060</v>
      </c>
      <c r="P1850" t="str">
        <f>IF(C1850&lt;&gt;"",C1850,_xlfn.XLOOKUP(B1850,AI_NAMES!D:D,AI_NAMES!E:E,"",0))</f>
        <v/>
      </c>
    </row>
    <row r="1851" spans="1:16" x14ac:dyDescent="0.2">
      <c r="A1851" t="s">
        <v>2061</v>
      </c>
      <c r="B1851" t="s">
        <v>3394</v>
      </c>
      <c r="E1851" t="str">
        <f t="shared" si="103"/>
        <v/>
      </c>
      <c r="G1851" s="5" t="str">
        <f t="shared" si="104"/>
        <v/>
      </c>
      <c r="I1851" s="6" t="str">
        <f t="shared" si="102"/>
        <v>0</v>
      </c>
      <c r="O1851" t="s">
        <v>3394</v>
      </c>
      <c r="P1851" t="str">
        <f>IF(C1851&lt;&gt;"",C1851,_xlfn.XLOOKUP(B1851,AI_NAMES!D:D,AI_NAMES!E:E,"",0))</f>
        <v/>
      </c>
    </row>
    <row r="1852" spans="1:16" x14ac:dyDescent="0.2">
      <c r="A1852" t="s">
        <v>2062</v>
      </c>
      <c r="B1852" t="s">
        <v>3393</v>
      </c>
      <c r="E1852" t="str">
        <f t="shared" si="103"/>
        <v/>
      </c>
      <c r="G1852" s="5" t="str">
        <f t="shared" si="104"/>
        <v/>
      </c>
      <c r="I1852" s="6" t="str">
        <f t="shared" si="102"/>
        <v>0</v>
      </c>
      <c r="O1852" t="s">
        <v>3393</v>
      </c>
      <c r="P1852" t="str">
        <f>IF(C1852&lt;&gt;"",C1852,_xlfn.XLOOKUP(B1852,AI_NAMES!D:D,AI_NAMES!E:E,"",0))</f>
        <v/>
      </c>
    </row>
    <row r="1853" spans="1:16" x14ac:dyDescent="0.2">
      <c r="A1853" t="s">
        <v>2063</v>
      </c>
      <c r="B1853" t="s">
        <v>2064</v>
      </c>
      <c r="E1853" t="str">
        <f t="shared" si="103"/>
        <v/>
      </c>
      <c r="G1853" s="5" t="str">
        <f t="shared" si="104"/>
        <v/>
      </c>
      <c r="I1853" s="6" t="str">
        <f t="shared" si="102"/>
        <v>0</v>
      </c>
      <c r="O1853" t="s">
        <v>2064</v>
      </c>
      <c r="P1853" t="str">
        <f>IF(C1853&lt;&gt;"",C1853,_xlfn.XLOOKUP(B1853,AI_NAMES!D:D,AI_NAMES!E:E,"",0))</f>
        <v/>
      </c>
    </row>
    <row r="1854" spans="1:16" x14ac:dyDescent="0.2">
      <c r="A1854" t="s">
        <v>2065</v>
      </c>
      <c r="E1854" t="str">
        <f t="shared" si="103"/>
        <v/>
      </c>
      <c r="G1854" s="5" t="str">
        <f t="shared" si="104"/>
        <v/>
      </c>
      <c r="I1854" s="6" t="str">
        <f t="shared" si="102"/>
        <v>0</v>
      </c>
      <c r="P1854">
        <f>IF(C1854&lt;&gt;"",C1854,_xlfn.XLOOKUP(B1854,AI_NAMES!D:D,AI_NAMES!E:E,"",0))</f>
        <v>0</v>
      </c>
    </row>
    <row r="1855" spans="1:16" x14ac:dyDescent="0.2">
      <c r="A1855" t="s">
        <v>2066</v>
      </c>
      <c r="B1855" t="s">
        <v>321</v>
      </c>
      <c r="E1855" t="str">
        <f t="shared" si="103"/>
        <v/>
      </c>
      <c r="G1855" s="5" t="str">
        <f t="shared" si="104"/>
        <v/>
      </c>
      <c r="I1855" s="6" t="str">
        <f t="shared" si="102"/>
        <v>0</v>
      </c>
      <c r="O1855" t="s">
        <v>321</v>
      </c>
      <c r="P1855">
        <f>IF(C1855&lt;&gt;"",C1855,_xlfn.XLOOKUP(B1855,AI_NAMES!D:D,AI_NAMES!E:E,"",0))</f>
        <v>0</v>
      </c>
    </row>
    <row r="1856" spans="1:16" x14ac:dyDescent="0.2">
      <c r="A1856" t="s">
        <v>2067</v>
      </c>
      <c r="B1856" t="s">
        <v>321</v>
      </c>
      <c r="E1856" t="str">
        <f t="shared" si="103"/>
        <v/>
      </c>
      <c r="G1856" s="5" t="str">
        <f t="shared" si="104"/>
        <v/>
      </c>
      <c r="I1856" s="6" t="str">
        <f t="shared" si="102"/>
        <v>0</v>
      </c>
      <c r="O1856" t="s">
        <v>321</v>
      </c>
      <c r="P1856">
        <f>IF(C1856&lt;&gt;"",C1856,_xlfn.XLOOKUP(B1856,AI_NAMES!D:D,AI_NAMES!E:E,"",0))</f>
        <v>0</v>
      </c>
    </row>
    <row r="1857" spans="1:16" x14ac:dyDescent="0.2">
      <c r="A1857" t="s">
        <v>2068</v>
      </c>
      <c r="B1857" t="s">
        <v>321</v>
      </c>
      <c r="E1857" t="str">
        <f t="shared" si="103"/>
        <v/>
      </c>
      <c r="G1857" s="5" t="str">
        <f t="shared" si="104"/>
        <v/>
      </c>
      <c r="I1857" s="6" t="str">
        <f t="shared" si="102"/>
        <v>0</v>
      </c>
      <c r="O1857" t="s">
        <v>321</v>
      </c>
      <c r="P1857">
        <f>IF(C1857&lt;&gt;"",C1857,_xlfn.XLOOKUP(B1857,AI_NAMES!D:D,AI_NAMES!E:E,"",0))</f>
        <v>0</v>
      </c>
    </row>
    <row r="1858" spans="1:16" x14ac:dyDescent="0.2">
      <c r="A1858" t="s">
        <v>2069</v>
      </c>
      <c r="B1858" t="s">
        <v>321</v>
      </c>
      <c r="E1858" t="str">
        <f t="shared" si="103"/>
        <v/>
      </c>
      <c r="G1858" s="5" t="str">
        <f t="shared" si="104"/>
        <v/>
      </c>
      <c r="I1858" s="6" t="str">
        <f t="shared" si="102"/>
        <v>0</v>
      </c>
      <c r="O1858" t="s">
        <v>321</v>
      </c>
      <c r="P1858">
        <f>IF(C1858&lt;&gt;"",C1858,_xlfn.XLOOKUP(B1858,AI_NAMES!D:D,AI_NAMES!E:E,"",0))</f>
        <v>0</v>
      </c>
    </row>
    <row r="1859" spans="1:16" x14ac:dyDescent="0.2">
      <c r="A1859" t="s">
        <v>2070</v>
      </c>
      <c r="B1859" t="s">
        <v>321</v>
      </c>
      <c r="E1859" t="str">
        <f t="shared" si="103"/>
        <v/>
      </c>
      <c r="G1859" s="5" t="str">
        <f t="shared" si="104"/>
        <v/>
      </c>
      <c r="I1859" s="6" t="str">
        <f t="shared" ref="I1859:I1922" si="105">IFERROR(DEC2HEX(H1859),"")</f>
        <v>0</v>
      </c>
      <c r="O1859" t="s">
        <v>321</v>
      </c>
      <c r="P1859">
        <f>IF(C1859&lt;&gt;"",C1859,_xlfn.XLOOKUP(B1859,AI_NAMES!D:D,AI_NAMES!E:E,"",0))</f>
        <v>0</v>
      </c>
    </row>
    <row r="1860" spans="1:16" x14ac:dyDescent="0.2">
      <c r="A1860" t="s">
        <v>2071</v>
      </c>
      <c r="B1860" t="s">
        <v>321</v>
      </c>
      <c r="E1860" t="str">
        <f t="shared" ref="E1860:E1923" si="106">IF(D1860&lt;&gt;"",C1860&amp;"/"&amp;D1860,"")</f>
        <v/>
      </c>
      <c r="G1860" s="5" t="str">
        <f t="shared" si="104"/>
        <v/>
      </c>
      <c r="I1860" s="6" t="str">
        <f t="shared" si="105"/>
        <v>0</v>
      </c>
      <c r="O1860" t="s">
        <v>321</v>
      </c>
      <c r="P1860">
        <f>IF(C1860&lt;&gt;"",C1860,_xlfn.XLOOKUP(B1860,AI_NAMES!D:D,AI_NAMES!E:E,"",0))</f>
        <v>0</v>
      </c>
    </row>
    <row r="1861" spans="1:16" x14ac:dyDescent="0.2">
      <c r="A1861" t="s">
        <v>2072</v>
      </c>
      <c r="B1861" t="s">
        <v>321</v>
      </c>
      <c r="E1861" t="str">
        <f t="shared" si="106"/>
        <v/>
      </c>
      <c r="G1861" s="5" t="str">
        <f t="shared" si="104"/>
        <v/>
      </c>
      <c r="I1861" s="6" t="str">
        <f t="shared" si="105"/>
        <v>0</v>
      </c>
      <c r="O1861" t="s">
        <v>321</v>
      </c>
      <c r="P1861">
        <f>IF(C1861&lt;&gt;"",C1861,_xlfn.XLOOKUP(B1861,AI_NAMES!D:D,AI_NAMES!E:E,"",0))</f>
        <v>0</v>
      </c>
    </row>
    <row r="1862" spans="1:16" x14ac:dyDescent="0.2">
      <c r="A1862" t="s">
        <v>2073</v>
      </c>
      <c r="B1862" t="s">
        <v>321</v>
      </c>
      <c r="E1862" t="str">
        <f t="shared" si="106"/>
        <v/>
      </c>
      <c r="G1862" s="5" t="str">
        <f t="shared" si="104"/>
        <v/>
      </c>
      <c r="I1862" s="6" t="str">
        <f t="shared" si="105"/>
        <v>0</v>
      </c>
      <c r="O1862" t="s">
        <v>321</v>
      </c>
      <c r="P1862">
        <f>IF(C1862&lt;&gt;"",C1862,_xlfn.XLOOKUP(B1862,AI_NAMES!D:D,AI_NAMES!E:E,"",0))</f>
        <v>0</v>
      </c>
    </row>
    <row r="1863" spans="1:16" x14ac:dyDescent="0.2">
      <c r="A1863" t="s">
        <v>2074</v>
      </c>
      <c r="B1863" t="s">
        <v>321</v>
      </c>
      <c r="E1863" t="str">
        <f t="shared" si="106"/>
        <v/>
      </c>
      <c r="G1863" s="5" t="str">
        <f t="shared" si="104"/>
        <v/>
      </c>
      <c r="I1863" s="6" t="str">
        <f t="shared" si="105"/>
        <v>0</v>
      </c>
      <c r="O1863" t="s">
        <v>321</v>
      </c>
      <c r="P1863">
        <f>IF(C1863&lt;&gt;"",C1863,_xlfn.XLOOKUP(B1863,AI_NAMES!D:D,AI_NAMES!E:E,"",0))</f>
        <v>0</v>
      </c>
    </row>
    <row r="1864" spans="1:16" x14ac:dyDescent="0.2">
      <c r="A1864" t="s">
        <v>2075</v>
      </c>
      <c r="B1864" t="s">
        <v>321</v>
      </c>
      <c r="E1864" t="str">
        <f t="shared" si="106"/>
        <v/>
      </c>
      <c r="G1864" s="5" t="str">
        <f t="shared" si="104"/>
        <v/>
      </c>
      <c r="I1864" s="6" t="str">
        <f t="shared" si="105"/>
        <v>0</v>
      </c>
      <c r="O1864" t="s">
        <v>321</v>
      </c>
      <c r="P1864">
        <f>IF(C1864&lt;&gt;"",C1864,_xlfn.XLOOKUP(B1864,AI_NAMES!D:D,AI_NAMES!E:E,"",0))</f>
        <v>0</v>
      </c>
    </row>
    <row r="1865" spans="1:16" x14ac:dyDescent="0.2">
      <c r="A1865" t="s">
        <v>2076</v>
      </c>
      <c r="B1865" t="s">
        <v>321</v>
      </c>
      <c r="E1865" t="str">
        <f t="shared" si="106"/>
        <v/>
      </c>
      <c r="G1865" s="5" t="str">
        <f t="shared" ref="G1865:G1928" si="107">IF(F1865&lt;&gt;"",HEX2DEC(SUBSTITUTE(SUBSTITUTE(F1865,"adrEA",""),"$","")),"")</f>
        <v/>
      </c>
      <c r="I1865" s="6" t="str">
        <f t="shared" si="105"/>
        <v>0</v>
      </c>
      <c r="O1865" t="s">
        <v>321</v>
      </c>
      <c r="P1865">
        <f>IF(C1865&lt;&gt;"",C1865,_xlfn.XLOOKUP(B1865,AI_NAMES!D:D,AI_NAMES!E:E,"",0))</f>
        <v>0</v>
      </c>
    </row>
    <row r="1866" spans="1:16" x14ac:dyDescent="0.2">
      <c r="A1866" t="s">
        <v>2077</v>
      </c>
      <c r="B1866" t="s">
        <v>321</v>
      </c>
      <c r="E1866" t="str">
        <f t="shared" si="106"/>
        <v/>
      </c>
      <c r="G1866" s="5" t="str">
        <f t="shared" si="107"/>
        <v/>
      </c>
      <c r="I1866" s="6" t="str">
        <f t="shared" si="105"/>
        <v>0</v>
      </c>
      <c r="O1866" t="s">
        <v>321</v>
      </c>
      <c r="P1866">
        <f>IF(C1866&lt;&gt;"",C1866,_xlfn.XLOOKUP(B1866,AI_NAMES!D:D,AI_NAMES!E:E,"",0))</f>
        <v>0</v>
      </c>
    </row>
    <row r="1867" spans="1:16" x14ac:dyDescent="0.2">
      <c r="A1867" t="s">
        <v>2078</v>
      </c>
      <c r="B1867" t="s">
        <v>321</v>
      </c>
      <c r="E1867" t="str">
        <f t="shared" si="106"/>
        <v/>
      </c>
      <c r="G1867" s="5" t="str">
        <f t="shared" si="107"/>
        <v/>
      </c>
      <c r="I1867" s="6" t="str">
        <f t="shared" si="105"/>
        <v>0</v>
      </c>
      <c r="O1867" t="s">
        <v>321</v>
      </c>
      <c r="P1867">
        <f>IF(C1867&lt;&gt;"",C1867,_xlfn.XLOOKUP(B1867,AI_NAMES!D:D,AI_NAMES!E:E,"",0))</f>
        <v>0</v>
      </c>
    </row>
    <row r="1868" spans="1:16" x14ac:dyDescent="0.2">
      <c r="A1868" t="s">
        <v>2079</v>
      </c>
      <c r="B1868" t="s">
        <v>2079</v>
      </c>
      <c r="E1868" t="str">
        <f t="shared" si="106"/>
        <v/>
      </c>
      <c r="G1868" s="5" t="str">
        <f t="shared" si="107"/>
        <v/>
      </c>
      <c r="I1868" s="6" t="str">
        <f t="shared" si="105"/>
        <v>0</v>
      </c>
      <c r="O1868" t="s">
        <v>2079</v>
      </c>
      <c r="P1868" t="str">
        <f>IF(C1868&lt;&gt;"",C1868,_xlfn.XLOOKUP(B1868,AI_NAMES!D:D,AI_NAMES!E:E,"",0))</f>
        <v/>
      </c>
    </row>
    <row r="1869" spans="1:16" x14ac:dyDescent="0.2">
      <c r="A1869" t="s">
        <v>2080</v>
      </c>
      <c r="B1869" t="s">
        <v>2080</v>
      </c>
      <c r="E1869" t="str">
        <f t="shared" si="106"/>
        <v/>
      </c>
      <c r="G1869" s="5" t="str">
        <f t="shared" si="107"/>
        <v/>
      </c>
      <c r="I1869" s="6" t="str">
        <f t="shared" si="105"/>
        <v>0</v>
      </c>
      <c r="O1869" t="s">
        <v>2080</v>
      </c>
      <c r="P1869" t="str">
        <f>IF(C1869&lt;&gt;"",C1869,_xlfn.XLOOKUP(B1869,AI_NAMES!D:D,AI_NAMES!E:E,"",0))</f>
        <v/>
      </c>
    </row>
    <row r="1870" spans="1:16" x14ac:dyDescent="0.2">
      <c r="A1870" t="s">
        <v>2081</v>
      </c>
      <c r="B1870" t="s">
        <v>321</v>
      </c>
      <c r="E1870" t="str">
        <f t="shared" si="106"/>
        <v/>
      </c>
      <c r="G1870" s="5" t="str">
        <f t="shared" si="107"/>
        <v/>
      </c>
      <c r="I1870" s="6" t="str">
        <f t="shared" si="105"/>
        <v>0</v>
      </c>
      <c r="O1870" t="s">
        <v>321</v>
      </c>
      <c r="P1870">
        <f>IF(C1870&lt;&gt;"",C1870,_xlfn.XLOOKUP(B1870,AI_NAMES!D:D,AI_NAMES!E:E,"",0))</f>
        <v>0</v>
      </c>
    </row>
    <row r="1871" spans="1:16" x14ac:dyDescent="0.2">
      <c r="A1871" t="s">
        <v>2082</v>
      </c>
      <c r="B1871" t="s">
        <v>321</v>
      </c>
      <c r="E1871" t="str">
        <f t="shared" si="106"/>
        <v/>
      </c>
      <c r="G1871" s="5" t="str">
        <f t="shared" si="107"/>
        <v/>
      </c>
      <c r="I1871" s="6" t="str">
        <f t="shared" si="105"/>
        <v>0</v>
      </c>
      <c r="O1871" t="s">
        <v>321</v>
      </c>
      <c r="P1871">
        <f>IF(C1871&lt;&gt;"",C1871,_xlfn.XLOOKUP(B1871,AI_NAMES!D:D,AI_NAMES!E:E,"",0))</f>
        <v>0</v>
      </c>
    </row>
    <row r="1872" spans="1:16" x14ac:dyDescent="0.2">
      <c r="A1872" t="s">
        <v>2083</v>
      </c>
      <c r="B1872" t="s">
        <v>321</v>
      </c>
      <c r="E1872" t="str">
        <f t="shared" si="106"/>
        <v/>
      </c>
      <c r="G1872" s="5" t="str">
        <f t="shared" si="107"/>
        <v/>
      </c>
      <c r="I1872" s="6" t="str">
        <f t="shared" si="105"/>
        <v>0</v>
      </c>
      <c r="O1872" t="s">
        <v>321</v>
      </c>
      <c r="P1872">
        <f>IF(C1872&lt;&gt;"",C1872,_xlfn.XLOOKUP(B1872,AI_NAMES!D:D,AI_NAMES!E:E,"",0))</f>
        <v>0</v>
      </c>
    </row>
    <row r="1873" spans="1:16" x14ac:dyDescent="0.2">
      <c r="A1873" t="s">
        <v>2084</v>
      </c>
      <c r="B1873" t="s">
        <v>321</v>
      </c>
      <c r="E1873" t="str">
        <f t="shared" si="106"/>
        <v/>
      </c>
      <c r="G1873" s="5" t="str">
        <f t="shared" si="107"/>
        <v/>
      </c>
      <c r="I1873" s="6" t="str">
        <f t="shared" si="105"/>
        <v>0</v>
      </c>
      <c r="O1873" t="s">
        <v>321</v>
      </c>
      <c r="P1873">
        <f>IF(C1873&lt;&gt;"",C1873,_xlfn.XLOOKUP(B1873,AI_NAMES!D:D,AI_NAMES!E:E,"",0))</f>
        <v>0</v>
      </c>
    </row>
    <row r="1874" spans="1:16" x14ac:dyDescent="0.2">
      <c r="A1874" t="s">
        <v>2085</v>
      </c>
      <c r="B1874" t="s">
        <v>321</v>
      </c>
      <c r="E1874" t="str">
        <f t="shared" si="106"/>
        <v/>
      </c>
      <c r="G1874" s="5" t="str">
        <f t="shared" si="107"/>
        <v/>
      </c>
      <c r="I1874" s="6" t="str">
        <f t="shared" si="105"/>
        <v>0</v>
      </c>
      <c r="O1874" t="s">
        <v>321</v>
      </c>
      <c r="P1874">
        <f>IF(C1874&lt;&gt;"",C1874,_xlfn.XLOOKUP(B1874,AI_NAMES!D:D,AI_NAMES!E:E,"",0))</f>
        <v>0</v>
      </c>
    </row>
    <row r="1875" spans="1:16" x14ac:dyDescent="0.2">
      <c r="A1875" t="s">
        <v>2086</v>
      </c>
      <c r="B1875" t="s">
        <v>321</v>
      </c>
      <c r="E1875" t="str">
        <f t="shared" si="106"/>
        <v/>
      </c>
      <c r="G1875" s="5" t="str">
        <f t="shared" si="107"/>
        <v/>
      </c>
      <c r="I1875" s="6" t="str">
        <f t="shared" si="105"/>
        <v>0</v>
      </c>
      <c r="O1875" t="s">
        <v>321</v>
      </c>
      <c r="P1875">
        <f>IF(C1875&lt;&gt;"",C1875,_xlfn.XLOOKUP(B1875,AI_NAMES!D:D,AI_NAMES!E:E,"",0))</f>
        <v>0</v>
      </c>
    </row>
    <row r="1876" spans="1:16" x14ac:dyDescent="0.2">
      <c r="A1876" t="s">
        <v>2087</v>
      </c>
      <c r="B1876" t="s">
        <v>321</v>
      </c>
      <c r="E1876" t="str">
        <f t="shared" si="106"/>
        <v/>
      </c>
      <c r="G1876" s="5" t="str">
        <f t="shared" si="107"/>
        <v/>
      </c>
      <c r="I1876" s="6" t="str">
        <f t="shared" si="105"/>
        <v>0</v>
      </c>
      <c r="O1876" t="s">
        <v>321</v>
      </c>
      <c r="P1876">
        <f>IF(C1876&lt;&gt;"",C1876,_xlfn.XLOOKUP(B1876,AI_NAMES!D:D,AI_NAMES!E:E,"",0))</f>
        <v>0</v>
      </c>
    </row>
    <row r="1877" spans="1:16" x14ac:dyDescent="0.2">
      <c r="A1877" t="s">
        <v>2088</v>
      </c>
      <c r="B1877" t="s">
        <v>321</v>
      </c>
      <c r="E1877" t="str">
        <f t="shared" si="106"/>
        <v/>
      </c>
      <c r="G1877" s="5" t="str">
        <f t="shared" si="107"/>
        <v/>
      </c>
      <c r="I1877" s="6" t="str">
        <f t="shared" si="105"/>
        <v>0</v>
      </c>
      <c r="O1877" t="s">
        <v>321</v>
      </c>
      <c r="P1877">
        <f>IF(C1877&lt;&gt;"",C1877,_xlfn.XLOOKUP(B1877,AI_NAMES!D:D,AI_NAMES!E:E,"",0))</f>
        <v>0</v>
      </c>
    </row>
    <row r="1878" spans="1:16" x14ac:dyDescent="0.2">
      <c r="A1878" t="s">
        <v>2089</v>
      </c>
      <c r="B1878" t="s">
        <v>321</v>
      </c>
      <c r="E1878" t="str">
        <f t="shared" si="106"/>
        <v/>
      </c>
      <c r="G1878" s="5" t="str">
        <f t="shared" si="107"/>
        <v/>
      </c>
      <c r="I1878" s="6" t="str">
        <f t="shared" si="105"/>
        <v>0</v>
      </c>
      <c r="O1878" t="s">
        <v>321</v>
      </c>
      <c r="P1878">
        <f>IF(C1878&lt;&gt;"",C1878,_xlfn.XLOOKUP(B1878,AI_NAMES!D:D,AI_NAMES!E:E,"",0))</f>
        <v>0</v>
      </c>
    </row>
    <row r="1879" spans="1:16" x14ac:dyDescent="0.2">
      <c r="A1879" t="s">
        <v>2090</v>
      </c>
      <c r="B1879" t="s">
        <v>321</v>
      </c>
      <c r="E1879" t="str">
        <f t="shared" si="106"/>
        <v/>
      </c>
      <c r="G1879" s="5" t="str">
        <f t="shared" si="107"/>
        <v/>
      </c>
      <c r="I1879" s="6" t="str">
        <f t="shared" si="105"/>
        <v>0</v>
      </c>
      <c r="O1879" t="s">
        <v>321</v>
      </c>
      <c r="P1879">
        <f>IF(C1879&lt;&gt;"",C1879,_xlfn.XLOOKUP(B1879,AI_NAMES!D:D,AI_NAMES!E:E,"",0))</f>
        <v>0</v>
      </c>
    </row>
    <row r="1880" spans="1:16" x14ac:dyDescent="0.2">
      <c r="A1880" t="s">
        <v>2091</v>
      </c>
      <c r="B1880" t="s">
        <v>2091</v>
      </c>
      <c r="E1880" t="str">
        <f t="shared" si="106"/>
        <v/>
      </c>
      <c r="G1880" s="5" t="str">
        <f t="shared" si="107"/>
        <v/>
      </c>
      <c r="I1880" s="6" t="str">
        <f t="shared" si="105"/>
        <v>0</v>
      </c>
      <c r="O1880" t="s">
        <v>2091</v>
      </c>
      <c r="P1880" t="str">
        <f>IF(C1880&lt;&gt;"",C1880,_xlfn.XLOOKUP(B1880,AI_NAMES!D:D,AI_NAMES!E:E,"",0))</f>
        <v/>
      </c>
    </row>
    <row r="1881" spans="1:16" x14ac:dyDescent="0.2">
      <c r="A1881" t="s">
        <v>2092</v>
      </c>
      <c r="B1881" t="s">
        <v>2092</v>
      </c>
      <c r="E1881" t="str">
        <f t="shared" si="106"/>
        <v/>
      </c>
      <c r="G1881" s="5" t="str">
        <f t="shared" si="107"/>
        <v/>
      </c>
      <c r="I1881" s="6" t="str">
        <f t="shared" si="105"/>
        <v>0</v>
      </c>
      <c r="O1881" t="s">
        <v>2092</v>
      </c>
      <c r="P1881" t="str">
        <f>IF(C1881&lt;&gt;"",C1881,_xlfn.XLOOKUP(B1881,AI_NAMES!D:D,AI_NAMES!E:E,"",0))</f>
        <v/>
      </c>
    </row>
    <row r="1882" spans="1:16" x14ac:dyDescent="0.2">
      <c r="A1882" t="s">
        <v>2093</v>
      </c>
      <c r="B1882" t="s">
        <v>2093</v>
      </c>
      <c r="E1882" t="str">
        <f t="shared" si="106"/>
        <v/>
      </c>
      <c r="G1882" s="5" t="str">
        <f t="shared" si="107"/>
        <v/>
      </c>
      <c r="I1882" s="6" t="str">
        <f t="shared" si="105"/>
        <v>0</v>
      </c>
      <c r="O1882" t="s">
        <v>2093</v>
      </c>
      <c r="P1882" t="str">
        <f>IF(C1882&lt;&gt;"",C1882,_xlfn.XLOOKUP(B1882,AI_NAMES!D:D,AI_NAMES!E:E,"",0))</f>
        <v/>
      </c>
    </row>
    <row r="1883" spans="1:16" x14ac:dyDescent="0.2">
      <c r="A1883" t="s">
        <v>2094</v>
      </c>
      <c r="B1883" t="s">
        <v>2095</v>
      </c>
      <c r="E1883" t="str">
        <f t="shared" si="106"/>
        <v/>
      </c>
      <c r="G1883" s="5" t="str">
        <f t="shared" si="107"/>
        <v/>
      </c>
      <c r="I1883" s="6" t="str">
        <f t="shared" si="105"/>
        <v>0</v>
      </c>
      <c r="O1883" t="s">
        <v>2095</v>
      </c>
      <c r="P1883" t="str">
        <f>IF(C1883&lt;&gt;"",C1883,_xlfn.XLOOKUP(B1883,AI_NAMES!D:D,AI_NAMES!E:E,"",0))</f>
        <v/>
      </c>
    </row>
    <row r="1884" spans="1:16" x14ac:dyDescent="0.2">
      <c r="A1884" t="s">
        <v>2096</v>
      </c>
      <c r="E1884" t="str">
        <f t="shared" si="106"/>
        <v/>
      </c>
      <c r="G1884" s="5" t="str">
        <f t="shared" si="107"/>
        <v/>
      </c>
      <c r="I1884" s="6" t="str">
        <f t="shared" si="105"/>
        <v>0</v>
      </c>
      <c r="P1884">
        <f>IF(C1884&lt;&gt;"",C1884,_xlfn.XLOOKUP(B1884,AI_NAMES!D:D,AI_NAMES!E:E,"",0))</f>
        <v>0</v>
      </c>
    </row>
    <row r="1885" spans="1:16" x14ac:dyDescent="0.2">
      <c r="A1885" t="s">
        <v>2097</v>
      </c>
      <c r="B1885" t="s">
        <v>2098</v>
      </c>
      <c r="E1885" t="str">
        <f t="shared" si="106"/>
        <v/>
      </c>
      <c r="G1885" s="5" t="str">
        <f t="shared" si="107"/>
        <v/>
      </c>
      <c r="I1885" s="6" t="str">
        <f t="shared" si="105"/>
        <v>0</v>
      </c>
      <c r="O1885" t="s">
        <v>2098</v>
      </c>
      <c r="P1885" t="str">
        <f>IF(C1885&lt;&gt;"",C1885,_xlfn.XLOOKUP(B1885,AI_NAMES!D:D,AI_NAMES!E:E,"",0))</f>
        <v/>
      </c>
    </row>
    <row r="1886" spans="1:16" x14ac:dyDescent="0.2">
      <c r="A1886" t="s">
        <v>2099</v>
      </c>
      <c r="B1886" t="s">
        <v>2100</v>
      </c>
      <c r="E1886" t="str">
        <f t="shared" si="106"/>
        <v/>
      </c>
      <c r="G1886" s="5" t="str">
        <f t="shared" si="107"/>
        <v/>
      </c>
      <c r="I1886" s="6" t="str">
        <f t="shared" si="105"/>
        <v>0</v>
      </c>
      <c r="O1886" t="s">
        <v>2100</v>
      </c>
      <c r="P1886" t="str">
        <f>IF(C1886&lt;&gt;"",C1886,_xlfn.XLOOKUP(B1886,AI_NAMES!D:D,AI_NAMES!E:E,"",0))</f>
        <v/>
      </c>
    </row>
    <row r="1887" spans="1:16" x14ac:dyDescent="0.2">
      <c r="A1887" t="s">
        <v>2101</v>
      </c>
      <c r="B1887" t="s">
        <v>2102</v>
      </c>
      <c r="E1887" t="str">
        <f t="shared" si="106"/>
        <v/>
      </c>
      <c r="G1887" s="5" t="str">
        <f t="shared" si="107"/>
        <v/>
      </c>
      <c r="I1887" s="6" t="str">
        <f t="shared" si="105"/>
        <v>0</v>
      </c>
      <c r="O1887" t="s">
        <v>2102</v>
      </c>
      <c r="P1887" t="str">
        <f>IF(C1887&lt;&gt;"",C1887,_xlfn.XLOOKUP(B1887,AI_NAMES!D:D,AI_NAMES!E:E,"",0))</f>
        <v/>
      </c>
    </row>
    <row r="1888" spans="1:16" x14ac:dyDescent="0.2">
      <c r="A1888" t="s">
        <v>2103</v>
      </c>
      <c r="B1888" t="s">
        <v>321</v>
      </c>
      <c r="E1888" t="str">
        <f t="shared" si="106"/>
        <v/>
      </c>
      <c r="G1888" s="5" t="str">
        <f t="shared" si="107"/>
        <v/>
      </c>
      <c r="I1888" s="6" t="str">
        <f t="shared" si="105"/>
        <v>0</v>
      </c>
      <c r="O1888" t="s">
        <v>321</v>
      </c>
      <c r="P1888">
        <f>IF(C1888&lt;&gt;"",C1888,_xlfn.XLOOKUP(B1888,AI_NAMES!D:D,AI_NAMES!E:E,"",0))</f>
        <v>0</v>
      </c>
    </row>
    <row r="1889" spans="1:16" x14ac:dyDescent="0.2">
      <c r="A1889" t="s">
        <v>2104</v>
      </c>
      <c r="B1889" t="s">
        <v>321</v>
      </c>
      <c r="E1889" t="str">
        <f t="shared" si="106"/>
        <v/>
      </c>
      <c r="G1889" s="5" t="str">
        <f t="shared" si="107"/>
        <v/>
      </c>
      <c r="I1889" s="6" t="str">
        <f t="shared" si="105"/>
        <v>0</v>
      </c>
      <c r="O1889" t="s">
        <v>321</v>
      </c>
      <c r="P1889">
        <f>IF(C1889&lt;&gt;"",C1889,_xlfn.XLOOKUP(B1889,AI_NAMES!D:D,AI_NAMES!E:E,"",0))</f>
        <v>0</v>
      </c>
    </row>
    <row r="1890" spans="1:16" x14ac:dyDescent="0.2">
      <c r="A1890" t="s">
        <v>2105</v>
      </c>
      <c r="B1890" t="s">
        <v>321</v>
      </c>
      <c r="E1890" t="str">
        <f t="shared" si="106"/>
        <v/>
      </c>
      <c r="G1890" s="5" t="str">
        <f t="shared" si="107"/>
        <v/>
      </c>
      <c r="I1890" s="6" t="str">
        <f t="shared" si="105"/>
        <v>0</v>
      </c>
      <c r="O1890" t="s">
        <v>321</v>
      </c>
      <c r="P1890">
        <f>IF(C1890&lt;&gt;"",C1890,_xlfn.XLOOKUP(B1890,AI_NAMES!D:D,AI_NAMES!E:E,"",0))</f>
        <v>0</v>
      </c>
    </row>
    <row r="1891" spans="1:16" x14ac:dyDescent="0.2">
      <c r="A1891" t="s">
        <v>2106</v>
      </c>
      <c r="B1891" t="s">
        <v>321</v>
      </c>
      <c r="E1891" t="str">
        <f t="shared" si="106"/>
        <v/>
      </c>
      <c r="G1891" s="5" t="str">
        <f t="shared" si="107"/>
        <v/>
      </c>
      <c r="I1891" s="6" t="str">
        <f t="shared" si="105"/>
        <v>0</v>
      </c>
      <c r="O1891" t="s">
        <v>321</v>
      </c>
      <c r="P1891">
        <f>IF(C1891&lt;&gt;"",C1891,_xlfn.XLOOKUP(B1891,AI_NAMES!D:D,AI_NAMES!E:E,"",0))</f>
        <v>0</v>
      </c>
    </row>
    <row r="1892" spans="1:16" x14ac:dyDescent="0.2">
      <c r="A1892" t="s">
        <v>2107</v>
      </c>
      <c r="B1892" t="s">
        <v>321</v>
      </c>
      <c r="E1892" t="str">
        <f t="shared" si="106"/>
        <v/>
      </c>
      <c r="G1892" s="5" t="str">
        <f t="shared" si="107"/>
        <v/>
      </c>
      <c r="I1892" s="6" t="str">
        <f t="shared" si="105"/>
        <v>0</v>
      </c>
      <c r="O1892" t="s">
        <v>321</v>
      </c>
      <c r="P1892">
        <f>IF(C1892&lt;&gt;"",C1892,_xlfn.XLOOKUP(B1892,AI_NAMES!D:D,AI_NAMES!E:E,"",0))</f>
        <v>0</v>
      </c>
    </row>
    <row r="1893" spans="1:16" x14ac:dyDescent="0.2">
      <c r="A1893" t="s">
        <v>2108</v>
      </c>
      <c r="B1893" t="s">
        <v>321</v>
      </c>
      <c r="E1893" t="str">
        <f t="shared" si="106"/>
        <v/>
      </c>
      <c r="G1893" s="5" t="str">
        <f t="shared" si="107"/>
        <v/>
      </c>
      <c r="I1893" s="6" t="str">
        <f t="shared" si="105"/>
        <v>0</v>
      </c>
      <c r="O1893" t="s">
        <v>321</v>
      </c>
      <c r="P1893">
        <f>IF(C1893&lt;&gt;"",C1893,_xlfn.XLOOKUP(B1893,AI_NAMES!D:D,AI_NAMES!E:E,"",0))</f>
        <v>0</v>
      </c>
    </row>
    <row r="1894" spans="1:16" x14ac:dyDescent="0.2">
      <c r="A1894" t="s">
        <v>2109</v>
      </c>
      <c r="B1894" t="s">
        <v>321</v>
      </c>
      <c r="E1894" t="str">
        <f t="shared" si="106"/>
        <v/>
      </c>
      <c r="G1894" s="5" t="str">
        <f t="shared" si="107"/>
        <v/>
      </c>
      <c r="I1894" s="6" t="str">
        <f t="shared" si="105"/>
        <v>0</v>
      </c>
      <c r="O1894" t="s">
        <v>321</v>
      </c>
      <c r="P1894">
        <f>IF(C1894&lt;&gt;"",C1894,_xlfn.XLOOKUP(B1894,AI_NAMES!D:D,AI_NAMES!E:E,"",0))</f>
        <v>0</v>
      </c>
    </row>
    <row r="1895" spans="1:16" x14ac:dyDescent="0.2">
      <c r="A1895" t="s">
        <v>2110</v>
      </c>
      <c r="B1895" t="s">
        <v>321</v>
      </c>
      <c r="E1895" t="str">
        <f t="shared" si="106"/>
        <v/>
      </c>
      <c r="G1895" s="5" t="str">
        <f t="shared" si="107"/>
        <v/>
      </c>
      <c r="I1895" s="6" t="str">
        <f t="shared" si="105"/>
        <v>0</v>
      </c>
      <c r="O1895" t="s">
        <v>321</v>
      </c>
      <c r="P1895">
        <f>IF(C1895&lt;&gt;"",C1895,_xlfn.XLOOKUP(B1895,AI_NAMES!D:D,AI_NAMES!E:E,"",0))</f>
        <v>0</v>
      </c>
    </row>
    <row r="1896" spans="1:16" x14ac:dyDescent="0.2">
      <c r="A1896" t="s">
        <v>2111</v>
      </c>
      <c r="B1896" t="s">
        <v>321</v>
      </c>
      <c r="E1896" t="str">
        <f t="shared" si="106"/>
        <v/>
      </c>
      <c r="G1896" s="5" t="str">
        <f t="shared" si="107"/>
        <v/>
      </c>
      <c r="I1896" s="6" t="str">
        <f t="shared" si="105"/>
        <v>0</v>
      </c>
      <c r="O1896" t="s">
        <v>321</v>
      </c>
      <c r="P1896">
        <f>IF(C1896&lt;&gt;"",C1896,_xlfn.XLOOKUP(B1896,AI_NAMES!D:D,AI_NAMES!E:E,"",0))</f>
        <v>0</v>
      </c>
    </row>
    <row r="1897" spans="1:16" ht="17" x14ac:dyDescent="0.25">
      <c r="A1897" t="s">
        <v>2112</v>
      </c>
      <c r="B1897" s="26" t="s">
        <v>3942</v>
      </c>
      <c r="C1897"/>
      <c r="D1897" s="26"/>
      <c r="E1897" t="str">
        <f t="shared" si="106"/>
        <v/>
      </c>
      <c r="F1897" s="26"/>
      <c r="G1897" s="5" t="str">
        <f t="shared" si="107"/>
        <v/>
      </c>
      <c r="I1897" s="6" t="str">
        <f t="shared" si="105"/>
        <v>0</v>
      </c>
      <c r="K1897" s="6" t="s">
        <v>3943</v>
      </c>
    </row>
    <row r="1898" spans="1:16" x14ac:dyDescent="0.2">
      <c r="A1898" t="s">
        <v>2113</v>
      </c>
      <c r="B1898" t="s">
        <v>321</v>
      </c>
      <c r="E1898" t="str">
        <f t="shared" si="106"/>
        <v/>
      </c>
      <c r="G1898" s="5" t="str">
        <f t="shared" si="107"/>
        <v/>
      </c>
      <c r="I1898" s="6" t="str">
        <f t="shared" si="105"/>
        <v>0</v>
      </c>
      <c r="O1898" t="s">
        <v>321</v>
      </c>
      <c r="P1898">
        <f>IF(C1898&lt;&gt;"",C1898,_xlfn.XLOOKUP(B1898,AI_NAMES!D:D,AI_NAMES!E:E,"",0))</f>
        <v>0</v>
      </c>
    </row>
    <row r="1899" spans="1:16" x14ac:dyDescent="0.2">
      <c r="A1899" t="s">
        <v>2114</v>
      </c>
      <c r="B1899" t="s">
        <v>321</v>
      </c>
      <c r="E1899" t="str">
        <f t="shared" si="106"/>
        <v/>
      </c>
      <c r="G1899" s="5" t="str">
        <f t="shared" si="107"/>
        <v/>
      </c>
      <c r="I1899" s="6" t="str">
        <f t="shared" si="105"/>
        <v>0</v>
      </c>
      <c r="O1899" t="s">
        <v>321</v>
      </c>
      <c r="P1899">
        <f>IF(C1899&lt;&gt;"",C1899,_xlfn.XLOOKUP(B1899,AI_NAMES!D:D,AI_NAMES!E:E,"",0))</f>
        <v>0</v>
      </c>
    </row>
    <row r="1900" spans="1:16" x14ac:dyDescent="0.2">
      <c r="A1900" t="s">
        <v>2115</v>
      </c>
      <c r="B1900" t="s">
        <v>321</v>
      </c>
      <c r="E1900" t="str">
        <f t="shared" si="106"/>
        <v/>
      </c>
      <c r="G1900" s="5" t="str">
        <f t="shared" si="107"/>
        <v/>
      </c>
      <c r="I1900" s="6" t="str">
        <f t="shared" si="105"/>
        <v>0</v>
      </c>
      <c r="O1900" t="s">
        <v>321</v>
      </c>
      <c r="P1900">
        <f>IF(C1900&lt;&gt;"",C1900,_xlfn.XLOOKUP(B1900,AI_NAMES!D:D,AI_NAMES!E:E,"",0))</f>
        <v>0</v>
      </c>
    </row>
    <row r="1901" spans="1:16" x14ac:dyDescent="0.2">
      <c r="A1901" t="s">
        <v>2116</v>
      </c>
      <c r="B1901" t="s">
        <v>321</v>
      </c>
      <c r="E1901" t="str">
        <f t="shared" si="106"/>
        <v/>
      </c>
      <c r="G1901" s="5" t="str">
        <f t="shared" si="107"/>
        <v/>
      </c>
      <c r="I1901" s="6" t="str">
        <f t="shared" si="105"/>
        <v>0</v>
      </c>
      <c r="O1901" t="s">
        <v>321</v>
      </c>
      <c r="P1901">
        <f>IF(C1901&lt;&gt;"",C1901,_xlfn.XLOOKUP(B1901,AI_NAMES!D:D,AI_NAMES!E:E,"",0))</f>
        <v>0</v>
      </c>
    </row>
    <row r="1902" spans="1:16" x14ac:dyDescent="0.2">
      <c r="A1902" t="s">
        <v>2117</v>
      </c>
      <c r="B1902" t="s">
        <v>321</v>
      </c>
      <c r="E1902" t="str">
        <f t="shared" si="106"/>
        <v/>
      </c>
      <c r="G1902" s="5" t="str">
        <f t="shared" si="107"/>
        <v/>
      </c>
      <c r="I1902" s="6" t="str">
        <f t="shared" si="105"/>
        <v>0</v>
      </c>
      <c r="O1902" t="s">
        <v>321</v>
      </c>
      <c r="P1902">
        <f>IF(C1902&lt;&gt;"",C1902,_xlfn.XLOOKUP(B1902,AI_NAMES!D:D,AI_NAMES!E:E,"",0))</f>
        <v>0</v>
      </c>
    </row>
    <row r="1903" spans="1:16" x14ac:dyDescent="0.2">
      <c r="A1903" t="s">
        <v>2118</v>
      </c>
      <c r="B1903" t="s">
        <v>321</v>
      </c>
      <c r="E1903" t="str">
        <f t="shared" si="106"/>
        <v/>
      </c>
      <c r="G1903" s="5" t="str">
        <f t="shared" si="107"/>
        <v/>
      </c>
      <c r="I1903" s="6" t="str">
        <f t="shared" si="105"/>
        <v>0</v>
      </c>
      <c r="O1903" t="s">
        <v>321</v>
      </c>
      <c r="P1903">
        <f>IF(C1903&lt;&gt;"",C1903,_xlfn.XLOOKUP(B1903,AI_NAMES!D:D,AI_NAMES!E:E,"",0))</f>
        <v>0</v>
      </c>
    </row>
    <row r="1904" spans="1:16" x14ac:dyDescent="0.2">
      <c r="A1904" t="s">
        <v>2119</v>
      </c>
      <c r="B1904" t="s">
        <v>321</v>
      </c>
      <c r="E1904" t="str">
        <f t="shared" si="106"/>
        <v/>
      </c>
      <c r="G1904" s="5" t="str">
        <f t="shared" si="107"/>
        <v/>
      </c>
      <c r="I1904" s="6" t="str">
        <f t="shared" si="105"/>
        <v>0</v>
      </c>
      <c r="O1904" t="s">
        <v>321</v>
      </c>
      <c r="P1904">
        <f>IF(C1904&lt;&gt;"",C1904,_xlfn.XLOOKUP(B1904,AI_NAMES!D:D,AI_NAMES!E:E,"",0))</f>
        <v>0</v>
      </c>
    </row>
    <row r="1905" spans="1:16" x14ac:dyDescent="0.2">
      <c r="A1905" t="s">
        <v>2120</v>
      </c>
      <c r="B1905" t="s">
        <v>321</v>
      </c>
      <c r="E1905" t="str">
        <f t="shared" si="106"/>
        <v/>
      </c>
      <c r="G1905" s="5" t="str">
        <f t="shared" si="107"/>
        <v/>
      </c>
      <c r="I1905" s="6" t="str">
        <f t="shared" si="105"/>
        <v>0</v>
      </c>
      <c r="O1905" t="s">
        <v>321</v>
      </c>
      <c r="P1905">
        <f>IF(C1905&lt;&gt;"",C1905,_xlfn.XLOOKUP(B1905,AI_NAMES!D:D,AI_NAMES!E:E,"",0))</f>
        <v>0</v>
      </c>
    </row>
    <row r="1906" spans="1:16" x14ac:dyDescent="0.2">
      <c r="A1906" t="s">
        <v>2121</v>
      </c>
      <c r="B1906" t="s">
        <v>321</v>
      </c>
      <c r="E1906" t="str">
        <f t="shared" si="106"/>
        <v/>
      </c>
      <c r="G1906" s="5" t="str">
        <f t="shared" si="107"/>
        <v/>
      </c>
      <c r="I1906" s="6" t="str">
        <f t="shared" si="105"/>
        <v>0</v>
      </c>
      <c r="O1906" t="s">
        <v>321</v>
      </c>
      <c r="P1906">
        <f>IF(C1906&lt;&gt;"",C1906,_xlfn.XLOOKUP(B1906,AI_NAMES!D:D,AI_NAMES!E:E,"",0))</f>
        <v>0</v>
      </c>
    </row>
    <row r="1907" spans="1:16" x14ac:dyDescent="0.2">
      <c r="A1907" t="s">
        <v>2122</v>
      </c>
      <c r="B1907" t="s">
        <v>321</v>
      </c>
      <c r="E1907" t="str">
        <f t="shared" si="106"/>
        <v/>
      </c>
      <c r="G1907" s="5" t="str">
        <f t="shared" si="107"/>
        <v/>
      </c>
      <c r="I1907" s="6" t="str">
        <f t="shared" si="105"/>
        <v>0</v>
      </c>
      <c r="O1907" t="s">
        <v>321</v>
      </c>
      <c r="P1907">
        <f>IF(C1907&lt;&gt;"",C1907,_xlfn.XLOOKUP(B1907,AI_NAMES!D:D,AI_NAMES!E:E,"",0))</f>
        <v>0</v>
      </c>
    </row>
    <row r="1908" spans="1:16" x14ac:dyDescent="0.2">
      <c r="A1908" t="s">
        <v>2123</v>
      </c>
      <c r="B1908" t="s">
        <v>321</v>
      </c>
      <c r="E1908" t="str">
        <f t="shared" si="106"/>
        <v/>
      </c>
      <c r="G1908" s="5" t="str">
        <f t="shared" si="107"/>
        <v/>
      </c>
      <c r="I1908" s="6" t="str">
        <f t="shared" si="105"/>
        <v>0</v>
      </c>
      <c r="O1908" t="s">
        <v>321</v>
      </c>
      <c r="P1908">
        <f>IF(C1908&lt;&gt;"",C1908,_xlfn.XLOOKUP(B1908,AI_NAMES!D:D,AI_NAMES!E:E,"",0))</f>
        <v>0</v>
      </c>
    </row>
    <row r="1909" spans="1:16" ht="17" x14ac:dyDescent="0.25">
      <c r="A1909" t="s">
        <v>2124</v>
      </c>
      <c r="B1909" s="26" t="s">
        <v>3944</v>
      </c>
      <c r="C1909"/>
      <c r="D1909" s="26"/>
      <c r="E1909" t="str">
        <f t="shared" si="106"/>
        <v/>
      </c>
      <c r="F1909" s="26"/>
      <c r="G1909" s="5" t="str">
        <f t="shared" si="107"/>
        <v/>
      </c>
      <c r="I1909" s="6" t="str">
        <f t="shared" si="105"/>
        <v>0</v>
      </c>
      <c r="K1909" s="6" t="s">
        <v>3945</v>
      </c>
    </row>
    <row r="1910" spans="1:16" x14ac:dyDescent="0.2">
      <c r="A1910" t="s">
        <v>2125</v>
      </c>
      <c r="B1910" t="s">
        <v>321</v>
      </c>
      <c r="E1910" t="str">
        <f t="shared" si="106"/>
        <v/>
      </c>
      <c r="G1910" s="5" t="str">
        <f t="shared" si="107"/>
        <v/>
      </c>
      <c r="I1910" s="6" t="str">
        <f t="shared" si="105"/>
        <v>0</v>
      </c>
      <c r="O1910" t="s">
        <v>321</v>
      </c>
      <c r="P1910">
        <f>IF(C1910&lt;&gt;"",C1910,_xlfn.XLOOKUP(B1910,AI_NAMES!D:D,AI_NAMES!E:E,"",0))</f>
        <v>0</v>
      </c>
    </row>
    <row r="1911" spans="1:16" x14ac:dyDescent="0.2">
      <c r="A1911" t="s">
        <v>2126</v>
      </c>
      <c r="B1911" t="s">
        <v>321</v>
      </c>
      <c r="E1911" t="str">
        <f t="shared" si="106"/>
        <v/>
      </c>
      <c r="G1911" s="5" t="str">
        <f t="shared" si="107"/>
        <v/>
      </c>
      <c r="I1911" s="6" t="str">
        <f t="shared" si="105"/>
        <v>0</v>
      </c>
      <c r="O1911" t="s">
        <v>321</v>
      </c>
      <c r="P1911">
        <f>IF(C1911&lt;&gt;"",C1911,_xlfn.XLOOKUP(B1911,AI_NAMES!D:D,AI_NAMES!E:E,"",0))</f>
        <v>0</v>
      </c>
    </row>
    <row r="1912" spans="1:16" x14ac:dyDescent="0.2">
      <c r="A1912" t="s">
        <v>2127</v>
      </c>
      <c r="B1912" t="s">
        <v>321</v>
      </c>
      <c r="E1912" t="str">
        <f t="shared" si="106"/>
        <v/>
      </c>
      <c r="G1912" s="5" t="str">
        <f t="shared" si="107"/>
        <v/>
      </c>
      <c r="I1912" s="6" t="str">
        <f t="shared" si="105"/>
        <v>0</v>
      </c>
      <c r="O1912" t="s">
        <v>321</v>
      </c>
      <c r="P1912">
        <f>IF(C1912&lt;&gt;"",C1912,_xlfn.XLOOKUP(B1912,AI_NAMES!D:D,AI_NAMES!E:E,"",0))</f>
        <v>0</v>
      </c>
    </row>
    <row r="1913" spans="1:16" x14ac:dyDescent="0.2">
      <c r="A1913" t="s">
        <v>2128</v>
      </c>
      <c r="B1913" t="s">
        <v>321</v>
      </c>
      <c r="E1913" t="str">
        <f t="shared" si="106"/>
        <v/>
      </c>
      <c r="G1913" s="5" t="str">
        <f t="shared" si="107"/>
        <v/>
      </c>
      <c r="I1913" s="6" t="str">
        <f t="shared" si="105"/>
        <v>0</v>
      </c>
      <c r="O1913" t="s">
        <v>321</v>
      </c>
      <c r="P1913">
        <f>IF(C1913&lt;&gt;"",C1913,_xlfn.XLOOKUP(B1913,AI_NAMES!D:D,AI_NAMES!E:E,"",0))</f>
        <v>0</v>
      </c>
    </row>
    <row r="1914" spans="1:16" x14ac:dyDescent="0.2">
      <c r="A1914" t="s">
        <v>2129</v>
      </c>
      <c r="B1914" t="s">
        <v>321</v>
      </c>
      <c r="E1914" t="str">
        <f t="shared" si="106"/>
        <v/>
      </c>
      <c r="G1914" s="5" t="str">
        <f t="shared" si="107"/>
        <v/>
      </c>
      <c r="I1914" s="6" t="str">
        <f t="shared" si="105"/>
        <v>0</v>
      </c>
      <c r="O1914" t="s">
        <v>321</v>
      </c>
      <c r="P1914">
        <f>IF(C1914&lt;&gt;"",C1914,_xlfn.XLOOKUP(B1914,AI_NAMES!D:D,AI_NAMES!E:E,"",0))</f>
        <v>0</v>
      </c>
    </row>
    <row r="1915" spans="1:16" x14ac:dyDescent="0.2">
      <c r="A1915" t="s">
        <v>2130</v>
      </c>
      <c r="B1915" t="s">
        <v>321</v>
      </c>
      <c r="E1915" t="str">
        <f t="shared" si="106"/>
        <v/>
      </c>
      <c r="G1915" s="5" t="str">
        <f t="shared" si="107"/>
        <v/>
      </c>
      <c r="I1915" s="6" t="str">
        <f t="shared" si="105"/>
        <v>0</v>
      </c>
      <c r="O1915" t="s">
        <v>321</v>
      </c>
      <c r="P1915">
        <f>IF(C1915&lt;&gt;"",C1915,_xlfn.XLOOKUP(B1915,AI_NAMES!D:D,AI_NAMES!E:E,"",0))</f>
        <v>0</v>
      </c>
    </row>
    <row r="1916" spans="1:16" ht="17" x14ac:dyDescent="0.25">
      <c r="A1916" t="s">
        <v>2131</v>
      </c>
      <c r="B1916" s="26" t="s">
        <v>3885</v>
      </c>
      <c r="C1916" s="26" t="s">
        <v>3168</v>
      </c>
      <c r="D1916" t="s">
        <v>3886</v>
      </c>
      <c r="E1916" t="str">
        <f t="shared" si="106"/>
        <v>gfx-data/AirbourneSpells_Stationary_DistanceGroups.lookup</v>
      </c>
      <c r="F1916" t="s">
        <v>3887</v>
      </c>
      <c r="G1916" s="5">
        <f t="shared" si="107"/>
        <v>36822</v>
      </c>
      <c r="H1916">
        <v>6</v>
      </c>
      <c r="I1916" s="6" t="str">
        <f t="shared" si="105"/>
        <v>6</v>
      </c>
      <c r="J1916" t="s">
        <v>3645</v>
      </c>
      <c r="K1916" t="s">
        <v>3898</v>
      </c>
    </row>
    <row r="1917" spans="1:16" ht="17" x14ac:dyDescent="0.25">
      <c r="A1917" t="s">
        <v>2132</v>
      </c>
      <c r="B1917" s="26" t="s">
        <v>3888</v>
      </c>
      <c r="C1917" s="26" t="s">
        <v>3168</v>
      </c>
      <c r="D1917" t="s">
        <v>3889</v>
      </c>
      <c r="E1917" t="str">
        <f t="shared" si="106"/>
        <v>gfx-data/AirbourneSpells_Stationary.offsets</v>
      </c>
      <c r="F1917" t="s">
        <v>3890</v>
      </c>
      <c r="G1917" s="5">
        <f t="shared" si="107"/>
        <v>36828</v>
      </c>
      <c r="H1917">
        <v>8</v>
      </c>
      <c r="I1917" s="6" t="str">
        <f t="shared" si="105"/>
        <v>8</v>
      </c>
      <c r="J1917" t="s">
        <v>3650</v>
      </c>
      <c r="K1917" t="s">
        <v>3899</v>
      </c>
    </row>
    <row r="1918" spans="1:16" ht="17" x14ac:dyDescent="0.25">
      <c r="A1918" t="s">
        <v>2133</v>
      </c>
      <c r="B1918" s="26" t="s">
        <v>3891</v>
      </c>
      <c r="C1918" s="26" t="s">
        <v>3168</v>
      </c>
      <c r="D1918" t="s">
        <v>3892</v>
      </c>
      <c r="E1918" t="str">
        <f t="shared" si="106"/>
        <v>gfx-data/AirbourneSpells_Stationary.positions</v>
      </c>
      <c r="F1918" t="s">
        <v>3893</v>
      </c>
      <c r="G1918" s="5">
        <f t="shared" si="107"/>
        <v>36836</v>
      </c>
      <c r="H1918">
        <v>16</v>
      </c>
      <c r="I1918" s="6" t="str">
        <f t="shared" si="105"/>
        <v>10</v>
      </c>
      <c r="J1918" t="s">
        <v>3650</v>
      </c>
      <c r="K1918" t="s">
        <v>3894</v>
      </c>
    </row>
    <row r="1919" spans="1:16" ht="17" x14ac:dyDescent="0.25">
      <c r="A1919" t="s">
        <v>2134</v>
      </c>
      <c r="B1919" s="26" t="s">
        <v>3895</v>
      </c>
      <c r="C1919" s="26"/>
      <c r="E1919" t="str">
        <f t="shared" si="106"/>
        <v/>
      </c>
      <c r="G1919" s="5" t="str">
        <f t="shared" si="107"/>
        <v/>
      </c>
      <c r="H1919"/>
      <c r="I1919" s="6" t="str">
        <f t="shared" si="105"/>
        <v>0</v>
      </c>
      <c r="J1919"/>
      <c r="K1919"/>
    </row>
    <row r="1920" spans="1:16" ht="17" x14ac:dyDescent="0.25">
      <c r="A1920" t="s">
        <v>2135</v>
      </c>
      <c r="B1920" s="26" t="s">
        <v>3896</v>
      </c>
      <c r="C1920" s="26"/>
      <c r="E1920" t="str">
        <f t="shared" si="106"/>
        <v/>
      </c>
      <c r="G1920" s="5" t="str">
        <f t="shared" si="107"/>
        <v/>
      </c>
      <c r="H1920"/>
      <c r="I1920" s="6" t="str">
        <f t="shared" si="105"/>
        <v>0</v>
      </c>
      <c r="J1920"/>
      <c r="K1920"/>
    </row>
    <row r="1921" spans="1:16" ht="17" x14ac:dyDescent="0.25">
      <c r="A1921" t="s">
        <v>2136</v>
      </c>
      <c r="B1921" s="26" t="s">
        <v>3897</v>
      </c>
      <c r="C1921" s="26"/>
      <c r="E1921" t="str">
        <f t="shared" si="106"/>
        <v/>
      </c>
      <c r="G1921" s="5" t="str">
        <f t="shared" si="107"/>
        <v/>
      </c>
      <c r="H1921"/>
      <c r="I1921" s="6" t="str">
        <f t="shared" si="105"/>
        <v>0</v>
      </c>
      <c r="J1921"/>
      <c r="K1921"/>
    </row>
    <row r="1922" spans="1:16" x14ac:dyDescent="0.2">
      <c r="A1922" t="s">
        <v>2137</v>
      </c>
      <c r="C1922"/>
      <c r="E1922" t="str">
        <f t="shared" si="106"/>
        <v/>
      </c>
      <c r="G1922" s="5" t="str">
        <f t="shared" si="107"/>
        <v/>
      </c>
      <c r="H1922"/>
      <c r="I1922" s="6" t="str">
        <f t="shared" si="105"/>
        <v>0</v>
      </c>
      <c r="J1922"/>
      <c r="K1922"/>
      <c r="O1922" t="s">
        <v>321</v>
      </c>
      <c r="P1922" t="str">
        <f>IF(C1922&lt;&gt;"",C1922,_xlfn.XLOOKUP(B1922,AI_NAMES!D:D,AI_NAMES!E:E,"",0))</f>
        <v/>
      </c>
    </row>
    <row r="1923" spans="1:16" ht="17" x14ac:dyDescent="0.25">
      <c r="A1923" t="s">
        <v>2138</v>
      </c>
      <c r="B1923" s="26" t="s">
        <v>3946</v>
      </c>
      <c r="C1923"/>
      <c r="D1923" s="26"/>
      <c r="E1923" t="str">
        <f t="shared" si="106"/>
        <v/>
      </c>
      <c r="F1923" s="26"/>
      <c r="G1923" s="5" t="str">
        <f t="shared" si="107"/>
        <v/>
      </c>
      <c r="I1923" s="6" t="str">
        <f t="shared" ref="I1923:I1986" si="108">IFERROR(DEC2HEX(H1923),"")</f>
        <v>0</v>
      </c>
      <c r="K1923" s="6" t="s">
        <v>3947</v>
      </c>
    </row>
    <row r="1924" spans="1:16" x14ac:dyDescent="0.2">
      <c r="A1924" t="s">
        <v>2139</v>
      </c>
      <c r="B1924" t="s">
        <v>321</v>
      </c>
      <c r="E1924" t="str">
        <f t="shared" ref="E1924:E1987" si="109">IF(D1924&lt;&gt;"",C1924&amp;"/"&amp;D1924,"")</f>
        <v/>
      </c>
      <c r="G1924" s="5" t="str">
        <f t="shared" si="107"/>
        <v/>
      </c>
      <c r="I1924" s="6" t="str">
        <f t="shared" si="108"/>
        <v>0</v>
      </c>
      <c r="O1924" t="s">
        <v>321</v>
      </c>
      <c r="P1924">
        <f>IF(C1924&lt;&gt;"",C1924,_xlfn.XLOOKUP(B1924,AI_NAMES!D:D,AI_NAMES!E:E,"",0))</f>
        <v>0</v>
      </c>
    </row>
    <row r="1925" spans="1:16" x14ac:dyDescent="0.2">
      <c r="A1925" t="s">
        <v>2140</v>
      </c>
      <c r="B1925" t="s">
        <v>321</v>
      </c>
      <c r="E1925" t="str">
        <f t="shared" si="109"/>
        <v/>
      </c>
      <c r="G1925" s="5" t="str">
        <f t="shared" si="107"/>
        <v/>
      </c>
      <c r="I1925" s="6" t="str">
        <f t="shared" si="108"/>
        <v>0</v>
      </c>
      <c r="O1925" t="s">
        <v>321</v>
      </c>
      <c r="P1925">
        <f>IF(C1925&lt;&gt;"",C1925,_xlfn.XLOOKUP(B1925,AI_NAMES!D:D,AI_NAMES!E:E,"",0))</f>
        <v>0</v>
      </c>
    </row>
    <row r="1926" spans="1:16" x14ac:dyDescent="0.2">
      <c r="A1926" t="s">
        <v>2141</v>
      </c>
      <c r="B1926" t="s">
        <v>321</v>
      </c>
      <c r="E1926" t="str">
        <f t="shared" si="109"/>
        <v/>
      </c>
      <c r="G1926" s="5" t="str">
        <f t="shared" si="107"/>
        <v/>
      </c>
      <c r="I1926" s="6" t="str">
        <f t="shared" si="108"/>
        <v>0</v>
      </c>
      <c r="O1926" t="s">
        <v>321</v>
      </c>
      <c r="P1926">
        <f>IF(C1926&lt;&gt;"",C1926,_xlfn.XLOOKUP(B1926,AI_NAMES!D:D,AI_NAMES!E:E,"",0))</f>
        <v>0</v>
      </c>
    </row>
    <row r="1927" spans="1:16" x14ac:dyDescent="0.2">
      <c r="A1927" t="s">
        <v>2142</v>
      </c>
      <c r="B1927" t="s">
        <v>321</v>
      </c>
      <c r="E1927" t="str">
        <f t="shared" si="109"/>
        <v/>
      </c>
      <c r="G1927" s="5" t="str">
        <f t="shared" si="107"/>
        <v/>
      </c>
      <c r="I1927" s="6" t="str">
        <f t="shared" si="108"/>
        <v>0</v>
      </c>
      <c r="O1927" t="s">
        <v>321</v>
      </c>
      <c r="P1927">
        <f>IF(C1927&lt;&gt;"",C1927,_xlfn.XLOOKUP(B1927,AI_NAMES!D:D,AI_NAMES!E:E,"",0))</f>
        <v>0</v>
      </c>
    </row>
    <row r="1928" spans="1:16" x14ac:dyDescent="0.2">
      <c r="A1928" t="s">
        <v>2143</v>
      </c>
      <c r="B1928" t="s">
        <v>321</v>
      </c>
      <c r="E1928" t="str">
        <f t="shared" si="109"/>
        <v/>
      </c>
      <c r="G1928" s="5" t="str">
        <f t="shared" si="107"/>
        <v/>
      </c>
      <c r="I1928" s="6" t="str">
        <f t="shared" si="108"/>
        <v>0</v>
      </c>
      <c r="O1928" t="s">
        <v>321</v>
      </c>
      <c r="P1928">
        <f>IF(C1928&lt;&gt;"",C1928,_xlfn.XLOOKUP(B1928,AI_NAMES!D:D,AI_NAMES!E:E,"",0))</f>
        <v>0</v>
      </c>
    </row>
    <row r="1929" spans="1:16" x14ac:dyDescent="0.2">
      <c r="A1929" t="s">
        <v>2144</v>
      </c>
      <c r="B1929" t="s">
        <v>321</v>
      </c>
      <c r="E1929" t="str">
        <f t="shared" si="109"/>
        <v/>
      </c>
      <c r="G1929" s="5" t="str">
        <f t="shared" ref="G1929:G1992" si="110">IF(F1929&lt;&gt;"",HEX2DEC(SUBSTITUTE(SUBSTITUTE(F1929,"adrEA",""),"$","")),"")</f>
        <v/>
      </c>
      <c r="I1929" s="6" t="str">
        <f t="shared" si="108"/>
        <v>0</v>
      </c>
      <c r="O1929" t="s">
        <v>321</v>
      </c>
      <c r="P1929">
        <f>IF(C1929&lt;&gt;"",C1929,_xlfn.XLOOKUP(B1929,AI_NAMES!D:D,AI_NAMES!E:E,"",0))</f>
        <v>0</v>
      </c>
    </row>
    <row r="1930" spans="1:16" x14ac:dyDescent="0.2">
      <c r="A1930" t="s">
        <v>2145</v>
      </c>
      <c r="B1930" t="s">
        <v>321</v>
      </c>
      <c r="E1930" t="str">
        <f t="shared" si="109"/>
        <v/>
      </c>
      <c r="G1930" s="5" t="str">
        <f t="shared" si="110"/>
        <v/>
      </c>
      <c r="I1930" s="6" t="str">
        <f t="shared" si="108"/>
        <v>0</v>
      </c>
      <c r="O1930" t="s">
        <v>321</v>
      </c>
      <c r="P1930">
        <f>IF(C1930&lt;&gt;"",C1930,_xlfn.XLOOKUP(B1930,AI_NAMES!D:D,AI_NAMES!E:E,"",0))</f>
        <v>0</v>
      </c>
    </row>
    <row r="1931" spans="1:16" x14ac:dyDescent="0.2">
      <c r="A1931" t="s">
        <v>2146</v>
      </c>
      <c r="B1931" t="s">
        <v>321</v>
      </c>
      <c r="E1931" t="str">
        <f t="shared" si="109"/>
        <v/>
      </c>
      <c r="G1931" s="5" t="str">
        <f t="shared" si="110"/>
        <v/>
      </c>
      <c r="I1931" s="6" t="str">
        <f t="shared" si="108"/>
        <v>0</v>
      </c>
      <c r="O1931" t="s">
        <v>321</v>
      </c>
      <c r="P1931">
        <f>IF(C1931&lt;&gt;"",C1931,_xlfn.XLOOKUP(B1931,AI_NAMES!D:D,AI_NAMES!E:E,"",0))</f>
        <v>0</v>
      </c>
    </row>
    <row r="1932" spans="1:16" x14ac:dyDescent="0.2">
      <c r="A1932" t="s">
        <v>2147</v>
      </c>
      <c r="B1932" t="s">
        <v>321</v>
      </c>
      <c r="E1932" t="str">
        <f t="shared" si="109"/>
        <v/>
      </c>
      <c r="G1932" s="5" t="str">
        <f t="shared" si="110"/>
        <v/>
      </c>
      <c r="I1932" s="6" t="str">
        <f t="shared" si="108"/>
        <v>0</v>
      </c>
      <c r="O1932" t="s">
        <v>321</v>
      </c>
      <c r="P1932">
        <f>IF(C1932&lt;&gt;"",C1932,_xlfn.XLOOKUP(B1932,AI_NAMES!D:D,AI_NAMES!E:E,"",0))</f>
        <v>0</v>
      </c>
    </row>
    <row r="1933" spans="1:16" x14ac:dyDescent="0.2">
      <c r="A1933" t="s">
        <v>2148</v>
      </c>
      <c r="B1933" t="s">
        <v>321</v>
      </c>
      <c r="E1933" t="str">
        <f t="shared" si="109"/>
        <v/>
      </c>
      <c r="G1933" s="5" t="str">
        <f t="shared" si="110"/>
        <v/>
      </c>
      <c r="I1933" s="6" t="str">
        <f t="shared" si="108"/>
        <v>0</v>
      </c>
      <c r="O1933" t="s">
        <v>321</v>
      </c>
      <c r="P1933">
        <f>IF(C1933&lt;&gt;"",C1933,_xlfn.XLOOKUP(B1933,AI_NAMES!D:D,AI_NAMES!E:E,"",0))</f>
        <v>0</v>
      </c>
    </row>
    <row r="1934" spans="1:16" x14ac:dyDescent="0.2">
      <c r="A1934" t="s">
        <v>2149</v>
      </c>
      <c r="B1934" t="s">
        <v>321</v>
      </c>
      <c r="E1934" t="str">
        <f t="shared" si="109"/>
        <v/>
      </c>
      <c r="G1934" s="5" t="str">
        <f t="shared" si="110"/>
        <v/>
      </c>
      <c r="I1934" s="6" t="str">
        <f t="shared" si="108"/>
        <v>0</v>
      </c>
      <c r="O1934" t="s">
        <v>321</v>
      </c>
      <c r="P1934">
        <f>IF(C1934&lt;&gt;"",C1934,_xlfn.XLOOKUP(B1934,AI_NAMES!D:D,AI_NAMES!E:E,"",0))</f>
        <v>0</v>
      </c>
    </row>
    <row r="1935" spans="1:16" x14ac:dyDescent="0.2">
      <c r="A1935" t="s">
        <v>2150</v>
      </c>
      <c r="B1935" t="s">
        <v>321</v>
      </c>
      <c r="E1935" t="str">
        <f t="shared" si="109"/>
        <v/>
      </c>
      <c r="G1935" s="5" t="str">
        <f t="shared" si="110"/>
        <v/>
      </c>
      <c r="I1935" s="6" t="str">
        <f t="shared" si="108"/>
        <v>0</v>
      </c>
      <c r="O1935" t="s">
        <v>321</v>
      </c>
      <c r="P1935">
        <f>IF(C1935&lt;&gt;"",C1935,_xlfn.XLOOKUP(B1935,AI_NAMES!D:D,AI_NAMES!E:E,"",0))</f>
        <v>0</v>
      </c>
    </row>
    <row r="1936" spans="1:16" x14ac:dyDescent="0.2">
      <c r="A1936" t="s">
        <v>2151</v>
      </c>
      <c r="B1936" t="s">
        <v>321</v>
      </c>
      <c r="E1936" t="str">
        <f t="shared" si="109"/>
        <v/>
      </c>
      <c r="G1936" s="5" t="str">
        <f t="shared" si="110"/>
        <v/>
      </c>
      <c r="I1936" s="6" t="str">
        <f t="shared" si="108"/>
        <v>0</v>
      </c>
      <c r="O1936" t="s">
        <v>321</v>
      </c>
      <c r="P1936">
        <f>IF(C1936&lt;&gt;"",C1936,_xlfn.XLOOKUP(B1936,AI_NAMES!D:D,AI_NAMES!E:E,"",0))</f>
        <v>0</v>
      </c>
    </row>
    <row r="1937" spans="1:16" x14ac:dyDescent="0.2">
      <c r="A1937" t="s">
        <v>2152</v>
      </c>
      <c r="B1937" t="s">
        <v>321</v>
      </c>
      <c r="E1937" t="str">
        <f t="shared" si="109"/>
        <v/>
      </c>
      <c r="G1937" s="5" t="str">
        <f t="shared" si="110"/>
        <v/>
      </c>
      <c r="I1937" s="6" t="str">
        <f t="shared" si="108"/>
        <v>0</v>
      </c>
      <c r="O1937" t="s">
        <v>321</v>
      </c>
      <c r="P1937">
        <f>IF(C1937&lt;&gt;"",C1937,_xlfn.XLOOKUP(B1937,AI_NAMES!D:D,AI_NAMES!E:E,"",0))</f>
        <v>0</v>
      </c>
    </row>
    <row r="1938" spans="1:16" x14ac:dyDescent="0.2">
      <c r="A1938" t="s">
        <v>2153</v>
      </c>
      <c r="B1938" t="s">
        <v>321</v>
      </c>
      <c r="E1938" t="str">
        <f t="shared" si="109"/>
        <v/>
      </c>
      <c r="G1938" s="5" t="str">
        <f t="shared" si="110"/>
        <v/>
      </c>
      <c r="I1938" s="6" t="str">
        <f t="shared" si="108"/>
        <v>0</v>
      </c>
      <c r="O1938" t="s">
        <v>321</v>
      </c>
      <c r="P1938">
        <f>IF(C1938&lt;&gt;"",C1938,_xlfn.XLOOKUP(B1938,AI_NAMES!D:D,AI_NAMES!E:E,"",0))</f>
        <v>0</v>
      </c>
    </row>
    <row r="1939" spans="1:16" ht="17" x14ac:dyDescent="0.25">
      <c r="A1939" t="s">
        <v>2154</v>
      </c>
      <c r="B1939" t="s">
        <v>3978</v>
      </c>
      <c r="C1939" s="26" t="s">
        <v>3168</v>
      </c>
      <c r="E1939" t="str">
        <f t="shared" si="109"/>
        <v/>
      </c>
      <c r="F1939" s="26" t="s">
        <v>3979</v>
      </c>
      <c r="G1939" s="5">
        <f t="shared" si="110"/>
        <v>37200</v>
      </c>
      <c r="H1939" s="5">
        <v>8</v>
      </c>
      <c r="I1939" s="6" t="str">
        <f t="shared" si="108"/>
        <v>8</v>
      </c>
      <c r="O1939" t="s">
        <v>321</v>
      </c>
      <c r="P1939" t="str">
        <f>IF(C1939&lt;&gt;"",C1939,_xlfn.XLOOKUP(B1939,AI_NAMES!D:D,AI_NAMES!E:E,"",0))</f>
        <v>gfx-data</v>
      </c>
    </row>
    <row r="1940" spans="1:16" x14ac:dyDescent="0.2">
      <c r="A1940" t="s">
        <v>2155</v>
      </c>
      <c r="B1940" t="s">
        <v>3980</v>
      </c>
      <c r="E1940" t="str">
        <f t="shared" si="109"/>
        <v/>
      </c>
      <c r="G1940" s="5" t="str">
        <f t="shared" si="110"/>
        <v/>
      </c>
      <c r="I1940" s="6" t="str">
        <f t="shared" si="108"/>
        <v>0</v>
      </c>
      <c r="O1940" t="s">
        <v>321</v>
      </c>
      <c r="P1940" t="str">
        <f>IF(C1940&lt;&gt;"",C1940,_xlfn.XLOOKUP(B1940,AI_NAMES!D:D,AI_NAMES!E:E,"",0))</f>
        <v/>
      </c>
    </row>
    <row r="1941" spans="1:16" x14ac:dyDescent="0.2">
      <c r="A1941" t="s">
        <v>2156</v>
      </c>
      <c r="B1941" t="s">
        <v>321</v>
      </c>
      <c r="E1941" t="str">
        <f t="shared" si="109"/>
        <v/>
      </c>
      <c r="G1941" s="5" t="str">
        <f t="shared" si="110"/>
        <v/>
      </c>
      <c r="I1941" s="6" t="str">
        <f t="shared" si="108"/>
        <v>0</v>
      </c>
      <c r="O1941" t="s">
        <v>321</v>
      </c>
      <c r="P1941">
        <f>IF(C1941&lt;&gt;"",C1941,_xlfn.XLOOKUP(B1941,AI_NAMES!D:D,AI_NAMES!E:E,"",0))</f>
        <v>0</v>
      </c>
    </row>
    <row r="1942" spans="1:16" x14ac:dyDescent="0.2">
      <c r="A1942" t="s">
        <v>2157</v>
      </c>
      <c r="B1942" t="s">
        <v>321</v>
      </c>
      <c r="E1942" t="str">
        <f t="shared" si="109"/>
        <v/>
      </c>
      <c r="G1942" s="5" t="str">
        <f t="shared" si="110"/>
        <v/>
      </c>
      <c r="I1942" s="6" t="str">
        <f t="shared" si="108"/>
        <v>0</v>
      </c>
      <c r="O1942" t="s">
        <v>321</v>
      </c>
      <c r="P1942">
        <f>IF(C1942&lt;&gt;"",C1942,_xlfn.XLOOKUP(B1942,AI_NAMES!D:D,AI_NAMES!E:E,"",0))</f>
        <v>0</v>
      </c>
    </row>
    <row r="1943" spans="1:16" x14ac:dyDescent="0.2">
      <c r="A1943" t="s">
        <v>2158</v>
      </c>
      <c r="B1943" t="s">
        <v>321</v>
      </c>
      <c r="E1943" t="str">
        <f t="shared" si="109"/>
        <v/>
      </c>
      <c r="G1943" s="5" t="str">
        <f t="shared" si="110"/>
        <v/>
      </c>
      <c r="I1943" s="6" t="str">
        <f t="shared" si="108"/>
        <v>0</v>
      </c>
      <c r="O1943" t="s">
        <v>321</v>
      </c>
      <c r="P1943">
        <f>IF(C1943&lt;&gt;"",C1943,_xlfn.XLOOKUP(B1943,AI_NAMES!D:D,AI_NAMES!E:E,"",0))</f>
        <v>0</v>
      </c>
    </row>
    <row r="1944" spans="1:16" x14ac:dyDescent="0.2">
      <c r="A1944" t="s">
        <v>2159</v>
      </c>
      <c r="B1944" t="s">
        <v>321</v>
      </c>
      <c r="E1944" t="str">
        <f t="shared" si="109"/>
        <v/>
      </c>
      <c r="G1944" s="5" t="str">
        <f t="shared" si="110"/>
        <v/>
      </c>
      <c r="I1944" s="6" t="str">
        <f t="shared" si="108"/>
        <v>0</v>
      </c>
      <c r="O1944" t="s">
        <v>321</v>
      </c>
      <c r="P1944">
        <f>IF(C1944&lt;&gt;"",C1944,_xlfn.XLOOKUP(B1944,AI_NAMES!D:D,AI_NAMES!E:E,"",0))</f>
        <v>0</v>
      </c>
    </row>
    <row r="1945" spans="1:16" x14ac:dyDescent="0.2">
      <c r="A1945" t="s">
        <v>2160</v>
      </c>
      <c r="B1945" t="s">
        <v>321</v>
      </c>
      <c r="E1945" t="str">
        <f t="shared" si="109"/>
        <v/>
      </c>
      <c r="G1945" s="5" t="str">
        <f t="shared" si="110"/>
        <v/>
      </c>
      <c r="I1945" s="6" t="str">
        <f t="shared" si="108"/>
        <v>0</v>
      </c>
      <c r="O1945" t="s">
        <v>321</v>
      </c>
      <c r="P1945">
        <f>IF(C1945&lt;&gt;"",C1945,_xlfn.XLOOKUP(B1945,AI_NAMES!D:D,AI_NAMES!E:E,"",0))</f>
        <v>0</v>
      </c>
    </row>
    <row r="1946" spans="1:16" x14ac:dyDescent="0.2">
      <c r="A1946" t="s">
        <v>2161</v>
      </c>
      <c r="B1946" t="s">
        <v>321</v>
      </c>
      <c r="E1946" t="str">
        <f t="shared" si="109"/>
        <v/>
      </c>
      <c r="G1946" s="5" t="str">
        <f t="shared" si="110"/>
        <v/>
      </c>
      <c r="I1946" s="6" t="str">
        <f t="shared" si="108"/>
        <v>0</v>
      </c>
      <c r="O1946" t="s">
        <v>321</v>
      </c>
      <c r="P1946">
        <f>IF(C1946&lt;&gt;"",C1946,_xlfn.XLOOKUP(B1946,AI_NAMES!D:D,AI_NAMES!E:E,"",0))</f>
        <v>0</v>
      </c>
    </row>
    <row r="1947" spans="1:16" x14ac:dyDescent="0.2">
      <c r="A1947" t="s">
        <v>2162</v>
      </c>
      <c r="B1947" t="s">
        <v>321</v>
      </c>
      <c r="E1947" t="str">
        <f t="shared" si="109"/>
        <v/>
      </c>
      <c r="G1947" s="5" t="str">
        <f t="shared" si="110"/>
        <v/>
      </c>
      <c r="I1947" s="6" t="str">
        <f t="shared" si="108"/>
        <v>0</v>
      </c>
      <c r="O1947" t="s">
        <v>321</v>
      </c>
      <c r="P1947">
        <f>IF(C1947&lt;&gt;"",C1947,_xlfn.XLOOKUP(B1947,AI_NAMES!D:D,AI_NAMES!E:E,"",0))</f>
        <v>0</v>
      </c>
    </row>
    <row r="1948" spans="1:16" x14ac:dyDescent="0.2">
      <c r="A1948" t="s">
        <v>2163</v>
      </c>
      <c r="B1948" t="s">
        <v>3356</v>
      </c>
      <c r="E1948" t="str">
        <f t="shared" si="109"/>
        <v/>
      </c>
      <c r="G1948" s="5" t="str">
        <f t="shared" si="110"/>
        <v/>
      </c>
      <c r="I1948" s="6" t="str">
        <f t="shared" si="108"/>
        <v>0</v>
      </c>
      <c r="O1948" t="s">
        <v>3356</v>
      </c>
      <c r="P1948" t="str">
        <f>IF(C1948&lt;&gt;"",C1948,_xlfn.XLOOKUP(B1948,AI_NAMES!D:D,AI_NAMES!E:E,"",0))</f>
        <v/>
      </c>
    </row>
    <row r="1949" spans="1:16" x14ac:dyDescent="0.2">
      <c r="A1949" t="s">
        <v>2164</v>
      </c>
      <c r="B1949" s="27" t="s">
        <v>321</v>
      </c>
      <c r="E1949" t="str">
        <f t="shared" si="109"/>
        <v/>
      </c>
      <c r="G1949" s="5" t="str">
        <f t="shared" si="110"/>
        <v/>
      </c>
      <c r="I1949" s="6" t="str">
        <f t="shared" si="108"/>
        <v>0</v>
      </c>
      <c r="O1949" t="s">
        <v>321</v>
      </c>
      <c r="P1949">
        <f>IF(C1949&lt;&gt;"",C1949,_xlfn.XLOOKUP(B1949,AI_NAMES!D:D,AI_NAMES!E:E,"",0))</f>
        <v>0</v>
      </c>
    </row>
    <row r="1950" spans="1:16" x14ac:dyDescent="0.2">
      <c r="A1950" t="s">
        <v>2165</v>
      </c>
      <c r="B1950" s="27" t="s">
        <v>3350</v>
      </c>
      <c r="E1950" t="str">
        <f t="shared" si="109"/>
        <v/>
      </c>
      <c r="G1950" s="5" t="str">
        <f t="shared" si="110"/>
        <v/>
      </c>
      <c r="I1950" s="6" t="str">
        <f t="shared" si="108"/>
        <v>0</v>
      </c>
      <c r="O1950" t="s">
        <v>3350</v>
      </c>
      <c r="P1950" t="str">
        <f>IF(C1950&lt;&gt;"",C1950,_xlfn.XLOOKUP(B1950,AI_NAMES!D:D,AI_NAMES!E:E,"",0))</f>
        <v/>
      </c>
    </row>
    <row r="1951" spans="1:16" x14ac:dyDescent="0.2">
      <c r="A1951" t="s">
        <v>2166</v>
      </c>
      <c r="B1951" s="27" t="s">
        <v>321</v>
      </c>
      <c r="E1951" t="str">
        <f t="shared" si="109"/>
        <v/>
      </c>
      <c r="G1951" s="5" t="str">
        <f t="shared" si="110"/>
        <v/>
      </c>
      <c r="I1951" s="6" t="str">
        <f t="shared" si="108"/>
        <v>0</v>
      </c>
      <c r="O1951" t="s">
        <v>321</v>
      </c>
      <c r="P1951">
        <f>IF(C1951&lt;&gt;"",C1951,_xlfn.XLOOKUP(B1951,AI_NAMES!D:D,AI_NAMES!E:E,"",0))</f>
        <v>0</v>
      </c>
    </row>
    <row r="1952" spans="1:16" ht="17" x14ac:dyDescent="0.25">
      <c r="A1952" t="s">
        <v>2167</v>
      </c>
      <c r="B1952" s="28" t="s">
        <v>3900</v>
      </c>
      <c r="C1952" t="s">
        <v>3168</v>
      </c>
      <c r="D1952" s="26" t="s">
        <v>3901</v>
      </c>
      <c r="E1952" t="str">
        <f t="shared" si="109"/>
        <v>gfx-data/Dungeon_CentredComponents.lookup</v>
      </c>
      <c r="F1952" s="26" t="s">
        <v>3902</v>
      </c>
      <c r="G1952" s="5">
        <f t="shared" si="110"/>
        <v>37436</v>
      </c>
      <c r="H1952" s="5">
        <v>20</v>
      </c>
      <c r="I1952" s="6" t="str">
        <f t="shared" si="108"/>
        <v>14</v>
      </c>
      <c r="K1952" s="6" t="s">
        <v>3903</v>
      </c>
    </row>
    <row r="1953" spans="1:16" ht="17" x14ac:dyDescent="0.25">
      <c r="A1953" t="s">
        <v>2168</v>
      </c>
      <c r="B1953" s="26" t="s">
        <v>3948</v>
      </c>
      <c r="C1953"/>
      <c r="D1953" s="26"/>
      <c r="E1953" t="str">
        <f t="shared" si="109"/>
        <v/>
      </c>
      <c r="F1953" s="26"/>
      <c r="G1953" s="5" t="str">
        <f t="shared" si="110"/>
        <v/>
      </c>
      <c r="I1953" s="6" t="str">
        <f t="shared" si="108"/>
        <v>0</v>
      </c>
      <c r="K1953" s="6" t="s">
        <v>3949</v>
      </c>
    </row>
    <row r="1954" spans="1:16" x14ac:dyDescent="0.2">
      <c r="A1954" t="s">
        <v>2169</v>
      </c>
      <c r="B1954" s="27" t="s">
        <v>321</v>
      </c>
      <c r="E1954" t="str">
        <f t="shared" si="109"/>
        <v/>
      </c>
      <c r="G1954" s="5" t="str">
        <f t="shared" si="110"/>
        <v/>
      </c>
      <c r="I1954" s="6" t="str">
        <f t="shared" si="108"/>
        <v>0</v>
      </c>
      <c r="O1954" t="s">
        <v>321</v>
      </c>
      <c r="P1954">
        <f>IF(C1954&lt;&gt;"",C1954,_xlfn.XLOOKUP(B1954,AI_NAMES!D:D,AI_NAMES!E:E,"",0))</f>
        <v>0</v>
      </c>
    </row>
    <row r="1955" spans="1:16" x14ac:dyDescent="0.2">
      <c r="A1955" t="s">
        <v>2170</v>
      </c>
      <c r="B1955" s="27" t="s">
        <v>321</v>
      </c>
      <c r="E1955" t="str">
        <f t="shared" si="109"/>
        <v/>
      </c>
      <c r="G1955" s="5" t="str">
        <f t="shared" si="110"/>
        <v/>
      </c>
      <c r="I1955" s="6" t="str">
        <f t="shared" si="108"/>
        <v>0</v>
      </c>
      <c r="O1955" t="s">
        <v>321</v>
      </c>
      <c r="P1955">
        <f>IF(C1955&lt;&gt;"",C1955,_xlfn.XLOOKUP(B1955,AI_NAMES!D:D,AI_NAMES!E:E,"",0))</f>
        <v>0</v>
      </c>
    </row>
    <row r="1956" spans="1:16" x14ac:dyDescent="0.2">
      <c r="A1956" t="s">
        <v>2171</v>
      </c>
      <c r="B1956" s="27" t="s">
        <v>321</v>
      </c>
      <c r="E1956" t="str">
        <f t="shared" si="109"/>
        <v/>
      </c>
      <c r="G1956" s="5" t="str">
        <f t="shared" si="110"/>
        <v/>
      </c>
      <c r="I1956" s="6" t="str">
        <f t="shared" si="108"/>
        <v>0</v>
      </c>
      <c r="O1956" t="s">
        <v>321</v>
      </c>
      <c r="P1956">
        <f>IF(C1956&lt;&gt;"",C1956,_xlfn.XLOOKUP(B1956,AI_NAMES!D:D,AI_NAMES!E:E,"",0))</f>
        <v>0</v>
      </c>
    </row>
    <row r="1957" spans="1:16" x14ac:dyDescent="0.2">
      <c r="A1957" t="s">
        <v>2172</v>
      </c>
      <c r="B1957" t="s">
        <v>321</v>
      </c>
      <c r="E1957" t="str">
        <f t="shared" si="109"/>
        <v/>
      </c>
      <c r="G1957" s="5" t="str">
        <f t="shared" si="110"/>
        <v/>
      </c>
      <c r="I1957" s="6" t="str">
        <f t="shared" si="108"/>
        <v>0</v>
      </c>
      <c r="O1957" t="s">
        <v>321</v>
      </c>
      <c r="P1957">
        <f>IF(C1957&lt;&gt;"",C1957,_xlfn.XLOOKUP(B1957,AI_NAMES!D:D,AI_NAMES!E:E,"",0))</f>
        <v>0</v>
      </c>
    </row>
    <row r="1958" spans="1:16" x14ac:dyDescent="0.2">
      <c r="A1958" t="s">
        <v>2173</v>
      </c>
      <c r="B1958" t="s">
        <v>321</v>
      </c>
      <c r="E1958" t="str">
        <f t="shared" si="109"/>
        <v/>
      </c>
      <c r="G1958" s="5" t="str">
        <f t="shared" si="110"/>
        <v/>
      </c>
      <c r="I1958" s="6" t="str">
        <f t="shared" si="108"/>
        <v>0</v>
      </c>
      <c r="O1958" t="s">
        <v>321</v>
      </c>
      <c r="P1958">
        <f>IF(C1958&lt;&gt;"",C1958,_xlfn.XLOOKUP(B1958,AI_NAMES!D:D,AI_NAMES!E:E,"",0))</f>
        <v>0</v>
      </c>
    </row>
    <row r="1959" spans="1:16" x14ac:dyDescent="0.2">
      <c r="A1959" t="s">
        <v>2174</v>
      </c>
      <c r="B1959" t="s">
        <v>321</v>
      </c>
      <c r="E1959" t="str">
        <f t="shared" si="109"/>
        <v/>
      </c>
      <c r="G1959" s="5" t="str">
        <f t="shared" si="110"/>
        <v/>
      </c>
      <c r="I1959" s="6" t="str">
        <f t="shared" si="108"/>
        <v>0</v>
      </c>
      <c r="O1959" t="s">
        <v>321</v>
      </c>
      <c r="P1959">
        <f>IF(C1959&lt;&gt;"",C1959,_xlfn.XLOOKUP(B1959,AI_NAMES!D:D,AI_NAMES!E:E,"",0))</f>
        <v>0</v>
      </c>
    </row>
    <row r="1960" spans="1:16" x14ac:dyDescent="0.2">
      <c r="A1960" t="s">
        <v>2175</v>
      </c>
      <c r="B1960" t="s">
        <v>321</v>
      </c>
      <c r="E1960" t="str">
        <f t="shared" si="109"/>
        <v/>
      </c>
      <c r="G1960" s="5" t="str">
        <f t="shared" si="110"/>
        <v/>
      </c>
      <c r="I1960" s="6" t="str">
        <f t="shared" si="108"/>
        <v>0</v>
      </c>
      <c r="O1960" t="s">
        <v>321</v>
      </c>
      <c r="P1960">
        <f>IF(C1960&lt;&gt;"",C1960,_xlfn.XLOOKUP(B1960,AI_NAMES!D:D,AI_NAMES!E:E,"",0))</f>
        <v>0</v>
      </c>
    </row>
    <row r="1961" spans="1:16" x14ac:dyDescent="0.2">
      <c r="A1961" t="s">
        <v>2176</v>
      </c>
      <c r="B1961" t="s">
        <v>321</v>
      </c>
      <c r="E1961" t="str">
        <f t="shared" si="109"/>
        <v/>
      </c>
      <c r="G1961" s="5" t="str">
        <f t="shared" si="110"/>
        <v/>
      </c>
      <c r="I1961" s="6" t="str">
        <f t="shared" si="108"/>
        <v>0</v>
      </c>
      <c r="O1961" t="s">
        <v>321</v>
      </c>
      <c r="P1961">
        <f>IF(C1961&lt;&gt;"",C1961,_xlfn.XLOOKUP(B1961,AI_NAMES!D:D,AI_NAMES!E:E,"",0))</f>
        <v>0</v>
      </c>
    </row>
    <row r="1962" spans="1:16" x14ac:dyDescent="0.2">
      <c r="A1962" t="s">
        <v>2177</v>
      </c>
      <c r="B1962" t="s">
        <v>321</v>
      </c>
      <c r="E1962" t="str">
        <f t="shared" si="109"/>
        <v/>
      </c>
      <c r="G1962" s="5" t="str">
        <f t="shared" si="110"/>
        <v/>
      </c>
      <c r="I1962" s="6" t="str">
        <f t="shared" si="108"/>
        <v>0</v>
      </c>
      <c r="O1962" t="s">
        <v>321</v>
      </c>
      <c r="P1962">
        <f>IF(C1962&lt;&gt;"",C1962,_xlfn.XLOOKUP(B1962,AI_NAMES!D:D,AI_NAMES!E:E,"",0))</f>
        <v>0</v>
      </c>
    </row>
    <row r="1963" spans="1:16" x14ac:dyDescent="0.2">
      <c r="A1963" t="s">
        <v>2178</v>
      </c>
      <c r="B1963" t="s">
        <v>321</v>
      </c>
      <c r="E1963" t="str">
        <f t="shared" si="109"/>
        <v/>
      </c>
      <c r="G1963" s="5" t="str">
        <f t="shared" si="110"/>
        <v/>
      </c>
      <c r="I1963" s="6" t="str">
        <f t="shared" si="108"/>
        <v>0</v>
      </c>
      <c r="O1963" t="s">
        <v>321</v>
      </c>
      <c r="P1963">
        <f>IF(C1963&lt;&gt;"",C1963,_xlfn.XLOOKUP(B1963,AI_NAMES!D:D,AI_NAMES!E:E,"",0))</f>
        <v>0</v>
      </c>
    </row>
    <row r="1964" spans="1:16" x14ac:dyDescent="0.2">
      <c r="A1964" t="s">
        <v>2179</v>
      </c>
      <c r="B1964" t="s">
        <v>321</v>
      </c>
      <c r="E1964" t="str">
        <f t="shared" si="109"/>
        <v/>
      </c>
      <c r="G1964" s="5" t="str">
        <f t="shared" si="110"/>
        <v/>
      </c>
      <c r="I1964" s="6" t="str">
        <f t="shared" si="108"/>
        <v>0</v>
      </c>
      <c r="O1964" t="s">
        <v>321</v>
      </c>
      <c r="P1964">
        <f>IF(C1964&lt;&gt;"",C1964,_xlfn.XLOOKUP(B1964,AI_NAMES!D:D,AI_NAMES!E:E,"",0))</f>
        <v>0</v>
      </c>
    </row>
    <row r="1965" spans="1:16" x14ac:dyDescent="0.2">
      <c r="A1965" t="s">
        <v>2180</v>
      </c>
      <c r="B1965" t="s">
        <v>321</v>
      </c>
      <c r="E1965" t="str">
        <f t="shared" si="109"/>
        <v/>
      </c>
      <c r="G1965" s="5" t="str">
        <f t="shared" si="110"/>
        <v/>
      </c>
      <c r="I1965" s="6" t="str">
        <f t="shared" si="108"/>
        <v>0</v>
      </c>
      <c r="O1965" t="s">
        <v>321</v>
      </c>
      <c r="P1965">
        <f>IF(C1965&lt;&gt;"",C1965,_xlfn.XLOOKUP(B1965,AI_NAMES!D:D,AI_NAMES!E:E,"",0))</f>
        <v>0</v>
      </c>
    </row>
    <row r="1966" spans="1:16" x14ac:dyDescent="0.2">
      <c r="A1966" t="s">
        <v>2181</v>
      </c>
      <c r="B1966" t="s">
        <v>321</v>
      </c>
      <c r="E1966" t="str">
        <f t="shared" si="109"/>
        <v/>
      </c>
      <c r="G1966" s="5" t="str">
        <f t="shared" si="110"/>
        <v/>
      </c>
      <c r="I1966" s="6" t="str">
        <f t="shared" si="108"/>
        <v>0</v>
      </c>
      <c r="O1966" t="s">
        <v>321</v>
      </c>
      <c r="P1966">
        <f>IF(C1966&lt;&gt;"",C1966,_xlfn.XLOOKUP(B1966,AI_NAMES!D:D,AI_NAMES!E:E,"",0))</f>
        <v>0</v>
      </c>
    </row>
    <row r="1967" spans="1:16" x14ac:dyDescent="0.2">
      <c r="A1967" t="s">
        <v>2182</v>
      </c>
      <c r="B1967" t="s">
        <v>321</v>
      </c>
      <c r="E1967" t="str">
        <f t="shared" si="109"/>
        <v/>
      </c>
      <c r="G1967" s="5" t="str">
        <f t="shared" si="110"/>
        <v/>
      </c>
      <c r="I1967" s="6" t="str">
        <f t="shared" si="108"/>
        <v>0</v>
      </c>
      <c r="O1967" t="s">
        <v>321</v>
      </c>
      <c r="P1967">
        <f>IF(C1967&lt;&gt;"",C1967,_xlfn.XLOOKUP(B1967,AI_NAMES!D:D,AI_NAMES!E:E,"",0))</f>
        <v>0</v>
      </c>
    </row>
    <row r="1968" spans="1:16" x14ac:dyDescent="0.2">
      <c r="A1968" t="s">
        <v>2183</v>
      </c>
      <c r="B1968" t="s">
        <v>321</v>
      </c>
      <c r="E1968" t="str">
        <f t="shared" si="109"/>
        <v/>
      </c>
      <c r="G1968" s="5" t="str">
        <f t="shared" si="110"/>
        <v/>
      </c>
      <c r="I1968" s="6" t="str">
        <f t="shared" si="108"/>
        <v>0</v>
      </c>
      <c r="O1968" t="s">
        <v>321</v>
      </c>
      <c r="P1968">
        <f>IF(C1968&lt;&gt;"",C1968,_xlfn.XLOOKUP(B1968,AI_NAMES!D:D,AI_NAMES!E:E,"",0))</f>
        <v>0</v>
      </c>
    </row>
    <row r="1969" spans="1:16" x14ac:dyDescent="0.2">
      <c r="A1969" t="s">
        <v>2184</v>
      </c>
      <c r="B1969" t="s">
        <v>321</v>
      </c>
      <c r="E1969" t="str">
        <f t="shared" si="109"/>
        <v/>
      </c>
      <c r="G1969" s="5" t="str">
        <f t="shared" si="110"/>
        <v/>
      </c>
      <c r="I1969" s="6" t="str">
        <f t="shared" si="108"/>
        <v>0</v>
      </c>
      <c r="O1969" t="s">
        <v>321</v>
      </c>
      <c r="P1969">
        <f>IF(C1969&lt;&gt;"",C1969,_xlfn.XLOOKUP(B1969,AI_NAMES!D:D,AI_NAMES!E:E,"",0))</f>
        <v>0</v>
      </c>
    </row>
    <row r="1970" spans="1:16" x14ac:dyDescent="0.2">
      <c r="A1970" t="s">
        <v>2185</v>
      </c>
      <c r="B1970" t="s">
        <v>321</v>
      </c>
      <c r="E1970" t="str">
        <f t="shared" si="109"/>
        <v/>
      </c>
      <c r="G1970" s="5" t="str">
        <f t="shared" si="110"/>
        <v/>
      </c>
      <c r="I1970" s="6" t="str">
        <f t="shared" si="108"/>
        <v>0</v>
      </c>
      <c r="O1970" t="s">
        <v>321</v>
      </c>
      <c r="P1970">
        <f>IF(C1970&lt;&gt;"",C1970,_xlfn.XLOOKUP(B1970,AI_NAMES!D:D,AI_NAMES!E:E,"",0))</f>
        <v>0</v>
      </c>
    </row>
    <row r="1971" spans="1:16" x14ac:dyDescent="0.2">
      <c r="A1971" t="s">
        <v>2186</v>
      </c>
      <c r="B1971" t="s">
        <v>321</v>
      </c>
      <c r="E1971" t="str">
        <f t="shared" si="109"/>
        <v/>
      </c>
      <c r="G1971" s="5" t="str">
        <f t="shared" si="110"/>
        <v/>
      </c>
      <c r="I1971" s="6" t="str">
        <f t="shared" si="108"/>
        <v>0</v>
      </c>
      <c r="O1971" t="s">
        <v>321</v>
      </c>
      <c r="P1971">
        <f>IF(C1971&lt;&gt;"",C1971,_xlfn.XLOOKUP(B1971,AI_NAMES!D:D,AI_NAMES!E:E,"",0))</f>
        <v>0</v>
      </c>
    </row>
    <row r="1972" spans="1:16" x14ac:dyDescent="0.2">
      <c r="A1972" t="s">
        <v>2187</v>
      </c>
      <c r="B1972" t="s">
        <v>321</v>
      </c>
      <c r="E1972" t="str">
        <f t="shared" si="109"/>
        <v/>
      </c>
      <c r="G1972" s="5" t="str">
        <f t="shared" si="110"/>
        <v/>
      </c>
      <c r="I1972" s="6" t="str">
        <f t="shared" si="108"/>
        <v>0</v>
      </c>
      <c r="O1972" t="s">
        <v>321</v>
      </c>
      <c r="P1972">
        <f>IF(C1972&lt;&gt;"",C1972,_xlfn.XLOOKUP(B1972,AI_NAMES!D:D,AI_NAMES!E:E,"",0))</f>
        <v>0</v>
      </c>
    </row>
    <row r="1973" spans="1:16" x14ac:dyDescent="0.2">
      <c r="A1973" t="s">
        <v>2188</v>
      </c>
      <c r="B1973" t="s">
        <v>321</v>
      </c>
      <c r="E1973" t="str">
        <f t="shared" si="109"/>
        <v/>
      </c>
      <c r="G1973" s="5" t="str">
        <f t="shared" si="110"/>
        <v/>
      </c>
      <c r="I1973" s="6" t="str">
        <f t="shared" si="108"/>
        <v>0</v>
      </c>
      <c r="O1973" t="s">
        <v>321</v>
      </c>
      <c r="P1973">
        <f>IF(C1973&lt;&gt;"",C1973,_xlfn.XLOOKUP(B1973,AI_NAMES!D:D,AI_NAMES!E:E,"",0))</f>
        <v>0</v>
      </c>
    </row>
    <row r="1974" spans="1:16" x14ac:dyDescent="0.2">
      <c r="A1974" t="s">
        <v>2189</v>
      </c>
      <c r="B1974" t="s">
        <v>321</v>
      </c>
      <c r="E1974" t="str">
        <f t="shared" si="109"/>
        <v/>
      </c>
      <c r="G1974" s="5" t="str">
        <f t="shared" si="110"/>
        <v/>
      </c>
      <c r="I1974" s="6" t="str">
        <f t="shared" si="108"/>
        <v>0</v>
      </c>
      <c r="O1974" t="s">
        <v>321</v>
      </c>
      <c r="P1974">
        <f>IF(C1974&lt;&gt;"",C1974,_xlfn.XLOOKUP(B1974,AI_NAMES!D:D,AI_NAMES!E:E,"",0))</f>
        <v>0</v>
      </c>
    </row>
    <row r="1975" spans="1:16" x14ac:dyDescent="0.2">
      <c r="A1975" t="s">
        <v>2190</v>
      </c>
      <c r="B1975" t="s">
        <v>3322</v>
      </c>
      <c r="E1975" t="str">
        <f t="shared" si="109"/>
        <v/>
      </c>
      <c r="G1975" s="5" t="str">
        <f t="shared" si="110"/>
        <v/>
      </c>
      <c r="I1975" s="6" t="str">
        <f t="shared" si="108"/>
        <v>0</v>
      </c>
      <c r="O1975" t="s">
        <v>3322</v>
      </c>
      <c r="P1975" t="str">
        <f>IF(C1975&lt;&gt;"",C1975,_xlfn.XLOOKUP(B1975,AI_NAMES!D:D,AI_NAMES!E:E,"",0))</f>
        <v/>
      </c>
    </row>
    <row r="1976" spans="1:16" x14ac:dyDescent="0.2">
      <c r="A1976" t="s">
        <v>2191</v>
      </c>
      <c r="B1976" t="s">
        <v>321</v>
      </c>
      <c r="E1976" t="str">
        <f t="shared" si="109"/>
        <v/>
      </c>
      <c r="G1976" s="5" t="str">
        <f t="shared" si="110"/>
        <v/>
      </c>
      <c r="I1976" s="6" t="str">
        <f t="shared" si="108"/>
        <v>0</v>
      </c>
      <c r="O1976" t="s">
        <v>321</v>
      </c>
      <c r="P1976">
        <f>IF(C1976&lt;&gt;"",C1976,_xlfn.XLOOKUP(B1976,AI_NAMES!D:D,AI_NAMES!E:E,"",0))</f>
        <v>0</v>
      </c>
    </row>
    <row r="1977" spans="1:16" x14ac:dyDescent="0.2">
      <c r="A1977" t="s">
        <v>2192</v>
      </c>
      <c r="B1977" t="s">
        <v>321</v>
      </c>
      <c r="E1977" t="str">
        <f t="shared" si="109"/>
        <v/>
      </c>
      <c r="G1977" s="5" t="str">
        <f t="shared" si="110"/>
        <v/>
      </c>
      <c r="I1977" s="6" t="str">
        <f t="shared" si="108"/>
        <v>0</v>
      </c>
      <c r="O1977" t="s">
        <v>321</v>
      </c>
      <c r="P1977">
        <f>IF(C1977&lt;&gt;"",C1977,_xlfn.XLOOKUP(B1977,AI_NAMES!D:D,AI_NAMES!E:E,"",0))</f>
        <v>0</v>
      </c>
    </row>
    <row r="1978" spans="1:16" x14ac:dyDescent="0.2">
      <c r="A1978" t="s">
        <v>2193</v>
      </c>
      <c r="C1978" s="5" t="s">
        <v>3330</v>
      </c>
      <c r="E1978" t="str">
        <f t="shared" si="109"/>
        <v/>
      </c>
      <c r="G1978" s="5" t="str">
        <f t="shared" si="110"/>
        <v/>
      </c>
      <c r="I1978" s="6" t="str">
        <f t="shared" si="108"/>
        <v>0</v>
      </c>
      <c r="P1978" t="str">
        <f>IF(C1978&lt;&gt;"",C1978,_xlfn.XLOOKUP(B1978,AI_NAMES!D:D,AI_NAMES!E:E,"",0))</f>
        <v>Unknown Floor Object Data</v>
      </c>
    </row>
    <row r="1979" spans="1:16" x14ac:dyDescent="0.2">
      <c r="A1979" t="s">
        <v>2194</v>
      </c>
      <c r="B1979" t="s">
        <v>321</v>
      </c>
      <c r="E1979" t="str">
        <f t="shared" si="109"/>
        <v/>
      </c>
      <c r="G1979" s="5" t="str">
        <f t="shared" si="110"/>
        <v/>
      </c>
      <c r="I1979" s="6" t="str">
        <f t="shared" si="108"/>
        <v>0</v>
      </c>
      <c r="O1979" t="s">
        <v>321</v>
      </c>
      <c r="P1979">
        <f>IF(C1979&lt;&gt;"",C1979,_xlfn.XLOOKUP(B1979,AI_NAMES!D:D,AI_NAMES!E:E,"",0))</f>
        <v>0</v>
      </c>
    </row>
    <row r="1980" spans="1:16" x14ac:dyDescent="0.2">
      <c r="A1980" t="s">
        <v>2195</v>
      </c>
      <c r="B1980" t="s">
        <v>321</v>
      </c>
      <c r="E1980" t="str">
        <f t="shared" si="109"/>
        <v/>
      </c>
      <c r="G1980" s="5" t="str">
        <f t="shared" si="110"/>
        <v/>
      </c>
      <c r="I1980" s="6" t="str">
        <f t="shared" si="108"/>
        <v>0</v>
      </c>
      <c r="O1980" t="s">
        <v>321</v>
      </c>
      <c r="P1980">
        <f>IF(C1980&lt;&gt;"",C1980,_xlfn.XLOOKUP(B1980,AI_NAMES!D:D,AI_NAMES!E:E,"",0))</f>
        <v>0</v>
      </c>
    </row>
    <row r="1981" spans="1:16" x14ac:dyDescent="0.2">
      <c r="A1981" t="s">
        <v>2196</v>
      </c>
      <c r="B1981" t="s">
        <v>321</v>
      </c>
      <c r="E1981" t="str">
        <f t="shared" si="109"/>
        <v/>
      </c>
      <c r="G1981" s="5" t="str">
        <f t="shared" si="110"/>
        <v/>
      </c>
      <c r="I1981" s="6" t="str">
        <f t="shared" si="108"/>
        <v>0</v>
      </c>
      <c r="O1981" t="s">
        <v>321</v>
      </c>
      <c r="P1981">
        <f>IF(C1981&lt;&gt;"",C1981,_xlfn.XLOOKUP(B1981,AI_NAMES!D:D,AI_NAMES!E:E,"",0))</f>
        <v>0</v>
      </c>
    </row>
    <row r="1982" spans="1:16" x14ac:dyDescent="0.2">
      <c r="A1982" t="s">
        <v>2197</v>
      </c>
      <c r="B1982" t="s">
        <v>321</v>
      </c>
      <c r="E1982" t="str">
        <f t="shared" si="109"/>
        <v/>
      </c>
      <c r="G1982" s="5" t="str">
        <f t="shared" si="110"/>
        <v/>
      </c>
      <c r="I1982" s="6" t="str">
        <f t="shared" si="108"/>
        <v>0</v>
      </c>
      <c r="O1982" t="s">
        <v>321</v>
      </c>
      <c r="P1982">
        <f>IF(C1982&lt;&gt;"",C1982,_xlfn.XLOOKUP(B1982,AI_NAMES!D:D,AI_NAMES!E:E,"",0))</f>
        <v>0</v>
      </c>
    </row>
    <row r="1983" spans="1:16" x14ac:dyDescent="0.2">
      <c r="A1983" t="s">
        <v>2198</v>
      </c>
      <c r="B1983" t="s">
        <v>321</v>
      </c>
      <c r="E1983" t="str">
        <f t="shared" si="109"/>
        <v/>
      </c>
      <c r="G1983" s="5" t="str">
        <f t="shared" si="110"/>
        <v/>
      </c>
      <c r="I1983" s="6" t="str">
        <f t="shared" si="108"/>
        <v>0</v>
      </c>
      <c r="O1983" t="s">
        <v>321</v>
      </c>
      <c r="P1983">
        <f>IF(C1983&lt;&gt;"",C1983,_xlfn.XLOOKUP(B1983,AI_NAMES!D:D,AI_NAMES!E:E,"",0))</f>
        <v>0</v>
      </c>
    </row>
    <row r="1984" spans="1:16" x14ac:dyDescent="0.2">
      <c r="A1984" t="s">
        <v>2199</v>
      </c>
      <c r="B1984" t="s">
        <v>321</v>
      </c>
      <c r="E1984" t="str">
        <f t="shared" si="109"/>
        <v/>
      </c>
      <c r="G1984" s="5" t="str">
        <f t="shared" si="110"/>
        <v/>
      </c>
      <c r="I1984" s="6" t="str">
        <f t="shared" si="108"/>
        <v>0</v>
      </c>
      <c r="O1984" t="s">
        <v>321</v>
      </c>
      <c r="P1984">
        <f>IF(C1984&lt;&gt;"",C1984,_xlfn.XLOOKUP(B1984,AI_NAMES!D:D,AI_NAMES!E:E,"",0))</f>
        <v>0</v>
      </c>
    </row>
    <row r="1985" spans="1:16" x14ac:dyDescent="0.2">
      <c r="A1985" t="s">
        <v>2200</v>
      </c>
      <c r="B1985" t="s">
        <v>321</v>
      </c>
      <c r="E1985" t="str">
        <f t="shared" si="109"/>
        <v/>
      </c>
      <c r="G1985" s="5" t="str">
        <f t="shared" si="110"/>
        <v/>
      </c>
      <c r="I1985" s="6" t="str">
        <f t="shared" si="108"/>
        <v>0</v>
      </c>
      <c r="O1985" t="s">
        <v>321</v>
      </c>
      <c r="P1985">
        <f>IF(C1985&lt;&gt;"",C1985,_xlfn.XLOOKUP(B1985,AI_NAMES!D:D,AI_NAMES!E:E,"",0))</f>
        <v>0</v>
      </c>
    </row>
    <row r="1986" spans="1:16" x14ac:dyDescent="0.2">
      <c r="A1986" t="s">
        <v>2201</v>
      </c>
      <c r="B1986" t="s">
        <v>321</v>
      </c>
      <c r="E1986" t="str">
        <f t="shared" si="109"/>
        <v/>
      </c>
      <c r="G1986" s="5" t="str">
        <f t="shared" si="110"/>
        <v/>
      </c>
      <c r="I1986" s="6" t="str">
        <f t="shared" si="108"/>
        <v>0</v>
      </c>
      <c r="O1986" t="s">
        <v>321</v>
      </c>
      <c r="P1986">
        <f>IF(C1986&lt;&gt;"",C1986,_xlfn.XLOOKUP(B1986,AI_NAMES!D:D,AI_NAMES!E:E,"",0))</f>
        <v>0</v>
      </c>
    </row>
    <row r="1987" spans="1:16" x14ac:dyDescent="0.2">
      <c r="A1987" t="s">
        <v>2202</v>
      </c>
      <c r="B1987" t="s">
        <v>321</v>
      </c>
      <c r="E1987" t="str">
        <f t="shared" si="109"/>
        <v/>
      </c>
      <c r="G1987" s="5" t="str">
        <f t="shared" si="110"/>
        <v/>
      </c>
      <c r="I1987" s="6" t="str">
        <f t="shared" ref="I1987:I2050" si="111">IFERROR(DEC2HEX(H1987),"")</f>
        <v>0</v>
      </c>
      <c r="O1987" t="s">
        <v>321</v>
      </c>
      <c r="P1987">
        <f>IF(C1987&lt;&gt;"",C1987,_xlfn.XLOOKUP(B1987,AI_NAMES!D:D,AI_NAMES!E:E,"",0))</f>
        <v>0</v>
      </c>
    </row>
    <row r="1988" spans="1:16" x14ac:dyDescent="0.2">
      <c r="A1988" t="s">
        <v>2203</v>
      </c>
      <c r="B1988" t="s">
        <v>321</v>
      </c>
      <c r="E1988" t="str">
        <f t="shared" ref="E1988:E2051" si="112">IF(D1988&lt;&gt;"",C1988&amp;"/"&amp;D1988,"")</f>
        <v/>
      </c>
      <c r="G1988" s="5" t="str">
        <f t="shared" si="110"/>
        <v/>
      </c>
      <c r="I1988" s="6" t="str">
        <f t="shared" si="111"/>
        <v>0</v>
      </c>
      <c r="O1988" t="s">
        <v>321</v>
      </c>
      <c r="P1988">
        <f>IF(C1988&lt;&gt;"",C1988,_xlfn.XLOOKUP(B1988,AI_NAMES!D:D,AI_NAMES!E:E,"",0))</f>
        <v>0</v>
      </c>
    </row>
    <row r="1989" spans="1:16" ht="23" customHeight="1" x14ac:dyDescent="0.2">
      <c r="A1989" t="s">
        <v>2204</v>
      </c>
      <c r="B1989" t="s">
        <v>321</v>
      </c>
      <c r="E1989" t="str">
        <f t="shared" si="112"/>
        <v/>
      </c>
      <c r="G1989" s="5" t="str">
        <f t="shared" si="110"/>
        <v/>
      </c>
      <c r="I1989" s="6" t="str">
        <f t="shared" si="111"/>
        <v>0</v>
      </c>
      <c r="O1989" t="s">
        <v>321</v>
      </c>
      <c r="P1989">
        <f>IF(C1989&lt;&gt;"",C1989,_xlfn.XLOOKUP(B1989,AI_NAMES!D:D,AI_NAMES!E:E,"",0))</f>
        <v>0</v>
      </c>
    </row>
    <row r="1990" spans="1:16" x14ac:dyDescent="0.2">
      <c r="A1990" t="s">
        <v>2210</v>
      </c>
      <c r="B1990" t="s">
        <v>3616</v>
      </c>
      <c r="E1990" t="str">
        <f t="shared" si="112"/>
        <v/>
      </c>
      <c r="G1990" s="5" t="str">
        <f t="shared" si="110"/>
        <v/>
      </c>
      <c r="I1990" s="6" t="str">
        <f t="shared" si="111"/>
        <v>0</v>
      </c>
      <c r="O1990" t="s">
        <v>321</v>
      </c>
      <c r="P1990" t="str">
        <f>IF(C1990&lt;&gt;"",C1990,_xlfn.XLOOKUP(B1990,AI_NAMES!D:D,AI_NAMES!E:E,"",0))</f>
        <v/>
      </c>
    </row>
    <row r="1991" spans="1:16" x14ac:dyDescent="0.2">
      <c r="A1991" t="s">
        <v>2211</v>
      </c>
      <c r="B1991" t="s">
        <v>321</v>
      </c>
      <c r="E1991" t="str">
        <f t="shared" si="112"/>
        <v/>
      </c>
      <c r="G1991" s="5" t="str">
        <f t="shared" si="110"/>
        <v/>
      </c>
      <c r="I1991" s="6" t="str">
        <f t="shared" si="111"/>
        <v>0</v>
      </c>
      <c r="O1991" t="s">
        <v>321</v>
      </c>
      <c r="P1991">
        <f>IF(C1991&lt;&gt;"",C1991,_xlfn.XLOOKUP(B1991,AI_NAMES!D:D,AI_NAMES!E:E,"",0))</f>
        <v>0</v>
      </c>
    </row>
    <row r="1992" spans="1:16" x14ac:dyDescent="0.2">
      <c r="A1992" t="s">
        <v>2212</v>
      </c>
      <c r="B1992" t="s">
        <v>321</v>
      </c>
      <c r="E1992" t="str">
        <f t="shared" si="112"/>
        <v/>
      </c>
      <c r="G1992" s="5" t="str">
        <f t="shared" si="110"/>
        <v/>
      </c>
      <c r="I1992" s="6" t="str">
        <f t="shared" si="111"/>
        <v>0</v>
      </c>
      <c r="O1992" t="s">
        <v>321</v>
      </c>
      <c r="P1992">
        <f>IF(C1992&lt;&gt;"",C1992,_xlfn.XLOOKUP(B1992,AI_NAMES!D:D,AI_NAMES!E:E,"",0))</f>
        <v>0</v>
      </c>
    </row>
    <row r="1993" spans="1:16" x14ac:dyDescent="0.2">
      <c r="A1993" t="s">
        <v>2213</v>
      </c>
      <c r="B1993" t="s">
        <v>321</v>
      </c>
      <c r="E1993" t="str">
        <f t="shared" si="112"/>
        <v/>
      </c>
      <c r="G1993" s="5" t="str">
        <f t="shared" ref="G1993:G2056" si="113">IF(F1993&lt;&gt;"",HEX2DEC(SUBSTITUTE(SUBSTITUTE(F1993,"adrEA",""),"$","")),"")</f>
        <v/>
      </c>
      <c r="I1993" s="6" t="str">
        <f t="shared" si="111"/>
        <v>0</v>
      </c>
      <c r="O1993" t="s">
        <v>321</v>
      </c>
      <c r="P1993">
        <f>IF(C1993&lt;&gt;"",C1993,_xlfn.XLOOKUP(B1993,AI_NAMES!D:D,AI_NAMES!E:E,"",0))</f>
        <v>0</v>
      </c>
    </row>
    <row r="1994" spans="1:16" x14ac:dyDescent="0.2">
      <c r="A1994" t="s">
        <v>2214</v>
      </c>
      <c r="B1994" t="s">
        <v>321</v>
      </c>
      <c r="E1994" t="str">
        <f t="shared" si="112"/>
        <v/>
      </c>
      <c r="G1994" s="5" t="str">
        <f t="shared" si="113"/>
        <v/>
      </c>
      <c r="I1994" s="6" t="str">
        <f t="shared" si="111"/>
        <v>0</v>
      </c>
      <c r="O1994" t="s">
        <v>321</v>
      </c>
      <c r="P1994">
        <f>IF(C1994&lt;&gt;"",C1994,_xlfn.XLOOKUP(B1994,AI_NAMES!D:D,AI_NAMES!E:E,"",0))</f>
        <v>0</v>
      </c>
    </row>
    <row r="1995" spans="1:16" x14ac:dyDescent="0.2">
      <c r="A1995" t="s">
        <v>2215</v>
      </c>
      <c r="B1995" t="s">
        <v>321</v>
      </c>
      <c r="E1995" t="str">
        <f t="shared" si="112"/>
        <v/>
      </c>
      <c r="G1995" s="5" t="str">
        <f t="shared" si="113"/>
        <v/>
      </c>
      <c r="I1995" s="6" t="str">
        <f t="shared" si="111"/>
        <v>0</v>
      </c>
      <c r="O1995" t="s">
        <v>321</v>
      </c>
      <c r="P1995">
        <f>IF(C1995&lt;&gt;"",C1995,_xlfn.XLOOKUP(B1995,AI_NAMES!D:D,AI_NAMES!E:E,"",0))</f>
        <v>0</v>
      </c>
    </row>
    <row r="1996" spans="1:16" x14ac:dyDescent="0.2">
      <c r="A1996" t="s">
        <v>2216</v>
      </c>
      <c r="B1996" t="s">
        <v>321</v>
      </c>
      <c r="E1996" t="str">
        <f t="shared" si="112"/>
        <v/>
      </c>
      <c r="G1996" s="5" t="str">
        <f t="shared" si="113"/>
        <v/>
      </c>
      <c r="I1996" s="6" t="str">
        <f t="shared" si="111"/>
        <v>0</v>
      </c>
      <c r="O1996" t="s">
        <v>321</v>
      </c>
      <c r="P1996">
        <f>IF(C1996&lt;&gt;"",C1996,_xlfn.XLOOKUP(B1996,AI_NAMES!D:D,AI_NAMES!E:E,"",0))</f>
        <v>0</v>
      </c>
    </row>
    <row r="1997" spans="1:16" x14ac:dyDescent="0.2">
      <c r="A1997" t="s">
        <v>2217</v>
      </c>
      <c r="B1997" t="s">
        <v>321</v>
      </c>
      <c r="E1997" t="str">
        <f t="shared" si="112"/>
        <v/>
      </c>
      <c r="G1997" s="5" t="str">
        <f t="shared" si="113"/>
        <v/>
      </c>
      <c r="I1997" s="6" t="str">
        <f t="shared" si="111"/>
        <v>0</v>
      </c>
      <c r="O1997" t="s">
        <v>321</v>
      </c>
      <c r="P1997">
        <f>IF(C1997&lt;&gt;"",C1997,_xlfn.XLOOKUP(B1997,AI_NAMES!D:D,AI_NAMES!E:E,"",0))</f>
        <v>0</v>
      </c>
    </row>
    <row r="1998" spans="1:16" x14ac:dyDescent="0.2">
      <c r="A1998" t="s">
        <v>2218</v>
      </c>
      <c r="B1998" t="s">
        <v>321</v>
      </c>
      <c r="E1998" t="str">
        <f t="shared" si="112"/>
        <v/>
      </c>
      <c r="G1998" s="5" t="str">
        <f t="shared" si="113"/>
        <v/>
      </c>
      <c r="I1998" s="6" t="str">
        <f t="shared" si="111"/>
        <v>0</v>
      </c>
      <c r="O1998" t="s">
        <v>321</v>
      </c>
      <c r="P1998">
        <f>IF(C1998&lt;&gt;"",C1998,_xlfn.XLOOKUP(B1998,AI_NAMES!D:D,AI_NAMES!E:E,"",0))</f>
        <v>0</v>
      </c>
    </row>
    <row r="1999" spans="1:16" x14ac:dyDescent="0.2">
      <c r="A1999" t="s">
        <v>2219</v>
      </c>
      <c r="B1999" t="s">
        <v>321</v>
      </c>
      <c r="E1999" t="str">
        <f t="shared" si="112"/>
        <v/>
      </c>
      <c r="G1999" s="5" t="str">
        <f t="shared" si="113"/>
        <v/>
      </c>
      <c r="I1999" s="6" t="str">
        <f t="shared" si="111"/>
        <v>0</v>
      </c>
      <c r="O1999" t="s">
        <v>321</v>
      </c>
      <c r="P1999">
        <f>IF(C1999&lt;&gt;"",C1999,_xlfn.XLOOKUP(B1999,AI_NAMES!D:D,AI_NAMES!E:E,"",0))</f>
        <v>0</v>
      </c>
    </row>
    <row r="2000" spans="1:16" x14ac:dyDescent="0.2">
      <c r="A2000" t="s">
        <v>2220</v>
      </c>
      <c r="B2000" t="s">
        <v>321</v>
      </c>
      <c r="E2000" t="str">
        <f t="shared" si="112"/>
        <v/>
      </c>
      <c r="G2000" s="5" t="str">
        <f t="shared" si="113"/>
        <v/>
      </c>
      <c r="I2000" s="6" t="str">
        <f t="shared" si="111"/>
        <v>0</v>
      </c>
      <c r="O2000" t="s">
        <v>321</v>
      </c>
      <c r="P2000">
        <f>IF(C2000&lt;&gt;"",C2000,_xlfn.XLOOKUP(B2000,AI_NAMES!D:D,AI_NAMES!E:E,"",0))</f>
        <v>0</v>
      </c>
    </row>
    <row r="2001" spans="1:16" x14ac:dyDescent="0.2">
      <c r="A2001" t="s">
        <v>2221</v>
      </c>
      <c r="B2001" t="s">
        <v>321</v>
      </c>
      <c r="E2001" t="str">
        <f t="shared" si="112"/>
        <v/>
      </c>
      <c r="G2001" s="5" t="str">
        <f t="shared" si="113"/>
        <v/>
      </c>
      <c r="I2001" s="6" t="str">
        <f t="shared" si="111"/>
        <v>0</v>
      </c>
      <c r="O2001" t="s">
        <v>321</v>
      </c>
      <c r="P2001">
        <f>IF(C2001&lt;&gt;"",C2001,_xlfn.XLOOKUP(B2001,AI_NAMES!D:D,AI_NAMES!E:E,"",0))</f>
        <v>0</v>
      </c>
    </row>
    <row r="2002" spans="1:16" x14ac:dyDescent="0.2">
      <c r="A2002" t="s">
        <v>2222</v>
      </c>
      <c r="B2002" t="s">
        <v>321</v>
      </c>
      <c r="E2002" t="str">
        <f t="shared" si="112"/>
        <v/>
      </c>
      <c r="G2002" s="5" t="str">
        <f t="shared" si="113"/>
        <v/>
      </c>
      <c r="I2002" s="6" t="str">
        <f t="shared" si="111"/>
        <v>0</v>
      </c>
      <c r="O2002" t="s">
        <v>321</v>
      </c>
      <c r="P2002">
        <f>IF(C2002&lt;&gt;"",C2002,_xlfn.XLOOKUP(B2002,AI_NAMES!D:D,AI_NAMES!E:E,"",0))</f>
        <v>0</v>
      </c>
    </row>
    <row r="2003" spans="1:16" x14ac:dyDescent="0.2">
      <c r="A2003" t="s">
        <v>2223</v>
      </c>
      <c r="B2003" t="s">
        <v>321</v>
      </c>
      <c r="E2003" t="str">
        <f t="shared" si="112"/>
        <v/>
      </c>
      <c r="G2003" s="5" t="str">
        <f t="shared" si="113"/>
        <v/>
      </c>
      <c r="I2003" s="6" t="str">
        <f t="shared" si="111"/>
        <v>0</v>
      </c>
      <c r="O2003" t="s">
        <v>321</v>
      </c>
      <c r="P2003">
        <f>IF(C2003&lt;&gt;"",C2003,_xlfn.XLOOKUP(B2003,AI_NAMES!D:D,AI_NAMES!E:E,"",0))</f>
        <v>0</v>
      </c>
    </row>
    <row r="2004" spans="1:16" x14ac:dyDescent="0.2">
      <c r="A2004" t="s">
        <v>2224</v>
      </c>
      <c r="B2004" t="s">
        <v>321</v>
      </c>
      <c r="E2004" t="str">
        <f t="shared" si="112"/>
        <v/>
      </c>
      <c r="G2004" s="5" t="str">
        <f t="shared" si="113"/>
        <v/>
      </c>
      <c r="I2004" s="6" t="str">
        <f t="shared" si="111"/>
        <v>0</v>
      </c>
      <c r="O2004" t="s">
        <v>321</v>
      </c>
      <c r="P2004">
        <f>IF(C2004&lt;&gt;"",C2004,_xlfn.XLOOKUP(B2004,AI_NAMES!D:D,AI_NAMES!E:E,"",0))</f>
        <v>0</v>
      </c>
    </row>
    <row r="2005" spans="1:16" x14ac:dyDescent="0.2">
      <c r="A2005" t="s">
        <v>2225</v>
      </c>
      <c r="B2005" t="s">
        <v>321</v>
      </c>
      <c r="E2005" t="str">
        <f t="shared" si="112"/>
        <v/>
      </c>
      <c r="G2005" s="5" t="str">
        <f t="shared" si="113"/>
        <v/>
      </c>
      <c r="I2005" s="6" t="str">
        <f t="shared" si="111"/>
        <v>0</v>
      </c>
      <c r="O2005" t="s">
        <v>321</v>
      </c>
      <c r="P2005">
        <f>IF(C2005&lt;&gt;"",C2005,_xlfn.XLOOKUP(B2005,AI_NAMES!D:D,AI_NAMES!E:E,"",0))</f>
        <v>0</v>
      </c>
    </row>
    <row r="2006" spans="1:16" x14ac:dyDescent="0.2">
      <c r="A2006" t="s">
        <v>2226</v>
      </c>
      <c r="B2006" t="s">
        <v>2227</v>
      </c>
      <c r="E2006" t="str">
        <f t="shared" si="112"/>
        <v/>
      </c>
      <c r="G2006" s="5" t="str">
        <f t="shared" si="113"/>
        <v/>
      </c>
      <c r="I2006" s="6" t="str">
        <f t="shared" si="111"/>
        <v>0</v>
      </c>
      <c r="O2006" t="s">
        <v>2227</v>
      </c>
      <c r="P2006" t="str">
        <f>IF(C2006&lt;&gt;"",C2006,_xlfn.XLOOKUP(B2006,AI_NAMES!D:D,AI_NAMES!E:E,"",0))</f>
        <v/>
      </c>
    </row>
    <row r="2007" spans="1:16" x14ac:dyDescent="0.2">
      <c r="A2007" t="s">
        <v>2228</v>
      </c>
      <c r="B2007" t="s">
        <v>321</v>
      </c>
      <c r="E2007" t="str">
        <f t="shared" si="112"/>
        <v/>
      </c>
      <c r="G2007" s="5" t="str">
        <f t="shared" si="113"/>
        <v/>
      </c>
      <c r="I2007" s="6" t="str">
        <f t="shared" si="111"/>
        <v>0</v>
      </c>
      <c r="O2007" t="s">
        <v>321</v>
      </c>
      <c r="P2007">
        <f>IF(C2007&lt;&gt;"",C2007,_xlfn.XLOOKUP(B2007,AI_NAMES!D:D,AI_NAMES!E:E,"",0))</f>
        <v>0</v>
      </c>
    </row>
    <row r="2008" spans="1:16" x14ac:dyDescent="0.2">
      <c r="A2008" t="s">
        <v>2229</v>
      </c>
      <c r="B2008" t="s">
        <v>321</v>
      </c>
      <c r="E2008" t="str">
        <f t="shared" si="112"/>
        <v/>
      </c>
      <c r="G2008" s="5" t="str">
        <f t="shared" si="113"/>
        <v/>
      </c>
      <c r="I2008" s="6" t="str">
        <f t="shared" si="111"/>
        <v>0</v>
      </c>
      <c r="O2008" t="s">
        <v>321</v>
      </c>
      <c r="P2008">
        <f>IF(C2008&lt;&gt;"",C2008,_xlfn.XLOOKUP(B2008,AI_NAMES!D:D,AI_NAMES!E:E,"",0))</f>
        <v>0</v>
      </c>
    </row>
    <row r="2009" spans="1:16" x14ac:dyDescent="0.2">
      <c r="A2009" t="s">
        <v>2230</v>
      </c>
      <c r="B2009" t="s">
        <v>321</v>
      </c>
      <c r="E2009" t="str">
        <f t="shared" si="112"/>
        <v/>
      </c>
      <c r="G2009" s="5" t="str">
        <f t="shared" si="113"/>
        <v/>
      </c>
      <c r="I2009" s="6" t="str">
        <f t="shared" si="111"/>
        <v>0</v>
      </c>
      <c r="O2009" t="s">
        <v>321</v>
      </c>
      <c r="P2009">
        <f>IF(C2009&lt;&gt;"",C2009,_xlfn.XLOOKUP(B2009,AI_NAMES!D:D,AI_NAMES!E:E,"",0))</f>
        <v>0</v>
      </c>
    </row>
    <row r="2010" spans="1:16" x14ac:dyDescent="0.2">
      <c r="A2010" t="s">
        <v>2231</v>
      </c>
      <c r="B2010" t="s">
        <v>321</v>
      </c>
      <c r="E2010" t="str">
        <f t="shared" si="112"/>
        <v/>
      </c>
      <c r="G2010" s="5" t="str">
        <f t="shared" si="113"/>
        <v/>
      </c>
      <c r="I2010" s="6" t="str">
        <f t="shared" si="111"/>
        <v>0</v>
      </c>
      <c r="O2010" t="s">
        <v>321</v>
      </c>
      <c r="P2010">
        <f>IF(C2010&lt;&gt;"",C2010,_xlfn.XLOOKUP(B2010,AI_NAMES!D:D,AI_NAMES!E:E,"",0))</f>
        <v>0</v>
      </c>
    </row>
    <row r="2011" spans="1:16" x14ac:dyDescent="0.2">
      <c r="A2011" t="s">
        <v>2232</v>
      </c>
      <c r="B2011" t="s">
        <v>321</v>
      </c>
      <c r="E2011" t="str">
        <f t="shared" si="112"/>
        <v/>
      </c>
      <c r="G2011" s="5" t="str">
        <f t="shared" si="113"/>
        <v/>
      </c>
      <c r="I2011" s="6" t="str">
        <f t="shared" si="111"/>
        <v>0</v>
      </c>
      <c r="O2011" t="s">
        <v>321</v>
      </c>
      <c r="P2011">
        <f>IF(C2011&lt;&gt;"",C2011,_xlfn.XLOOKUP(B2011,AI_NAMES!D:D,AI_NAMES!E:E,"",0))</f>
        <v>0</v>
      </c>
    </row>
    <row r="2012" spans="1:16" x14ac:dyDescent="0.2">
      <c r="A2012" t="s">
        <v>2233</v>
      </c>
      <c r="B2012" t="s">
        <v>321</v>
      </c>
      <c r="E2012" t="str">
        <f t="shared" si="112"/>
        <v/>
      </c>
      <c r="G2012" s="5" t="str">
        <f t="shared" si="113"/>
        <v/>
      </c>
      <c r="I2012" s="6" t="str">
        <f t="shared" si="111"/>
        <v>0</v>
      </c>
      <c r="O2012" t="s">
        <v>321</v>
      </c>
      <c r="P2012">
        <f>IF(C2012&lt;&gt;"",C2012,_xlfn.XLOOKUP(B2012,AI_NAMES!D:D,AI_NAMES!E:E,"",0))</f>
        <v>0</v>
      </c>
    </row>
    <row r="2013" spans="1:16" x14ac:dyDescent="0.2">
      <c r="A2013" t="s">
        <v>2234</v>
      </c>
      <c r="B2013" t="s">
        <v>321</v>
      </c>
      <c r="E2013" t="str">
        <f t="shared" si="112"/>
        <v/>
      </c>
      <c r="G2013" s="5" t="str">
        <f t="shared" si="113"/>
        <v/>
      </c>
      <c r="I2013" s="6" t="str">
        <f t="shared" si="111"/>
        <v>0</v>
      </c>
      <c r="O2013" t="s">
        <v>321</v>
      </c>
      <c r="P2013">
        <f>IF(C2013&lt;&gt;"",C2013,_xlfn.XLOOKUP(B2013,AI_NAMES!D:D,AI_NAMES!E:E,"",0))</f>
        <v>0</v>
      </c>
    </row>
    <row r="2014" spans="1:16" ht="17" x14ac:dyDescent="0.25">
      <c r="A2014" t="s">
        <v>2235</v>
      </c>
      <c r="B2014" s="26" t="s">
        <v>3865</v>
      </c>
      <c r="C2014" s="26" t="s">
        <v>3168</v>
      </c>
      <c r="D2014" s="26" t="s">
        <v>3866</v>
      </c>
      <c r="E2014" t="str">
        <f t="shared" si="112"/>
        <v>gfx-data/AirbourneSpells.colours</v>
      </c>
      <c r="F2014" s="26" t="s">
        <v>3867</v>
      </c>
      <c r="G2014" s="5">
        <f t="shared" si="113"/>
        <v>38892</v>
      </c>
      <c r="H2014" s="26">
        <v>80</v>
      </c>
      <c r="I2014" s="6" t="str">
        <f t="shared" si="111"/>
        <v>50</v>
      </c>
      <c r="J2014"/>
      <c r="K2014" t="s">
        <v>3868</v>
      </c>
      <c r="O2014" t="s">
        <v>2236</v>
      </c>
      <c r="P2014" t="str">
        <f>IF(C2014&lt;&gt;"",C2014,_xlfn.XLOOKUP(B2014,AI_NAMES!D:D,AI_NAMES!E:E,"",0))</f>
        <v>gfx-data</v>
      </c>
    </row>
    <row r="2015" spans="1:16" x14ac:dyDescent="0.2">
      <c r="A2015" t="s">
        <v>2237</v>
      </c>
      <c r="B2015" t="s">
        <v>3617</v>
      </c>
      <c r="E2015" t="str">
        <f t="shared" si="112"/>
        <v/>
      </c>
      <c r="G2015" s="5" t="str">
        <f t="shared" si="113"/>
        <v/>
      </c>
      <c r="I2015" s="6" t="str">
        <f t="shared" si="111"/>
        <v>0</v>
      </c>
      <c r="P2015" t="str">
        <f>IF(C2015&lt;&gt;"",C2015,_xlfn.XLOOKUP(B2015,AI_NAMES!D:D,AI_NAMES!E:E,"",0))</f>
        <v/>
      </c>
    </row>
    <row r="2016" spans="1:16" ht="17" x14ac:dyDescent="0.25">
      <c r="A2016" t="s">
        <v>2239</v>
      </c>
      <c r="B2016" s="26" t="s">
        <v>3881</v>
      </c>
      <c r="C2016" s="26" t="s">
        <v>3169</v>
      </c>
      <c r="E2016" t="str">
        <f t="shared" si="112"/>
        <v/>
      </c>
      <c r="G2016" s="5" t="str">
        <f t="shared" si="113"/>
        <v/>
      </c>
      <c r="H2016"/>
      <c r="I2016" s="6" t="str">
        <f t="shared" si="111"/>
        <v>0</v>
      </c>
      <c r="J2016"/>
      <c r="K2016" t="s">
        <v>3882</v>
      </c>
      <c r="O2016" t="s">
        <v>2240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2241</v>
      </c>
      <c r="B2017" s="26" t="s">
        <v>3883</v>
      </c>
      <c r="C2017" s="26" t="s">
        <v>3169</v>
      </c>
      <c r="E2017" t="str">
        <f t="shared" si="112"/>
        <v/>
      </c>
      <c r="G2017" s="5" t="str">
        <f t="shared" si="113"/>
        <v/>
      </c>
      <c r="H2017"/>
      <c r="I2017" s="6" t="str">
        <f t="shared" si="111"/>
        <v>0</v>
      </c>
      <c r="K2017" t="s">
        <v>3884</v>
      </c>
      <c r="O2017" t="s">
        <v>321</v>
      </c>
      <c r="P2017" t="str">
        <f>IF(C2017&lt;&gt;"",C2017,_xlfn.XLOOKUP(B2017,AI_NAMES!D:D,AI_NAMES!E:E,"",0))</f>
        <v>code-label</v>
      </c>
    </row>
    <row r="2018" spans="1:16" ht="17" x14ac:dyDescent="0.25">
      <c r="A2018" t="s">
        <v>2242</v>
      </c>
      <c r="B2018" s="26" t="s">
        <v>3869</v>
      </c>
      <c r="C2018" s="26" t="s">
        <v>3168</v>
      </c>
      <c r="D2018" s="26" t="s">
        <v>3870</v>
      </c>
      <c r="E2018" t="str">
        <f t="shared" si="112"/>
        <v>gfx-data/AirbourneSpell_DistanceGroups.lookup</v>
      </c>
      <c r="F2018" s="26" t="s">
        <v>3871</v>
      </c>
      <c r="G2018" s="5">
        <f t="shared" si="113"/>
        <v>39140</v>
      </c>
      <c r="H2018" s="26">
        <v>6</v>
      </c>
      <c r="I2018" s="6" t="str">
        <f t="shared" si="111"/>
        <v>6</v>
      </c>
      <c r="J2018"/>
      <c r="K2018" t="s">
        <v>3872</v>
      </c>
      <c r="O2018" t="s">
        <v>321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2243</v>
      </c>
      <c r="B2019" s="26" t="s">
        <v>3873</v>
      </c>
      <c r="C2019" s="26" t="s">
        <v>3168</v>
      </c>
      <c r="D2019" s="26" t="s">
        <v>3874</v>
      </c>
      <c r="E2019" t="str">
        <f t="shared" si="112"/>
        <v>gfx-data/AirbourneFireball.layout</v>
      </c>
      <c r="F2019" s="26" t="s">
        <v>3875</v>
      </c>
      <c r="G2019" s="5">
        <f t="shared" si="113"/>
        <v>39146</v>
      </c>
      <c r="H2019" s="26">
        <v>24</v>
      </c>
      <c r="I2019" s="6" t="str">
        <f t="shared" si="111"/>
        <v>18</v>
      </c>
      <c r="J2019"/>
      <c r="K2019" t="s">
        <v>3876</v>
      </c>
      <c r="O2019" t="s">
        <v>321</v>
      </c>
      <c r="P2019" t="str">
        <f>IF(C2019&lt;&gt;"",C2019,_xlfn.XLOOKUP(B2019,AI_NAMES!D:D,AI_NAMES!E:E,"",0))</f>
        <v>gfx-data</v>
      </c>
    </row>
    <row r="2020" spans="1:16" ht="17" x14ac:dyDescent="0.25">
      <c r="A2020" t="s">
        <v>2244</v>
      </c>
      <c r="B2020" s="26" t="s">
        <v>3877</v>
      </c>
      <c r="C2020" s="26" t="s">
        <v>3168</v>
      </c>
      <c r="D2020" s="26" t="s">
        <v>3878</v>
      </c>
      <c r="E2020" t="str">
        <f t="shared" si="112"/>
        <v>gfx-data/AirbourneSpells_Flying.layout</v>
      </c>
      <c r="F2020" s="26" t="s">
        <v>3879</v>
      </c>
      <c r="G2020" s="5">
        <f t="shared" si="113"/>
        <v>39170</v>
      </c>
      <c r="H2020" s="26">
        <v>24</v>
      </c>
      <c r="I2020" s="6" t="str">
        <f t="shared" si="111"/>
        <v>18</v>
      </c>
      <c r="J2020"/>
      <c r="K2020" t="s">
        <v>3880</v>
      </c>
      <c r="O2020" t="s">
        <v>321</v>
      </c>
      <c r="P2020" t="str">
        <f>IF(C2020&lt;&gt;"",C2020,_xlfn.XLOOKUP(B2020,AI_NAMES!D:D,AI_NAMES!E:E,"",0))</f>
        <v>gfx-data</v>
      </c>
    </row>
    <row r="2021" spans="1:16" x14ac:dyDescent="0.2">
      <c r="A2021" t="s">
        <v>2246</v>
      </c>
      <c r="E2021" t="str">
        <f t="shared" si="112"/>
        <v/>
      </c>
      <c r="G2021" s="5" t="str">
        <f t="shared" si="113"/>
        <v/>
      </c>
      <c r="I2021" s="6" t="str">
        <f t="shared" si="111"/>
        <v>0</v>
      </c>
      <c r="P2021">
        <f>IF(C2021&lt;&gt;"",C2021,_xlfn.XLOOKUP(B2021,AI_NAMES!D:D,AI_NAMES!E:E,"",0))</f>
        <v>0</v>
      </c>
    </row>
    <row r="2022" spans="1:16" x14ac:dyDescent="0.2">
      <c r="A2022" t="s">
        <v>2247</v>
      </c>
      <c r="B2022" t="s">
        <v>321</v>
      </c>
      <c r="E2022" t="str">
        <f t="shared" si="112"/>
        <v/>
      </c>
      <c r="G2022" s="5" t="str">
        <f t="shared" si="113"/>
        <v/>
      </c>
      <c r="I2022" s="6" t="str">
        <f t="shared" si="111"/>
        <v>0</v>
      </c>
      <c r="O2022" t="s">
        <v>321</v>
      </c>
      <c r="P2022">
        <f>IF(C2022&lt;&gt;"",C2022,_xlfn.XLOOKUP(B2022,AI_NAMES!D:D,AI_NAMES!E:E,"",0))</f>
        <v>0</v>
      </c>
    </row>
    <row r="2023" spans="1:16" x14ac:dyDescent="0.2">
      <c r="A2023" t="s">
        <v>2248</v>
      </c>
      <c r="B2023" t="s">
        <v>2249</v>
      </c>
      <c r="E2023" t="str">
        <f t="shared" si="112"/>
        <v/>
      </c>
      <c r="G2023" s="5" t="str">
        <f t="shared" si="113"/>
        <v/>
      </c>
      <c r="I2023" s="6" t="str">
        <f t="shared" si="111"/>
        <v>0</v>
      </c>
      <c r="O2023" t="s">
        <v>2249</v>
      </c>
      <c r="P2023" t="str">
        <f>IF(C2023&lt;&gt;"",C2023,_xlfn.XLOOKUP(B2023,AI_NAMES!D:D,AI_NAMES!E:E,"",0))</f>
        <v/>
      </c>
    </row>
    <row r="2024" spans="1:16" x14ac:dyDescent="0.2">
      <c r="A2024" t="s">
        <v>2250</v>
      </c>
      <c r="B2024" t="s">
        <v>2251</v>
      </c>
      <c r="E2024" t="str">
        <f t="shared" si="112"/>
        <v/>
      </c>
      <c r="G2024" s="5" t="str">
        <f t="shared" si="113"/>
        <v/>
      </c>
      <c r="I2024" s="6" t="str">
        <f t="shared" si="111"/>
        <v>0</v>
      </c>
      <c r="O2024" t="s">
        <v>2251</v>
      </c>
      <c r="P2024" t="str">
        <f>IF(C2024&lt;&gt;"",C2024,_xlfn.XLOOKUP(B2024,AI_NAMES!D:D,AI_NAMES!E:E,"",0))</f>
        <v/>
      </c>
    </row>
    <row r="2025" spans="1:16" x14ac:dyDescent="0.2">
      <c r="A2025" t="s">
        <v>2252</v>
      </c>
      <c r="B2025" t="s">
        <v>321</v>
      </c>
      <c r="C2025" s="5" t="s">
        <v>3169</v>
      </c>
      <c r="E2025" t="str">
        <f t="shared" si="112"/>
        <v/>
      </c>
      <c r="G2025" s="5" t="str">
        <f t="shared" si="113"/>
        <v/>
      </c>
      <c r="I2025" s="6" t="str">
        <f t="shared" si="111"/>
        <v>0</v>
      </c>
      <c r="O2025" t="s">
        <v>321</v>
      </c>
      <c r="P2025" t="str">
        <f>IF(C2025&lt;&gt;"",C2025,_xlfn.XLOOKUP(B2025,AI_NAMES!D:D,AI_NAMES!E:E,"",0))</f>
        <v>code-label</v>
      </c>
    </row>
    <row r="2026" spans="1:16" x14ac:dyDescent="0.2">
      <c r="A2026" t="s">
        <v>2253</v>
      </c>
      <c r="B2026" t="s">
        <v>321</v>
      </c>
      <c r="E2026" t="str">
        <f t="shared" si="112"/>
        <v/>
      </c>
      <c r="G2026" s="5" t="str">
        <f t="shared" si="113"/>
        <v/>
      </c>
      <c r="I2026" s="6" t="str">
        <f t="shared" si="111"/>
        <v>0</v>
      </c>
      <c r="O2026" t="s">
        <v>321</v>
      </c>
      <c r="P2026">
        <f>IF(C2026&lt;&gt;"",C2026,_xlfn.XLOOKUP(B2026,AI_NAMES!D:D,AI_NAMES!E:E,"",0))</f>
        <v>0</v>
      </c>
    </row>
    <row r="2027" spans="1:16" x14ac:dyDescent="0.2">
      <c r="A2027" t="s">
        <v>2254</v>
      </c>
      <c r="B2027" t="s">
        <v>321</v>
      </c>
      <c r="E2027" t="str">
        <f t="shared" si="112"/>
        <v/>
      </c>
      <c r="G2027" s="5" t="str">
        <f t="shared" si="113"/>
        <v/>
      </c>
      <c r="I2027" s="6" t="str">
        <f t="shared" si="111"/>
        <v>0</v>
      </c>
      <c r="O2027" t="s">
        <v>321</v>
      </c>
      <c r="P2027">
        <f>IF(C2027&lt;&gt;"",C2027,_xlfn.XLOOKUP(B2027,AI_NAMES!D:D,AI_NAMES!E:E,"",0))</f>
        <v>0</v>
      </c>
    </row>
    <row r="2028" spans="1:16" x14ac:dyDescent="0.2">
      <c r="A2028" t="s">
        <v>2255</v>
      </c>
      <c r="B2028" t="s">
        <v>321</v>
      </c>
      <c r="E2028" t="str">
        <f t="shared" si="112"/>
        <v/>
      </c>
      <c r="G2028" s="5" t="str">
        <f t="shared" si="113"/>
        <v/>
      </c>
      <c r="I2028" s="6" t="str">
        <f t="shared" si="111"/>
        <v>0</v>
      </c>
      <c r="O2028" t="s">
        <v>321</v>
      </c>
      <c r="P2028">
        <f>IF(C2028&lt;&gt;"",C2028,_xlfn.XLOOKUP(B2028,AI_NAMES!D:D,AI_NAMES!E:E,"",0))</f>
        <v>0</v>
      </c>
    </row>
    <row r="2029" spans="1:16" x14ac:dyDescent="0.2">
      <c r="A2029" t="s">
        <v>2256</v>
      </c>
      <c r="B2029" t="s">
        <v>321</v>
      </c>
      <c r="E2029" t="str">
        <f t="shared" si="112"/>
        <v/>
      </c>
      <c r="G2029" s="5" t="str">
        <f t="shared" si="113"/>
        <v/>
      </c>
      <c r="I2029" s="6" t="str">
        <f t="shared" si="111"/>
        <v>0</v>
      </c>
      <c r="O2029" t="s">
        <v>321</v>
      </c>
      <c r="P2029">
        <f>IF(C2029&lt;&gt;"",C2029,_xlfn.XLOOKUP(B2029,AI_NAMES!D:D,AI_NAMES!E:E,"",0))</f>
        <v>0</v>
      </c>
    </row>
    <row r="2030" spans="1:16" x14ac:dyDescent="0.2">
      <c r="A2030" t="s">
        <v>2257</v>
      </c>
      <c r="B2030" t="s">
        <v>321</v>
      </c>
      <c r="C2030" s="5" t="s">
        <v>3169</v>
      </c>
      <c r="E2030" t="str">
        <f t="shared" si="112"/>
        <v/>
      </c>
      <c r="G2030" s="5" t="str">
        <f t="shared" si="113"/>
        <v/>
      </c>
      <c r="I2030" s="6" t="str">
        <f t="shared" si="111"/>
        <v>0</v>
      </c>
      <c r="O2030" t="s">
        <v>321</v>
      </c>
      <c r="P2030" t="str">
        <f>IF(C2030&lt;&gt;"",C2030,_xlfn.XLOOKUP(B2030,AI_NAMES!D:D,AI_NAMES!E:E,"",0))</f>
        <v>code-label</v>
      </c>
    </row>
    <row r="2031" spans="1:16" x14ac:dyDescent="0.2">
      <c r="A2031" t="s">
        <v>2265</v>
      </c>
      <c r="B2031" t="s">
        <v>2266</v>
      </c>
      <c r="E2031" t="str">
        <f t="shared" si="112"/>
        <v/>
      </c>
      <c r="G2031" s="5" t="str">
        <f t="shared" si="113"/>
        <v/>
      </c>
      <c r="I2031" s="6" t="str">
        <f t="shared" si="111"/>
        <v>0</v>
      </c>
      <c r="O2031" t="s">
        <v>2266</v>
      </c>
      <c r="P2031" t="str">
        <f>IF(C2031&lt;&gt;"",C2031,_xlfn.XLOOKUP(B2031,AI_NAMES!D:D,AI_NAMES!E:E,"",0))</f>
        <v/>
      </c>
    </row>
    <row r="2032" spans="1:16" x14ac:dyDescent="0.2">
      <c r="A2032" t="s">
        <v>2267</v>
      </c>
      <c r="B2032" t="s">
        <v>2268</v>
      </c>
      <c r="E2032" t="str">
        <f t="shared" si="112"/>
        <v/>
      </c>
      <c r="G2032" s="5" t="str">
        <f t="shared" si="113"/>
        <v/>
      </c>
      <c r="I2032" s="6" t="str">
        <f t="shared" si="111"/>
        <v>0</v>
      </c>
      <c r="O2032" t="s">
        <v>2268</v>
      </c>
      <c r="P2032" t="str">
        <f>IF(C2032&lt;&gt;"",C2032,_xlfn.XLOOKUP(B2032,AI_NAMES!D:D,AI_NAMES!E:E,"",0))</f>
        <v/>
      </c>
    </row>
    <row r="2033" spans="1:16" x14ac:dyDescent="0.2">
      <c r="A2033" t="s">
        <v>2269</v>
      </c>
      <c r="B2033" t="s">
        <v>2270</v>
      </c>
      <c r="E2033" t="str">
        <f t="shared" si="112"/>
        <v/>
      </c>
      <c r="G2033" s="5" t="str">
        <f t="shared" si="113"/>
        <v/>
      </c>
      <c r="I2033" s="6" t="str">
        <f t="shared" si="111"/>
        <v>0</v>
      </c>
      <c r="O2033" t="s">
        <v>2270</v>
      </c>
      <c r="P2033" t="str">
        <f>IF(C2033&lt;&gt;"",C2033,_xlfn.XLOOKUP(B2033,AI_NAMES!D:D,AI_NAMES!E:E,"",0))</f>
        <v/>
      </c>
    </row>
    <row r="2034" spans="1:16" x14ac:dyDescent="0.2">
      <c r="A2034" t="s">
        <v>2273</v>
      </c>
      <c r="B2034" t="s">
        <v>2274</v>
      </c>
      <c r="E2034" t="str">
        <f t="shared" si="112"/>
        <v/>
      </c>
      <c r="G2034" s="5" t="str">
        <f t="shared" si="113"/>
        <v/>
      </c>
      <c r="I2034" s="6" t="str">
        <f t="shared" si="111"/>
        <v>0</v>
      </c>
      <c r="O2034" t="s">
        <v>2274</v>
      </c>
      <c r="P2034" t="str">
        <f>IF(C2034&lt;&gt;"",C2034,_xlfn.XLOOKUP(B2034,AI_NAMES!D:D,AI_NAMES!E:E,"",0))</f>
        <v/>
      </c>
    </row>
    <row r="2035" spans="1:16" x14ac:dyDescent="0.2">
      <c r="A2035" t="s">
        <v>2276</v>
      </c>
      <c r="B2035" t="s">
        <v>321</v>
      </c>
      <c r="E2035" t="str">
        <f t="shared" si="112"/>
        <v/>
      </c>
      <c r="G2035" s="5" t="str">
        <f t="shared" si="113"/>
        <v/>
      </c>
      <c r="I2035" s="6" t="str">
        <f t="shared" si="111"/>
        <v>0</v>
      </c>
      <c r="O2035" t="s">
        <v>321</v>
      </c>
      <c r="P2035">
        <f>IF(C2035&lt;&gt;"",C2035,_xlfn.XLOOKUP(B2035,AI_NAMES!D:D,AI_NAMES!E:E,"",0))</f>
        <v>0</v>
      </c>
    </row>
    <row r="2036" spans="1:16" x14ac:dyDescent="0.2">
      <c r="A2036" t="s">
        <v>2277</v>
      </c>
      <c r="B2036" t="s">
        <v>321</v>
      </c>
      <c r="E2036" t="str">
        <f t="shared" si="112"/>
        <v/>
      </c>
      <c r="G2036" s="5" t="str">
        <f t="shared" si="113"/>
        <v/>
      </c>
      <c r="I2036" s="6" t="str">
        <f t="shared" si="111"/>
        <v>0</v>
      </c>
      <c r="O2036" t="s">
        <v>321</v>
      </c>
      <c r="P2036">
        <f>IF(C2036&lt;&gt;"",C2036,_xlfn.XLOOKUP(B2036,AI_NAMES!D:D,AI_NAMES!E:E,"",0))</f>
        <v>0</v>
      </c>
    </row>
    <row r="2037" spans="1:16" x14ac:dyDescent="0.2">
      <c r="A2037" t="s">
        <v>2278</v>
      </c>
      <c r="B2037" t="s">
        <v>321</v>
      </c>
      <c r="E2037" t="str">
        <f t="shared" si="112"/>
        <v/>
      </c>
      <c r="G2037" s="5" t="str">
        <f t="shared" si="113"/>
        <v/>
      </c>
      <c r="I2037" s="6" t="str">
        <f t="shared" si="111"/>
        <v>0</v>
      </c>
      <c r="O2037" t="s">
        <v>321</v>
      </c>
      <c r="P2037">
        <f>IF(C2037&lt;&gt;"",C2037,_xlfn.XLOOKUP(B2037,AI_NAMES!D:D,AI_NAMES!E:E,"",0))</f>
        <v>0</v>
      </c>
    </row>
    <row r="2038" spans="1:16" x14ac:dyDescent="0.2">
      <c r="A2038" t="s">
        <v>2280</v>
      </c>
      <c r="B2038" t="s">
        <v>321</v>
      </c>
      <c r="E2038" t="str">
        <f t="shared" si="112"/>
        <v/>
      </c>
      <c r="G2038" s="5" t="str">
        <f t="shared" si="113"/>
        <v/>
      </c>
      <c r="I2038" s="6" t="str">
        <f t="shared" si="111"/>
        <v>0</v>
      </c>
      <c r="O2038" t="s">
        <v>321</v>
      </c>
      <c r="P2038">
        <f>IF(C2038&lt;&gt;"",C2038,_xlfn.XLOOKUP(B2038,AI_NAMES!D:D,AI_NAMES!E:E,"",0))</f>
        <v>0</v>
      </c>
    </row>
    <row r="2039" spans="1:16" x14ac:dyDescent="0.2">
      <c r="A2039" t="s">
        <v>2281</v>
      </c>
      <c r="B2039" t="s">
        <v>321</v>
      </c>
      <c r="E2039" t="str">
        <f t="shared" si="112"/>
        <v/>
      </c>
      <c r="G2039" s="5" t="str">
        <f t="shared" si="113"/>
        <v/>
      </c>
      <c r="I2039" s="6" t="str">
        <f t="shared" si="111"/>
        <v>0</v>
      </c>
      <c r="O2039" t="s">
        <v>321</v>
      </c>
      <c r="P2039">
        <f>IF(C2039&lt;&gt;"",C2039,_xlfn.XLOOKUP(B2039,AI_NAMES!D:D,AI_NAMES!E:E,"",0))</f>
        <v>0</v>
      </c>
    </row>
    <row r="2040" spans="1:16" x14ac:dyDescent="0.2">
      <c r="A2040" t="s">
        <v>2282</v>
      </c>
      <c r="B2040" t="s">
        <v>321</v>
      </c>
      <c r="E2040" t="str">
        <f t="shared" si="112"/>
        <v/>
      </c>
      <c r="G2040" s="5" t="str">
        <f t="shared" si="113"/>
        <v/>
      </c>
      <c r="I2040" s="6" t="str">
        <f t="shared" si="111"/>
        <v>0</v>
      </c>
      <c r="O2040" t="s">
        <v>321</v>
      </c>
      <c r="P2040">
        <f>IF(C2040&lt;&gt;"",C2040,_xlfn.XLOOKUP(B2040,AI_NAMES!D:D,AI_NAMES!E:E,"",0))</f>
        <v>0</v>
      </c>
    </row>
    <row r="2041" spans="1:16" x14ac:dyDescent="0.2">
      <c r="A2041" t="s">
        <v>2283</v>
      </c>
      <c r="B2041" t="s">
        <v>321</v>
      </c>
      <c r="E2041" t="str">
        <f t="shared" si="112"/>
        <v/>
      </c>
      <c r="G2041" s="5" t="str">
        <f t="shared" si="113"/>
        <v/>
      </c>
      <c r="I2041" s="6" t="str">
        <f t="shared" si="111"/>
        <v>0</v>
      </c>
      <c r="O2041" t="s">
        <v>321</v>
      </c>
      <c r="P2041">
        <f>IF(C2041&lt;&gt;"",C2041,_xlfn.XLOOKUP(B2041,AI_NAMES!D:D,AI_NAMES!E:E,"",0))</f>
        <v>0</v>
      </c>
    </row>
    <row r="2042" spans="1:16" x14ac:dyDescent="0.2">
      <c r="A2042" t="s">
        <v>2284</v>
      </c>
      <c r="B2042" t="s">
        <v>321</v>
      </c>
      <c r="E2042" t="str">
        <f t="shared" si="112"/>
        <v/>
      </c>
      <c r="G2042" s="5" t="str">
        <f t="shared" si="113"/>
        <v/>
      </c>
      <c r="I2042" s="6" t="str">
        <f t="shared" si="111"/>
        <v>0</v>
      </c>
      <c r="O2042" t="s">
        <v>321</v>
      </c>
      <c r="P2042">
        <f>IF(C2042&lt;&gt;"",C2042,_xlfn.XLOOKUP(B2042,AI_NAMES!D:D,AI_NAMES!E:E,"",0))</f>
        <v>0</v>
      </c>
    </row>
    <row r="2043" spans="1:16" x14ac:dyDescent="0.2">
      <c r="A2043" t="s">
        <v>2285</v>
      </c>
      <c r="B2043" t="s">
        <v>321</v>
      </c>
      <c r="E2043" t="str">
        <f t="shared" si="112"/>
        <v/>
      </c>
      <c r="G2043" s="5" t="str">
        <f t="shared" si="113"/>
        <v/>
      </c>
      <c r="I2043" s="6" t="str">
        <f t="shared" si="111"/>
        <v>0</v>
      </c>
      <c r="O2043" t="s">
        <v>321</v>
      </c>
      <c r="P2043">
        <f>IF(C2043&lt;&gt;"",C2043,_xlfn.XLOOKUP(B2043,AI_NAMES!D:D,AI_NAMES!E:E,"",0))</f>
        <v>0</v>
      </c>
    </row>
    <row r="2044" spans="1:16" x14ac:dyDescent="0.2">
      <c r="A2044" t="s">
        <v>2286</v>
      </c>
      <c r="B2044" t="s">
        <v>321</v>
      </c>
      <c r="E2044" t="str">
        <f t="shared" si="112"/>
        <v/>
      </c>
      <c r="G2044" s="5" t="str">
        <f t="shared" si="113"/>
        <v/>
      </c>
      <c r="I2044" s="6" t="str">
        <f t="shared" si="111"/>
        <v>0</v>
      </c>
      <c r="O2044" t="s">
        <v>321</v>
      </c>
      <c r="P2044">
        <f>IF(C2044&lt;&gt;"",C2044,_xlfn.XLOOKUP(B2044,AI_NAMES!D:D,AI_NAMES!E:E,"",0))</f>
        <v>0</v>
      </c>
    </row>
    <row r="2045" spans="1:16" x14ac:dyDescent="0.2">
      <c r="A2045" t="s">
        <v>2287</v>
      </c>
      <c r="B2045" t="s">
        <v>321</v>
      </c>
      <c r="E2045" t="str">
        <f t="shared" si="112"/>
        <v/>
      </c>
      <c r="G2045" s="5" t="str">
        <f t="shared" si="113"/>
        <v/>
      </c>
      <c r="I2045" s="6" t="str">
        <f t="shared" si="111"/>
        <v>0</v>
      </c>
      <c r="O2045" t="s">
        <v>321</v>
      </c>
      <c r="P2045">
        <f>IF(C2045&lt;&gt;"",C2045,_xlfn.XLOOKUP(B2045,AI_NAMES!D:D,AI_NAMES!E:E,"",0))</f>
        <v>0</v>
      </c>
    </row>
    <row r="2046" spans="1:16" x14ac:dyDescent="0.2">
      <c r="A2046" t="s">
        <v>2288</v>
      </c>
      <c r="B2046" t="s">
        <v>321</v>
      </c>
      <c r="E2046" t="str">
        <f t="shared" si="112"/>
        <v/>
      </c>
      <c r="G2046" s="5" t="str">
        <f t="shared" si="113"/>
        <v/>
      </c>
      <c r="I2046" s="6" t="str">
        <f t="shared" si="111"/>
        <v>0</v>
      </c>
      <c r="O2046" t="s">
        <v>321</v>
      </c>
      <c r="P2046">
        <f>IF(C2046&lt;&gt;"",C2046,_xlfn.XLOOKUP(B2046,AI_NAMES!D:D,AI_NAMES!E:E,"",0))</f>
        <v>0</v>
      </c>
    </row>
    <row r="2047" spans="1:16" x14ac:dyDescent="0.2">
      <c r="A2047" t="s">
        <v>2290</v>
      </c>
      <c r="B2047" t="s">
        <v>321</v>
      </c>
      <c r="E2047" t="str">
        <f t="shared" si="112"/>
        <v/>
      </c>
      <c r="G2047" s="5" t="str">
        <f t="shared" si="113"/>
        <v/>
      </c>
      <c r="I2047" s="6" t="str">
        <f t="shared" si="111"/>
        <v>0</v>
      </c>
      <c r="O2047" t="s">
        <v>321</v>
      </c>
      <c r="P2047">
        <f>IF(C2047&lt;&gt;"",C2047,_xlfn.XLOOKUP(B2047,AI_NAMES!D:D,AI_NAMES!E:E,"",0))</f>
        <v>0</v>
      </c>
    </row>
    <row r="2048" spans="1:16" x14ac:dyDescent="0.2">
      <c r="A2048" t="s">
        <v>2291</v>
      </c>
      <c r="B2048" t="s">
        <v>321</v>
      </c>
      <c r="E2048" t="str">
        <f t="shared" si="112"/>
        <v/>
      </c>
      <c r="G2048" s="5" t="str">
        <f t="shared" si="113"/>
        <v/>
      </c>
      <c r="I2048" s="6" t="str">
        <f t="shared" si="111"/>
        <v>0</v>
      </c>
      <c r="O2048" t="s">
        <v>321</v>
      </c>
      <c r="P2048">
        <f>IF(C2048&lt;&gt;"",C2048,_xlfn.XLOOKUP(B2048,AI_NAMES!D:D,AI_NAMES!E:E,"",0))</f>
        <v>0</v>
      </c>
    </row>
    <row r="2049" spans="1:16" x14ac:dyDescent="0.2">
      <c r="A2049" t="s">
        <v>2292</v>
      </c>
      <c r="B2049" t="s">
        <v>321</v>
      </c>
      <c r="E2049" t="str">
        <f t="shared" si="112"/>
        <v/>
      </c>
      <c r="G2049" s="5" t="str">
        <f t="shared" si="113"/>
        <v/>
      </c>
      <c r="I2049" s="6" t="str">
        <f t="shared" si="111"/>
        <v>0</v>
      </c>
      <c r="O2049" t="s">
        <v>321</v>
      </c>
      <c r="P2049">
        <f>IF(C2049&lt;&gt;"",C2049,_xlfn.XLOOKUP(B2049,AI_NAMES!D:D,AI_NAMES!E:E,"",0))</f>
        <v>0</v>
      </c>
    </row>
    <row r="2050" spans="1:16" x14ac:dyDescent="0.2">
      <c r="A2050" t="s">
        <v>2293</v>
      </c>
      <c r="B2050" t="s">
        <v>321</v>
      </c>
      <c r="E2050" t="str">
        <f t="shared" si="112"/>
        <v/>
      </c>
      <c r="G2050" s="5" t="str">
        <f t="shared" si="113"/>
        <v/>
      </c>
      <c r="I2050" s="6" t="str">
        <f t="shared" si="111"/>
        <v>0</v>
      </c>
      <c r="O2050" t="s">
        <v>321</v>
      </c>
      <c r="P2050">
        <f>IF(C2050&lt;&gt;"",C2050,_xlfn.XLOOKUP(B2050,AI_NAMES!D:D,AI_NAMES!E:E,"",0))</f>
        <v>0</v>
      </c>
    </row>
    <row r="2051" spans="1:16" x14ac:dyDescent="0.2">
      <c r="A2051" t="s">
        <v>2294</v>
      </c>
      <c r="B2051" t="s">
        <v>321</v>
      </c>
      <c r="E2051" t="str">
        <f t="shared" si="112"/>
        <v/>
      </c>
      <c r="G2051" s="5" t="str">
        <f t="shared" si="113"/>
        <v/>
      </c>
      <c r="I2051" s="6" t="str">
        <f t="shared" ref="I2051:I2114" si="114">IFERROR(DEC2HEX(H2051),"")</f>
        <v>0</v>
      </c>
      <c r="O2051" t="s">
        <v>321</v>
      </c>
      <c r="P2051">
        <f>IF(C2051&lt;&gt;"",C2051,_xlfn.XLOOKUP(B2051,AI_NAMES!D:D,AI_NAMES!E:E,"",0))</f>
        <v>0</v>
      </c>
    </row>
    <row r="2052" spans="1:16" x14ac:dyDescent="0.2">
      <c r="A2052" t="s">
        <v>2296</v>
      </c>
      <c r="B2052" t="s">
        <v>321</v>
      </c>
      <c r="E2052" t="str">
        <f t="shared" ref="E2052:E2115" si="115">IF(D2052&lt;&gt;"",C2052&amp;"/"&amp;D2052,"")</f>
        <v/>
      </c>
      <c r="G2052" s="5" t="str">
        <f t="shared" si="113"/>
        <v/>
      </c>
      <c r="I2052" s="6" t="str">
        <f t="shared" si="114"/>
        <v>0</v>
      </c>
      <c r="O2052" t="s">
        <v>321</v>
      </c>
      <c r="P2052">
        <f>IF(C2052&lt;&gt;"",C2052,_xlfn.XLOOKUP(B2052,AI_NAMES!D:D,AI_NAMES!E:E,"",0))</f>
        <v>0</v>
      </c>
    </row>
    <row r="2053" spans="1:16" x14ac:dyDescent="0.2">
      <c r="A2053" t="s">
        <v>2297</v>
      </c>
      <c r="B2053" t="s">
        <v>321</v>
      </c>
      <c r="E2053" t="str">
        <f t="shared" si="115"/>
        <v/>
      </c>
      <c r="G2053" s="5" t="str">
        <f t="shared" si="113"/>
        <v/>
      </c>
      <c r="I2053" s="6" t="str">
        <f t="shared" si="114"/>
        <v>0</v>
      </c>
      <c r="O2053" t="s">
        <v>321</v>
      </c>
      <c r="P2053">
        <f>IF(C2053&lt;&gt;"",C2053,_xlfn.XLOOKUP(B2053,AI_NAMES!D:D,AI_NAMES!E:E,"",0))</f>
        <v>0</v>
      </c>
    </row>
    <row r="2054" spans="1:16" x14ac:dyDescent="0.2">
      <c r="A2054" t="s">
        <v>2298</v>
      </c>
      <c r="B2054" t="s">
        <v>321</v>
      </c>
      <c r="E2054" t="str">
        <f t="shared" si="115"/>
        <v/>
      </c>
      <c r="G2054" s="5" t="str">
        <f t="shared" si="113"/>
        <v/>
      </c>
      <c r="I2054" s="6" t="str">
        <f t="shared" si="114"/>
        <v>0</v>
      </c>
      <c r="O2054" t="s">
        <v>321</v>
      </c>
      <c r="P2054">
        <f>IF(C2054&lt;&gt;"",C2054,_xlfn.XLOOKUP(B2054,AI_NAMES!D:D,AI_NAMES!E:E,"",0))</f>
        <v>0</v>
      </c>
    </row>
    <row r="2055" spans="1:16" x14ac:dyDescent="0.2">
      <c r="A2055" t="s">
        <v>2299</v>
      </c>
      <c r="B2055" t="s">
        <v>321</v>
      </c>
      <c r="E2055" t="str">
        <f t="shared" si="115"/>
        <v/>
      </c>
      <c r="G2055" s="5" t="str">
        <f t="shared" si="113"/>
        <v/>
      </c>
      <c r="I2055" s="6" t="str">
        <f t="shared" si="114"/>
        <v>0</v>
      </c>
      <c r="O2055" t="s">
        <v>321</v>
      </c>
      <c r="P2055">
        <f>IF(C2055&lt;&gt;"",C2055,_xlfn.XLOOKUP(B2055,AI_NAMES!D:D,AI_NAMES!E:E,"",0))</f>
        <v>0</v>
      </c>
    </row>
    <row r="2056" spans="1:16" x14ac:dyDescent="0.2">
      <c r="A2056" t="s">
        <v>2301</v>
      </c>
      <c r="B2056" t="s">
        <v>3349</v>
      </c>
      <c r="E2056" t="str">
        <f t="shared" si="115"/>
        <v/>
      </c>
      <c r="G2056" s="5" t="str">
        <f t="shared" si="113"/>
        <v/>
      </c>
      <c r="I2056" s="6" t="str">
        <f t="shared" si="114"/>
        <v>0</v>
      </c>
      <c r="O2056" t="s">
        <v>3349</v>
      </c>
      <c r="P2056" t="str">
        <f>IF(C2056&lt;&gt;"",C2056,_xlfn.XLOOKUP(B2056,AI_NAMES!D:D,AI_NAMES!E:E,"",0))</f>
        <v/>
      </c>
    </row>
    <row r="2057" spans="1:16" x14ac:dyDescent="0.2">
      <c r="A2057" t="s">
        <v>2302</v>
      </c>
      <c r="B2057" t="s">
        <v>321</v>
      </c>
      <c r="E2057" t="str">
        <f t="shared" si="115"/>
        <v/>
      </c>
      <c r="G2057" s="5" t="str">
        <f t="shared" ref="G2057:G2120" si="116">IF(F2057&lt;&gt;"",HEX2DEC(SUBSTITUTE(SUBSTITUTE(F2057,"adrEA",""),"$","")),"")</f>
        <v/>
      </c>
      <c r="I2057" s="6" t="str">
        <f t="shared" si="114"/>
        <v>0</v>
      </c>
      <c r="O2057" t="s">
        <v>321</v>
      </c>
      <c r="P2057">
        <f>IF(C2057&lt;&gt;"",C2057,_xlfn.XLOOKUP(B2057,AI_NAMES!D:D,AI_NAMES!E:E,"",0))</f>
        <v>0</v>
      </c>
    </row>
    <row r="2058" spans="1:16" x14ac:dyDescent="0.2">
      <c r="A2058" t="s">
        <v>2303</v>
      </c>
      <c r="B2058" t="s">
        <v>321</v>
      </c>
      <c r="E2058" t="str">
        <f t="shared" si="115"/>
        <v/>
      </c>
      <c r="G2058" s="5" t="str">
        <f t="shared" si="116"/>
        <v/>
      </c>
      <c r="I2058" s="6" t="str">
        <f t="shared" si="114"/>
        <v>0</v>
      </c>
      <c r="O2058" t="s">
        <v>321</v>
      </c>
      <c r="P2058">
        <f>IF(C2058&lt;&gt;"",C2058,_xlfn.XLOOKUP(B2058,AI_NAMES!D:D,AI_NAMES!E:E,"",0))</f>
        <v>0</v>
      </c>
    </row>
    <row r="2059" spans="1:16" x14ac:dyDescent="0.2">
      <c r="A2059" t="s">
        <v>2304</v>
      </c>
      <c r="B2059" t="s">
        <v>321</v>
      </c>
      <c r="E2059" t="str">
        <f t="shared" si="115"/>
        <v/>
      </c>
      <c r="G2059" s="5" t="str">
        <f t="shared" si="116"/>
        <v/>
      </c>
      <c r="I2059" s="6" t="str">
        <f t="shared" si="114"/>
        <v>0</v>
      </c>
      <c r="O2059" t="s">
        <v>321</v>
      </c>
      <c r="P2059">
        <f>IF(C2059&lt;&gt;"",C2059,_xlfn.XLOOKUP(B2059,AI_NAMES!D:D,AI_NAMES!E:E,"",0))</f>
        <v>0</v>
      </c>
    </row>
    <row r="2060" spans="1:16" x14ac:dyDescent="0.2">
      <c r="A2060" t="s">
        <v>2305</v>
      </c>
      <c r="B2060" t="s">
        <v>321</v>
      </c>
      <c r="E2060" t="str">
        <f t="shared" si="115"/>
        <v/>
      </c>
      <c r="G2060" s="5" t="str">
        <f t="shared" si="116"/>
        <v/>
      </c>
      <c r="I2060" s="6" t="str">
        <f t="shared" si="114"/>
        <v>0</v>
      </c>
      <c r="O2060" t="s">
        <v>321</v>
      </c>
      <c r="P2060">
        <f>IF(C2060&lt;&gt;"",C2060,_xlfn.XLOOKUP(B2060,AI_NAMES!D:D,AI_NAMES!E:E,"",0))</f>
        <v>0</v>
      </c>
    </row>
    <row r="2061" spans="1:16" x14ac:dyDescent="0.2">
      <c r="A2061" t="s">
        <v>2306</v>
      </c>
      <c r="B2061" t="s">
        <v>321</v>
      </c>
      <c r="E2061" t="str">
        <f t="shared" si="115"/>
        <v/>
      </c>
      <c r="G2061" s="5" t="str">
        <f t="shared" si="116"/>
        <v/>
      </c>
      <c r="I2061" s="6" t="str">
        <f t="shared" si="114"/>
        <v>0</v>
      </c>
      <c r="O2061" t="s">
        <v>321</v>
      </c>
      <c r="P2061">
        <f>IF(C2061&lt;&gt;"",C2061,_xlfn.XLOOKUP(B2061,AI_NAMES!D:D,AI_NAMES!E:E,"",0))</f>
        <v>0</v>
      </c>
    </row>
    <row r="2062" spans="1:16" x14ac:dyDescent="0.2">
      <c r="A2062" t="s">
        <v>2307</v>
      </c>
      <c r="B2062" t="s">
        <v>321</v>
      </c>
      <c r="E2062" t="str">
        <f t="shared" si="115"/>
        <v/>
      </c>
      <c r="G2062" s="5" t="str">
        <f t="shared" si="116"/>
        <v/>
      </c>
      <c r="I2062" s="6" t="str">
        <f t="shared" si="114"/>
        <v>0</v>
      </c>
      <c r="O2062" t="s">
        <v>321</v>
      </c>
      <c r="P2062">
        <f>IF(C2062&lt;&gt;"",C2062,_xlfn.XLOOKUP(B2062,AI_NAMES!D:D,AI_NAMES!E:E,"",0))</f>
        <v>0</v>
      </c>
    </row>
    <row r="2063" spans="1:16" x14ac:dyDescent="0.2">
      <c r="A2063" t="s">
        <v>2309</v>
      </c>
      <c r="B2063" t="s">
        <v>321</v>
      </c>
      <c r="E2063" t="str">
        <f t="shared" si="115"/>
        <v/>
      </c>
      <c r="G2063" s="5" t="str">
        <f t="shared" si="116"/>
        <v/>
      </c>
      <c r="I2063" s="6" t="str">
        <f t="shared" si="114"/>
        <v>0</v>
      </c>
      <c r="O2063" t="s">
        <v>321</v>
      </c>
      <c r="P2063">
        <f>IF(C2063&lt;&gt;"",C2063,_xlfn.XLOOKUP(B2063,AI_NAMES!D:D,AI_NAMES!E:E,"",0))</f>
        <v>0</v>
      </c>
    </row>
    <row r="2064" spans="1:16" x14ac:dyDescent="0.2">
      <c r="A2064" t="s">
        <v>2310</v>
      </c>
      <c r="B2064" t="s">
        <v>321</v>
      </c>
      <c r="E2064" t="str">
        <f t="shared" si="115"/>
        <v/>
      </c>
      <c r="G2064" s="5" t="str">
        <f t="shared" si="116"/>
        <v/>
      </c>
      <c r="I2064" s="6" t="str">
        <f t="shared" si="114"/>
        <v>0</v>
      </c>
      <c r="O2064" t="s">
        <v>321</v>
      </c>
      <c r="P2064">
        <f>IF(C2064&lt;&gt;"",C2064,_xlfn.XLOOKUP(B2064,AI_NAMES!D:D,AI_NAMES!E:E,"",0))</f>
        <v>0</v>
      </c>
    </row>
    <row r="2065" spans="1:16" x14ac:dyDescent="0.2">
      <c r="A2065" t="s">
        <v>2311</v>
      </c>
      <c r="B2065" t="s">
        <v>321</v>
      </c>
      <c r="E2065" t="str">
        <f t="shared" si="115"/>
        <v/>
      </c>
      <c r="G2065" s="5" t="str">
        <f t="shared" si="116"/>
        <v/>
      </c>
      <c r="I2065" s="6" t="str">
        <f t="shared" si="114"/>
        <v>0</v>
      </c>
      <c r="O2065" t="s">
        <v>321</v>
      </c>
      <c r="P2065">
        <f>IF(C2065&lt;&gt;"",C2065,_xlfn.XLOOKUP(B2065,AI_NAMES!D:D,AI_NAMES!E:E,"",0))</f>
        <v>0</v>
      </c>
    </row>
    <row r="2066" spans="1:16" x14ac:dyDescent="0.2">
      <c r="A2066" t="s">
        <v>2312</v>
      </c>
      <c r="B2066" t="s">
        <v>3620</v>
      </c>
      <c r="E2066" t="str">
        <f t="shared" si="115"/>
        <v/>
      </c>
      <c r="G2066" s="5" t="str">
        <f t="shared" si="116"/>
        <v/>
      </c>
      <c r="I2066" s="6" t="str">
        <f t="shared" si="114"/>
        <v>0</v>
      </c>
      <c r="O2066" t="s">
        <v>321</v>
      </c>
      <c r="P2066" t="str">
        <f>IF(C2066&lt;&gt;"",C2066,_xlfn.XLOOKUP(B2066,AI_NAMES!D:D,AI_NAMES!E:E,"",0))</f>
        <v/>
      </c>
    </row>
    <row r="2067" spans="1:16" x14ac:dyDescent="0.2">
      <c r="A2067" t="s">
        <v>2313</v>
      </c>
      <c r="B2067" t="s">
        <v>321</v>
      </c>
      <c r="E2067" t="str">
        <f t="shared" si="115"/>
        <v/>
      </c>
      <c r="G2067" s="5" t="str">
        <f t="shared" si="116"/>
        <v/>
      </c>
      <c r="I2067" s="6" t="str">
        <f t="shared" si="114"/>
        <v>0</v>
      </c>
      <c r="O2067" t="s">
        <v>321</v>
      </c>
      <c r="P2067">
        <f>IF(C2067&lt;&gt;"",C2067,_xlfn.XLOOKUP(B2067,AI_NAMES!D:D,AI_NAMES!E:E,"",0))</f>
        <v>0</v>
      </c>
    </row>
    <row r="2068" spans="1:16" x14ac:dyDescent="0.2">
      <c r="A2068" t="s">
        <v>2314</v>
      </c>
      <c r="B2068" t="s">
        <v>321</v>
      </c>
      <c r="E2068" t="str">
        <f t="shared" si="115"/>
        <v/>
      </c>
      <c r="G2068" s="5" t="str">
        <f t="shared" si="116"/>
        <v/>
      </c>
      <c r="I2068" s="6" t="str">
        <f t="shared" si="114"/>
        <v>0</v>
      </c>
      <c r="O2068" t="s">
        <v>321</v>
      </c>
      <c r="P2068">
        <f>IF(C2068&lt;&gt;"",C2068,_xlfn.XLOOKUP(B2068,AI_NAMES!D:D,AI_NAMES!E:E,"",0))</f>
        <v>0</v>
      </c>
    </row>
    <row r="2069" spans="1:16" x14ac:dyDescent="0.2">
      <c r="A2069" t="s">
        <v>2315</v>
      </c>
      <c r="B2069" t="s">
        <v>321</v>
      </c>
      <c r="E2069" t="str">
        <f t="shared" si="115"/>
        <v/>
      </c>
      <c r="G2069" s="5" t="str">
        <f t="shared" si="116"/>
        <v/>
      </c>
      <c r="I2069" s="6" t="str">
        <f t="shared" si="114"/>
        <v>0</v>
      </c>
      <c r="O2069" t="s">
        <v>321</v>
      </c>
      <c r="P2069">
        <f>IF(C2069&lt;&gt;"",C2069,_xlfn.XLOOKUP(B2069,AI_NAMES!D:D,AI_NAMES!E:E,"",0))</f>
        <v>0</v>
      </c>
    </row>
    <row r="2070" spans="1:16" x14ac:dyDescent="0.2">
      <c r="A2070" t="s">
        <v>2317</v>
      </c>
      <c r="B2070" t="s">
        <v>321</v>
      </c>
      <c r="E2070" t="str">
        <f t="shared" si="115"/>
        <v/>
      </c>
      <c r="G2070" s="5" t="str">
        <f t="shared" si="116"/>
        <v/>
      </c>
      <c r="I2070" s="6" t="str">
        <f t="shared" si="114"/>
        <v>0</v>
      </c>
      <c r="O2070" t="s">
        <v>321</v>
      </c>
      <c r="P2070">
        <f>IF(C2070&lt;&gt;"",C2070,_xlfn.XLOOKUP(B2070,AI_NAMES!D:D,AI_NAMES!E:E,"",0))</f>
        <v>0</v>
      </c>
    </row>
    <row r="2071" spans="1:16" x14ac:dyDescent="0.2">
      <c r="A2071" t="s">
        <v>2318</v>
      </c>
      <c r="B2071" t="s">
        <v>321</v>
      </c>
      <c r="E2071" t="str">
        <f t="shared" si="115"/>
        <v/>
      </c>
      <c r="G2071" s="5" t="str">
        <f t="shared" si="116"/>
        <v/>
      </c>
      <c r="I2071" s="6" t="str">
        <f t="shared" si="114"/>
        <v>0</v>
      </c>
      <c r="O2071" t="s">
        <v>321</v>
      </c>
      <c r="P2071">
        <f>IF(C2071&lt;&gt;"",C2071,_xlfn.XLOOKUP(B2071,AI_NAMES!D:D,AI_NAMES!E:E,"",0))</f>
        <v>0</v>
      </c>
    </row>
    <row r="2072" spans="1:16" x14ac:dyDescent="0.2">
      <c r="A2072" t="s">
        <v>2320</v>
      </c>
      <c r="B2072" t="s">
        <v>321</v>
      </c>
      <c r="E2072" t="str">
        <f t="shared" si="115"/>
        <v/>
      </c>
      <c r="G2072" s="5" t="str">
        <f t="shared" si="116"/>
        <v/>
      </c>
      <c r="I2072" s="6" t="str">
        <f t="shared" si="114"/>
        <v>0</v>
      </c>
      <c r="O2072" t="s">
        <v>321</v>
      </c>
      <c r="P2072">
        <f>IF(C2072&lt;&gt;"",C2072,_xlfn.XLOOKUP(B2072,AI_NAMES!D:D,AI_NAMES!E:E,"",0))</f>
        <v>0</v>
      </c>
    </row>
    <row r="2073" spans="1:16" x14ac:dyDescent="0.2">
      <c r="A2073" t="s">
        <v>2321</v>
      </c>
      <c r="B2073" t="s">
        <v>321</v>
      </c>
      <c r="E2073" t="str">
        <f t="shared" si="115"/>
        <v/>
      </c>
      <c r="G2073" s="5" t="str">
        <f t="shared" si="116"/>
        <v/>
      </c>
      <c r="I2073" s="6" t="str">
        <f t="shared" si="114"/>
        <v>0</v>
      </c>
      <c r="O2073" t="s">
        <v>321</v>
      </c>
      <c r="P2073">
        <f>IF(C2073&lt;&gt;"",C2073,_xlfn.XLOOKUP(B2073,AI_NAMES!D:D,AI_NAMES!E:E,"",0))</f>
        <v>0</v>
      </c>
    </row>
    <row r="2074" spans="1:16" x14ac:dyDescent="0.2">
      <c r="A2074" t="s">
        <v>2322</v>
      </c>
      <c r="B2074" t="s">
        <v>321</v>
      </c>
      <c r="E2074" t="str">
        <f t="shared" si="115"/>
        <v/>
      </c>
      <c r="G2074" s="5" t="str">
        <f t="shared" si="116"/>
        <v/>
      </c>
      <c r="I2074" s="6" t="str">
        <f t="shared" si="114"/>
        <v>0</v>
      </c>
      <c r="O2074" t="s">
        <v>321</v>
      </c>
      <c r="P2074">
        <f>IF(C2074&lt;&gt;"",C2074,_xlfn.XLOOKUP(B2074,AI_NAMES!D:D,AI_NAMES!E:E,"",0))</f>
        <v>0</v>
      </c>
    </row>
    <row r="2075" spans="1:16" x14ac:dyDescent="0.2">
      <c r="A2075" t="s">
        <v>2323</v>
      </c>
      <c r="B2075" t="s">
        <v>321</v>
      </c>
      <c r="E2075" t="str">
        <f t="shared" si="115"/>
        <v/>
      </c>
      <c r="G2075" s="5" t="str">
        <f t="shared" si="116"/>
        <v/>
      </c>
      <c r="I2075" s="6" t="str">
        <f t="shared" si="114"/>
        <v>0</v>
      </c>
      <c r="O2075" t="s">
        <v>321</v>
      </c>
      <c r="P2075">
        <f>IF(C2075&lt;&gt;"",C2075,_xlfn.XLOOKUP(B2075,AI_NAMES!D:D,AI_NAMES!E:E,"",0))</f>
        <v>0</v>
      </c>
    </row>
    <row r="2076" spans="1:16" x14ac:dyDescent="0.2">
      <c r="A2076" t="s">
        <v>2324</v>
      </c>
      <c r="B2076" t="s">
        <v>321</v>
      </c>
      <c r="E2076" t="str">
        <f t="shared" si="115"/>
        <v/>
      </c>
      <c r="G2076" s="5" t="str">
        <f t="shared" si="116"/>
        <v/>
      </c>
      <c r="I2076" s="6" t="str">
        <f t="shared" si="114"/>
        <v>0</v>
      </c>
      <c r="O2076" t="s">
        <v>321</v>
      </c>
      <c r="P2076">
        <f>IF(C2076&lt;&gt;"",C2076,_xlfn.XLOOKUP(B2076,AI_NAMES!D:D,AI_NAMES!E:E,"",0))</f>
        <v>0</v>
      </c>
    </row>
    <row r="2077" spans="1:16" x14ac:dyDescent="0.2">
      <c r="A2077" t="s">
        <v>2325</v>
      </c>
      <c r="B2077" t="s">
        <v>2326</v>
      </c>
      <c r="E2077" t="str">
        <f t="shared" si="115"/>
        <v/>
      </c>
      <c r="G2077" s="5" t="str">
        <f t="shared" si="116"/>
        <v/>
      </c>
      <c r="I2077" s="6" t="str">
        <f t="shared" si="114"/>
        <v>0</v>
      </c>
      <c r="O2077" t="s">
        <v>2326</v>
      </c>
      <c r="P2077" t="str">
        <f>IF(C2077&lt;&gt;"",C2077,_xlfn.XLOOKUP(B2077,AI_NAMES!D:D,AI_NAMES!E:E,"",0))</f>
        <v/>
      </c>
    </row>
    <row r="2078" spans="1:16" x14ac:dyDescent="0.2">
      <c r="A2078" t="s">
        <v>2327</v>
      </c>
      <c r="E2078" t="str">
        <f t="shared" si="115"/>
        <v/>
      </c>
      <c r="G2078" s="5" t="str">
        <f t="shared" si="116"/>
        <v/>
      </c>
      <c r="I2078" s="6" t="str">
        <f t="shared" si="114"/>
        <v>0</v>
      </c>
      <c r="P2078">
        <f>IF(C2078&lt;&gt;"",C2078,_xlfn.XLOOKUP(B2078,AI_NAMES!D:D,AI_NAMES!E:E,"",0))</f>
        <v>0</v>
      </c>
    </row>
    <row r="2079" spans="1:16" x14ac:dyDescent="0.2">
      <c r="A2079" t="s">
        <v>2331</v>
      </c>
      <c r="B2079" t="s">
        <v>3610</v>
      </c>
      <c r="E2079" t="str">
        <f t="shared" si="115"/>
        <v/>
      </c>
      <c r="G2079" s="5" t="str">
        <f t="shared" si="116"/>
        <v/>
      </c>
      <c r="I2079" s="6" t="str">
        <f t="shared" si="114"/>
        <v>0</v>
      </c>
      <c r="O2079" t="s">
        <v>321</v>
      </c>
      <c r="P2079" t="str">
        <f>IF(C2079&lt;&gt;"",C2079,_xlfn.XLOOKUP(B2079,AI_NAMES!D:D,AI_NAMES!E:E,"",0))</f>
        <v/>
      </c>
    </row>
    <row r="2080" spans="1:16" x14ac:dyDescent="0.2">
      <c r="A2080" t="s">
        <v>2332</v>
      </c>
      <c r="E2080" t="str">
        <f t="shared" si="115"/>
        <v/>
      </c>
      <c r="G2080" s="5" t="str">
        <f t="shared" si="116"/>
        <v/>
      </c>
      <c r="I2080" s="6" t="str">
        <f t="shared" si="114"/>
        <v>0</v>
      </c>
      <c r="O2080" t="s">
        <v>321</v>
      </c>
      <c r="P2080">
        <f>IF(C2080&lt;&gt;"",C2080,_xlfn.XLOOKUP(B2080,AI_NAMES!D:D,AI_NAMES!E:E,"",0))</f>
        <v>0</v>
      </c>
    </row>
    <row r="2081" spans="1:16" x14ac:dyDescent="0.2">
      <c r="A2081" t="s">
        <v>2336</v>
      </c>
      <c r="B2081" t="s">
        <v>3611</v>
      </c>
      <c r="E2081" t="str">
        <f t="shared" si="115"/>
        <v/>
      </c>
      <c r="G2081" s="5" t="str">
        <f t="shared" si="116"/>
        <v/>
      </c>
      <c r="I2081" s="6" t="str">
        <f t="shared" si="114"/>
        <v>0</v>
      </c>
      <c r="O2081" t="s">
        <v>321</v>
      </c>
      <c r="P2081" t="str">
        <f>IF(C2081&lt;&gt;"",C2081,_xlfn.XLOOKUP(B2081,AI_NAMES!D:D,AI_NAMES!E:E,"",0))</f>
        <v/>
      </c>
    </row>
    <row r="2082" spans="1:16" x14ac:dyDescent="0.2">
      <c r="A2082" t="s">
        <v>2339</v>
      </c>
      <c r="B2082" t="s">
        <v>3612</v>
      </c>
      <c r="E2082" t="str">
        <f t="shared" si="115"/>
        <v/>
      </c>
      <c r="G2082" s="5" t="str">
        <f t="shared" si="116"/>
        <v/>
      </c>
      <c r="I2082" s="6" t="str">
        <f t="shared" si="114"/>
        <v>0</v>
      </c>
      <c r="O2082" t="s">
        <v>321</v>
      </c>
    </row>
    <row r="2083" spans="1:16" x14ac:dyDescent="0.2">
      <c r="A2083" t="s">
        <v>2340</v>
      </c>
      <c r="E2083" t="str">
        <f t="shared" si="115"/>
        <v/>
      </c>
      <c r="G2083" s="5" t="str">
        <f t="shared" si="116"/>
        <v/>
      </c>
      <c r="I2083" s="6" t="str">
        <f t="shared" si="114"/>
        <v>0</v>
      </c>
      <c r="O2083" t="s">
        <v>321</v>
      </c>
    </row>
    <row r="2084" spans="1:16" x14ac:dyDescent="0.2">
      <c r="A2084" t="s">
        <v>2345</v>
      </c>
      <c r="B2084" t="s">
        <v>3613</v>
      </c>
      <c r="E2084" t="str">
        <f t="shared" si="115"/>
        <v/>
      </c>
      <c r="G2084" s="5" t="str">
        <f t="shared" si="116"/>
        <v/>
      </c>
      <c r="I2084" s="6" t="str">
        <f t="shared" si="114"/>
        <v>0</v>
      </c>
      <c r="O2084" t="s">
        <v>321</v>
      </c>
    </row>
    <row r="2085" spans="1:16" x14ac:dyDescent="0.2">
      <c r="A2085" t="s">
        <v>2346</v>
      </c>
      <c r="E2085" t="str">
        <f t="shared" si="115"/>
        <v/>
      </c>
      <c r="G2085" s="5" t="str">
        <f t="shared" si="116"/>
        <v/>
      </c>
      <c r="I2085" s="6" t="str">
        <f t="shared" si="114"/>
        <v>0</v>
      </c>
      <c r="O2085" t="s">
        <v>321</v>
      </c>
    </row>
    <row r="2086" spans="1:16" x14ac:dyDescent="0.2">
      <c r="A2086" t="s">
        <v>2347</v>
      </c>
      <c r="B2086" t="s">
        <v>3614</v>
      </c>
      <c r="E2086" t="str">
        <f t="shared" si="115"/>
        <v/>
      </c>
      <c r="G2086" s="5" t="str">
        <f t="shared" si="116"/>
        <v/>
      </c>
      <c r="I2086" s="6" t="str">
        <f t="shared" si="114"/>
        <v>0</v>
      </c>
      <c r="O2086" t="s">
        <v>321</v>
      </c>
    </row>
    <row r="2087" spans="1:16" x14ac:dyDescent="0.2">
      <c r="A2087" t="s">
        <v>2349</v>
      </c>
      <c r="B2087" t="s">
        <v>3615</v>
      </c>
      <c r="E2087" t="str">
        <f t="shared" si="115"/>
        <v/>
      </c>
      <c r="G2087" s="5" t="str">
        <f t="shared" si="116"/>
        <v/>
      </c>
      <c r="I2087" s="6" t="str">
        <f t="shared" si="114"/>
        <v>0</v>
      </c>
      <c r="O2087" t="s">
        <v>321</v>
      </c>
    </row>
    <row r="2088" spans="1:16" x14ac:dyDescent="0.2">
      <c r="A2088" t="s">
        <v>2354</v>
      </c>
      <c r="B2088" t="s">
        <v>2355</v>
      </c>
      <c r="E2088" t="str">
        <f t="shared" si="115"/>
        <v/>
      </c>
      <c r="G2088" s="5" t="str">
        <f t="shared" si="116"/>
        <v/>
      </c>
      <c r="I2088" s="6" t="str">
        <f t="shared" si="114"/>
        <v>0</v>
      </c>
      <c r="O2088" t="s">
        <v>2355</v>
      </c>
    </row>
    <row r="2089" spans="1:16" x14ac:dyDescent="0.2">
      <c r="A2089" t="s">
        <v>2357</v>
      </c>
      <c r="B2089" t="s">
        <v>3321</v>
      </c>
      <c r="E2089" t="str">
        <f t="shared" si="115"/>
        <v/>
      </c>
      <c r="G2089" s="5" t="str">
        <f t="shared" si="116"/>
        <v/>
      </c>
      <c r="I2089" s="6" t="str">
        <f t="shared" si="114"/>
        <v>0</v>
      </c>
      <c r="O2089" t="s">
        <v>3321</v>
      </c>
    </row>
    <row r="2090" spans="1:16" x14ac:dyDescent="0.2">
      <c r="A2090" t="s">
        <v>2358</v>
      </c>
      <c r="B2090" t="s">
        <v>2359</v>
      </c>
      <c r="E2090" t="str">
        <f t="shared" si="115"/>
        <v/>
      </c>
      <c r="G2090" s="5" t="str">
        <f t="shared" si="116"/>
        <v/>
      </c>
      <c r="I2090" s="6" t="str">
        <f t="shared" si="114"/>
        <v>0</v>
      </c>
      <c r="O2090" t="s">
        <v>2359</v>
      </c>
    </row>
    <row r="2091" spans="1:16" x14ac:dyDescent="0.2">
      <c r="A2091" t="s">
        <v>2360</v>
      </c>
      <c r="B2091" t="s">
        <v>321</v>
      </c>
      <c r="E2091" t="str">
        <f t="shared" si="115"/>
        <v/>
      </c>
      <c r="G2091" s="5" t="str">
        <f t="shared" si="116"/>
        <v/>
      </c>
      <c r="I2091" s="6" t="str">
        <f t="shared" si="114"/>
        <v>0</v>
      </c>
      <c r="O2091" t="s">
        <v>321</v>
      </c>
    </row>
    <row r="2092" spans="1:16" x14ac:dyDescent="0.2">
      <c r="A2092" t="s">
        <v>2361</v>
      </c>
      <c r="B2092" t="s">
        <v>321</v>
      </c>
      <c r="E2092" t="str">
        <f t="shared" si="115"/>
        <v/>
      </c>
      <c r="G2092" s="5" t="str">
        <f t="shared" si="116"/>
        <v/>
      </c>
      <c r="I2092" s="6" t="str">
        <f t="shared" si="114"/>
        <v>0</v>
      </c>
      <c r="O2092" t="s">
        <v>321</v>
      </c>
    </row>
    <row r="2093" spans="1:16" x14ac:dyDescent="0.2">
      <c r="A2093" t="s">
        <v>2362</v>
      </c>
      <c r="B2093" t="s">
        <v>321</v>
      </c>
      <c r="E2093" t="str">
        <f t="shared" si="115"/>
        <v/>
      </c>
      <c r="G2093" s="5" t="str">
        <f t="shared" si="116"/>
        <v/>
      </c>
      <c r="I2093" s="6" t="str">
        <f t="shared" si="114"/>
        <v>0</v>
      </c>
      <c r="O2093" t="s">
        <v>321</v>
      </c>
    </row>
    <row r="2094" spans="1:16" x14ac:dyDescent="0.2">
      <c r="A2094" t="s">
        <v>2365</v>
      </c>
      <c r="B2094" t="s">
        <v>321</v>
      </c>
      <c r="E2094" t="str">
        <f t="shared" si="115"/>
        <v/>
      </c>
      <c r="G2094" s="5" t="str">
        <f t="shared" si="116"/>
        <v/>
      </c>
      <c r="I2094" s="6" t="str">
        <f t="shared" si="114"/>
        <v>0</v>
      </c>
      <c r="O2094" t="s">
        <v>321</v>
      </c>
    </row>
    <row r="2095" spans="1:16" x14ac:dyDescent="0.2">
      <c r="A2095" t="s">
        <v>2366</v>
      </c>
      <c r="B2095" t="s">
        <v>321</v>
      </c>
      <c r="E2095" t="str">
        <f t="shared" si="115"/>
        <v/>
      </c>
      <c r="G2095" s="5" t="str">
        <f t="shared" si="116"/>
        <v/>
      </c>
      <c r="I2095" s="6" t="str">
        <f t="shared" si="114"/>
        <v>0</v>
      </c>
      <c r="O2095" t="s">
        <v>321</v>
      </c>
    </row>
    <row r="2096" spans="1:16" x14ac:dyDescent="0.2">
      <c r="A2096" t="s">
        <v>2367</v>
      </c>
      <c r="B2096" t="s">
        <v>321</v>
      </c>
      <c r="E2096" t="str">
        <f t="shared" si="115"/>
        <v/>
      </c>
      <c r="G2096" s="5" t="str">
        <f t="shared" si="116"/>
        <v/>
      </c>
      <c r="I2096" s="6" t="str">
        <f t="shared" si="114"/>
        <v>0</v>
      </c>
      <c r="O2096" t="s">
        <v>321</v>
      </c>
    </row>
    <row r="2097" spans="1:15" x14ac:dyDescent="0.2">
      <c r="A2097" t="s">
        <v>2368</v>
      </c>
      <c r="B2097" t="s">
        <v>321</v>
      </c>
      <c r="E2097" t="str">
        <f t="shared" si="115"/>
        <v/>
      </c>
      <c r="G2097" s="5" t="str">
        <f t="shared" si="116"/>
        <v/>
      </c>
      <c r="I2097" s="6" t="str">
        <f t="shared" si="114"/>
        <v>0</v>
      </c>
      <c r="O2097" t="s">
        <v>321</v>
      </c>
    </row>
    <row r="2098" spans="1:15" x14ac:dyDescent="0.2">
      <c r="A2098" t="s">
        <v>2369</v>
      </c>
      <c r="B2098" t="s">
        <v>321</v>
      </c>
      <c r="E2098" t="str">
        <f t="shared" si="115"/>
        <v/>
      </c>
      <c r="G2098" s="5" t="str">
        <f t="shared" si="116"/>
        <v/>
      </c>
      <c r="I2098" s="6" t="str">
        <f t="shared" si="114"/>
        <v>0</v>
      </c>
      <c r="O2098" t="s">
        <v>321</v>
      </c>
    </row>
    <row r="2099" spans="1:15" x14ac:dyDescent="0.2">
      <c r="A2099" t="s">
        <v>2371</v>
      </c>
      <c r="B2099" t="s">
        <v>321</v>
      </c>
      <c r="E2099" t="str">
        <f t="shared" si="115"/>
        <v/>
      </c>
      <c r="G2099" s="5" t="str">
        <f t="shared" si="116"/>
        <v/>
      </c>
      <c r="I2099" s="6" t="str">
        <f t="shared" si="114"/>
        <v>0</v>
      </c>
      <c r="O2099" t="s">
        <v>321</v>
      </c>
    </row>
    <row r="2100" spans="1:15" x14ac:dyDescent="0.2">
      <c r="A2100" t="s">
        <v>2372</v>
      </c>
      <c r="B2100" t="s">
        <v>321</v>
      </c>
      <c r="E2100" t="str">
        <f t="shared" si="115"/>
        <v/>
      </c>
      <c r="G2100" s="5" t="str">
        <f t="shared" si="116"/>
        <v/>
      </c>
      <c r="I2100" s="6" t="str">
        <f t="shared" si="114"/>
        <v>0</v>
      </c>
      <c r="O2100" t="s">
        <v>321</v>
      </c>
    </row>
    <row r="2101" spans="1:15" x14ac:dyDescent="0.2">
      <c r="A2101" t="s">
        <v>2373</v>
      </c>
      <c r="B2101" t="s">
        <v>321</v>
      </c>
      <c r="E2101" t="str">
        <f t="shared" si="115"/>
        <v/>
      </c>
      <c r="G2101" s="5" t="str">
        <f t="shared" si="116"/>
        <v/>
      </c>
      <c r="I2101" s="6" t="str">
        <f t="shared" si="114"/>
        <v>0</v>
      </c>
      <c r="O2101" t="s">
        <v>321</v>
      </c>
    </row>
    <row r="2102" spans="1:15" x14ac:dyDescent="0.2">
      <c r="A2102" t="s">
        <v>2375</v>
      </c>
      <c r="B2102" t="s">
        <v>321</v>
      </c>
      <c r="E2102" t="str">
        <f t="shared" si="115"/>
        <v/>
      </c>
      <c r="G2102" s="5" t="str">
        <f t="shared" si="116"/>
        <v/>
      </c>
      <c r="I2102" s="6" t="str">
        <f t="shared" si="114"/>
        <v>0</v>
      </c>
      <c r="O2102" t="s">
        <v>321</v>
      </c>
    </row>
    <row r="2103" spans="1:15" x14ac:dyDescent="0.2">
      <c r="A2103" t="s">
        <v>2376</v>
      </c>
      <c r="B2103" t="s">
        <v>321</v>
      </c>
      <c r="E2103" t="str">
        <f t="shared" si="115"/>
        <v/>
      </c>
      <c r="G2103" s="5" t="str">
        <f t="shared" si="116"/>
        <v/>
      </c>
      <c r="I2103" s="6" t="str">
        <f t="shared" si="114"/>
        <v>0</v>
      </c>
      <c r="O2103" t="s">
        <v>321</v>
      </c>
    </row>
    <row r="2104" spans="1:15" x14ac:dyDescent="0.2">
      <c r="A2104" t="s">
        <v>2377</v>
      </c>
      <c r="B2104" t="s">
        <v>321</v>
      </c>
      <c r="E2104" t="str">
        <f t="shared" si="115"/>
        <v/>
      </c>
      <c r="G2104" s="5" t="str">
        <f t="shared" si="116"/>
        <v/>
      </c>
      <c r="I2104" s="6" t="str">
        <f t="shared" si="114"/>
        <v>0</v>
      </c>
      <c r="O2104" t="s">
        <v>321</v>
      </c>
    </row>
    <row r="2105" spans="1:15" x14ac:dyDescent="0.2">
      <c r="A2105" t="s">
        <v>2378</v>
      </c>
      <c r="B2105" t="s">
        <v>321</v>
      </c>
      <c r="E2105" t="str">
        <f t="shared" si="115"/>
        <v/>
      </c>
      <c r="G2105" s="5" t="str">
        <f t="shared" si="116"/>
        <v/>
      </c>
      <c r="I2105" s="6" t="str">
        <f t="shared" si="114"/>
        <v>0</v>
      </c>
      <c r="O2105" t="s">
        <v>321</v>
      </c>
    </row>
    <row r="2106" spans="1:15" x14ac:dyDescent="0.2">
      <c r="A2106" t="s">
        <v>2379</v>
      </c>
      <c r="B2106" t="s">
        <v>321</v>
      </c>
      <c r="E2106" t="str">
        <f t="shared" si="115"/>
        <v/>
      </c>
      <c r="G2106" s="5" t="str">
        <f t="shared" si="116"/>
        <v/>
      </c>
      <c r="I2106" s="6" t="str">
        <f t="shared" si="114"/>
        <v>0</v>
      </c>
      <c r="O2106" t="s">
        <v>321</v>
      </c>
    </row>
    <row r="2107" spans="1:15" x14ac:dyDescent="0.2">
      <c r="A2107" t="s">
        <v>2382</v>
      </c>
      <c r="B2107" t="s">
        <v>321</v>
      </c>
      <c r="E2107" t="str">
        <f t="shared" si="115"/>
        <v/>
      </c>
      <c r="G2107" s="5" t="str">
        <f t="shared" si="116"/>
        <v/>
      </c>
      <c r="I2107" s="6" t="str">
        <f t="shared" si="114"/>
        <v>0</v>
      </c>
      <c r="O2107" t="s">
        <v>321</v>
      </c>
    </row>
    <row r="2108" spans="1:15" x14ac:dyDescent="0.2">
      <c r="A2108" t="s">
        <v>2383</v>
      </c>
      <c r="B2108" t="s">
        <v>2384</v>
      </c>
      <c r="E2108" t="str">
        <f t="shared" si="115"/>
        <v/>
      </c>
      <c r="G2108" s="5" t="str">
        <f t="shared" si="116"/>
        <v/>
      </c>
      <c r="I2108" s="6" t="str">
        <f t="shared" si="114"/>
        <v>0</v>
      </c>
      <c r="O2108" t="s">
        <v>2384</v>
      </c>
    </row>
    <row r="2109" spans="1:15" x14ac:dyDescent="0.2">
      <c r="A2109" t="s">
        <v>2387</v>
      </c>
      <c r="B2109" t="s">
        <v>2388</v>
      </c>
      <c r="E2109" t="str">
        <f t="shared" si="115"/>
        <v/>
      </c>
      <c r="G2109" s="5" t="str">
        <f t="shared" si="116"/>
        <v/>
      </c>
      <c r="I2109" s="6" t="str">
        <f t="shared" si="114"/>
        <v>0</v>
      </c>
      <c r="O2109" t="s">
        <v>2388</v>
      </c>
    </row>
    <row r="2110" spans="1:15" x14ac:dyDescent="0.2">
      <c r="A2110" t="s">
        <v>2389</v>
      </c>
      <c r="B2110" t="s">
        <v>321</v>
      </c>
      <c r="E2110" t="str">
        <f t="shared" si="115"/>
        <v/>
      </c>
      <c r="G2110" s="5" t="str">
        <f t="shared" si="116"/>
        <v/>
      </c>
      <c r="I2110" s="6" t="str">
        <f t="shared" si="114"/>
        <v>0</v>
      </c>
      <c r="O2110" t="s">
        <v>321</v>
      </c>
    </row>
    <row r="2111" spans="1:15" x14ac:dyDescent="0.2">
      <c r="A2111" t="s">
        <v>2390</v>
      </c>
      <c r="B2111" t="s">
        <v>321</v>
      </c>
      <c r="E2111" t="str">
        <f t="shared" si="115"/>
        <v/>
      </c>
      <c r="G2111" s="5" t="str">
        <f t="shared" si="116"/>
        <v/>
      </c>
      <c r="I2111" s="6" t="str">
        <f t="shared" si="114"/>
        <v>0</v>
      </c>
      <c r="O2111" t="s">
        <v>321</v>
      </c>
    </row>
    <row r="2112" spans="1:15" x14ac:dyDescent="0.2">
      <c r="A2112" t="s">
        <v>2391</v>
      </c>
      <c r="B2112" t="s">
        <v>321</v>
      </c>
      <c r="E2112" t="str">
        <f t="shared" si="115"/>
        <v/>
      </c>
      <c r="G2112" s="5" t="str">
        <f t="shared" si="116"/>
        <v/>
      </c>
      <c r="I2112" s="6" t="str">
        <f t="shared" si="114"/>
        <v>0</v>
      </c>
      <c r="O2112" t="s">
        <v>321</v>
      </c>
    </row>
    <row r="2113" spans="1:15" x14ac:dyDescent="0.2">
      <c r="A2113" t="s">
        <v>2392</v>
      </c>
      <c r="B2113" t="s">
        <v>321</v>
      </c>
      <c r="E2113" t="str">
        <f t="shared" si="115"/>
        <v/>
      </c>
      <c r="G2113" s="5" t="str">
        <f t="shared" si="116"/>
        <v/>
      </c>
      <c r="I2113" s="6" t="str">
        <f t="shared" si="114"/>
        <v>0</v>
      </c>
      <c r="O2113" t="s">
        <v>321</v>
      </c>
    </row>
    <row r="2114" spans="1:15" x14ac:dyDescent="0.2">
      <c r="A2114" t="s">
        <v>2393</v>
      </c>
      <c r="B2114" t="s">
        <v>321</v>
      </c>
      <c r="E2114" t="str">
        <f t="shared" si="115"/>
        <v/>
      </c>
      <c r="G2114" s="5" t="str">
        <f t="shared" si="116"/>
        <v/>
      </c>
      <c r="I2114" s="6" t="str">
        <f t="shared" si="114"/>
        <v>0</v>
      </c>
      <c r="O2114" t="s">
        <v>321</v>
      </c>
    </row>
    <row r="2115" spans="1:15" x14ac:dyDescent="0.2">
      <c r="A2115" t="s">
        <v>2394</v>
      </c>
      <c r="B2115" t="s">
        <v>321</v>
      </c>
      <c r="E2115" t="str">
        <f t="shared" si="115"/>
        <v/>
      </c>
      <c r="G2115" s="5" t="str">
        <f t="shared" si="116"/>
        <v/>
      </c>
      <c r="I2115" s="6" t="str">
        <f t="shared" ref="I2115:I2178" si="117">IFERROR(DEC2HEX(H2115),"")</f>
        <v>0</v>
      </c>
      <c r="O2115" t="s">
        <v>321</v>
      </c>
    </row>
    <row r="2116" spans="1:15" x14ac:dyDescent="0.2">
      <c r="A2116" t="s">
        <v>2395</v>
      </c>
      <c r="B2116" t="s">
        <v>321</v>
      </c>
      <c r="E2116" t="str">
        <f t="shared" ref="E2116:E2179" si="118">IF(D2116&lt;&gt;"",C2116&amp;"/"&amp;D2116,"")</f>
        <v/>
      </c>
      <c r="G2116" s="5" t="str">
        <f t="shared" si="116"/>
        <v/>
      </c>
      <c r="I2116" s="6" t="str">
        <f t="shared" si="117"/>
        <v>0</v>
      </c>
      <c r="O2116" t="s">
        <v>321</v>
      </c>
    </row>
    <row r="2117" spans="1:15" x14ac:dyDescent="0.2">
      <c r="A2117" t="s">
        <v>2396</v>
      </c>
      <c r="B2117" t="s">
        <v>321</v>
      </c>
      <c r="E2117" t="str">
        <f t="shared" si="118"/>
        <v/>
      </c>
      <c r="G2117" s="5" t="str">
        <f t="shared" si="116"/>
        <v/>
      </c>
      <c r="I2117" s="6" t="str">
        <f t="shared" si="117"/>
        <v>0</v>
      </c>
      <c r="O2117" t="s">
        <v>321</v>
      </c>
    </row>
    <row r="2118" spans="1:15" x14ac:dyDescent="0.2">
      <c r="A2118" t="s">
        <v>2397</v>
      </c>
      <c r="B2118" t="s">
        <v>321</v>
      </c>
      <c r="E2118" t="str">
        <f t="shared" si="118"/>
        <v/>
      </c>
      <c r="G2118" s="5" t="str">
        <f t="shared" si="116"/>
        <v/>
      </c>
      <c r="I2118" s="6" t="str">
        <f t="shared" si="117"/>
        <v>0</v>
      </c>
      <c r="O2118" t="s">
        <v>321</v>
      </c>
    </row>
    <row r="2119" spans="1:15" x14ac:dyDescent="0.2">
      <c r="A2119" t="s">
        <v>3347</v>
      </c>
      <c r="B2119" t="s">
        <v>3348</v>
      </c>
      <c r="E2119" t="str">
        <f t="shared" si="118"/>
        <v/>
      </c>
      <c r="G2119" s="5" t="str">
        <f t="shared" si="116"/>
        <v/>
      </c>
      <c r="H2119" s="5">
        <v>24</v>
      </c>
      <c r="I2119" s="6" t="str">
        <f t="shared" si="117"/>
        <v>18</v>
      </c>
      <c r="O2119" t="s">
        <v>3348</v>
      </c>
    </row>
    <row r="2120" spans="1:15" x14ac:dyDescent="0.2">
      <c r="A2120" t="s">
        <v>2401</v>
      </c>
      <c r="B2120" t="s">
        <v>3618</v>
      </c>
      <c r="E2120" t="str">
        <f t="shared" si="118"/>
        <v/>
      </c>
      <c r="G2120" s="5" t="str">
        <f t="shared" si="116"/>
        <v/>
      </c>
      <c r="I2120" s="6" t="str">
        <f t="shared" si="117"/>
        <v>0</v>
      </c>
      <c r="O2120" t="s">
        <v>321</v>
      </c>
    </row>
    <row r="2121" spans="1:15" x14ac:dyDescent="0.2">
      <c r="A2121" t="s">
        <v>2402</v>
      </c>
      <c r="B2121" t="s">
        <v>321</v>
      </c>
      <c r="E2121" t="str">
        <f t="shared" si="118"/>
        <v/>
      </c>
      <c r="G2121" s="5" t="str">
        <f t="shared" ref="G2121:G2184" si="119">IF(F2121&lt;&gt;"",HEX2DEC(SUBSTITUTE(SUBSTITUTE(F2121,"adrEA",""),"$","")),"")</f>
        <v/>
      </c>
      <c r="I2121" s="6" t="str">
        <f t="shared" si="117"/>
        <v>0</v>
      </c>
      <c r="O2121" t="s">
        <v>321</v>
      </c>
    </row>
    <row r="2122" spans="1:15" x14ac:dyDescent="0.2">
      <c r="A2122" t="s">
        <v>2403</v>
      </c>
      <c r="B2122" t="s">
        <v>321</v>
      </c>
      <c r="E2122" t="str">
        <f t="shared" si="118"/>
        <v/>
      </c>
      <c r="G2122" s="5" t="str">
        <f t="shared" si="119"/>
        <v/>
      </c>
      <c r="I2122" s="6" t="str">
        <f t="shared" si="117"/>
        <v>0</v>
      </c>
      <c r="O2122" t="s">
        <v>321</v>
      </c>
    </row>
    <row r="2123" spans="1:15" x14ac:dyDescent="0.2">
      <c r="A2123" t="s">
        <v>2404</v>
      </c>
      <c r="B2123" t="s">
        <v>321</v>
      </c>
      <c r="E2123" t="str">
        <f t="shared" si="118"/>
        <v/>
      </c>
      <c r="G2123" s="5" t="str">
        <f t="shared" si="119"/>
        <v/>
      </c>
      <c r="I2123" s="6" t="str">
        <f t="shared" si="117"/>
        <v>0</v>
      </c>
      <c r="O2123" t="s">
        <v>321</v>
      </c>
    </row>
    <row r="2124" spans="1:15" x14ac:dyDescent="0.2">
      <c r="A2124" t="s">
        <v>2405</v>
      </c>
      <c r="B2124" t="s">
        <v>321</v>
      </c>
      <c r="E2124" t="str">
        <f t="shared" si="118"/>
        <v/>
      </c>
      <c r="G2124" s="5" t="str">
        <f t="shared" si="119"/>
        <v/>
      </c>
      <c r="I2124" s="6" t="str">
        <f t="shared" si="117"/>
        <v>0</v>
      </c>
      <c r="O2124" t="s">
        <v>321</v>
      </c>
    </row>
    <row r="2125" spans="1:15" x14ac:dyDescent="0.2">
      <c r="A2125" t="s">
        <v>2406</v>
      </c>
      <c r="B2125" t="s">
        <v>321</v>
      </c>
      <c r="E2125" t="str">
        <f t="shared" si="118"/>
        <v/>
      </c>
      <c r="G2125" s="5" t="str">
        <f t="shared" si="119"/>
        <v/>
      </c>
      <c r="I2125" s="6" t="str">
        <f t="shared" si="117"/>
        <v>0</v>
      </c>
      <c r="O2125" t="s">
        <v>321</v>
      </c>
    </row>
    <row r="2126" spans="1:15" x14ac:dyDescent="0.2">
      <c r="A2126" t="s">
        <v>2407</v>
      </c>
      <c r="B2126" t="s">
        <v>2408</v>
      </c>
      <c r="E2126" t="str">
        <f t="shared" si="118"/>
        <v/>
      </c>
      <c r="G2126" s="5" t="str">
        <f t="shared" si="119"/>
        <v/>
      </c>
      <c r="I2126" s="6" t="str">
        <f t="shared" si="117"/>
        <v>0</v>
      </c>
      <c r="O2126" t="s">
        <v>2408</v>
      </c>
    </row>
    <row r="2127" spans="1:15" x14ac:dyDescent="0.2">
      <c r="A2127" t="s">
        <v>2409</v>
      </c>
      <c r="B2127" t="s">
        <v>2410</v>
      </c>
      <c r="E2127" t="str">
        <f t="shared" si="118"/>
        <v/>
      </c>
      <c r="G2127" s="5" t="str">
        <f t="shared" si="119"/>
        <v/>
      </c>
      <c r="I2127" s="6" t="str">
        <f t="shared" si="117"/>
        <v>0</v>
      </c>
      <c r="O2127" t="s">
        <v>2410</v>
      </c>
    </row>
    <row r="2128" spans="1:15" x14ac:dyDescent="0.2">
      <c r="A2128" t="s">
        <v>2411</v>
      </c>
      <c r="B2128" t="s">
        <v>3167</v>
      </c>
      <c r="E2128" t="str">
        <f t="shared" si="118"/>
        <v/>
      </c>
      <c r="G2128" s="5" t="str">
        <f t="shared" si="119"/>
        <v/>
      </c>
      <c r="I2128" s="6" t="str">
        <f t="shared" si="117"/>
        <v>0</v>
      </c>
      <c r="O2128" t="s">
        <v>3167</v>
      </c>
    </row>
    <row r="2129" spans="1:15" x14ac:dyDescent="0.2">
      <c r="A2129" t="s">
        <v>2413</v>
      </c>
      <c r="B2129" t="s">
        <v>321</v>
      </c>
      <c r="E2129" t="str">
        <f t="shared" si="118"/>
        <v/>
      </c>
      <c r="G2129" s="5" t="str">
        <f t="shared" si="119"/>
        <v/>
      </c>
      <c r="I2129" s="6" t="str">
        <f t="shared" si="117"/>
        <v>0</v>
      </c>
      <c r="O2129" t="s">
        <v>321</v>
      </c>
    </row>
    <row r="2130" spans="1:15" x14ac:dyDescent="0.2">
      <c r="A2130" t="s">
        <v>2414</v>
      </c>
      <c r="B2130" t="s">
        <v>321</v>
      </c>
      <c r="E2130" t="str">
        <f t="shared" si="118"/>
        <v/>
      </c>
      <c r="G2130" s="5" t="str">
        <f t="shared" si="119"/>
        <v/>
      </c>
      <c r="I2130" s="6" t="str">
        <f t="shared" si="117"/>
        <v>0</v>
      </c>
      <c r="O2130" t="s">
        <v>321</v>
      </c>
    </row>
    <row r="2131" spans="1:15" x14ac:dyDescent="0.2">
      <c r="A2131" t="s">
        <v>2415</v>
      </c>
      <c r="B2131" t="s">
        <v>321</v>
      </c>
      <c r="E2131" t="str">
        <f t="shared" si="118"/>
        <v/>
      </c>
      <c r="G2131" s="5" t="str">
        <f t="shared" si="119"/>
        <v/>
      </c>
      <c r="I2131" s="6" t="str">
        <f t="shared" si="117"/>
        <v>0</v>
      </c>
      <c r="O2131" t="s">
        <v>321</v>
      </c>
    </row>
    <row r="2132" spans="1:15" x14ac:dyDescent="0.2">
      <c r="A2132" t="s">
        <v>2416</v>
      </c>
      <c r="B2132" t="s">
        <v>321</v>
      </c>
      <c r="E2132" t="str">
        <f t="shared" si="118"/>
        <v/>
      </c>
      <c r="G2132" s="5" t="str">
        <f t="shared" si="119"/>
        <v/>
      </c>
      <c r="I2132" s="6" t="str">
        <f t="shared" si="117"/>
        <v>0</v>
      </c>
      <c r="O2132" t="s">
        <v>321</v>
      </c>
    </row>
    <row r="2133" spans="1:15" x14ac:dyDescent="0.2">
      <c r="A2133" t="s">
        <v>2417</v>
      </c>
      <c r="B2133" t="s">
        <v>321</v>
      </c>
      <c r="E2133" t="str">
        <f t="shared" si="118"/>
        <v/>
      </c>
      <c r="G2133" s="5" t="str">
        <f t="shared" si="119"/>
        <v/>
      </c>
      <c r="I2133" s="6" t="str">
        <f t="shared" si="117"/>
        <v>0</v>
      </c>
      <c r="O2133" t="s">
        <v>321</v>
      </c>
    </row>
    <row r="2134" spans="1:15" x14ac:dyDescent="0.2">
      <c r="A2134" t="s">
        <v>2418</v>
      </c>
      <c r="B2134" t="s">
        <v>321</v>
      </c>
      <c r="E2134" t="str">
        <f t="shared" si="118"/>
        <v/>
      </c>
      <c r="G2134" s="5" t="str">
        <f t="shared" si="119"/>
        <v/>
      </c>
      <c r="I2134" s="6" t="str">
        <f t="shared" si="117"/>
        <v>0</v>
      </c>
      <c r="O2134" t="s">
        <v>321</v>
      </c>
    </row>
    <row r="2135" spans="1:15" ht="17" x14ac:dyDescent="0.25">
      <c r="A2135" t="s">
        <v>2419</v>
      </c>
      <c r="B2135" s="26" t="s">
        <v>3827</v>
      </c>
      <c r="C2135" t="s">
        <v>48</v>
      </c>
      <c r="D2135" s="26" t="s">
        <v>3828</v>
      </c>
      <c r="E2135" t="str">
        <f t="shared" si="118"/>
        <v>data/characters-body-definitions.layout</v>
      </c>
      <c r="F2135" t="s">
        <v>3829</v>
      </c>
      <c r="G2135" s="5">
        <f t="shared" si="119"/>
        <v>42250</v>
      </c>
      <c r="H2135" s="5">
        <v>140</v>
      </c>
      <c r="I2135" s="6" t="str">
        <f t="shared" si="117"/>
        <v>8C</v>
      </c>
      <c r="K2135" s="6" t="s">
        <v>3858</v>
      </c>
      <c r="O2135" t="s">
        <v>321</v>
      </c>
    </row>
    <row r="2136" spans="1:15" ht="17" x14ac:dyDescent="0.25">
      <c r="A2136" s="26" t="s">
        <v>2421</v>
      </c>
      <c r="B2136" s="26" t="s">
        <v>3833</v>
      </c>
      <c r="C2136" t="s">
        <v>48</v>
      </c>
      <c r="D2136" s="26" t="s">
        <v>3834</v>
      </c>
      <c r="E2136" t="str">
        <f t="shared" si="118"/>
        <v>data/characters-render-table-offsets.lookup</v>
      </c>
      <c r="F2136" t="s">
        <v>3835</v>
      </c>
      <c r="G2136" s="5">
        <f t="shared" si="119"/>
        <v>42476</v>
      </c>
      <c r="H2136" s="5">
        <v>20</v>
      </c>
      <c r="I2136" s="6" t="str">
        <f t="shared" si="117"/>
        <v>14</v>
      </c>
      <c r="J2136"/>
      <c r="K2136" t="s">
        <v>3862</v>
      </c>
      <c r="O2136" t="s">
        <v>321</v>
      </c>
    </row>
    <row r="2137" spans="1:15" ht="17" x14ac:dyDescent="0.25">
      <c r="A2137" s="26" t="s">
        <v>2422</v>
      </c>
      <c r="B2137" s="26" t="s">
        <v>3863</v>
      </c>
      <c r="C2137"/>
      <c r="E2137" t="str">
        <f t="shared" si="118"/>
        <v/>
      </c>
      <c r="G2137" s="5" t="str">
        <f t="shared" si="119"/>
        <v/>
      </c>
      <c r="I2137" s="6" t="str">
        <f t="shared" si="117"/>
        <v>0</v>
      </c>
      <c r="J2137"/>
      <c r="K2137"/>
      <c r="O2137" t="s">
        <v>321</v>
      </c>
    </row>
    <row r="2138" spans="1:15" ht="17" x14ac:dyDescent="0.25">
      <c r="A2138" t="s">
        <v>2423</v>
      </c>
      <c r="B2138" s="26" t="s">
        <v>3830</v>
      </c>
      <c r="C2138" t="s">
        <v>48</v>
      </c>
      <c r="D2138" s="26" t="s">
        <v>3831</v>
      </c>
      <c r="E2138" t="str">
        <f t="shared" si="118"/>
        <v>data/characters-part-variants.lookup</v>
      </c>
      <c r="F2138" t="s">
        <v>3832</v>
      </c>
      <c r="G2138" s="5">
        <f t="shared" si="119"/>
        <v>42496</v>
      </c>
      <c r="H2138" s="5">
        <v>20</v>
      </c>
      <c r="I2138" s="6" t="str">
        <f t="shared" si="117"/>
        <v>14</v>
      </c>
      <c r="K2138" s="6" t="s">
        <v>3861</v>
      </c>
      <c r="O2138" t="s">
        <v>321</v>
      </c>
    </row>
    <row r="2139" spans="1:15" ht="17" x14ac:dyDescent="0.25">
      <c r="A2139" t="s">
        <v>2424</v>
      </c>
      <c r="B2139" s="26" t="s">
        <v>3857</v>
      </c>
      <c r="E2139" t="str">
        <f t="shared" si="118"/>
        <v/>
      </c>
      <c r="G2139" s="5" t="str">
        <f t="shared" si="119"/>
        <v/>
      </c>
      <c r="I2139" s="6" t="str">
        <f t="shared" si="117"/>
        <v>0</v>
      </c>
      <c r="K2139" s="6" t="s">
        <v>3864</v>
      </c>
      <c r="O2139" t="s">
        <v>321</v>
      </c>
    </row>
    <row r="2140" spans="1:15" x14ac:dyDescent="0.2">
      <c r="A2140" t="s">
        <v>2425</v>
      </c>
      <c r="B2140" t="s">
        <v>321</v>
      </c>
      <c r="E2140" t="str">
        <f t="shared" si="118"/>
        <v/>
      </c>
      <c r="G2140" s="5" t="str">
        <f t="shared" si="119"/>
        <v/>
      </c>
      <c r="I2140" s="6" t="str">
        <f t="shared" si="117"/>
        <v>0</v>
      </c>
      <c r="O2140" t="s">
        <v>321</v>
      </c>
    </row>
    <row r="2141" spans="1:15" x14ac:dyDescent="0.2">
      <c r="A2141" t="s">
        <v>2426</v>
      </c>
      <c r="B2141" t="s">
        <v>321</v>
      </c>
      <c r="E2141" t="str">
        <f t="shared" si="118"/>
        <v/>
      </c>
      <c r="G2141" s="5" t="str">
        <f t="shared" si="119"/>
        <v/>
      </c>
      <c r="I2141" s="6" t="str">
        <f t="shared" si="117"/>
        <v>0</v>
      </c>
      <c r="O2141" t="s">
        <v>321</v>
      </c>
    </row>
    <row r="2142" spans="1:15" x14ac:dyDescent="0.2">
      <c r="A2142" t="s">
        <v>2427</v>
      </c>
      <c r="B2142" t="s">
        <v>321</v>
      </c>
      <c r="E2142" t="str">
        <f t="shared" si="118"/>
        <v/>
      </c>
      <c r="G2142" s="5" t="str">
        <f t="shared" si="119"/>
        <v/>
      </c>
      <c r="I2142" s="6" t="str">
        <f t="shared" si="117"/>
        <v>0</v>
      </c>
      <c r="O2142" t="s">
        <v>321</v>
      </c>
    </row>
    <row r="2143" spans="1:15" x14ac:dyDescent="0.2">
      <c r="A2143" t="s">
        <v>2428</v>
      </c>
      <c r="B2143" t="s">
        <v>321</v>
      </c>
      <c r="E2143" t="str">
        <f t="shared" si="118"/>
        <v/>
      </c>
      <c r="G2143" s="5" t="str">
        <f t="shared" si="119"/>
        <v/>
      </c>
      <c r="I2143" s="6" t="str">
        <f t="shared" si="117"/>
        <v>0</v>
      </c>
      <c r="O2143" t="s">
        <v>321</v>
      </c>
    </row>
    <row r="2144" spans="1:15" x14ac:dyDescent="0.2">
      <c r="A2144" t="s">
        <v>2429</v>
      </c>
      <c r="B2144" t="s">
        <v>321</v>
      </c>
      <c r="E2144" t="str">
        <f t="shared" si="118"/>
        <v/>
      </c>
      <c r="G2144" s="5" t="str">
        <f t="shared" si="119"/>
        <v/>
      </c>
      <c r="I2144" s="6" t="str">
        <f t="shared" si="117"/>
        <v>0</v>
      </c>
      <c r="O2144" t="s">
        <v>321</v>
      </c>
    </row>
    <row r="2145" spans="1:15" x14ac:dyDescent="0.2">
      <c r="A2145" t="s">
        <v>2430</v>
      </c>
      <c r="B2145" t="s">
        <v>321</v>
      </c>
      <c r="E2145" t="str">
        <f t="shared" si="118"/>
        <v/>
      </c>
      <c r="G2145" s="5" t="str">
        <f t="shared" si="119"/>
        <v/>
      </c>
      <c r="I2145" s="6" t="str">
        <f t="shared" si="117"/>
        <v>0</v>
      </c>
      <c r="O2145" t="s">
        <v>321</v>
      </c>
    </row>
    <row r="2146" spans="1:15" x14ac:dyDescent="0.2">
      <c r="A2146" t="s">
        <v>2431</v>
      </c>
      <c r="B2146" t="s">
        <v>321</v>
      </c>
      <c r="E2146" t="str">
        <f t="shared" si="118"/>
        <v/>
      </c>
      <c r="G2146" s="5" t="str">
        <f t="shared" si="119"/>
        <v/>
      </c>
      <c r="I2146" s="6" t="str">
        <f t="shared" si="117"/>
        <v>0</v>
      </c>
      <c r="O2146" t="s">
        <v>321</v>
      </c>
    </row>
    <row r="2147" spans="1:15" x14ac:dyDescent="0.2">
      <c r="A2147" t="s">
        <v>2432</v>
      </c>
      <c r="B2147" t="s">
        <v>321</v>
      </c>
      <c r="E2147" t="str">
        <f t="shared" si="118"/>
        <v/>
      </c>
      <c r="G2147" s="5" t="str">
        <f t="shared" si="119"/>
        <v/>
      </c>
      <c r="I2147" s="6" t="str">
        <f t="shared" si="117"/>
        <v>0</v>
      </c>
      <c r="O2147" t="s">
        <v>321</v>
      </c>
    </row>
    <row r="2148" spans="1:15" x14ac:dyDescent="0.2">
      <c r="A2148" t="s">
        <v>2433</v>
      </c>
      <c r="B2148" t="s">
        <v>321</v>
      </c>
      <c r="E2148" t="str">
        <f t="shared" si="118"/>
        <v/>
      </c>
      <c r="G2148" s="5" t="str">
        <f t="shared" si="119"/>
        <v/>
      </c>
      <c r="I2148" s="6" t="str">
        <f t="shared" si="117"/>
        <v>0</v>
      </c>
      <c r="O2148" t="s">
        <v>321</v>
      </c>
    </row>
    <row r="2149" spans="1:15" x14ac:dyDescent="0.2">
      <c r="A2149" t="s">
        <v>2434</v>
      </c>
      <c r="B2149" t="s">
        <v>321</v>
      </c>
      <c r="E2149" t="str">
        <f t="shared" si="118"/>
        <v/>
      </c>
      <c r="G2149" s="5" t="str">
        <f t="shared" si="119"/>
        <v/>
      </c>
      <c r="I2149" s="6" t="str">
        <f t="shared" si="117"/>
        <v>0</v>
      </c>
      <c r="O2149" t="s">
        <v>321</v>
      </c>
    </row>
    <row r="2150" spans="1:15" x14ac:dyDescent="0.2">
      <c r="A2150" t="s">
        <v>2435</v>
      </c>
      <c r="B2150" t="s">
        <v>321</v>
      </c>
      <c r="E2150" t="str">
        <f t="shared" si="118"/>
        <v/>
      </c>
      <c r="G2150" s="5" t="str">
        <f t="shared" si="119"/>
        <v/>
      </c>
      <c r="I2150" s="6" t="str">
        <f t="shared" si="117"/>
        <v>0</v>
      </c>
      <c r="O2150" t="s">
        <v>321</v>
      </c>
    </row>
    <row r="2151" spans="1:15" x14ac:dyDescent="0.2">
      <c r="A2151" t="s">
        <v>2436</v>
      </c>
      <c r="B2151" t="s">
        <v>321</v>
      </c>
      <c r="E2151" t="str">
        <f t="shared" si="118"/>
        <v/>
      </c>
      <c r="G2151" s="5" t="str">
        <f t="shared" si="119"/>
        <v/>
      </c>
      <c r="I2151" s="6" t="str">
        <f t="shared" si="117"/>
        <v>0</v>
      </c>
      <c r="O2151" t="s">
        <v>321</v>
      </c>
    </row>
    <row r="2152" spans="1:15" x14ac:dyDescent="0.2">
      <c r="A2152" t="s">
        <v>2437</v>
      </c>
      <c r="B2152" t="s">
        <v>321</v>
      </c>
      <c r="E2152" t="str">
        <f t="shared" si="118"/>
        <v/>
      </c>
      <c r="G2152" s="5" t="str">
        <f t="shared" si="119"/>
        <v/>
      </c>
      <c r="I2152" s="6" t="str">
        <f t="shared" si="117"/>
        <v>0</v>
      </c>
      <c r="O2152" t="s">
        <v>321</v>
      </c>
    </row>
    <row r="2153" spans="1:15" x14ac:dyDescent="0.2">
      <c r="A2153" t="s">
        <v>2438</v>
      </c>
      <c r="B2153" t="s">
        <v>321</v>
      </c>
      <c r="E2153" t="str">
        <f t="shared" si="118"/>
        <v/>
      </c>
      <c r="G2153" s="5" t="str">
        <f t="shared" si="119"/>
        <v/>
      </c>
      <c r="I2153" s="6" t="str">
        <f t="shared" si="117"/>
        <v>0</v>
      </c>
      <c r="O2153" t="s">
        <v>321</v>
      </c>
    </row>
    <row r="2154" spans="1:15" ht="17" x14ac:dyDescent="0.25">
      <c r="A2154" t="s">
        <v>2439</v>
      </c>
      <c r="B2154" s="26" t="s">
        <v>3836</v>
      </c>
      <c r="C2154" t="s">
        <v>48</v>
      </c>
      <c r="D2154" s="26" t="s">
        <v>3837</v>
      </c>
      <c r="E2154" t="str">
        <f t="shared" si="118"/>
        <v>data/characters-arm-animation.positions</v>
      </c>
      <c r="F2154" t="s">
        <v>3838</v>
      </c>
      <c r="G2154" s="5">
        <f t="shared" si="119"/>
        <v>42872</v>
      </c>
      <c r="H2154" s="5">
        <v>72</v>
      </c>
      <c r="I2154" s="6" t="str">
        <f t="shared" si="117"/>
        <v>48</v>
      </c>
      <c r="K2154" s="6" t="s">
        <v>3860</v>
      </c>
      <c r="O2154" t="s">
        <v>321</v>
      </c>
    </row>
    <row r="2155" spans="1:15" x14ac:dyDescent="0.2">
      <c r="A2155" t="s">
        <v>2440</v>
      </c>
      <c r="B2155" t="s">
        <v>321</v>
      </c>
      <c r="E2155" t="str">
        <f t="shared" si="118"/>
        <v/>
      </c>
      <c r="G2155" s="5" t="str">
        <f t="shared" si="119"/>
        <v/>
      </c>
      <c r="I2155" s="6" t="str">
        <f t="shared" si="117"/>
        <v>0</v>
      </c>
      <c r="O2155" t="s">
        <v>321</v>
      </c>
    </row>
    <row r="2156" spans="1:15" x14ac:dyDescent="0.2">
      <c r="A2156" t="s">
        <v>2441</v>
      </c>
      <c r="B2156" t="s">
        <v>321</v>
      </c>
      <c r="E2156" t="str">
        <f t="shared" si="118"/>
        <v/>
      </c>
      <c r="G2156" s="5" t="str">
        <f t="shared" si="119"/>
        <v/>
      </c>
      <c r="I2156" s="6" t="str">
        <f t="shared" si="117"/>
        <v>0</v>
      </c>
      <c r="O2156" t="s">
        <v>321</v>
      </c>
    </row>
    <row r="2157" spans="1:15" x14ac:dyDescent="0.2">
      <c r="A2157" t="s">
        <v>2442</v>
      </c>
      <c r="B2157" t="s">
        <v>321</v>
      </c>
      <c r="E2157" t="str">
        <f t="shared" si="118"/>
        <v/>
      </c>
      <c r="G2157" s="5" t="str">
        <f t="shared" si="119"/>
        <v/>
      </c>
      <c r="I2157" s="6" t="str">
        <f t="shared" si="117"/>
        <v>0</v>
      </c>
      <c r="O2157" t="s">
        <v>321</v>
      </c>
    </row>
    <row r="2158" spans="1:15" x14ac:dyDescent="0.2">
      <c r="A2158" t="s">
        <v>2443</v>
      </c>
      <c r="B2158" t="s">
        <v>321</v>
      </c>
      <c r="E2158" t="str">
        <f t="shared" si="118"/>
        <v/>
      </c>
      <c r="G2158" s="5" t="str">
        <f t="shared" si="119"/>
        <v/>
      </c>
      <c r="I2158" s="6" t="str">
        <f t="shared" si="117"/>
        <v>0</v>
      </c>
      <c r="O2158" t="s">
        <v>321</v>
      </c>
    </row>
    <row r="2159" spans="1:15" x14ac:dyDescent="0.2">
      <c r="A2159" t="s">
        <v>2444</v>
      </c>
      <c r="B2159" t="s">
        <v>321</v>
      </c>
      <c r="E2159" t="str">
        <f t="shared" si="118"/>
        <v/>
      </c>
      <c r="G2159" s="5" t="str">
        <f t="shared" si="119"/>
        <v/>
      </c>
      <c r="I2159" s="6" t="str">
        <f t="shared" si="117"/>
        <v>0</v>
      </c>
      <c r="O2159" t="s">
        <v>321</v>
      </c>
    </row>
    <row r="2160" spans="1:15" x14ac:dyDescent="0.2">
      <c r="A2160" t="s">
        <v>2445</v>
      </c>
      <c r="B2160" t="s">
        <v>321</v>
      </c>
      <c r="E2160" t="str">
        <f t="shared" si="118"/>
        <v/>
      </c>
      <c r="G2160" s="5" t="str">
        <f t="shared" si="119"/>
        <v/>
      </c>
      <c r="I2160" s="6" t="str">
        <f t="shared" si="117"/>
        <v>0</v>
      </c>
      <c r="O2160" t="s">
        <v>321</v>
      </c>
    </row>
    <row r="2161" spans="1:15" x14ac:dyDescent="0.2">
      <c r="A2161" t="s">
        <v>2446</v>
      </c>
      <c r="B2161" t="s">
        <v>321</v>
      </c>
      <c r="E2161" t="str">
        <f t="shared" si="118"/>
        <v/>
      </c>
      <c r="G2161" s="5" t="str">
        <f t="shared" si="119"/>
        <v/>
      </c>
      <c r="I2161" s="6" t="str">
        <f t="shared" si="117"/>
        <v>0</v>
      </c>
      <c r="O2161" t="s">
        <v>321</v>
      </c>
    </row>
    <row r="2162" spans="1:15" x14ac:dyDescent="0.2">
      <c r="A2162" t="s">
        <v>2447</v>
      </c>
      <c r="B2162" t="s">
        <v>321</v>
      </c>
      <c r="E2162" t="str">
        <f t="shared" si="118"/>
        <v/>
      </c>
      <c r="G2162" s="5" t="str">
        <f t="shared" si="119"/>
        <v/>
      </c>
      <c r="I2162" s="6" t="str">
        <f t="shared" si="117"/>
        <v>0</v>
      </c>
      <c r="O2162" t="s">
        <v>321</v>
      </c>
    </row>
    <row r="2163" spans="1:15" x14ac:dyDescent="0.2">
      <c r="A2163" t="s">
        <v>2448</v>
      </c>
      <c r="B2163" t="s">
        <v>321</v>
      </c>
      <c r="E2163" t="str">
        <f t="shared" si="118"/>
        <v/>
      </c>
      <c r="G2163" s="5" t="str">
        <f t="shared" si="119"/>
        <v/>
      </c>
      <c r="I2163" s="6" t="str">
        <f t="shared" si="117"/>
        <v>0</v>
      </c>
      <c r="O2163" t="s">
        <v>321</v>
      </c>
    </row>
    <row r="2164" spans="1:15" x14ac:dyDescent="0.2">
      <c r="A2164" t="s">
        <v>2449</v>
      </c>
      <c r="B2164" t="s">
        <v>321</v>
      </c>
      <c r="E2164" t="str">
        <f t="shared" si="118"/>
        <v/>
      </c>
      <c r="G2164" s="5" t="str">
        <f t="shared" si="119"/>
        <v/>
      </c>
      <c r="I2164" s="6" t="str">
        <f t="shared" si="117"/>
        <v>0</v>
      </c>
      <c r="O2164" t="s">
        <v>321</v>
      </c>
    </row>
    <row r="2165" spans="1:15" x14ac:dyDescent="0.2">
      <c r="A2165" t="s">
        <v>2450</v>
      </c>
      <c r="B2165" t="s">
        <v>321</v>
      </c>
      <c r="E2165" t="str">
        <f t="shared" si="118"/>
        <v/>
      </c>
      <c r="G2165" s="5" t="str">
        <f t="shared" si="119"/>
        <v/>
      </c>
      <c r="I2165" s="6" t="str">
        <f t="shared" si="117"/>
        <v>0</v>
      </c>
      <c r="O2165" t="s">
        <v>321</v>
      </c>
    </row>
    <row r="2166" spans="1:15" x14ac:dyDescent="0.2">
      <c r="A2166" t="s">
        <v>2451</v>
      </c>
      <c r="B2166" t="s">
        <v>321</v>
      </c>
      <c r="E2166" t="str">
        <f t="shared" si="118"/>
        <v/>
      </c>
      <c r="G2166" s="5" t="str">
        <f t="shared" si="119"/>
        <v/>
      </c>
      <c r="I2166" s="6" t="str">
        <f t="shared" si="117"/>
        <v>0</v>
      </c>
      <c r="O2166" t="s">
        <v>321</v>
      </c>
    </row>
    <row r="2167" spans="1:15" x14ac:dyDescent="0.2">
      <c r="A2167" t="s">
        <v>2452</v>
      </c>
      <c r="B2167" t="s">
        <v>321</v>
      </c>
      <c r="E2167" t="str">
        <f t="shared" si="118"/>
        <v/>
      </c>
      <c r="G2167" s="5" t="str">
        <f t="shared" si="119"/>
        <v/>
      </c>
      <c r="I2167" s="6" t="str">
        <f t="shared" si="117"/>
        <v>0</v>
      </c>
      <c r="O2167" t="s">
        <v>321</v>
      </c>
    </row>
    <row r="2168" spans="1:15" x14ac:dyDescent="0.2">
      <c r="A2168" t="s">
        <v>2453</v>
      </c>
      <c r="B2168" t="s">
        <v>321</v>
      </c>
      <c r="E2168" t="str">
        <f t="shared" si="118"/>
        <v/>
      </c>
      <c r="G2168" s="5" t="str">
        <f t="shared" si="119"/>
        <v/>
      </c>
      <c r="I2168" s="6" t="str">
        <f t="shared" si="117"/>
        <v>0</v>
      </c>
      <c r="O2168" t="s">
        <v>321</v>
      </c>
    </row>
    <row r="2169" spans="1:15" x14ac:dyDescent="0.2">
      <c r="A2169" t="s">
        <v>2454</v>
      </c>
      <c r="B2169" t="s">
        <v>321</v>
      </c>
      <c r="E2169" t="str">
        <f t="shared" si="118"/>
        <v/>
      </c>
      <c r="G2169" s="5" t="str">
        <f t="shared" si="119"/>
        <v/>
      </c>
      <c r="I2169" s="6" t="str">
        <f t="shared" si="117"/>
        <v>0</v>
      </c>
      <c r="O2169" t="s">
        <v>321</v>
      </c>
    </row>
    <row r="2170" spans="1:15" x14ac:dyDescent="0.2">
      <c r="A2170" t="s">
        <v>2455</v>
      </c>
      <c r="B2170" t="s">
        <v>321</v>
      </c>
      <c r="E2170" t="str">
        <f t="shared" si="118"/>
        <v/>
      </c>
      <c r="G2170" s="5" t="str">
        <f t="shared" si="119"/>
        <v/>
      </c>
      <c r="I2170" s="6" t="str">
        <f t="shared" si="117"/>
        <v>0</v>
      </c>
      <c r="O2170" t="s">
        <v>321</v>
      </c>
    </row>
    <row r="2171" spans="1:15" x14ac:dyDescent="0.2">
      <c r="A2171" t="s">
        <v>2456</v>
      </c>
      <c r="B2171" t="s">
        <v>321</v>
      </c>
      <c r="E2171" t="str">
        <f t="shared" si="118"/>
        <v/>
      </c>
      <c r="G2171" s="5" t="str">
        <f t="shared" si="119"/>
        <v/>
      </c>
      <c r="I2171" s="6" t="str">
        <f t="shared" si="117"/>
        <v>0</v>
      </c>
      <c r="O2171" t="s">
        <v>321</v>
      </c>
    </row>
    <row r="2172" spans="1:15" x14ac:dyDescent="0.2">
      <c r="A2172" t="s">
        <v>2457</v>
      </c>
      <c r="B2172" t="s">
        <v>321</v>
      </c>
      <c r="E2172" t="str">
        <f t="shared" si="118"/>
        <v/>
      </c>
      <c r="G2172" s="5" t="str">
        <f t="shared" si="119"/>
        <v/>
      </c>
      <c r="I2172" s="6" t="str">
        <f t="shared" si="117"/>
        <v>0</v>
      </c>
      <c r="O2172" t="s">
        <v>321</v>
      </c>
    </row>
    <row r="2173" spans="1:15" x14ac:dyDescent="0.2">
      <c r="A2173" t="s">
        <v>2458</v>
      </c>
      <c r="B2173" t="s">
        <v>321</v>
      </c>
      <c r="E2173" t="str">
        <f t="shared" si="118"/>
        <v/>
      </c>
      <c r="G2173" s="5" t="str">
        <f t="shared" si="119"/>
        <v/>
      </c>
      <c r="I2173" s="6" t="str">
        <f t="shared" si="117"/>
        <v>0</v>
      </c>
      <c r="O2173" t="s">
        <v>321</v>
      </c>
    </row>
    <row r="2174" spans="1:15" x14ac:dyDescent="0.2">
      <c r="A2174" t="s">
        <v>2459</v>
      </c>
      <c r="B2174" t="s">
        <v>321</v>
      </c>
      <c r="E2174" t="str">
        <f t="shared" si="118"/>
        <v/>
      </c>
      <c r="G2174" s="5" t="str">
        <f t="shared" si="119"/>
        <v/>
      </c>
      <c r="I2174" s="6" t="str">
        <f t="shared" si="117"/>
        <v>0</v>
      </c>
      <c r="O2174" t="s">
        <v>321</v>
      </c>
    </row>
    <row r="2175" spans="1:15" x14ac:dyDescent="0.2">
      <c r="A2175" t="s">
        <v>2460</v>
      </c>
      <c r="B2175" t="s">
        <v>321</v>
      </c>
      <c r="E2175" t="str">
        <f t="shared" si="118"/>
        <v/>
      </c>
      <c r="G2175" s="5" t="str">
        <f t="shared" si="119"/>
        <v/>
      </c>
      <c r="I2175" s="6" t="str">
        <f t="shared" si="117"/>
        <v>0</v>
      </c>
      <c r="O2175" t="s">
        <v>321</v>
      </c>
    </row>
    <row r="2176" spans="1:15" x14ac:dyDescent="0.2">
      <c r="A2176" t="s">
        <v>2461</v>
      </c>
      <c r="B2176" t="s">
        <v>321</v>
      </c>
      <c r="E2176" t="str">
        <f t="shared" si="118"/>
        <v/>
      </c>
      <c r="G2176" s="5" t="str">
        <f t="shared" si="119"/>
        <v/>
      </c>
      <c r="I2176" s="6" t="str">
        <f t="shared" si="117"/>
        <v>0</v>
      </c>
      <c r="O2176" t="s">
        <v>321</v>
      </c>
    </row>
    <row r="2177" spans="1:15" x14ac:dyDescent="0.2">
      <c r="A2177" t="s">
        <v>2462</v>
      </c>
      <c r="B2177" t="s">
        <v>321</v>
      </c>
      <c r="E2177" t="str">
        <f t="shared" si="118"/>
        <v/>
      </c>
      <c r="G2177" s="5" t="str">
        <f t="shared" si="119"/>
        <v/>
      </c>
      <c r="I2177" s="6" t="str">
        <f t="shared" si="117"/>
        <v>0</v>
      </c>
      <c r="O2177" t="s">
        <v>321</v>
      </c>
    </row>
    <row r="2178" spans="1:15" x14ac:dyDescent="0.2">
      <c r="A2178" t="s">
        <v>2463</v>
      </c>
      <c r="B2178" t="s">
        <v>3619</v>
      </c>
      <c r="E2178" t="str">
        <f t="shared" si="118"/>
        <v/>
      </c>
      <c r="G2178" s="5" t="str">
        <f t="shared" si="119"/>
        <v/>
      </c>
      <c r="I2178" s="6" t="str">
        <f t="shared" si="117"/>
        <v>0</v>
      </c>
      <c r="O2178" t="s">
        <v>321</v>
      </c>
    </row>
    <row r="2179" spans="1:15" x14ac:dyDescent="0.2">
      <c r="A2179" t="s">
        <v>2464</v>
      </c>
      <c r="B2179" t="s">
        <v>321</v>
      </c>
      <c r="E2179" t="str">
        <f t="shared" si="118"/>
        <v/>
      </c>
      <c r="G2179" s="5" t="str">
        <f t="shared" si="119"/>
        <v/>
      </c>
      <c r="I2179" s="6" t="str">
        <f t="shared" ref="I2179:I2242" si="120">IFERROR(DEC2HEX(H2179),"")</f>
        <v>0</v>
      </c>
      <c r="O2179" t="s">
        <v>321</v>
      </c>
    </row>
    <row r="2180" spans="1:15" x14ac:dyDescent="0.2">
      <c r="A2180" t="s">
        <v>2465</v>
      </c>
      <c r="B2180" t="s">
        <v>321</v>
      </c>
      <c r="E2180" t="str">
        <f t="shared" ref="E2180:E2243" si="121">IF(D2180&lt;&gt;"",C2180&amp;"/"&amp;D2180,"")</f>
        <v/>
      </c>
      <c r="G2180" s="5" t="str">
        <f t="shared" si="119"/>
        <v/>
      </c>
      <c r="I2180" s="6" t="str">
        <f t="shared" si="120"/>
        <v>0</v>
      </c>
      <c r="O2180" t="s">
        <v>321</v>
      </c>
    </row>
    <row r="2181" spans="1:15" x14ac:dyDescent="0.2">
      <c r="A2181" t="s">
        <v>2466</v>
      </c>
      <c r="B2181" t="s">
        <v>321</v>
      </c>
      <c r="E2181" t="str">
        <f t="shared" si="121"/>
        <v/>
      </c>
      <c r="G2181" s="5" t="str">
        <f t="shared" si="119"/>
        <v/>
      </c>
      <c r="I2181" s="6" t="str">
        <f t="shared" si="120"/>
        <v>0</v>
      </c>
      <c r="O2181" t="s">
        <v>321</v>
      </c>
    </row>
    <row r="2182" spans="1:15" x14ac:dyDescent="0.2">
      <c r="A2182" t="s">
        <v>2467</v>
      </c>
      <c r="B2182" t="s">
        <v>321</v>
      </c>
      <c r="E2182" t="str">
        <f t="shared" si="121"/>
        <v/>
      </c>
      <c r="G2182" s="5" t="str">
        <f t="shared" si="119"/>
        <v/>
      </c>
      <c r="I2182" s="6" t="str">
        <f t="shared" si="120"/>
        <v>0</v>
      </c>
      <c r="O2182" t="s">
        <v>321</v>
      </c>
    </row>
    <row r="2183" spans="1:15" x14ac:dyDescent="0.2">
      <c r="A2183" t="s">
        <v>2468</v>
      </c>
      <c r="B2183" t="s">
        <v>321</v>
      </c>
      <c r="E2183" t="str">
        <f t="shared" si="121"/>
        <v/>
      </c>
      <c r="G2183" s="5" t="str">
        <f t="shared" si="119"/>
        <v/>
      </c>
      <c r="I2183" s="6" t="str">
        <f t="shared" si="120"/>
        <v>0</v>
      </c>
      <c r="O2183" t="s">
        <v>321</v>
      </c>
    </row>
    <row r="2184" spans="1:15" x14ac:dyDescent="0.2">
      <c r="A2184" t="s">
        <v>2469</v>
      </c>
      <c r="B2184" t="s">
        <v>321</v>
      </c>
      <c r="E2184" t="str">
        <f t="shared" si="121"/>
        <v/>
      </c>
      <c r="G2184" s="5" t="str">
        <f t="shared" si="119"/>
        <v/>
      </c>
      <c r="I2184" s="6" t="str">
        <f t="shared" si="120"/>
        <v>0</v>
      </c>
      <c r="O2184" t="s">
        <v>321</v>
      </c>
    </row>
    <row r="2185" spans="1:15" x14ac:dyDescent="0.2">
      <c r="A2185" t="s">
        <v>2470</v>
      </c>
      <c r="B2185" t="s">
        <v>321</v>
      </c>
      <c r="E2185" t="str">
        <f t="shared" si="121"/>
        <v/>
      </c>
      <c r="G2185" s="5" t="str">
        <f t="shared" ref="G2185:G2248" si="122">IF(F2185&lt;&gt;"",HEX2DEC(SUBSTITUTE(SUBSTITUTE(F2185,"adrEA",""),"$","")),"")</f>
        <v/>
      </c>
      <c r="I2185" s="6" t="str">
        <f t="shared" si="120"/>
        <v>0</v>
      </c>
      <c r="O2185" t="s">
        <v>321</v>
      </c>
    </row>
    <row r="2186" spans="1:15" x14ac:dyDescent="0.2">
      <c r="A2186" t="s">
        <v>2471</v>
      </c>
      <c r="B2186" t="s">
        <v>321</v>
      </c>
      <c r="E2186" t="str">
        <f t="shared" si="121"/>
        <v/>
      </c>
      <c r="G2186" s="5" t="str">
        <f t="shared" si="122"/>
        <v/>
      </c>
      <c r="I2186" s="6" t="str">
        <f t="shared" si="120"/>
        <v>0</v>
      </c>
      <c r="O2186" t="s">
        <v>321</v>
      </c>
    </row>
    <row r="2187" spans="1:15" x14ac:dyDescent="0.2">
      <c r="A2187" t="s">
        <v>2472</v>
      </c>
      <c r="B2187" t="s">
        <v>321</v>
      </c>
      <c r="E2187" t="str">
        <f t="shared" si="121"/>
        <v/>
      </c>
      <c r="G2187" s="5" t="str">
        <f t="shared" si="122"/>
        <v/>
      </c>
      <c r="I2187" s="6" t="str">
        <f t="shared" si="120"/>
        <v>0</v>
      </c>
      <c r="O2187" t="s">
        <v>321</v>
      </c>
    </row>
    <row r="2188" spans="1:15" x14ac:dyDescent="0.2">
      <c r="A2188" t="s">
        <v>2473</v>
      </c>
      <c r="B2188" t="s">
        <v>321</v>
      </c>
      <c r="E2188" t="str">
        <f t="shared" si="121"/>
        <v/>
      </c>
      <c r="G2188" s="5" t="str">
        <f t="shared" si="122"/>
        <v/>
      </c>
      <c r="I2188" s="6" t="str">
        <f t="shared" si="120"/>
        <v>0</v>
      </c>
      <c r="O2188" t="s">
        <v>321</v>
      </c>
    </row>
    <row r="2189" spans="1:15" x14ac:dyDescent="0.2">
      <c r="A2189" t="s">
        <v>2474</v>
      </c>
      <c r="B2189" t="s">
        <v>321</v>
      </c>
      <c r="E2189" t="str">
        <f t="shared" si="121"/>
        <v/>
      </c>
      <c r="G2189" s="5" t="str">
        <f t="shared" si="122"/>
        <v/>
      </c>
      <c r="I2189" s="6" t="str">
        <f t="shared" si="120"/>
        <v>0</v>
      </c>
      <c r="O2189" t="s">
        <v>321</v>
      </c>
    </row>
    <row r="2190" spans="1:15" x14ac:dyDescent="0.2">
      <c r="A2190" t="s">
        <v>2475</v>
      </c>
      <c r="B2190" t="s">
        <v>321</v>
      </c>
      <c r="E2190" t="str">
        <f t="shared" si="121"/>
        <v/>
      </c>
      <c r="G2190" s="5" t="str">
        <f t="shared" si="122"/>
        <v/>
      </c>
      <c r="I2190" s="6" t="str">
        <f t="shared" si="120"/>
        <v>0</v>
      </c>
      <c r="O2190" t="s">
        <v>321</v>
      </c>
    </row>
    <row r="2191" spans="1:15" x14ac:dyDescent="0.2">
      <c r="A2191" t="s">
        <v>2476</v>
      </c>
      <c r="B2191" t="s">
        <v>321</v>
      </c>
      <c r="E2191" t="str">
        <f t="shared" si="121"/>
        <v/>
      </c>
      <c r="G2191" s="5" t="str">
        <f t="shared" si="122"/>
        <v/>
      </c>
      <c r="I2191" s="6" t="str">
        <f t="shared" si="120"/>
        <v>0</v>
      </c>
      <c r="O2191" t="s">
        <v>321</v>
      </c>
    </row>
    <row r="2192" spans="1:15" x14ac:dyDescent="0.2">
      <c r="A2192" t="s">
        <v>2477</v>
      </c>
      <c r="B2192" t="s">
        <v>321</v>
      </c>
      <c r="E2192" t="str">
        <f t="shared" si="121"/>
        <v/>
      </c>
      <c r="G2192" s="5" t="str">
        <f t="shared" si="122"/>
        <v/>
      </c>
      <c r="I2192" s="6" t="str">
        <f t="shared" si="120"/>
        <v>0</v>
      </c>
      <c r="O2192" t="s">
        <v>321</v>
      </c>
    </row>
    <row r="2193" spans="1:15" x14ac:dyDescent="0.2">
      <c r="A2193" t="s">
        <v>2478</v>
      </c>
      <c r="B2193" t="s">
        <v>321</v>
      </c>
      <c r="E2193" t="str">
        <f t="shared" si="121"/>
        <v/>
      </c>
      <c r="G2193" s="5" t="str">
        <f t="shared" si="122"/>
        <v/>
      </c>
      <c r="I2193" s="6" t="str">
        <f t="shared" si="120"/>
        <v>0</v>
      </c>
      <c r="O2193" t="s">
        <v>321</v>
      </c>
    </row>
    <row r="2194" spans="1:15" x14ac:dyDescent="0.2">
      <c r="A2194" t="s">
        <v>2479</v>
      </c>
      <c r="B2194" t="s">
        <v>321</v>
      </c>
      <c r="E2194" t="str">
        <f t="shared" si="121"/>
        <v/>
      </c>
      <c r="G2194" s="5" t="str">
        <f t="shared" si="122"/>
        <v/>
      </c>
      <c r="I2194" s="6" t="str">
        <f t="shared" si="120"/>
        <v>0</v>
      </c>
      <c r="O2194" t="s">
        <v>321</v>
      </c>
    </row>
    <row r="2195" spans="1:15" x14ac:dyDescent="0.2">
      <c r="A2195" t="s">
        <v>2480</v>
      </c>
      <c r="B2195" t="s">
        <v>321</v>
      </c>
      <c r="E2195" t="str">
        <f t="shared" si="121"/>
        <v/>
      </c>
      <c r="G2195" s="5" t="str">
        <f t="shared" si="122"/>
        <v/>
      </c>
      <c r="I2195" s="6" t="str">
        <f t="shared" si="120"/>
        <v>0</v>
      </c>
      <c r="O2195" t="s">
        <v>321</v>
      </c>
    </row>
    <row r="2196" spans="1:15" x14ac:dyDescent="0.2">
      <c r="A2196" t="s">
        <v>2481</v>
      </c>
      <c r="B2196" t="s">
        <v>321</v>
      </c>
      <c r="E2196" t="str">
        <f t="shared" si="121"/>
        <v/>
      </c>
      <c r="G2196" s="5" t="str">
        <f t="shared" si="122"/>
        <v/>
      </c>
      <c r="I2196" s="6" t="str">
        <f t="shared" si="120"/>
        <v>0</v>
      </c>
      <c r="O2196" t="s">
        <v>321</v>
      </c>
    </row>
    <row r="2197" spans="1:15" x14ac:dyDescent="0.2">
      <c r="A2197" t="s">
        <v>2482</v>
      </c>
      <c r="B2197" t="s">
        <v>321</v>
      </c>
      <c r="E2197" t="str">
        <f t="shared" si="121"/>
        <v/>
      </c>
      <c r="G2197" s="5" t="str">
        <f t="shared" si="122"/>
        <v/>
      </c>
      <c r="I2197" s="6" t="str">
        <f t="shared" si="120"/>
        <v>0</v>
      </c>
      <c r="O2197" t="s">
        <v>321</v>
      </c>
    </row>
    <row r="2198" spans="1:15" x14ac:dyDescent="0.2">
      <c r="A2198" t="s">
        <v>2483</v>
      </c>
      <c r="B2198" t="s">
        <v>321</v>
      </c>
      <c r="E2198" t="str">
        <f t="shared" si="121"/>
        <v/>
      </c>
      <c r="G2198" s="5" t="str">
        <f t="shared" si="122"/>
        <v/>
      </c>
      <c r="I2198" s="6" t="str">
        <f t="shared" si="120"/>
        <v>0</v>
      </c>
      <c r="O2198" t="s">
        <v>321</v>
      </c>
    </row>
    <row r="2199" spans="1:15" x14ac:dyDescent="0.2">
      <c r="A2199" t="s">
        <v>2484</v>
      </c>
      <c r="B2199" t="s">
        <v>321</v>
      </c>
      <c r="E2199" t="str">
        <f t="shared" si="121"/>
        <v/>
      </c>
      <c r="G2199" s="5" t="str">
        <f t="shared" si="122"/>
        <v/>
      </c>
      <c r="I2199" s="6" t="str">
        <f t="shared" si="120"/>
        <v>0</v>
      </c>
      <c r="O2199" t="s">
        <v>321</v>
      </c>
    </row>
    <row r="2200" spans="1:15" x14ac:dyDescent="0.2">
      <c r="A2200" t="s">
        <v>2485</v>
      </c>
      <c r="B2200" t="s">
        <v>321</v>
      </c>
      <c r="E2200" t="str">
        <f t="shared" si="121"/>
        <v/>
      </c>
      <c r="G2200" s="5" t="str">
        <f t="shared" si="122"/>
        <v/>
      </c>
      <c r="I2200" s="6" t="str">
        <f t="shared" si="120"/>
        <v>0</v>
      </c>
      <c r="O2200" t="s">
        <v>321</v>
      </c>
    </row>
    <row r="2201" spans="1:15" x14ac:dyDescent="0.2">
      <c r="A2201" t="s">
        <v>2486</v>
      </c>
      <c r="B2201" t="s">
        <v>321</v>
      </c>
      <c r="E2201" t="str">
        <f t="shared" si="121"/>
        <v/>
      </c>
      <c r="G2201" s="5" t="str">
        <f t="shared" si="122"/>
        <v/>
      </c>
      <c r="I2201" s="6" t="str">
        <f t="shared" si="120"/>
        <v>0</v>
      </c>
      <c r="O2201" t="s">
        <v>321</v>
      </c>
    </row>
    <row r="2202" spans="1:15" x14ac:dyDescent="0.2">
      <c r="A2202" t="s">
        <v>2487</v>
      </c>
      <c r="B2202" t="s">
        <v>321</v>
      </c>
      <c r="E2202" t="str">
        <f t="shared" si="121"/>
        <v/>
      </c>
      <c r="G2202" s="5" t="str">
        <f t="shared" si="122"/>
        <v/>
      </c>
      <c r="I2202" s="6" t="str">
        <f t="shared" si="120"/>
        <v>0</v>
      </c>
      <c r="O2202" t="s">
        <v>321</v>
      </c>
    </row>
    <row r="2203" spans="1:15" x14ac:dyDescent="0.2">
      <c r="A2203" t="s">
        <v>2488</v>
      </c>
      <c r="B2203" t="s">
        <v>321</v>
      </c>
      <c r="E2203" t="str">
        <f t="shared" si="121"/>
        <v/>
      </c>
      <c r="G2203" s="5" t="str">
        <f t="shared" si="122"/>
        <v/>
      </c>
      <c r="I2203" s="6" t="str">
        <f t="shared" si="120"/>
        <v>0</v>
      </c>
      <c r="O2203" t="s">
        <v>321</v>
      </c>
    </row>
    <row r="2204" spans="1:15" x14ac:dyDescent="0.2">
      <c r="A2204" t="s">
        <v>2489</v>
      </c>
      <c r="B2204" t="s">
        <v>321</v>
      </c>
      <c r="E2204" t="str">
        <f t="shared" si="121"/>
        <v/>
      </c>
      <c r="G2204" s="5" t="str">
        <f t="shared" si="122"/>
        <v/>
      </c>
      <c r="I2204" s="6" t="str">
        <f t="shared" si="120"/>
        <v>0</v>
      </c>
      <c r="O2204" t="s">
        <v>321</v>
      </c>
    </row>
    <row r="2205" spans="1:15" x14ac:dyDescent="0.2">
      <c r="A2205" t="s">
        <v>2490</v>
      </c>
      <c r="B2205" t="s">
        <v>321</v>
      </c>
      <c r="E2205" t="str">
        <f t="shared" si="121"/>
        <v/>
      </c>
      <c r="G2205" s="5" t="str">
        <f t="shared" si="122"/>
        <v/>
      </c>
      <c r="I2205" s="6" t="str">
        <f t="shared" si="120"/>
        <v>0</v>
      </c>
      <c r="O2205" t="s">
        <v>321</v>
      </c>
    </row>
    <row r="2206" spans="1:15" x14ac:dyDescent="0.2">
      <c r="A2206" t="s">
        <v>2491</v>
      </c>
      <c r="B2206" t="s">
        <v>321</v>
      </c>
      <c r="E2206" t="str">
        <f t="shared" si="121"/>
        <v/>
      </c>
      <c r="G2206" s="5" t="str">
        <f t="shared" si="122"/>
        <v/>
      </c>
      <c r="I2206" s="6" t="str">
        <f t="shared" si="120"/>
        <v>0</v>
      </c>
      <c r="O2206" t="s">
        <v>321</v>
      </c>
    </row>
    <row r="2207" spans="1:15" x14ac:dyDescent="0.2">
      <c r="A2207" t="s">
        <v>2492</v>
      </c>
      <c r="B2207" t="s">
        <v>321</v>
      </c>
      <c r="E2207" t="str">
        <f t="shared" si="121"/>
        <v/>
      </c>
      <c r="G2207" s="5" t="str">
        <f t="shared" si="122"/>
        <v/>
      </c>
      <c r="I2207" s="6" t="str">
        <f t="shared" si="120"/>
        <v>0</v>
      </c>
      <c r="O2207" t="s">
        <v>321</v>
      </c>
    </row>
    <row r="2208" spans="1:15" x14ac:dyDescent="0.2">
      <c r="A2208" t="s">
        <v>2493</v>
      </c>
      <c r="B2208" t="s">
        <v>321</v>
      </c>
      <c r="E2208" t="str">
        <f t="shared" si="121"/>
        <v/>
      </c>
      <c r="G2208" s="5" t="str">
        <f t="shared" si="122"/>
        <v/>
      </c>
      <c r="I2208" s="6" t="str">
        <f t="shared" si="120"/>
        <v>0</v>
      </c>
      <c r="O2208" t="s">
        <v>321</v>
      </c>
    </row>
    <row r="2209" spans="1:15" x14ac:dyDescent="0.2">
      <c r="A2209" t="s">
        <v>2494</v>
      </c>
      <c r="B2209" t="s">
        <v>321</v>
      </c>
      <c r="E2209" t="str">
        <f t="shared" si="121"/>
        <v/>
      </c>
      <c r="G2209" s="5" t="str">
        <f t="shared" si="122"/>
        <v/>
      </c>
      <c r="I2209" s="6" t="str">
        <f t="shared" si="120"/>
        <v>0</v>
      </c>
      <c r="O2209" t="s">
        <v>321</v>
      </c>
    </row>
    <row r="2210" spans="1:15" x14ac:dyDescent="0.2">
      <c r="A2210" t="s">
        <v>2495</v>
      </c>
      <c r="B2210" t="s">
        <v>321</v>
      </c>
      <c r="E2210" t="str">
        <f t="shared" si="121"/>
        <v/>
      </c>
      <c r="G2210" s="5" t="str">
        <f t="shared" si="122"/>
        <v/>
      </c>
      <c r="I2210" s="6" t="str">
        <f t="shared" si="120"/>
        <v>0</v>
      </c>
      <c r="O2210" t="s">
        <v>321</v>
      </c>
    </row>
    <row r="2211" spans="1:15" x14ac:dyDescent="0.2">
      <c r="A2211" t="s">
        <v>2496</v>
      </c>
      <c r="B2211" t="s">
        <v>321</v>
      </c>
      <c r="E2211" t="str">
        <f t="shared" si="121"/>
        <v/>
      </c>
      <c r="G2211" s="5" t="str">
        <f t="shared" si="122"/>
        <v/>
      </c>
      <c r="I2211" s="6" t="str">
        <f t="shared" si="120"/>
        <v>0</v>
      </c>
      <c r="O2211" t="s">
        <v>321</v>
      </c>
    </row>
    <row r="2212" spans="1:15" x14ac:dyDescent="0.2">
      <c r="A2212" t="s">
        <v>2497</v>
      </c>
      <c r="B2212" t="s">
        <v>321</v>
      </c>
      <c r="E2212" t="str">
        <f t="shared" si="121"/>
        <v/>
      </c>
      <c r="G2212" s="5" t="str">
        <f t="shared" si="122"/>
        <v/>
      </c>
      <c r="I2212" s="6" t="str">
        <f t="shared" si="120"/>
        <v>0</v>
      </c>
      <c r="O2212" t="s">
        <v>321</v>
      </c>
    </row>
    <row r="2213" spans="1:15" x14ac:dyDescent="0.2">
      <c r="A2213" t="s">
        <v>2498</v>
      </c>
      <c r="B2213" t="s">
        <v>321</v>
      </c>
      <c r="E2213" t="str">
        <f t="shared" si="121"/>
        <v/>
      </c>
      <c r="G2213" s="5" t="str">
        <f t="shared" si="122"/>
        <v/>
      </c>
      <c r="I2213" s="6" t="str">
        <f t="shared" si="120"/>
        <v>0</v>
      </c>
      <c r="O2213" t="s">
        <v>321</v>
      </c>
    </row>
    <row r="2214" spans="1:15" x14ac:dyDescent="0.2">
      <c r="A2214" t="s">
        <v>2499</v>
      </c>
      <c r="B2214" t="s">
        <v>321</v>
      </c>
      <c r="E2214" t="str">
        <f t="shared" si="121"/>
        <v/>
      </c>
      <c r="G2214" s="5" t="str">
        <f t="shared" si="122"/>
        <v/>
      </c>
      <c r="I2214" s="6" t="str">
        <f t="shared" si="120"/>
        <v>0</v>
      </c>
      <c r="O2214" t="s">
        <v>321</v>
      </c>
    </row>
    <row r="2215" spans="1:15" x14ac:dyDescent="0.2">
      <c r="A2215" t="s">
        <v>2500</v>
      </c>
      <c r="B2215" t="s">
        <v>3358</v>
      </c>
      <c r="E2215" t="str">
        <f t="shared" si="121"/>
        <v/>
      </c>
      <c r="G2215" s="5" t="str">
        <f t="shared" si="122"/>
        <v/>
      </c>
      <c r="I2215" s="6" t="str">
        <f t="shared" si="120"/>
        <v>0</v>
      </c>
      <c r="O2215" t="s">
        <v>3358</v>
      </c>
    </row>
    <row r="2216" spans="1:15" x14ac:dyDescent="0.2">
      <c r="A2216" t="s">
        <v>2501</v>
      </c>
      <c r="B2216" t="s">
        <v>321</v>
      </c>
      <c r="E2216" t="str">
        <f t="shared" si="121"/>
        <v/>
      </c>
      <c r="G2216" s="5" t="str">
        <f t="shared" si="122"/>
        <v/>
      </c>
      <c r="I2216" s="6" t="str">
        <f t="shared" si="120"/>
        <v>0</v>
      </c>
      <c r="O2216" t="s">
        <v>321</v>
      </c>
    </row>
    <row r="2217" spans="1:15" x14ac:dyDescent="0.2">
      <c r="A2217" t="s">
        <v>2502</v>
      </c>
      <c r="B2217" t="s">
        <v>3360</v>
      </c>
      <c r="E2217" t="str">
        <f t="shared" si="121"/>
        <v/>
      </c>
      <c r="G2217" s="5" t="str">
        <f t="shared" si="122"/>
        <v/>
      </c>
      <c r="I2217" s="6" t="str">
        <f t="shared" si="120"/>
        <v>0</v>
      </c>
      <c r="O2217" t="s">
        <v>3360</v>
      </c>
    </row>
    <row r="2218" spans="1:15" x14ac:dyDescent="0.2">
      <c r="A2218" t="s">
        <v>2503</v>
      </c>
      <c r="B2218" t="s">
        <v>321</v>
      </c>
      <c r="E2218" t="str">
        <f t="shared" si="121"/>
        <v/>
      </c>
      <c r="G2218" s="5" t="str">
        <f t="shared" si="122"/>
        <v/>
      </c>
      <c r="I2218" s="6" t="str">
        <f t="shared" si="120"/>
        <v>0</v>
      </c>
      <c r="O2218" t="s">
        <v>321</v>
      </c>
    </row>
    <row r="2219" spans="1:15" x14ac:dyDescent="0.2">
      <c r="A2219" t="s">
        <v>2504</v>
      </c>
      <c r="B2219" t="s">
        <v>3362</v>
      </c>
      <c r="E2219" t="str">
        <f t="shared" si="121"/>
        <v/>
      </c>
      <c r="G2219" s="5" t="str">
        <f t="shared" si="122"/>
        <v/>
      </c>
      <c r="I2219" s="6" t="str">
        <f t="shared" si="120"/>
        <v>0</v>
      </c>
      <c r="O2219" t="s">
        <v>3362</v>
      </c>
    </row>
    <row r="2220" spans="1:15" x14ac:dyDescent="0.2">
      <c r="A2220" t="s">
        <v>2505</v>
      </c>
      <c r="B2220" t="s">
        <v>321</v>
      </c>
      <c r="E2220" t="str">
        <f t="shared" si="121"/>
        <v/>
      </c>
      <c r="G2220" s="5" t="str">
        <f t="shared" si="122"/>
        <v/>
      </c>
      <c r="I2220" s="6" t="str">
        <f t="shared" si="120"/>
        <v>0</v>
      </c>
      <c r="O2220" t="s">
        <v>321</v>
      </c>
    </row>
    <row r="2221" spans="1:15" x14ac:dyDescent="0.2">
      <c r="A2221" t="s">
        <v>2506</v>
      </c>
      <c r="B2221" t="s">
        <v>3361</v>
      </c>
      <c r="E2221" t="str">
        <f t="shared" si="121"/>
        <v/>
      </c>
      <c r="G2221" s="5" t="str">
        <f t="shared" si="122"/>
        <v/>
      </c>
      <c r="I2221" s="6" t="str">
        <f t="shared" si="120"/>
        <v>0</v>
      </c>
      <c r="O2221" t="s">
        <v>3361</v>
      </c>
    </row>
    <row r="2222" spans="1:15" x14ac:dyDescent="0.2">
      <c r="A2222" t="s">
        <v>2507</v>
      </c>
      <c r="B2222" t="s">
        <v>321</v>
      </c>
      <c r="E2222" t="str">
        <f t="shared" si="121"/>
        <v/>
      </c>
      <c r="G2222" s="5" t="str">
        <f t="shared" si="122"/>
        <v/>
      </c>
      <c r="I2222" s="6" t="str">
        <f t="shared" si="120"/>
        <v>0</v>
      </c>
      <c r="O2222" t="s">
        <v>321</v>
      </c>
    </row>
    <row r="2223" spans="1:15" x14ac:dyDescent="0.2">
      <c r="A2223" t="s">
        <v>2508</v>
      </c>
      <c r="B2223" t="s">
        <v>321</v>
      </c>
      <c r="E2223" t="str">
        <f t="shared" si="121"/>
        <v/>
      </c>
      <c r="G2223" s="5" t="str">
        <f t="shared" si="122"/>
        <v/>
      </c>
      <c r="I2223" s="6" t="str">
        <f t="shared" si="120"/>
        <v>0</v>
      </c>
      <c r="O2223" t="s">
        <v>321</v>
      </c>
    </row>
    <row r="2224" spans="1:15" x14ac:dyDescent="0.2">
      <c r="A2224" t="s">
        <v>2509</v>
      </c>
      <c r="B2224" t="s">
        <v>321</v>
      </c>
      <c r="E2224" t="str">
        <f t="shared" si="121"/>
        <v/>
      </c>
      <c r="G2224" s="5" t="str">
        <f t="shared" si="122"/>
        <v/>
      </c>
      <c r="I2224" s="6" t="str">
        <f t="shared" si="120"/>
        <v>0</v>
      </c>
      <c r="O2224" t="s">
        <v>321</v>
      </c>
    </row>
    <row r="2225" spans="1:15" x14ac:dyDescent="0.2">
      <c r="A2225" t="s">
        <v>2510</v>
      </c>
      <c r="B2225" t="s">
        <v>321</v>
      </c>
      <c r="E2225" t="str">
        <f t="shared" si="121"/>
        <v/>
      </c>
      <c r="G2225" s="5" t="str">
        <f t="shared" si="122"/>
        <v/>
      </c>
      <c r="I2225" s="6" t="str">
        <f t="shared" si="120"/>
        <v>0</v>
      </c>
      <c r="O2225" t="s">
        <v>321</v>
      </c>
    </row>
    <row r="2226" spans="1:15" x14ac:dyDescent="0.2">
      <c r="A2226" t="s">
        <v>2511</v>
      </c>
      <c r="B2226" t="s">
        <v>321</v>
      </c>
      <c r="E2226" t="str">
        <f t="shared" si="121"/>
        <v/>
      </c>
      <c r="G2226" s="5" t="str">
        <f t="shared" si="122"/>
        <v/>
      </c>
      <c r="I2226" s="6" t="str">
        <f t="shared" si="120"/>
        <v>0</v>
      </c>
      <c r="O2226" t="s">
        <v>321</v>
      </c>
    </row>
    <row r="2227" spans="1:15" x14ac:dyDescent="0.2">
      <c r="A2227" t="s">
        <v>2512</v>
      </c>
      <c r="B2227" t="s">
        <v>321</v>
      </c>
      <c r="E2227" t="str">
        <f t="shared" si="121"/>
        <v/>
      </c>
      <c r="G2227" s="5" t="str">
        <f t="shared" si="122"/>
        <v/>
      </c>
      <c r="I2227" s="6" t="str">
        <f t="shared" si="120"/>
        <v>0</v>
      </c>
      <c r="O2227" t="s">
        <v>321</v>
      </c>
    </row>
    <row r="2228" spans="1:15" x14ac:dyDescent="0.2">
      <c r="A2228" t="s">
        <v>2513</v>
      </c>
      <c r="B2228" t="s">
        <v>321</v>
      </c>
      <c r="E2228" t="str">
        <f t="shared" si="121"/>
        <v/>
      </c>
      <c r="G2228" s="5" t="str">
        <f t="shared" si="122"/>
        <v/>
      </c>
      <c r="I2228" s="6" t="str">
        <f t="shared" si="120"/>
        <v>0</v>
      </c>
      <c r="O2228" t="s">
        <v>321</v>
      </c>
    </row>
    <row r="2229" spans="1:15" x14ac:dyDescent="0.2">
      <c r="A2229" t="s">
        <v>2514</v>
      </c>
      <c r="B2229" t="s">
        <v>321</v>
      </c>
      <c r="E2229" t="str">
        <f t="shared" si="121"/>
        <v/>
      </c>
      <c r="G2229" s="5" t="str">
        <f t="shared" si="122"/>
        <v/>
      </c>
      <c r="I2229" s="6" t="str">
        <f t="shared" si="120"/>
        <v>0</v>
      </c>
      <c r="O2229" t="s">
        <v>321</v>
      </c>
    </row>
    <row r="2230" spans="1:15" x14ac:dyDescent="0.2">
      <c r="A2230" t="s">
        <v>2515</v>
      </c>
      <c r="B2230" s="27" t="s">
        <v>3359</v>
      </c>
      <c r="E2230" t="str">
        <f t="shared" si="121"/>
        <v/>
      </c>
      <c r="G2230" s="5" t="str">
        <f t="shared" si="122"/>
        <v/>
      </c>
      <c r="I2230" s="6" t="str">
        <f t="shared" si="120"/>
        <v>0</v>
      </c>
      <c r="O2230" t="s">
        <v>3359</v>
      </c>
    </row>
    <row r="2231" spans="1:15" x14ac:dyDescent="0.2">
      <c r="A2231" t="s">
        <v>2516</v>
      </c>
      <c r="B2231" s="27" t="s">
        <v>321</v>
      </c>
      <c r="E2231" t="str">
        <f t="shared" si="121"/>
        <v/>
      </c>
      <c r="G2231" s="5" t="str">
        <f t="shared" si="122"/>
        <v/>
      </c>
      <c r="I2231" s="6" t="str">
        <f t="shared" si="120"/>
        <v>0</v>
      </c>
      <c r="O2231" t="s">
        <v>321</v>
      </c>
    </row>
    <row r="2232" spans="1:15" x14ac:dyDescent="0.2">
      <c r="A2232" t="s">
        <v>2517</v>
      </c>
      <c r="B2232" s="27" t="s">
        <v>3311</v>
      </c>
      <c r="C2232" s="5" t="s">
        <v>124</v>
      </c>
      <c r="D2232" t="s">
        <v>3104</v>
      </c>
      <c r="E2232" t="str">
        <f t="shared" si="121"/>
        <v>gfx/Main_Slots.colours</v>
      </c>
      <c r="F2232" t="s">
        <v>3310</v>
      </c>
      <c r="G2232" s="5">
        <f t="shared" si="122"/>
        <v>44672</v>
      </c>
      <c r="H2232" s="5">
        <v>32</v>
      </c>
      <c r="I2232" s="6" t="str">
        <f t="shared" si="120"/>
        <v>20</v>
      </c>
      <c r="K2232" s="6" t="s">
        <v>3975</v>
      </c>
      <c r="O2232" t="s">
        <v>3311</v>
      </c>
    </row>
    <row r="2233" spans="1:15" ht="17" x14ac:dyDescent="0.25">
      <c r="A2233" t="s">
        <v>2518</v>
      </c>
      <c r="B2233" s="26" t="s">
        <v>3950</v>
      </c>
      <c r="C2233"/>
      <c r="D2233" s="26"/>
      <c r="E2233" t="str">
        <f t="shared" si="121"/>
        <v/>
      </c>
      <c r="F2233" s="26"/>
      <c r="G2233" s="5" t="str">
        <f t="shared" si="122"/>
        <v/>
      </c>
      <c r="I2233" s="6" t="str">
        <f t="shared" si="120"/>
        <v>0</v>
      </c>
      <c r="K2233" s="6" t="s">
        <v>3951</v>
      </c>
    </row>
    <row r="2234" spans="1:15" ht="17" x14ac:dyDescent="0.25">
      <c r="A2234" t="s">
        <v>2519</v>
      </c>
      <c r="B2234" s="28" t="s">
        <v>3357</v>
      </c>
      <c r="C2234" t="s">
        <v>3168</v>
      </c>
      <c r="D2234" s="26" t="s">
        <v>3904</v>
      </c>
      <c r="E2234" t="str">
        <f t="shared" si="121"/>
        <v>gfx-data/Dungeon_MainWall_SpriteSelection.lookup</v>
      </c>
      <c r="F2234" s="26" t="s">
        <v>3905</v>
      </c>
      <c r="G2234" s="5">
        <f t="shared" si="122"/>
        <v>44854</v>
      </c>
      <c r="H2234" s="5">
        <v>28</v>
      </c>
      <c r="I2234" s="6" t="str">
        <f t="shared" si="120"/>
        <v>1C</v>
      </c>
      <c r="K2234" s="6" t="s">
        <v>3906</v>
      </c>
    </row>
    <row r="2235" spans="1:15" x14ac:dyDescent="0.2">
      <c r="A2235" t="s">
        <v>2520</v>
      </c>
      <c r="B2235" s="27" t="s">
        <v>3332</v>
      </c>
      <c r="C2235" s="5" t="s">
        <v>48</v>
      </c>
      <c r="D2235" t="s">
        <v>3333</v>
      </c>
      <c r="E2235" t="str">
        <f t="shared" si="121"/>
        <v>data/Door_Lock.colours</v>
      </c>
      <c r="F2235" t="s">
        <v>3334</v>
      </c>
      <c r="G2235" s="5">
        <f t="shared" si="122"/>
        <v>44882</v>
      </c>
      <c r="H2235" s="5">
        <v>8</v>
      </c>
      <c r="I2235" s="6" t="str">
        <f t="shared" si="120"/>
        <v>8</v>
      </c>
      <c r="O2235" t="s">
        <v>3332</v>
      </c>
    </row>
    <row r="2236" spans="1:15" x14ac:dyDescent="0.2">
      <c r="A2236" t="s">
        <v>2521</v>
      </c>
      <c r="B2236" s="27" t="s">
        <v>321</v>
      </c>
      <c r="E2236" t="str">
        <f t="shared" si="121"/>
        <v/>
      </c>
      <c r="G2236" s="5" t="str">
        <f t="shared" si="122"/>
        <v/>
      </c>
      <c r="I2236" s="6" t="str">
        <f t="shared" si="120"/>
        <v>0</v>
      </c>
      <c r="O2236" t="s">
        <v>321</v>
      </c>
    </row>
    <row r="2237" spans="1:15" x14ac:dyDescent="0.2">
      <c r="A2237" t="s">
        <v>2522</v>
      </c>
      <c r="B2237" s="27" t="s">
        <v>321</v>
      </c>
      <c r="E2237" t="str">
        <f t="shared" si="121"/>
        <v/>
      </c>
      <c r="G2237" s="5" t="str">
        <f t="shared" si="122"/>
        <v/>
      </c>
      <c r="I2237" s="6" t="str">
        <f t="shared" si="120"/>
        <v>0</v>
      </c>
      <c r="O2237" t="s">
        <v>321</v>
      </c>
    </row>
    <row r="2238" spans="1:15" x14ac:dyDescent="0.2">
      <c r="A2238" t="s">
        <v>2523</v>
      </c>
      <c r="B2238" s="27" t="s">
        <v>321</v>
      </c>
      <c r="E2238" t="str">
        <f t="shared" si="121"/>
        <v/>
      </c>
      <c r="G2238" s="5" t="str">
        <f t="shared" si="122"/>
        <v/>
      </c>
      <c r="I2238" s="6" t="str">
        <f t="shared" si="120"/>
        <v>0</v>
      </c>
      <c r="O2238" t="s">
        <v>321</v>
      </c>
    </row>
    <row r="2239" spans="1:15" x14ac:dyDescent="0.2">
      <c r="A2239" t="s">
        <v>2524</v>
      </c>
      <c r="B2239" s="27" t="s">
        <v>321</v>
      </c>
      <c r="E2239" t="str">
        <f t="shared" si="121"/>
        <v/>
      </c>
      <c r="G2239" s="5" t="str">
        <f t="shared" si="122"/>
        <v/>
      </c>
      <c r="I2239" s="6" t="str">
        <f t="shared" si="120"/>
        <v>0</v>
      </c>
      <c r="O2239" t="s">
        <v>321</v>
      </c>
    </row>
    <row r="2240" spans="1:15" x14ac:dyDescent="0.2">
      <c r="A2240" t="s">
        <v>2525</v>
      </c>
      <c r="B2240" s="27" t="s">
        <v>321</v>
      </c>
      <c r="E2240" t="str">
        <f t="shared" si="121"/>
        <v/>
      </c>
      <c r="G2240" s="5" t="str">
        <f t="shared" si="122"/>
        <v/>
      </c>
      <c r="I2240" s="6" t="str">
        <f t="shared" si="120"/>
        <v>0</v>
      </c>
      <c r="O2240" t="s">
        <v>321</v>
      </c>
    </row>
    <row r="2241" spans="1:15" x14ac:dyDescent="0.2">
      <c r="A2241" t="s">
        <v>2526</v>
      </c>
      <c r="B2241" s="27" t="s">
        <v>321</v>
      </c>
      <c r="E2241" t="str">
        <f t="shared" si="121"/>
        <v/>
      </c>
      <c r="G2241" s="5" t="str">
        <f t="shared" si="122"/>
        <v/>
      </c>
      <c r="I2241" s="6" t="str">
        <f t="shared" si="120"/>
        <v>0</v>
      </c>
      <c r="O2241" t="s">
        <v>321</v>
      </c>
    </row>
    <row r="2242" spans="1:15" x14ac:dyDescent="0.2">
      <c r="A2242" t="s">
        <v>2527</v>
      </c>
      <c r="B2242" s="27" t="s">
        <v>321</v>
      </c>
      <c r="E2242" t="str">
        <f t="shared" si="121"/>
        <v/>
      </c>
      <c r="G2242" s="5" t="str">
        <f t="shared" si="122"/>
        <v/>
      </c>
      <c r="I2242" s="6" t="str">
        <f t="shared" si="120"/>
        <v>0</v>
      </c>
      <c r="O2242" t="s">
        <v>321</v>
      </c>
    </row>
    <row r="2243" spans="1:15" x14ac:dyDescent="0.2">
      <c r="A2243" t="s">
        <v>2528</v>
      </c>
      <c r="B2243" s="27" t="s">
        <v>321</v>
      </c>
      <c r="E2243" t="str">
        <f t="shared" si="121"/>
        <v/>
      </c>
      <c r="G2243" s="5" t="str">
        <f t="shared" si="122"/>
        <v/>
      </c>
      <c r="I2243" s="6" t="str">
        <f t="shared" ref="I2243:I2308" si="123">IFERROR(DEC2HEX(H2243),"")</f>
        <v>0</v>
      </c>
      <c r="O2243" t="s">
        <v>321</v>
      </c>
    </row>
    <row r="2244" spans="1:15" x14ac:dyDescent="0.2">
      <c r="A2244" t="s">
        <v>2529</v>
      </c>
      <c r="B2244" s="27" t="s">
        <v>321</v>
      </c>
      <c r="E2244" t="str">
        <f t="shared" ref="E2244:E2307" si="124">IF(D2244&lt;&gt;"",C2244&amp;"/"&amp;D2244,"")</f>
        <v/>
      </c>
      <c r="G2244" s="5" t="str">
        <f t="shared" si="122"/>
        <v/>
      </c>
      <c r="I2244" s="6" t="str">
        <f t="shared" si="123"/>
        <v>0</v>
      </c>
      <c r="O2244" t="s">
        <v>321</v>
      </c>
    </row>
    <row r="2245" spans="1:15" x14ac:dyDescent="0.2">
      <c r="A2245" t="s">
        <v>2530</v>
      </c>
      <c r="B2245" s="27" t="s">
        <v>321</v>
      </c>
      <c r="E2245" t="str">
        <f t="shared" si="124"/>
        <v/>
      </c>
      <c r="G2245" s="5" t="str">
        <f t="shared" si="122"/>
        <v/>
      </c>
      <c r="I2245" s="6" t="str">
        <f t="shared" si="123"/>
        <v>0</v>
      </c>
      <c r="O2245" t="s">
        <v>321</v>
      </c>
    </row>
    <row r="2246" spans="1:15" ht="17" x14ac:dyDescent="0.25">
      <c r="A2246" t="s">
        <v>2531</v>
      </c>
      <c r="B2246" s="26" t="s">
        <v>3952</v>
      </c>
      <c r="C2246"/>
      <c r="D2246" s="26"/>
      <c r="E2246" t="str">
        <f t="shared" si="124"/>
        <v/>
      </c>
      <c r="F2246" s="26"/>
      <c r="G2246" s="5" t="str">
        <f t="shared" si="122"/>
        <v/>
      </c>
      <c r="I2246" s="6" t="str">
        <f t="shared" si="123"/>
        <v>0</v>
      </c>
      <c r="K2246" s="6" t="s">
        <v>3953</v>
      </c>
    </row>
    <row r="2247" spans="1:15" x14ac:dyDescent="0.2">
      <c r="A2247" t="s">
        <v>2532</v>
      </c>
      <c r="B2247" s="27" t="s">
        <v>321</v>
      </c>
      <c r="E2247" t="str">
        <f t="shared" si="124"/>
        <v/>
      </c>
      <c r="G2247" s="5" t="str">
        <f t="shared" si="122"/>
        <v/>
      </c>
      <c r="I2247" s="6" t="str">
        <f t="shared" si="123"/>
        <v>0</v>
      </c>
      <c r="O2247" t="s">
        <v>321</v>
      </c>
    </row>
    <row r="2248" spans="1:15" ht="17" x14ac:dyDescent="0.25">
      <c r="A2248" t="s">
        <v>2533</v>
      </c>
      <c r="B2248" s="26" t="s">
        <v>3954</v>
      </c>
      <c r="C2248"/>
      <c r="D2248" s="26"/>
      <c r="E2248" t="str">
        <f t="shared" si="124"/>
        <v/>
      </c>
      <c r="F2248" s="26"/>
      <c r="G2248" s="5" t="str">
        <f t="shared" si="122"/>
        <v/>
      </c>
      <c r="I2248" s="6" t="str">
        <f t="shared" si="123"/>
        <v>0</v>
      </c>
      <c r="K2248" s="6" t="s">
        <v>3955</v>
      </c>
    </row>
    <row r="2249" spans="1:15" x14ac:dyDescent="0.2">
      <c r="A2249" t="s">
        <v>2534</v>
      </c>
      <c r="B2249" s="27" t="s">
        <v>321</v>
      </c>
      <c r="E2249" t="str">
        <f t="shared" si="124"/>
        <v/>
      </c>
      <c r="G2249" s="5" t="str">
        <f t="shared" ref="G2249:G2314" si="125">IF(F2249&lt;&gt;"",HEX2DEC(SUBSTITUTE(SUBSTITUTE(F2249,"adrEA",""),"$","")),"")</f>
        <v/>
      </c>
      <c r="I2249" s="6" t="str">
        <f t="shared" si="123"/>
        <v>0</v>
      </c>
      <c r="O2249" t="s">
        <v>321</v>
      </c>
    </row>
    <row r="2250" spans="1:15" x14ac:dyDescent="0.2">
      <c r="A2250" t="s">
        <v>2535</v>
      </c>
      <c r="B2250" s="27" t="s">
        <v>3355</v>
      </c>
      <c r="E2250" t="str">
        <f t="shared" si="124"/>
        <v/>
      </c>
      <c r="G2250" s="5" t="str">
        <f t="shared" si="125"/>
        <v/>
      </c>
      <c r="I2250" s="6" t="str">
        <f t="shared" si="123"/>
        <v>0</v>
      </c>
      <c r="O2250" t="s">
        <v>3355</v>
      </c>
    </row>
    <row r="2251" spans="1:15" ht="17" x14ac:dyDescent="0.25">
      <c r="A2251" t="s">
        <v>2536</v>
      </c>
      <c r="B2251" s="28" t="s">
        <v>3907</v>
      </c>
      <c r="C2251" t="s">
        <v>3168</v>
      </c>
      <c r="D2251" s="26" t="s">
        <v>3908</v>
      </c>
      <c r="E2251" t="str">
        <f t="shared" si="124"/>
        <v>gfx-data/Dungeon_WallComponents.lookup</v>
      </c>
      <c r="F2251" s="26" t="s">
        <v>3909</v>
      </c>
      <c r="G2251" s="5">
        <f t="shared" si="125"/>
        <v>45240</v>
      </c>
      <c r="H2251" s="5">
        <v>28</v>
      </c>
      <c r="I2251" s="6" t="str">
        <f t="shared" si="123"/>
        <v>1C</v>
      </c>
      <c r="K2251" s="6" t="s">
        <v>3910</v>
      </c>
    </row>
    <row r="2252" spans="1:15" ht="17" x14ac:dyDescent="0.25">
      <c r="A2252" t="s">
        <v>2537</v>
      </c>
      <c r="B2252" s="26" t="s">
        <v>3956</v>
      </c>
      <c r="C2252"/>
      <c r="D2252" s="26"/>
      <c r="E2252" t="str">
        <f t="shared" si="124"/>
        <v/>
      </c>
      <c r="F2252" s="26"/>
      <c r="G2252" s="5" t="str">
        <f t="shared" si="125"/>
        <v/>
      </c>
      <c r="I2252" s="6" t="str">
        <f t="shared" si="123"/>
        <v>0</v>
      </c>
      <c r="K2252" s="6" t="s">
        <v>3957</v>
      </c>
    </row>
    <row r="2253" spans="1:15" ht="17" x14ac:dyDescent="0.25">
      <c r="A2253" t="s">
        <v>2538</v>
      </c>
      <c r="B2253" s="26" t="s">
        <v>3958</v>
      </c>
      <c r="C2253"/>
      <c r="D2253" s="26"/>
      <c r="E2253" t="str">
        <f t="shared" si="124"/>
        <v/>
      </c>
      <c r="F2253" s="26"/>
      <c r="G2253" s="5" t="str">
        <f t="shared" si="125"/>
        <v/>
      </c>
      <c r="I2253" s="6" t="str">
        <f t="shared" si="123"/>
        <v>0</v>
      </c>
      <c r="K2253" s="6" t="s">
        <v>3959</v>
      </c>
    </row>
    <row r="2254" spans="1:15" ht="17" x14ac:dyDescent="0.25">
      <c r="A2254" t="s">
        <v>2539</v>
      </c>
      <c r="B2254" s="26" t="s">
        <v>3960</v>
      </c>
      <c r="C2254"/>
      <c r="D2254" s="26"/>
      <c r="E2254" t="str">
        <f t="shared" si="124"/>
        <v/>
      </c>
      <c r="F2254" s="26"/>
      <c r="G2254" s="5" t="str">
        <f t="shared" si="125"/>
        <v/>
      </c>
      <c r="I2254" s="6" t="str">
        <f t="shared" si="123"/>
        <v>0</v>
      </c>
      <c r="K2254" s="6" t="s">
        <v>3961</v>
      </c>
    </row>
    <row r="2255" spans="1:15" x14ac:dyDescent="0.2">
      <c r="A2255" t="s">
        <v>2540</v>
      </c>
      <c r="B2255" s="27" t="s">
        <v>3324</v>
      </c>
      <c r="E2255" t="str">
        <f t="shared" si="124"/>
        <v/>
      </c>
      <c r="G2255" s="5" t="str">
        <f t="shared" si="125"/>
        <v/>
      </c>
      <c r="I2255" s="6" t="str">
        <f t="shared" si="123"/>
        <v>0</v>
      </c>
      <c r="O2255" t="s">
        <v>3324</v>
      </c>
    </row>
    <row r="2256" spans="1:15" x14ac:dyDescent="0.2">
      <c r="A2256" t="s">
        <v>2541</v>
      </c>
      <c r="B2256" s="27" t="s">
        <v>3323</v>
      </c>
      <c r="E2256" t="str">
        <f t="shared" si="124"/>
        <v/>
      </c>
      <c r="G2256" s="5" t="str">
        <f t="shared" si="125"/>
        <v/>
      </c>
      <c r="I2256" s="6" t="str">
        <f t="shared" si="123"/>
        <v>0</v>
      </c>
      <c r="O2256" t="s">
        <v>3323</v>
      </c>
    </row>
    <row r="2257" spans="1:15" x14ac:dyDescent="0.2">
      <c r="A2257" t="s">
        <v>2542</v>
      </c>
      <c r="B2257" s="27" t="s">
        <v>3335</v>
      </c>
      <c r="E2257" t="str">
        <f t="shared" si="124"/>
        <v/>
      </c>
      <c r="G2257" s="5" t="str">
        <f t="shared" si="125"/>
        <v/>
      </c>
      <c r="I2257" s="6" t="str">
        <f t="shared" si="123"/>
        <v>0</v>
      </c>
      <c r="O2257" t="s">
        <v>3335</v>
      </c>
    </row>
    <row r="2258" spans="1:15" ht="17" x14ac:dyDescent="0.25">
      <c r="A2258" t="s">
        <v>2543</v>
      </c>
      <c r="B2258" s="28" t="s">
        <v>3911</v>
      </c>
      <c r="C2258" t="s">
        <v>3168</v>
      </c>
      <c r="D2258" s="26" t="s">
        <v>3912</v>
      </c>
      <c r="E2258" t="str">
        <f t="shared" si="124"/>
        <v>gfx-data/Dungeon_WallComponent_DrawTransform.flags</v>
      </c>
      <c r="F2258" s="26" t="s">
        <v>3913</v>
      </c>
      <c r="G2258" s="5">
        <f t="shared" si="125"/>
        <v>45376</v>
      </c>
      <c r="H2258" s="5">
        <v>28</v>
      </c>
      <c r="I2258" s="6" t="str">
        <f t="shared" si="123"/>
        <v>1C</v>
      </c>
      <c r="K2258" s="6" t="s">
        <v>3914</v>
      </c>
    </row>
    <row r="2259" spans="1:15" ht="17" x14ac:dyDescent="0.25">
      <c r="A2259" t="s">
        <v>2544</v>
      </c>
      <c r="B2259" s="26" t="s">
        <v>3962</v>
      </c>
      <c r="C2259"/>
      <c r="D2259" s="26"/>
      <c r="E2259" t="str">
        <f t="shared" si="124"/>
        <v/>
      </c>
      <c r="F2259" s="26"/>
      <c r="G2259" s="5" t="str">
        <f t="shared" si="125"/>
        <v/>
      </c>
      <c r="I2259" s="6" t="str">
        <f t="shared" si="123"/>
        <v>0</v>
      </c>
      <c r="K2259" s="6" t="s">
        <v>3963</v>
      </c>
    </row>
    <row r="2260" spans="1:15" x14ac:dyDescent="0.2">
      <c r="A2260" t="s">
        <v>2545</v>
      </c>
      <c r="B2260" s="27" t="s">
        <v>321</v>
      </c>
      <c r="E2260" t="str">
        <f t="shared" si="124"/>
        <v/>
      </c>
      <c r="G2260" s="5" t="str">
        <f t="shared" si="125"/>
        <v/>
      </c>
      <c r="I2260" s="6" t="str">
        <f t="shared" si="123"/>
        <v>0</v>
      </c>
      <c r="O2260" t="s">
        <v>321</v>
      </c>
    </row>
    <row r="2261" spans="1:15" x14ac:dyDescent="0.2">
      <c r="A2261" t="s">
        <v>2546</v>
      </c>
      <c r="B2261" s="27" t="s">
        <v>321</v>
      </c>
      <c r="E2261" t="str">
        <f t="shared" si="124"/>
        <v/>
      </c>
      <c r="G2261" s="5" t="str">
        <f t="shared" si="125"/>
        <v/>
      </c>
      <c r="I2261" s="6" t="str">
        <f t="shared" si="123"/>
        <v>0</v>
      </c>
      <c r="O2261" t="s">
        <v>321</v>
      </c>
    </row>
    <row r="2262" spans="1:15" x14ac:dyDescent="0.2">
      <c r="A2262" t="s">
        <v>2547</v>
      </c>
      <c r="B2262" s="27" t="s">
        <v>321</v>
      </c>
      <c r="E2262" t="str">
        <f t="shared" si="124"/>
        <v/>
      </c>
      <c r="G2262" s="5" t="str">
        <f t="shared" si="125"/>
        <v/>
      </c>
      <c r="I2262" s="6" t="str">
        <f t="shared" si="123"/>
        <v>0</v>
      </c>
      <c r="O2262" t="s">
        <v>321</v>
      </c>
    </row>
    <row r="2263" spans="1:15" x14ac:dyDescent="0.2">
      <c r="A2263" t="s">
        <v>2548</v>
      </c>
      <c r="B2263" s="27" t="s">
        <v>321</v>
      </c>
      <c r="E2263" t="str">
        <f t="shared" si="124"/>
        <v/>
      </c>
      <c r="G2263" s="5" t="str">
        <f t="shared" si="125"/>
        <v/>
      </c>
      <c r="I2263" s="6" t="str">
        <f t="shared" si="123"/>
        <v>0</v>
      </c>
      <c r="O2263" t="s">
        <v>321</v>
      </c>
    </row>
    <row r="2264" spans="1:15" ht="17" x14ac:dyDescent="0.25">
      <c r="A2264" t="s">
        <v>2549</v>
      </c>
      <c r="B2264" s="28" t="s">
        <v>3915</v>
      </c>
      <c r="C2264" t="s">
        <v>3168</v>
      </c>
      <c r="D2264" s="26" t="s">
        <v>3916</v>
      </c>
      <c r="E2264" t="str">
        <f t="shared" si="124"/>
        <v>gfx-data/Dungeon_WallComponent_PerspectiveTrim.lookup</v>
      </c>
      <c r="F2264" s="26" t="s">
        <v>3917</v>
      </c>
      <c r="G2264" s="5">
        <f t="shared" si="125"/>
        <v>45524</v>
      </c>
      <c r="H2264" s="5">
        <v>8</v>
      </c>
      <c r="I2264" s="6" t="str">
        <f t="shared" si="123"/>
        <v>8</v>
      </c>
      <c r="K2264" s="6" t="s">
        <v>3918</v>
      </c>
    </row>
    <row r="2265" spans="1:15" ht="17" x14ac:dyDescent="0.25">
      <c r="A2265" t="s">
        <v>2550</v>
      </c>
      <c r="B2265" s="26" t="s">
        <v>3964</v>
      </c>
      <c r="C2265"/>
      <c r="D2265" s="26"/>
      <c r="E2265" t="str">
        <f t="shared" si="124"/>
        <v/>
      </c>
      <c r="F2265" s="26"/>
      <c r="G2265" s="5" t="str">
        <f t="shared" si="125"/>
        <v/>
      </c>
      <c r="I2265" s="6" t="str">
        <f t="shared" si="123"/>
        <v>0</v>
      </c>
      <c r="K2265" s="6" t="s">
        <v>3965</v>
      </c>
    </row>
    <row r="2266" spans="1:15" x14ac:dyDescent="0.2">
      <c r="A2266" t="s">
        <v>2551</v>
      </c>
      <c r="B2266" s="27" t="s">
        <v>321</v>
      </c>
      <c r="E2266" t="str">
        <f t="shared" si="124"/>
        <v/>
      </c>
      <c r="G2266" s="5" t="str">
        <f t="shared" si="125"/>
        <v/>
      </c>
      <c r="I2266" s="6" t="str">
        <f t="shared" si="123"/>
        <v>0</v>
      </c>
      <c r="O2266" t="s">
        <v>321</v>
      </c>
    </row>
    <row r="2267" spans="1:15" x14ac:dyDescent="0.2">
      <c r="A2267" t="s">
        <v>2552</v>
      </c>
      <c r="B2267" s="27" t="s">
        <v>321</v>
      </c>
      <c r="E2267" t="str">
        <f t="shared" si="124"/>
        <v/>
      </c>
      <c r="G2267" s="5" t="str">
        <f t="shared" si="125"/>
        <v/>
      </c>
      <c r="I2267" s="6" t="str">
        <f t="shared" si="123"/>
        <v>0</v>
      </c>
      <c r="O2267" t="s">
        <v>321</v>
      </c>
    </row>
    <row r="2268" spans="1:15" x14ac:dyDescent="0.2">
      <c r="A2268" t="s">
        <v>2553</v>
      </c>
      <c r="B2268" s="27" t="s">
        <v>321</v>
      </c>
      <c r="E2268" t="str">
        <f t="shared" si="124"/>
        <v/>
      </c>
      <c r="G2268" s="5" t="str">
        <f t="shared" si="125"/>
        <v/>
      </c>
      <c r="I2268" s="6" t="str">
        <f t="shared" si="123"/>
        <v>0</v>
      </c>
      <c r="O2268" t="s">
        <v>321</v>
      </c>
    </row>
    <row r="2269" spans="1:15" x14ac:dyDescent="0.2">
      <c r="A2269" t="s">
        <v>2554</v>
      </c>
      <c r="B2269" s="27" t="s">
        <v>321</v>
      </c>
      <c r="E2269" t="str">
        <f t="shared" si="124"/>
        <v/>
      </c>
      <c r="G2269" s="5" t="str">
        <f t="shared" si="125"/>
        <v/>
      </c>
      <c r="I2269" s="6" t="str">
        <f t="shared" si="123"/>
        <v>0</v>
      </c>
      <c r="O2269" t="s">
        <v>321</v>
      </c>
    </row>
    <row r="2270" spans="1:15" x14ac:dyDescent="0.2">
      <c r="A2270" t="s">
        <v>2555</v>
      </c>
      <c r="B2270" s="27" t="s">
        <v>321</v>
      </c>
      <c r="E2270" t="str">
        <f t="shared" si="124"/>
        <v/>
      </c>
      <c r="G2270" s="5" t="str">
        <f t="shared" si="125"/>
        <v/>
      </c>
      <c r="I2270" s="6" t="str">
        <f t="shared" si="123"/>
        <v>0</v>
      </c>
      <c r="O2270" t="s">
        <v>321</v>
      </c>
    </row>
    <row r="2271" spans="1:15" x14ac:dyDescent="0.2">
      <c r="A2271" t="s">
        <v>2556</v>
      </c>
      <c r="B2271" s="27" t="s">
        <v>321</v>
      </c>
      <c r="E2271" t="str">
        <f t="shared" si="124"/>
        <v/>
      </c>
      <c r="G2271" s="5" t="str">
        <f t="shared" si="125"/>
        <v/>
      </c>
      <c r="I2271" s="6" t="str">
        <f t="shared" si="123"/>
        <v>0</v>
      </c>
      <c r="O2271" t="s">
        <v>321</v>
      </c>
    </row>
    <row r="2272" spans="1:15" x14ac:dyDescent="0.2">
      <c r="A2272" t="s">
        <v>2557</v>
      </c>
      <c r="B2272" s="27" t="s">
        <v>321</v>
      </c>
      <c r="E2272" t="str">
        <f t="shared" si="124"/>
        <v/>
      </c>
      <c r="G2272" s="5" t="str">
        <f t="shared" si="125"/>
        <v/>
      </c>
      <c r="I2272" s="6" t="str">
        <f t="shared" si="123"/>
        <v>0</v>
      </c>
      <c r="O2272" t="s">
        <v>321</v>
      </c>
    </row>
    <row r="2273" spans="1:15" ht="17" x14ac:dyDescent="0.25">
      <c r="A2273" t="s">
        <v>2558</v>
      </c>
      <c r="B2273" s="28" t="s">
        <v>3919</v>
      </c>
      <c r="C2273" t="s">
        <v>3168</v>
      </c>
      <c r="D2273" s="26" t="s">
        <v>3920</v>
      </c>
      <c r="E2273" t="str">
        <f t="shared" si="124"/>
        <v>gfx-data/Dungeon_MainWall_DrawTransform.flags</v>
      </c>
      <c r="F2273" s="26" t="s">
        <v>3921</v>
      </c>
      <c r="G2273" s="5">
        <f t="shared" si="125"/>
        <v>45766</v>
      </c>
      <c r="H2273" s="5">
        <v>28</v>
      </c>
      <c r="I2273" s="6" t="str">
        <f t="shared" si="123"/>
        <v>1C</v>
      </c>
      <c r="K2273" s="6" t="s">
        <v>3922</v>
      </c>
    </row>
    <row r="2274" spans="1:15" ht="17" x14ac:dyDescent="0.25">
      <c r="A2274" t="s">
        <v>2559</v>
      </c>
      <c r="B2274" s="26" t="s">
        <v>3966</v>
      </c>
      <c r="C2274"/>
      <c r="D2274" s="26"/>
      <c r="E2274" t="str">
        <f t="shared" si="124"/>
        <v/>
      </c>
      <c r="F2274" s="26"/>
      <c r="G2274" s="5" t="str">
        <f t="shared" si="125"/>
        <v/>
      </c>
      <c r="I2274" s="6" t="str">
        <f t="shared" si="123"/>
        <v>0</v>
      </c>
      <c r="K2274" s="6" t="s">
        <v>3967</v>
      </c>
    </row>
    <row r="2275" spans="1:15" x14ac:dyDescent="0.2">
      <c r="A2275" t="s">
        <v>2560</v>
      </c>
      <c r="B2275" s="27" t="s">
        <v>321</v>
      </c>
      <c r="E2275" t="str">
        <f t="shared" si="124"/>
        <v/>
      </c>
      <c r="G2275" s="5" t="str">
        <f t="shared" si="125"/>
        <v/>
      </c>
      <c r="I2275" s="6" t="str">
        <f t="shared" si="123"/>
        <v>0</v>
      </c>
      <c r="O2275" t="s">
        <v>321</v>
      </c>
    </row>
    <row r="2276" spans="1:15" x14ac:dyDescent="0.2">
      <c r="A2276" t="s">
        <v>2561</v>
      </c>
      <c r="B2276" s="27" t="s">
        <v>321</v>
      </c>
      <c r="E2276" t="str">
        <f t="shared" si="124"/>
        <v/>
      </c>
      <c r="G2276" s="5" t="str">
        <f t="shared" si="125"/>
        <v/>
      </c>
      <c r="I2276" s="6" t="str">
        <f t="shared" si="123"/>
        <v>0</v>
      </c>
      <c r="O2276" t="s">
        <v>321</v>
      </c>
    </row>
    <row r="2277" spans="1:15" x14ac:dyDescent="0.2">
      <c r="A2277" t="s">
        <v>2562</v>
      </c>
      <c r="B2277" s="27" t="s">
        <v>321</v>
      </c>
      <c r="E2277" t="str">
        <f t="shared" si="124"/>
        <v/>
      </c>
      <c r="G2277" s="5" t="str">
        <f t="shared" si="125"/>
        <v/>
      </c>
      <c r="I2277" s="6" t="str">
        <f t="shared" si="123"/>
        <v>0</v>
      </c>
      <c r="O2277" t="s">
        <v>321</v>
      </c>
    </row>
    <row r="2278" spans="1:15" x14ac:dyDescent="0.2">
      <c r="A2278" t="s">
        <v>2563</v>
      </c>
      <c r="B2278" s="27" t="s">
        <v>321</v>
      </c>
      <c r="E2278" t="str">
        <f t="shared" si="124"/>
        <v/>
      </c>
      <c r="G2278" s="5" t="str">
        <f t="shared" si="125"/>
        <v/>
      </c>
      <c r="I2278" s="6" t="str">
        <f t="shared" si="123"/>
        <v>0</v>
      </c>
      <c r="O2278" t="s">
        <v>321</v>
      </c>
    </row>
    <row r="2279" spans="1:15" ht="17" x14ac:dyDescent="0.25">
      <c r="A2279" t="s">
        <v>2564</v>
      </c>
      <c r="B2279" s="28" t="s">
        <v>3923</v>
      </c>
      <c r="C2279" t="s">
        <v>3168</v>
      </c>
      <c r="D2279" s="26" t="s">
        <v>3924</v>
      </c>
      <c r="E2279" t="str">
        <f t="shared" si="124"/>
        <v>gfx-data/Dungeon_MainWall_PerspectiveTrim.lookup</v>
      </c>
      <c r="F2279" s="26" t="s">
        <v>3925</v>
      </c>
      <c r="G2279" s="5">
        <f t="shared" si="125"/>
        <v>45934</v>
      </c>
      <c r="H2279" s="5">
        <v>8</v>
      </c>
      <c r="I2279" s="6" t="str">
        <f t="shared" si="123"/>
        <v>8</v>
      </c>
      <c r="K2279" s="6" t="s">
        <v>3926</v>
      </c>
    </row>
    <row r="2280" spans="1:15" ht="17" x14ac:dyDescent="0.25">
      <c r="A2280" t="s">
        <v>2565</v>
      </c>
      <c r="B2280" s="26" t="s">
        <v>3968</v>
      </c>
      <c r="C2280"/>
      <c r="D2280" s="26"/>
      <c r="E2280" t="str">
        <f t="shared" si="124"/>
        <v/>
      </c>
      <c r="F2280" s="26"/>
      <c r="G2280" s="5" t="str">
        <f t="shared" si="125"/>
        <v/>
      </c>
      <c r="I2280" s="6" t="str">
        <f t="shared" si="123"/>
        <v>0</v>
      </c>
      <c r="K2280" s="6" t="s">
        <v>3969</v>
      </c>
    </row>
    <row r="2281" spans="1:15" x14ac:dyDescent="0.2">
      <c r="A2281" t="s">
        <v>2566</v>
      </c>
      <c r="B2281" s="27" t="s">
        <v>321</v>
      </c>
      <c r="E2281" t="str">
        <f t="shared" si="124"/>
        <v/>
      </c>
      <c r="G2281" s="5" t="str">
        <f t="shared" si="125"/>
        <v/>
      </c>
      <c r="I2281" s="6" t="str">
        <f t="shared" si="123"/>
        <v>0</v>
      </c>
      <c r="O2281" t="s">
        <v>321</v>
      </c>
    </row>
    <row r="2282" spans="1:15" ht="17" x14ac:dyDescent="0.25">
      <c r="A2282" t="s">
        <v>2567</v>
      </c>
      <c r="B2282" s="26" t="s">
        <v>3970</v>
      </c>
      <c r="C2282"/>
      <c r="D2282" s="26"/>
      <c r="E2282" t="str">
        <f t="shared" si="124"/>
        <v/>
      </c>
      <c r="F2282" s="26"/>
      <c r="G2282" s="5" t="str">
        <f t="shared" si="125"/>
        <v/>
      </c>
      <c r="I2282" s="6" t="str">
        <f t="shared" si="123"/>
        <v>0</v>
      </c>
      <c r="K2282" s="6" t="s">
        <v>3971</v>
      </c>
    </row>
    <row r="2283" spans="1:15" x14ac:dyDescent="0.2">
      <c r="A2283" t="s">
        <v>2568</v>
      </c>
      <c r="B2283" s="27" t="s">
        <v>321</v>
      </c>
      <c r="E2283" t="str">
        <f t="shared" si="124"/>
        <v/>
      </c>
      <c r="G2283" s="5" t="str">
        <f t="shared" si="125"/>
        <v/>
      </c>
      <c r="I2283" s="6" t="str">
        <f t="shared" si="123"/>
        <v>0</v>
      </c>
      <c r="O2283" t="s">
        <v>321</v>
      </c>
    </row>
    <row r="2284" spans="1:15" x14ac:dyDescent="0.2">
      <c r="A2284" t="s">
        <v>2569</v>
      </c>
      <c r="B2284" s="27" t="s">
        <v>321</v>
      </c>
      <c r="E2284" t="str">
        <f t="shared" si="124"/>
        <v/>
      </c>
      <c r="G2284" s="5" t="str">
        <f t="shared" si="125"/>
        <v/>
      </c>
      <c r="I2284" s="6" t="str">
        <f t="shared" si="123"/>
        <v>0</v>
      </c>
      <c r="O2284" t="s">
        <v>321</v>
      </c>
    </row>
    <row r="2285" spans="1:15" x14ac:dyDescent="0.2">
      <c r="A2285" t="s">
        <v>2570</v>
      </c>
      <c r="B2285" s="27" t="s">
        <v>321</v>
      </c>
      <c r="E2285" t="str">
        <f t="shared" si="124"/>
        <v/>
      </c>
      <c r="G2285" s="5" t="str">
        <f t="shared" si="125"/>
        <v/>
      </c>
      <c r="I2285" s="6" t="str">
        <f t="shared" si="123"/>
        <v>0</v>
      </c>
      <c r="O2285" t="s">
        <v>321</v>
      </c>
    </row>
    <row r="2286" spans="1:15" x14ac:dyDescent="0.2">
      <c r="A2286" t="s">
        <v>2571</v>
      </c>
      <c r="B2286" s="27" t="s">
        <v>321</v>
      </c>
      <c r="E2286" t="str">
        <f t="shared" si="124"/>
        <v/>
      </c>
      <c r="G2286" s="5" t="str">
        <f t="shared" si="125"/>
        <v/>
      </c>
      <c r="I2286" s="6" t="str">
        <f t="shared" si="123"/>
        <v>0</v>
      </c>
      <c r="O2286" t="s">
        <v>321</v>
      </c>
    </row>
    <row r="2287" spans="1:15" x14ac:dyDescent="0.2">
      <c r="A2287" t="s">
        <v>2574</v>
      </c>
      <c r="B2287" s="27" t="s">
        <v>321</v>
      </c>
      <c r="E2287" t="str">
        <f t="shared" si="124"/>
        <v/>
      </c>
      <c r="G2287" s="5" t="str">
        <f t="shared" si="125"/>
        <v/>
      </c>
      <c r="I2287" s="6" t="str">
        <f t="shared" si="123"/>
        <v>0</v>
      </c>
      <c r="O2287" t="s">
        <v>321</v>
      </c>
    </row>
    <row r="2288" spans="1:15" x14ac:dyDescent="0.2">
      <c r="A2288" t="s">
        <v>2576</v>
      </c>
      <c r="B2288" s="27" t="s">
        <v>321</v>
      </c>
      <c r="E2288" t="str">
        <f t="shared" si="124"/>
        <v/>
      </c>
      <c r="G2288" s="5" t="str">
        <f t="shared" si="125"/>
        <v/>
      </c>
      <c r="I2288" s="6" t="str">
        <f t="shared" si="123"/>
        <v>0</v>
      </c>
      <c r="O2288" t="s">
        <v>321</v>
      </c>
    </row>
    <row r="2289" spans="1:15" x14ac:dyDescent="0.2">
      <c r="A2289" t="s">
        <v>2579</v>
      </c>
      <c r="B2289" s="27" t="s">
        <v>321</v>
      </c>
      <c r="E2289" t="str">
        <f t="shared" si="124"/>
        <v/>
      </c>
      <c r="G2289" s="5" t="str">
        <f t="shared" si="125"/>
        <v/>
      </c>
      <c r="I2289" s="6" t="str">
        <f t="shared" si="123"/>
        <v>0</v>
      </c>
      <c r="O2289" t="s">
        <v>321</v>
      </c>
    </row>
    <row r="2290" spans="1:15" x14ac:dyDescent="0.2">
      <c r="A2290" t="s">
        <v>2580</v>
      </c>
      <c r="B2290" s="27" t="s">
        <v>3927</v>
      </c>
      <c r="C2290" s="5" t="s">
        <v>3168</v>
      </c>
      <c r="D2290" t="s">
        <v>3928</v>
      </c>
      <c r="E2290" t="str">
        <f t="shared" si="124"/>
        <v>gfx-data/Dungeon_ViewCell_RelativeCoordinates.positions</v>
      </c>
      <c r="G2290" s="5" t="str">
        <f t="shared" si="125"/>
        <v/>
      </c>
      <c r="H2290" s="5">
        <v>152</v>
      </c>
      <c r="I2290" s="6" t="str">
        <f t="shared" si="123"/>
        <v>98</v>
      </c>
      <c r="J2290" s="6" t="s">
        <v>3645</v>
      </c>
      <c r="K2290" s="6" t="s">
        <v>3929</v>
      </c>
    </row>
    <row r="2291" spans="1:15" x14ac:dyDescent="0.2">
      <c r="A2291" t="s">
        <v>2580</v>
      </c>
      <c r="B2291" s="27" t="s">
        <v>3930</v>
      </c>
      <c r="C2291" s="5" t="s">
        <v>3168</v>
      </c>
      <c r="D2291" t="s">
        <v>3931</v>
      </c>
      <c r="E2291" t="str">
        <f t="shared" si="124"/>
        <v>gfx-data/Dungeon_ViewCell_Occlusion.flags</v>
      </c>
      <c r="G2291" s="5" t="str">
        <f t="shared" si="125"/>
        <v/>
      </c>
      <c r="H2291" s="5">
        <v>76</v>
      </c>
      <c r="I2291" s="6" t="str">
        <f t="shared" si="123"/>
        <v>4C</v>
      </c>
      <c r="J2291" s="6" t="s">
        <v>3650</v>
      </c>
    </row>
    <row r="2292" spans="1:15" x14ac:dyDescent="0.2">
      <c r="A2292" t="s">
        <v>2580</v>
      </c>
      <c r="B2292" s="27" t="s">
        <v>3932</v>
      </c>
      <c r="C2292" s="5" t="s">
        <v>3168</v>
      </c>
      <c r="D2292" t="s">
        <v>3933</v>
      </c>
      <c r="E2292" t="str">
        <f t="shared" si="124"/>
        <v>gfx-data/Dungeon_ViewCell_VisibleFaces.flags</v>
      </c>
      <c r="G2292" s="5" t="str">
        <f t="shared" si="125"/>
        <v/>
      </c>
      <c r="H2292" s="5">
        <v>76</v>
      </c>
      <c r="I2292" s="6" t="str">
        <f t="shared" si="123"/>
        <v>4C</v>
      </c>
      <c r="J2292" s="6" t="s">
        <v>3650</v>
      </c>
    </row>
    <row r="2293" spans="1:15" ht="17" x14ac:dyDescent="0.25">
      <c r="A2293" t="s">
        <v>2581</v>
      </c>
      <c r="B2293" s="28" t="s">
        <v>3976</v>
      </c>
      <c r="E2293" t="str">
        <f t="shared" si="124"/>
        <v/>
      </c>
      <c r="G2293" s="5" t="str">
        <f t="shared" si="125"/>
        <v/>
      </c>
      <c r="I2293" s="6" t="str">
        <f t="shared" si="123"/>
        <v>0</v>
      </c>
      <c r="O2293" t="s">
        <v>321</v>
      </c>
    </row>
    <row r="2294" spans="1:15" ht="17" x14ac:dyDescent="0.25">
      <c r="A2294" t="s">
        <v>2582</v>
      </c>
      <c r="B2294" s="28" t="s">
        <v>3977</v>
      </c>
      <c r="E2294" t="str">
        <f t="shared" si="124"/>
        <v/>
      </c>
      <c r="G2294" s="5" t="str">
        <f t="shared" si="125"/>
        <v/>
      </c>
      <c r="I2294" s="6" t="str">
        <f t="shared" si="123"/>
        <v>0</v>
      </c>
      <c r="O2294" t="s">
        <v>321</v>
      </c>
    </row>
    <row r="2295" spans="1:15" ht="17" x14ac:dyDescent="0.25">
      <c r="A2295" t="s">
        <v>2583</v>
      </c>
      <c r="B2295" s="28" t="s">
        <v>3934</v>
      </c>
      <c r="C2295" t="s">
        <v>3168</v>
      </c>
      <c r="D2295" s="26" t="s">
        <v>3935</v>
      </c>
      <c r="E2295" t="str">
        <f t="shared" si="124"/>
        <v>gfx-data/Dungeon_ViewCell_CentredSlots.lookup</v>
      </c>
      <c r="F2295" s="26" t="s">
        <v>3936</v>
      </c>
      <c r="G2295" s="5">
        <f t="shared" si="125"/>
        <v>46682</v>
      </c>
      <c r="H2295" s="5">
        <v>20</v>
      </c>
      <c r="I2295" s="6" t="str">
        <f t="shared" si="123"/>
        <v>14</v>
      </c>
      <c r="K2295" s="6" t="s">
        <v>3937</v>
      </c>
    </row>
    <row r="2296" spans="1:15" ht="17" x14ac:dyDescent="0.25">
      <c r="A2296" t="s">
        <v>2584</v>
      </c>
      <c r="B2296" s="28" t="s">
        <v>3938</v>
      </c>
      <c r="C2296" t="s">
        <v>3168</v>
      </c>
      <c r="D2296" s="26" t="s">
        <v>3939</v>
      </c>
      <c r="E2296" t="str">
        <f t="shared" si="124"/>
        <v>gfx-data/Dungeon_ViewCell_WallFaces.lookup</v>
      </c>
      <c r="F2296" s="26" t="s">
        <v>3940</v>
      </c>
      <c r="G2296" s="5">
        <f t="shared" si="125"/>
        <v>46702</v>
      </c>
      <c r="H2296" s="5">
        <v>76</v>
      </c>
      <c r="I2296" s="6" t="str">
        <f t="shared" si="123"/>
        <v>4C</v>
      </c>
      <c r="K2296" s="6" t="s">
        <v>3941</v>
      </c>
    </row>
    <row r="2297" spans="1:15" x14ac:dyDescent="0.2">
      <c r="A2297" t="s">
        <v>2585</v>
      </c>
      <c r="B2297" s="27" t="s">
        <v>321</v>
      </c>
      <c r="E2297" t="str">
        <f t="shared" si="124"/>
        <v/>
      </c>
      <c r="G2297" s="5" t="str">
        <f t="shared" si="125"/>
        <v/>
      </c>
      <c r="I2297" s="6" t="str">
        <f t="shared" si="123"/>
        <v>0</v>
      </c>
      <c r="O2297" t="s">
        <v>321</v>
      </c>
    </row>
    <row r="2298" spans="1:15" x14ac:dyDescent="0.2">
      <c r="A2298" t="s">
        <v>2586</v>
      </c>
      <c r="B2298" s="27" t="s">
        <v>321</v>
      </c>
      <c r="E2298" t="str">
        <f t="shared" si="124"/>
        <v/>
      </c>
      <c r="G2298" s="5" t="str">
        <f t="shared" si="125"/>
        <v/>
      </c>
      <c r="I2298" s="6" t="str">
        <f t="shared" si="123"/>
        <v>0</v>
      </c>
      <c r="O2298" t="s">
        <v>321</v>
      </c>
    </row>
    <row r="2299" spans="1:15" x14ac:dyDescent="0.2">
      <c r="A2299" t="s">
        <v>2587</v>
      </c>
      <c r="B2299" s="27" t="s">
        <v>321</v>
      </c>
      <c r="E2299" t="str">
        <f t="shared" si="124"/>
        <v/>
      </c>
      <c r="G2299" s="5" t="str">
        <f t="shared" si="125"/>
        <v/>
      </c>
      <c r="I2299" s="6" t="str">
        <f t="shared" si="123"/>
        <v>0</v>
      </c>
      <c r="O2299" t="s">
        <v>321</v>
      </c>
    </row>
    <row r="2300" spans="1:15" x14ac:dyDescent="0.2">
      <c r="A2300" t="s">
        <v>2588</v>
      </c>
      <c r="B2300" s="27" t="s">
        <v>321</v>
      </c>
      <c r="E2300" t="str">
        <f t="shared" si="124"/>
        <v/>
      </c>
      <c r="G2300" s="5" t="str">
        <f t="shared" si="125"/>
        <v/>
      </c>
      <c r="I2300" s="6" t="str">
        <f t="shared" si="123"/>
        <v>0</v>
      </c>
      <c r="O2300" t="s">
        <v>321</v>
      </c>
    </row>
    <row r="2301" spans="1:15" x14ac:dyDescent="0.2">
      <c r="A2301" t="s">
        <v>2589</v>
      </c>
      <c r="B2301" s="27" t="s">
        <v>321</v>
      </c>
      <c r="E2301" t="str">
        <f t="shared" si="124"/>
        <v/>
      </c>
      <c r="G2301" s="5" t="str">
        <f t="shared" si="125"/>
        <v/>
      </c>
      <c r="I2301" s="6" t="str">
        <f t="shared" si="123"/>
        <v>0</v>
      </c>
      <c r="O2301" t="s">
        <v>321</v>
      </c>
    </row>
    <row r="2302" spans="1:15" x14ac:dyDescent="0.2">
      <c r="A2302" t="s">
        <v>2590</v>
      </c>
      <c r="B2302" s="27" t="s">
        <v>321</v>
      </c>
      <c r="E2302" t="str">
        <f t="shared" si="124"/>
        <v/>
      </c>
      <c r="G2302" s="5" t="str">
        <f t="shared" si="125"/>
        <v/>
      </c>
      <c r="I2302" s="6" t="str">
        <f t="shared" si="123"/>
        <v>0</v>
      </c>
      <c r="O2302" t="s">
        <v>321</v>
      </c>
    </row>
    <row r="2303" spans="1:15" x14ac:dyDescent="0.2">
      <c r="A2303" t="s">
        <v>2591</v>
      </c>
      <c r="B2303" s="27" t="s">
        <v>321</v>
      </c>
      <c r="E2303" t="str">
        <f t="shared" si="124"/>
        <v/>
      </c>
      <c r="G2303" s="5" t="str">
        <f t="shared" si="125"/>
        <v/>
      </c>
      <c r="I2303" s="6" t="str">
        <f t="shared" si="123"/>
        <v>0</v>
      </c>
      <c r="O2303" t="s">
        <v>321</v>
      </c>
    </row>
    <row r="2304" spans="1:15" x14ac:dyDescent="0.2">
      <c r="A2304" t="s">
        <v>2592</v>
      </c>
      <c r="B2304" s="27" t="s">
        <v>2593</v>
      </c>
      <c r="E2304" t="str">
        <f t="shared" si="124"/>
        <v/>
      </c>
      <c r="G2304" s="5" t="str">
        <f t="shared" si="125"/>
        <v/>
      </c>
      <c r="I2304" s="6" t="str">
        <f t="shared" si="123"/>
        <v>0</v>
      </c>
      <c r="O2304" t="s">
        <v>2593</v>
      </c>
    </row>
    <row r="2305" spans="1:15" x14ac:dyDescent="0.2">
      <c r="A2305" t="s">
        <v>2594</v>
      </c>
      <c r="B2305" s="27" t="s">
        <v>321</v>
      </c>
      <c r="E2305" t="str">
        <f t="shared" si="124"/>
        <v/>
      </c>
      <c r="G2305" s="5" t="str">
        <f t="shared" si="125"/>
        <v/>
      </c>
      <c r="I2305" s="6" t="str">
        <f t="shared" si="123"/>
        <v>0</v>
      </c>
      <c r="O2305" t="s">
        <v>321</v>
      </c>
    </row>
    <row r="2306" spans="1:15" x14ac:dyDescent="0.2">
      <c r="A2306" t="s">
        <v>2595</v>
      </c>
      <c r="B2306" s="27" t="s">
        <v>321</v>
      </c>
      <c r="E2306" t="str">
        <f t="shared" si="124"/>
        <v/>
      </c>
      <c r="G2306" s="5" t="str">
        <f t="shared" si="125"/>
        <v/>
      </c>
      <c r="I2306" s="6" t="str">
        <f t="shared" si="123"/>
        <v>0</v>
      </c>
      <c r="O2306" t="s">
        <v>321</v>
      </c>
    </row>
    <row r="2307" spans="1:15" x14ac:dyDescent="0.2">
      <c r="A2307" t="s">
        <v>2596</v>
      </c>
      <c r="B2307" s="27" t="s">
        <v>321</v>
      </c>
      <c r="E2307" t="str">
        <f t="shared" si="124"/>
        <v/>
      </c>
      <c r="G2307" s="5" t="str">
        <f t="shared" si="125"/>
        <v/>
      </c>
      <c r="I2307" s="6" t="str">
        <f t="shared" si="123"/>
        <v>0</v>
      </c>
      <c r="O2307" t="s">
        <v>321</v>
      </c>
    </row>
    <row r="2308" spans="1:15" x14ac:dyDescent="0.2">
      <c r="A2308" t="s">
        <v>2597</v>
      </c>
      <c r="B2308" s="27" t="s">
        <v>2598</v>
      </c>
      <c r="E2308" t="str">
        <f t="shared" ref="E2308:E2371" si="126">IF(D2308&lt;&gt;"",C2308&amp;"/"&amp;D2308,"")</f>
        <v/>
      </c>
      <c r="G2308" s="5" t="str">
        <f t="shared" si="125"/>
        <v/>
      </c>
      <c r="I2308" s="6" t="str">
        <f t="shared" si="123"/>
        <v>0</v>
      </c>
      <c r="O2308" t="s">
        <v>2598</v>
      </c>
    </row>
    <row r="2309" spans="1:15" x14ac:dyDescent="0.2">
      <c r="A2309" t="s">
        <v>2599</v>
      </c>
      <c r="B2309" s="27" t="s">
        <v>321</v>
      </c>
      <c r="E2309" t="str">
        <f t="shared" si="126"/>
        <v/>
      </c>
      <c r="G2309" s="5" t="str">
        <f t="shared" si="125"/>
        <v/>
      </c>
      <c r="I2309" s="6" t="str">
        <f t="shared" ref="I2309:I2372" si="127">IFERROR(DEC2HEX(H2309),"")</f>
        <v>0</v>
      </c>
      <c r="O2309" t="s">
        <v>321</v>
      </c>
    </row>
    <row r="2310" spans="1:15" x14ac:dyDescent="0.2">
      <c r="A2310" t="s">
        <v>2600</v>
      </c>
      <c r="B2310" s="27" t="s">
        <v>321</v>
      </c>
      <c r="E2310" t="str">
        <f t="shared" si="126"/>
        <v/>
      </c>
      <c r="G2310" s="5" t="str">
        <f t="shared" si="125"/>
        <v/>
      </c>
      <c r="I2310" s="6" t="str">
        <f t="shared" si="127"/>
        <v>0</v>
      </c>
      <c r="O2310" t="s">
        <v>321</v>
      </c>
    </row>
    <row r="2311" spans="1:15" x14ac:dyDescent="0.2">
      <c r="A2311" t="s">
        <v>2601</v>
      </c>
      <c r="B2311" s="27" t="s">
        <v>321</v>
      </c>
      <c r="E2311" t="str">
        <f t="shared" si="126"/>
        <v/>
      </c>
      <c r="G2311" s="5" t="str">
        <f t="shared" si="125"/>
        <v/>
      </c>
      <c r="I2311" s="6" t="str">
        <f t="shared" si="127"/>
        <v>0</v>
      </c>
      <c r="O2311" t="s">
        <v>321</v>
      </c>
    </row>
    <row r="2312" spans="1:15" x14ac:dyDescent="0.2">
      <c r="A2312" t="s">
        <v>2602</v>
      </c>
      <c r="B2312" s="27" t="s">
        <v>321</v>
      </c>
      <c r="E2312" t="str">
        <f t="shared" si="126"/>
        <v/>
      </c>
      <c r="G2312" s="5" t="str">
        <f t="shared" si="125"/>
        <v/>
      </c>
      <c r="I2312" s="6" t="str">
        <f t="shared" si="127"/>
        <v>0</v>
      </c>
      <c r="O2312" t="s">
        <v>321</v>
      </c>
    </row>
    <row r="2313" spans="1:15" x14ac:dyDescent="0.2">
      <c r="A2313" t="s">
        <v>2603</v>
      </c>
      <c r="B2313" s="27" t="s">
        <v>321</v>
      </c>
      <c r="E2313" t="str">
        <f t="shared" si="126"/>
        <v/>
      </c>
      <c r="G2313" s="5" t="str">
        <f t="shared" si="125"/>
        <v/>
      </c>
      <c r="I2313" s="6" t="str">
        <f t="shared" si="127"/>
        <v>0</v>
      </c>
      <c r="O2313" t="s">
        <v>321</v>
      </c>
    </row>
    <row r="2314" spans="1:15" x14ac:dyDescent="0.2">
      <c r="A2314" t="s">
        <v>2604</v>
      </c>
      <c r="B2314" s="27" t="s">
        <v>2605</v>
      </c>
      <c r="E2314" t="str">
        <f t="shared" si="126"/>
        <v/>
      </c>
      <c r="G2314" s="5" t="str">
        <f t="shared" si="125"/>
        <v/>
      </c>
      <c r="I2314" s="6" t="str">
        <f t="shared" si="127"/>
        <v>0</v>
      </c>
      <c r="O2314" t="s">
        <v>2605</v>
      </c>
    </row>
    <row r="2315" spans="1:15" x14ac:dyDescent="0.2">
      <c r="A2315" t="s">
        <v>2606</v>
      </c>
      <c r="B2315" s="27" t="s">
        <v>2607</v>
      </c>
      <c r="E2315" t="str">
        <f t="shared" si="126"/>
        <v/>
      </c>
      <c r="G2315" s="5" t="str">
        <f t="shared" ref="G2315:G2378" si="128">IF(F2315&lt;&gt;"",HEX2DEC(SUBSTITUTE(SUBSTITUTE(F2315,"adrEA",""),"$","")),"")</f>
        <v/>
      </c>
      <c r="I2315" s="6" t="str">
        <f t="shared" si="127"/>
        <v>0</v>
      </c>
      <c r="O2315" t="s">
        <v>2607</v>
      </c>
    </row>
    <row r="2316" spans="1:15" x14ac:dyDescent="0.2">
      <c r="A2316" t="s">
        <v>2608</v>
      </c>
      <c r="B2316" s="27" t="s">
        <v>321</v>
      </c>
      <c r="E2316" t="str">
        <f t="shared" si="126"/>
        <v/>
      </c>
      <c r="G2316" s="5" t="str">
        <f t="shared" si="128"/>
        <v/>
      </c>
      <c r="I2316" s="6" t="str">
        <f t="shared" si="127"/>
        <v>0</v>
      </c>
      <c r="O2316" t="s">
        <v>321</v>
      </c>
    </row>
    <row r="2317" spans="1:15" x14ac:dyDescent="0.2">
      <c r="A2317" t="s">
        <v>2609</v>
      </c>
      <c r="B2317" s="27" t="s">
        <v>321</v>
      </c>
      <c r="E2317" t="str">
        <f t="shared" si="126"/>
        <v/>
      </c>
      <c r="G2317" s="5" t="str">
        <f t="shared" si="128"/>
        <v/>
      </c>
      <c r="I2317" s="6" t="str">
        <f t="shared" si="127"/>
        <v>0</v>
      </c>
      <c r="O2317" t="s">
        <v>321</v>
      </c>
    </row>
    <row r="2318" spans="1:15" x14ac:dyDescent="0.2">
      <c r="A2318" t="s">
        <v>2610</v>
      </c>
      <c r="B2318" s="27" t="s">
        <v>321</v>
      </c>
      <c r="E2318" t="str">
        <f t="shared" si="126"/>
        <v/>
      </c>
      <c r="G2318" s="5" t="str">
        <f t="shared" si="128"/>
        <v/>
      </c>
      <c r="I2318" s="6" t="str">
        <f t="shared" si="127"/>
        <v>0</v>
      </c>
      <c r="O2318" t="s">
        <v>321</v>
      </c>
    </row>
    <row r="2319" spans="1:15" x14ac:dyDescent="0.2">
      <c r="A2319" t="s">
        <v>2611</v>
      </c>
      <c r="B2319" s="27" t="s">
        <v>321</v>
      </c>
      <c r="E2319" t="str">
        <f t="shared" si="126"/>
        <v/>
      </c>
      <c r="G2319" s="5" t="str">
        <f t="shared" si="128"/>
        <v/>
      </c>
      <c r="I2319" s="6" t="str">
        <f t="shared" si="127"/>
        <v>0</v>
      </c>
      <c r="O2319" t="s">
        <v>321</v>
      </c>
    </row>
    <row r="2320" spans="1:15" x14ac:dyDescent="0.2">
      <c r="A2320" t="s">
        <v>2612</v>
      </c>
      <c r="B2320" s="27" t="s">
        <v>321</v>
      </c>
      <c r="E2320" t="str">
        <f t="shared" si="126"/>
        <v/>
      </c>
      <c r="G2320" s="5" t="str">
        <f t="shared" si="128"/>
        <v/>
      </c>
      <c r="I2320" s="6" t="str">
        <f t="shared" si="127"/>
        <v>0</v>
      </c>
      <c r="O2320" t="s">
        <v>321</v>
      </c>
    </row>
    <row r="2321" spans="1:15" x14ac:dyDescent="0.2">
      <c r="A2321" t="s">
        <v>2613</v>
      </c>
      <c r="B2321" s="27" t="s">
        <v>2614</v>
      </c>
      <c r="E2321" t="str">
        <f t="shared" si="126"/>
        <v/>
      </c>
      <c r="G2321" s="5" t="str">
        <f t="shared" si="128"/>
        <v/>
      </c>
      <c r="I2321" s="6" t="str">
        <f t="shared" si="127"/>
        <v>0</v>
      </c>
      <c r="O2321" t="s">
        <v>2614</v>
      </c>
    </row>
    <row r="2322" spans="1:15" x14ac:dyDescent="0.2">
      <c r="A2322" t="s">
        <v>2615</v>
      </c>
      <c r="B2322" s="27" t="s">
        <v>321</v>
      </c>
      <c r="E2322" t="str">
        <f t="shared" si="126"/>
        <v/>
      </c>
      <c r="G2322" s="5" t="str">
        <f t="shared" si="128"/>
        <v/>
      </c>
      <c r="I2322" s="6" t="str">
        <f t="shared" si="127"/>
        <v>0</v>
      </c>
      <c r="O2322" t="s">
        <v>321</v>
      </c>
    </row>
    <row r="2323" spans="1:15" x14ac:dyDescent="0.2">
      <c r="A2323" t="s">
        <v>2616</v>
      </c>
      <c r="B2323" s="27" t="s">
        <v>321</v>
      </c>
      <c r="E2323" t="str">
        <f t="shared" si="126"/>
        <v/>
      </c>
      <c r="G2323" s="5" t="str">
        <f t="shared" si="128"/>
        <v/>
      </c>
      <c r="I2323" s="6" t="str">
        <f t="shared" si="127"/>
        <v>0</v>
      </c>
      <c r="O2323" t="s">
        <v>321</v>
      </c>
    </row>
    <row r="2324" spans="1:15" x14ac:dyDescent="0.2">
      <c r="A2324" t="s">
        <v>2617</v>
      </c>
      <c r="B2324" s="27" t="s">
        <v>321</v>
      </c>
      <c r="E2324" t="str">
        <f t="shared" si="126"/>
        <v/>
      </c>
      <c r="G2324" s="5" t="str">
        <f t="shared" si="128"/>
        <v/>
      </c>
      <c r="I2324" s="6" t="str">
        <f t="shared" si="127"/>
        <v>0</v>
      </c>
      <c r="O2324" t="s">
        <v>321</v>
      </c>
    </row>
    <row r="2325" spans="1:15" x14ac:dyDescent="0.2">
      <c r="A2325" t="s">
        <v>2618</v>
      </c>
      <c r="B2325" s="27" t="s">
        <v>321</v>
      </c>
      <c r="E2325" t="str">
        <f t="shared" si="126"/>
        <v/>
      </c>
      <c r="G2325" s="5" t="str">
        <f t="shared" si="128"/>
        <v/>
      </c>
      <c r="I2325" s="6" t="str">
        <f t="shared" si="127"/>
        <v>0</v>
      </c>
      <c r="O2325" t="s">
        <v>321</v>
      </c>
    </row>
    <row r="2326" spans="1:15" x14ac:dyDescent="0.2">
      <c r="A2326" t="s">
        <v>2619</v>
      </c>
      <c r="B2326" s="27" t="s">
        <v>321</v>
      </c>
      <c r="E2326" t="str">
        <f t="shared" si="126"/>
        <v/>
      </c>
      <c r="G2326" s="5" t="str">
        <f t="shared" si="128"/>
        <v/>
      </c>
      <c r="I2326" s="6" t="str">
        <f t="shared" si="127"/>
        <v>0</v>
      </c>
      <c r="O2326" t="s">
        <v>321</v>
      </c>
    </row>
    <row r="2327" spans="1:15" x14ac:dyDescent="0.2">
      <c r="A2327" t="s">
        <v>2620</v>
      </c>
      <c r="B2327" s="27" t="s">
        <v>321</v>
      </c>
      <c r="E2327" t="str">
        <f t="shared" si="126"/>
        <v/>
      </c>
      <c r="G2327" s="5" t="str">
        <f t="shared" si="128"/>
        <v/>
      </c>
      <c r="I2327" s="6" t="str">
        <f t="shared" si="127"/>
        <v>0</v>
      </c>
      <c r="O2327" t="s">
        <v>321</v>
      </c>
    </row>
    <row r="2328" spans="1:15" x14ac:dyDescent="0.2">
      <c r="A2328" t="s">
        <v>2621</v>
      </c>
      <c r="B2328" s="27" t="s">
        <v>321</v>
      </c>
      <c r="E2328" t="str">
        <f t="shared" si="126"/>
        <v/>
      </c>
      <c r="G2328" s="5" t="str">
        <f t="shared" si="128"/>
        <v/>
      </c>
      <c r="I2328" s="6" t="str">
        <f t="shared" si="127"/>
        <v>0</v>
      </c>
      <c r="O2328" t="s">
        <v>321</v>
      </c>
    </row>
    <row r="2329" spans="1:15" x14ac:dyDescent="0.2">
      <c r="A2329" t="s">
        <v>2622</v>
      </c>
      <c r="B2329" s="27" t="s">
        <v>321</v>
      </c>
      <c r="E2329" t="str">
        <f t="shared" si="126"/>
        <v/>
      </c>
      <c r="G2329" s="5" t="str">
        <f t="shared" si="128"/>
        <v/>
      </c>
      <c r="I2329" s="6" t="str">
        <f t="shared" si="127"/>
        <v>0</v>
      </c>
      <c r="O2329" t="s">
        <v>321</v>
      </c>
    </row>
    <row r="2330" spans="1:15" x14ac:dyDescent="0.2">
      <c r="A2330" t="s">
        <v>2623</v>
      </c>
      <c r="B2330" s="27" t="s">
        <v>321</v>
      </c>
      <c r="E2330" t="str">
        <f t="shared" si="126"/>
        <v/>
      </c>
      <c r="G2330" s="5" t="str">
        <f t="shared" si="128"/>
        <v/>
      </c>
      <c r="I2330" s="6" t="str">
        <f t="shared" si="127"/>
        <v>0</v>
      </c>
      <c r="O2330" t="s">
        <v>321</v>
      </c>
    </row>
    <row r="2331" spans="1:15" x14ac:dyDescent="0.2">
      <c r="A2331" t="s">
        <v>2624</v>
      </c>
      <c r="B2331" s="27" t="s">
        <v>321</v>
      </c>
      <c r="E2331" t="str">
        <f t="shared" si="126"/>
        <v/>
      </c>
      <c r="G2331" s="5" t="str">
        <f t="shared" si="128"/>
        <v/>
      </c>
      <c r="I2331" s="6" t="str">
        <f t="shared" si="127"/>
        <v>0</v>
      </c>
      <c r="O2331" t="s">
        <v>321</v>
      </c>
    </row>
    <row r="2332" spans="1:15" x14ac:dyDescent="0.2">
      <c r="A2332" t="s">
        <v>2625</v>
      </c>
      <c r="B2332" s="27" t="s">
        <v>2626</v>
      </c>
      <c r="E2332" t="str">
        <f t="shared" si="126"/>
        <v/>
      </c>
      <c r="G2332" s="5" t="str">
        <f t="shared" si="128"/>
        <v/>
      </c>
      <c r="I2332" s="6" t="str">
        <f t="shared" si="127"/>
        <v>0</v>
      </c>
      <c r="O2332" t="s">
        <v>2626</v>
      </c>
    </row>
    <row r="2333" spans="1:15" x14ac:dyDescent="0.2">
      <c r="A2333" t="s">
        <v>2627</v>
      </c>
      <c r="B2333" s="27" t="s">
        <v>321</v>
      </c>
      <c r="E2333" t="str">
        <f t="shared" si="126"/>
        <v/>
      </c>
      <c r="G2333" s="5" t="str">
        <f t="shared" si="128"/>
        <v/>
      </c>
      <c r="I2333" s="6" t="str">
        <f t="shared" si="127"/>
        <v>0</v>
      </c>
      <c r="O2333" t="s">
        <v>321</v>
      </c>
    </row>
    <row r="2334" spans="1:15" x14ac:dyDescent="0.2">
      <c r="A2334" t="s">
        <v>2628</v>
      </c>
      <c r="B2334" s="27" t="s">
        <v>321</v>
      </c>
      <c r="E2334" t="str">
        <f t="shared" si="126"/>
        <v/>
      </c>
      <c r="G2334" s="5" t="str">
        <f t="shared" si="128"/>
        <v/>
      </c>
      <c r="I2334" s="6" t="str">
        <f t="shared" si="127"/>
        <v>0</v>
      </c>
      <c r="O2334" t="s">
        <v>321</v>
      </c>
    </row>
    <row r="2335" spans="1:15" x14ac:dyDescent="0.2">
      <c r="A2335" t="s">
        <v>2629</v>
      </c>
      <c r="B2335" s="27" t="s">
        <v>321</v>
      </c>
      <c r="E2335" t="str">
        <f t="shared" si="126"/>
        <v/>
      </c>
      <c r="G2335" s="5" t="str">
        <f t="shared" si="128"/>
        <v/>
      </c>
      <c r="I2335" s="6" t="str">
        <f t="shared" si="127"/>
        <v>0</v>
      </c>
      <c r="O2335" t="s">
        <v>321</v>
      </c>
    </row>
    <row r="2336" spans="1:15" x14ac:dyDescent="0.2">
      <c r="A2336" t="s">
        <v>2630</v>
      </c>
      <c r="B2336" s="27" t="s">
        <v>2631</v>
      </c>
      <c r="E2336" t="str">
        <f t="shared" si="126"/>
        <v/>
      </c>
      <c r="G2336" s="5" t="str">
        <f t="shared" si="128"/>
        <v/>
      </c>
      <c r="I2336" s="6" t="str">
        <f t="shared" si="127"/>
        <v>0</v>
      </c>
      <c r="O2336" t="s">
        <v>2631</v>
      </c>
    </row>
    <row r="2337" spans="1:15" x14ac:dyDescent="0.2">
      <c r="A2337" t="s">
        <v>2632</v>
      </c>
      <c r="B2337" s="27" t="s">
        <v>321</v>
      </c>
      <c r="E2337" t="str">
        <f t="shared" si="126"/>
        <v/>
      </c>
      <c r="G2337" s="5" t="str">
        <f t="shared" si="128"/>
        <v/>
      </c>
      <c r="I2337" s="6" t="str">
        <f t="shared" si="127"/>
        <v>0</v>
      </c>
      <c r="O2337" t="s">
        <v>321</v>
      </c>
    </row>
    <row r="2338" spans="1:15" x14ac:dyDescent="0.2">
      <c r="A2338" t="s">
        <v>2633</v>
      </c>
      <c r="B2338" s="27" t="s">
        <v>321</v>
      </c>
      <c r="E2338" t="str">
        <f t="shared" si="126"/>
        <v/>
      </c>
      <c r="G2338" s="5" t="str">
        <f t="shared" si="128"/>
        <v/>
      </c>
      <c r="I2338" s="6" t="str">
        <f t="shared" si="127"/>
        <v>0</v>
      </c>
      <c r="O2338" t="s">
        <v>321</v>
      </c>
    </row>
    <row r="2339" spans="1:15" x14ac:dyDescent="0.2">
      <c r="A2339" t="s">
        <v>2634</v>
      </c>
      <c r="B2339" s="27" t="s">
        <v>321</v>
      </c>
      <c r="E2339" t="str">
        <f t="shared" si="126"/>
        <v/>
      </c>
      <c r="G2339" s="5" t="str">
        <f t="shared" si="128"/>
        <v/>
      </c>
      <c r="I2339" s="6" t="str">
        <f t="shared" si="127"/>
        <v>0</v>
      </c>
      <c r="O2339" t="s">
        <v>321</v>
      </c>
    </row>
    <row r="2340" spans="1:15" x14ac:dyDescent="0.2">
      <c r="A2340" t="s">
        <v>2635</v>
      </c>
      <c r="B2340" s="27" t="s">
        <v>321</v>
      </c>
      <c r="E2340" t="str">
        <f t="shared" si="126"/>
        <v/>
      </c>
      <c r="G2340" s="5" t="str">
        <f t="shared" si="128"/>
        <v/>
      </c>
      <c r="I2340" s="6" t="str">
        <f t="shared" si="127"/>
        <v>0</v>
      </c>
      <c r="O2340" t="s">
        <v>321</v>
      </c>
    </row>
    <row r="2341" spans="1:15" x14ac:dyDescent="0.2">
      <c r="A2341" t="s">
        <v>2636</v>
      </c>
      <c r="B2341" s="27" t="s">
        <v>2637</v>
      </c>
      <c r="E2341" t="str">
        <f t="shared" si="126"/>
        <v/>
      </c>
      <c r="G2341" s="5" t="str">
        <f t="shared" si="128"/>
        <v/>
      </c>
      <c r="I2341" s="6" t="str">
        <f t="shared" si="127"/>
        <v>0</v>
      </c>
      <c r="O2341" t="s">
        <v>2637</v>
      </c>
    </row>
    <row r="2342" spans="1:15" x14ac:dyDescent="0.2">
      <c r="A2342" t="s">
        <v>2638</v>
      </c>
      <c r="B2342" s="27" t="s">
        <v>2639</v>
      </c>
      <c r="E2342" t="str">
        <f t="shared" si="126"/>
        <v/>
      </c>
      <c r="G2342" s="5" t="str">
        <f t="shared" si="128"/>
        <v/>
      </c>
      <c r="I2342" s="6" t="str">
        <f t="shared" si="127"/>
        <v>0</v>
      </c>
      <c r="O2342" t="s">
        <v>2639</v>
      </c>
    </row>
    <row r="2343" spans="1:15" x14ac:dyDescent="0.2">
      <c r="A2343" t="s">
        <v>2640</v>
      </c>
      <c r="B2343" s="27" t="s">
        <v>321</v>
      </c>
      <c r="E2343" t="str">
        <f t="shared" si="126"/>
        <v/>
      </c>
      <c r="G2343" s="5" t="str">
        <f t="shared" si="128"/>
        <v/>
      </c>
      <c r="I2343" s="6" t="str">
        <f t="shared" si="127"/>
        <v>0</v>
      </c>
      <c r="O2343" t="s">
        <v>321</v>
      </c>
    </row>
    <row r="2344" spans="1:15" x14ac:dyDescent="0.2">
      <c r="A2344" t="s">
        <v>2641</v>
      </c>
      <c r="B2344" s="27" t="s">
        <v>321</v>
      </c>
      <c r="E2344" t="str">
        <f t="shared" si="126"/>
        <v/>
      </c>
      <c r="G2344" s="5" t="str">
        <f t="shared" si="128"/>
        <v/>
      </c>
      <c r="I2344" s="6" t="str">
        <f t="shared" si="127"/>
        <v>0</v>
      </c>
      <c r="O2344" t="s">
        <v>321</v>
      </c>
    </row>
    <row r="2345" spans="1:15" x14ac:dyDescent="0.2">
      <c r="A2345" t="s">
        <v>2642</v>
      </c>
      <c r="B2345" s="27" t="s">
        <v>321</v>
      </c>
      <c r="E2345" t="str">
        <f t="shared" si="126"/>
        <v/>
      </c>
      <c r="G2345" s="5" t="str">
        <f t="shared" si="128"/>
        <v/>
      </c>
      <c r="I2345" s="6" t="str">
        <f t="shared" si="127"/>
        <v>0</v>
      </c>
      <c r="O2345" t="s">
        <v>321</v>
      </c>
    </row>
    <row r="2346" spans="1:15" x14ac:dyDescent="0.2">
      <c r="A2346" t="s">
        <v>2643</v>
      </c>
      <c r="B2346" s="27" t="s">
        <v>321</v>
      </c>
      <c r="E2346" t="str">
        <f t="shared" si="126"/>
        <v/>
      </c>
      <c r="G2346" s="5" t="str">
        <f t="shared" si="128"/>
        <v/>
      </c>
      <c r="I2346" s="6" t="str">
        <f t="shared" si="127"/>
        <v>0</v>
      </c>
      <c r="O2346" t="s">
        <v>321</v>
      </c>
    </row>
    <row r="2347" spans="1:15" x14ac:dyDescent="0.2">
      <c r="A2347" t="s">
        <v>2644</v>
      </c>
      <c r="B2347" s="27" t="s">
        <v>321</v>
      </c>
      <c r="E2347" t="str">
        <f t="shared" si="126"/>
        <v/>
      </c>
      <c r="G2347" s="5" t="str">
        <f t="shared" si="128"/>
        <v/>
      </c>
      <c r="I2347" s="6" t="str">
        <f t="shared" si="127"/>
        <v>0</v>
      </c>
      <c r="O2347" t="s">
        <v>321</v>
      </c>
    </row>
    <row r="2348" spans="1:15" x14ac:dyDescent="0.2">
      <c r="A2348" t="s">
        <v>2645</v>
      </c>
      <c r="B2348" s="27" t="s">
        <v>321</v>
      </c>
      <c r="E2348" t="str">
        <f t="shared" si="126"/>
        <v/>
      </c>
      <c r="G2348" s="5" t="str">
        <f t="shared" si="128"/>
        <v/>
      </c>
      <c r="I2348" s="6" t="str">
        <f t="shared" si="127"/>
        <v>0</v>
      </c>
      <c r="O2348" t="s">
        <v>321</v>
      </c>
    </row>
    <row r="2349" spans="1:15" x14ac:dyDescent="0.2">
      <c r="A2349" t="s">
        <v>2646</v>
      </c>
      <c r="B2349" s="27" t="s">
        <v>321</v>
      </c>
      <c r="E2349" t="str">
        <f t="shared" si="126"/>
        <v/>
      </c>
      <c r="G2349" s="5" t="str">
        <f t="shared" si="128"/>
        <v/>
      </c>
      <c r="I2349" s="6" t="str">
        <f t="shared" si="127"/>
        <v>0</v>
      </c>
      <c r="O2349" t="s">
        <v>321</v>
      </c>
    </row>
    <row r="2350" spans="1:15" x14ac:dyDescent="0.2">
      <c r="A2350" t="s">
        <v>2647</v>
      </c>
      <c r="B2350" s="27" t="s">
        <v>321</v>
      </c>
      <c r="E2350" t="str">
        <f t="shared" si="126"/>
        <v/>
      </c>
      <c r="G2350" s="5" t="str">
        <f t="shared" si="128"/>
        <v/>
      </c>
      <c r="I2350" s="6" t="str">
        <f t="shared" si="127"/>
        <v>0</v>
      </c>
      <c r="O2350" t="s">
        <v>321</v>
      </c>
    </row>
    <row r="2351" spans="1:15" x14ac:dyDescent="0.2">
      <c r="A2351" t="s">
        <v>2648</v>
      </c>
      <c r="B2351" s="27" t="s">
        <v>321</v>
      </c>
      <c r="E2351" t="str">
        <f t="shared" si="126"/>
        <v/>
      </c>
      <c r="G2351" s="5" t="str">
        <f t="shared" si="128"/>
        <v/>
      </c>
      <c r="I2351" s="6" t="str">
        <f t="shared" si="127"/>
        <v>0</v>
      </c>
      <c r="O2351" t="s">
        <v>321</v>
      </c>
    </row>
    <row r="2352" spans="1:15" x14ac:dyDescent="0.2">
      <c r="A2352" t="s">
        <v>2649</v>
      </c>
      <c r="B2352" s="27" t="s">
        <v>321</v>
      </c>
      <c r="E2352" t="str">
        <f t="shared" si="126"/>
        <v/>
      </c>
      <c r="G2352" s="5" t="str">
        <f t="shared" si="128"/>
        <v/>
      </c>
      <c r="I2352" s="6" t="str">
        <f t="shared" si="127"/>
        <v>0</v>
      </c>
      <c r="O2352" t="s">
        <v>321</v>
      </c>
    </row>
    <row r="2353" spans="1:15" x14ac:dyDescent="0.2">
      <c r="A2353" t="s">
        <v>2650</v>
      </c>
      <c r="B2353" s="27" t="s">
        <v>321</v>
      </c>
      <c r="E2353" t="str">
        <f t="shared" si="126"/>
        <v/>
      </c>
      <c r="G2353" s="5" t="str">
        <f t="shared" si="128"/>
        <v/>
      </c>
      <c r="I2353" s="6" t="str">
        <f t="shared" si="127"/>
        <v>0</v>
      </c>
      <c r="O2353" t="s">
        <v>321</v>
      </c>
    </row>
    <row r="2354" spans="1:15" x14ac:dyDescent="0.2">
      <c r="A2354" t="s">
        <v>2651</v>
      </c>
      <c r="B2354" s="27" t="s">
        <v>321</v>
      </c>
      <c r="E2354" t="str">
        <f t="shared" si="126"/>
        <v/>
      </c>
      <c r="G2354" s="5" t="str">
        <f t="shared" si="128"/>
        <v/>
      </c>
      <c r="I2354" s="6" t="str">
        <f t="shared" si="127"/>
        <v>0</v>
      </c>
      <c r="O2354" t="s">
        <v>321</v>
      </c>
    </row>
    <row r="2355" spans="1:15" x14ac:dyDescent="0.2">
      <c r="A2355" t="s">
        <v>2652</v>
      </c>
      <c r="B2355" s="27" t="s">
        <v>321</v>
      </c>
      <c r="E2355" t="str">
        <f t="shared" si="126"/>
        <v/>
      </c>
      <c r="G2355" s="5" t="str">
        <f t="shared" si="128"/>
        <v/>
      </c>
      <c r="I2355" s="6" t="str">
        <f t="shared" si="127"/>
        <v>0</v>
      </c>
      <c r="O2355" t="s">
        <v>321</v>
      </c>
    </row>
    <row r="2356" spans="1:15" x14ac:dyDescent="0.2">
      <c r="A2356" t="s">
        <v>2653</v>
      </c>
      <c r="B2356" s="27" t="s">
        <v>321</v>
      </c>
      <c r="E2356" t="str">
        <f t="shared" si="126"/>
        <v/>
      </c>
      <c r="G2356" s="5" t="str">
        <f t="shared" si="128"/>
        <v/>
      </c>
      <c r="I2356" s="6" t="str">
        <f t="shared" si="127"/>
        <v>0</v>
      </c>
      <c r="O2356" t="s">
        <v>321</v>
      </c>
    </row>
    <row r="2357" spans="1:15" x14ac:dyDescent="0.2">
      <c r="A2357" t="s">
        <v>2654</v>
      </c>
      <c r="B2357" s="27" t="s">
        <v>321</v>
      </c>
      <c r="E2357" t="str">
        <f t="shared" si="126"/>
        <v/>
      </c>
      <c r="G2357" s="5" t="str">
        <f t="shared" si="128"/>
        <v/>
      </c>
      <c r="I2357" s="6" t="str">
        <f t="shared" si="127"/>
        <v>0</v>
      </c>
      <c r="O2357" t="s">
        <v>321</v>
      </c>
    </row>
    <row r="2358" spans="1:15" x14ac:dyDescent="0.2">
      <c r="A2358" t="s">
        <v>2655</v>
      </c>
      <c r="B2358" s="27" t="s">
        <v>321</v>
      </c>
      <c r="E2358" t="str">
        <f t="shared" si="126"/>
        <v/>
      </c>
      <c r="G2358" s="5" t="str">
        <f t="shared" si="128"/>
        <v/>
      </c>
      <c r="I2358" s="6" t="str">
        <f t="shared" si="127"/>
        <v>0</v>
      </c>
      <c r="O2358" t="s">
        <v>321</v>
      </c>
    </row>
    <row r="2359" spans="1:15" x14ac:dyDescent="0.2">
      <c r="A2359" t="s">
        <v>2656</v>
      </c>
      <c r="B2359" s="27" t="s">
        <v>321</v>
      </c>
      <c r="E2359" t="str">
        <f t="shared" si="126"/>
        <v/>
      </c>
      <c r="G2359" s="5" t="str">
        <f t="shared" si="128"/>
        <v/>
      </c>
      <c r="I2359" s="6" t="str">
        <f t="shared" si="127"/>
        <v>0</v>
      </c>
      <c r="O2359" t="s">
        <v>321</v>
      </c>
    </row>
    <row r="2360" spans="1:15" x14ac:dyDescent="0.2">
      <c r="A2360" t="s">
        <v>2657</v>
      </c>
      <c r="B2360" s="27" t="s">
        <v>321</v>
      </c>
      <c r="E2360" t="str">
        <f t="shared" si="126"/>
        <v/>
      </c>
      <c r="G2360" s="5" t="str">
        <f t="shared" si="128"/>
        <v/>
      </c>
      <c r="I2360" s="6" t="str">
        <f t="shared" si="127"/>
        <v>0</v>
      </c>
      <c r="O2360" t="s">
        <v>321</v>
      </c>
    </row>
    <row r="2361" spans="1:15" x14ac:dyDescent="0.2">
      <c r="A2361" t="s">
        <v>2658</v>
      </c>
      <c r="B2361" s="27" t="s">
        <v>321</v>
      </c>
      <c r="E2361" t="str">
        <f t="shared" si="126"/>
        <v/>
      </c>
      <c r="G2361" s="5" t="str">
        <f t="shared" si="128"/>
        <v/>
      </c>
      <c r="I2361" s="6" t="str">
        <f t="shared" si="127"/>
        <v>0</v>
      </c>
      <c r="O2361" t="s">
        <v>321</v>
      </c>
    </row>
    <row r="2362" spans="1:15" x14ac:dyDescent="0.2">
      <c r="A2362" t="s">
        <v>2659</v>
      </c>
      <c r="B2362" s="27" t="s">
        <v>321</v>
      </c>
      <c r="E2362" t="str">
        <f t="shared" si="126"/>
        <v/>
      </c>
      <c r="G2362" s="5" t="str">
        <f t="shared" si="128"/>
        <v/>
      </c>
      <c r="I2362" s="6" t="str">
        <f t="shared" si="127"/>
        <v>0</v>
      </c>
      <c r="O2362" t="s">
        <v>321</v>
      </c>
    </row>
    <row r="2363" spans="1:15" x14ac:dyDescent="0.2">
      <c r="A2363" t="s">
        <v>2660</v>
      </c>
      <c r="B2363" s="27" t="s">
        <v>321</v>
      </c>
      <c r="E2363" t="str">
        <f t="shared" si="126"/>
        <v/>
      </c>
      <c r="G2363" s="5" t="str">
        <f t="shared" si="128"/>
        <v/>
      </c>
      <c r="I2363" s="6" t="str">
        <f t="shared" si="127"/>
        <v>0</v>
      </c>
      <c r="O2363" t="s">
        <v>321</v>
      </c>
    </row>
    <row r="2364" spans="1:15" x14ac:dyDescent="0.2">
      <c r="A2364" t="s">
        <v>2661</v>
      </c>
      <c r="B2364" s="27" t="s">
        <v>321</v>
      </c>
      <c r="E2364" t="str">
        <f t="shared" si="126"/>
        <v/>
      </c>
      <c r="G2364" s="5" t="str">
        <f t="shared" si="128"/>
        <v/>
      </c>
      <c r="I2364" s="6" t="str">
        <f t="shared" si="127"/>
        <v>0</v>
      </c>
      <c r="O2364" t="s">
        <v>321</v>
      </c>
    </row>
    <row r="2365" spans="1:15" x14ac:dyDescent="0.2">
      <c r="A2365" t="s">
        <v>2662</v>
      </c>
      <c r="B2365" s="27" t="s">
        <v>321</v>
      </c>
      <c r="E2365" t="str">
        <f t="shared" si="126"/>
        <v/>
      </c>
      <c r="G2365" s="5" t="str">
        <f t="shared" si="128"/>
        <v/>
      </c>
      <c r="I2365" s="6" t="str">
        <f t="shared" si="127"/>
        <v>0</v>
      </c>
      <c r="O2365" t="s">
        <v>321</v>
      </c>
    </row>
    <row r="2366" spans="1:15" x14ac:dyDescent="0.2">
      <c r="A2366" t="s">
        <v>2663</v>
      </c>
      <c r="B2366" s="27" t="s">
        <v>321</v>
      </c>
      <c r="E2366" t="str">
        <f t="shared" si="126"/>
        <v/>
      </c>
      <c r="G2366" s="5" t="str">
        <f t="shared" si="128"/>
        <v/>
      </c>
      <c r="I2366" s="6" t="str">
        <f t="shared" si="127"/>
        <v>0</v>
      </c>
      <c r="O2366" t="s">
        <v>321</v>
      </c>
    </row>
    <row r="2367" spans="1:15" x14ac:dyDescent="0.2">
      <c r="A2367" t="s">
        <v>2664</v>
      </c>
      <c r="B2367" s="27" t="s">
        <v>321</v>
      </c>
      <c r="E2367" t="str">
        <f t="shared" si="126"/>
        <v/>
      </c>
      <c r="G2367" s="5" t="str">
        <f t="shared" si="128"/>
        <v/>
      </c>
      <c r="I2367" s="6" t="str">
        <f t="shared" si="127"/>
        <v>0</v>
      </c>
      <c r="O2367" t="s">
        <v>321</v>
      </c>
    </row>
    <row r="2368" spans="1:15" x14ac:dyDescent="0.2">
      <c r="A2368" t="s">
        <v>2665</v>
      </c>
      <c r="B2368" s="27" t="s">
        <v>321</v>
      </c>
      <c r="E2368" t="str">
        <f t="shared" si="126"/>
        <v/>
      </c>
      <c r="G2368" s="5" t="str">
        <f t="shared" si="128"/>
        <v/>
      </c>
      <c r="I2368" s="6" t="str">
        <f t="shared" si="127"/>
        <v>0</v>
      </c>
      <c r="O2368" t="s">
        <v>321</v>
      </c>
    </row>
    <row r="2369" spans="1:15" x14ac:dyDescent="0.2">
      <c r="A2369" t="s">
        <v>2666</v>
      </c>
      <c r="B2369" s="27" t="s">
        <v>321</v>
      </c>
      <c r="E2369" t="str">
        <f t="shared" si="126"/>
        <v/>
      </c>
      <c r="G2369" s="5" t="str">
        <f t="shared" si="128"/>
        <v/>
      </c>
      <c r="I2369" s="6" t="str">
        <f t="shared" si="127"/>
        <v>0</v>
      </c>
      <c r="O2369" t="s">
        <v>321</v>
      </c>
    </row>
    <row r="2370" spans="1:15" x14ac:dyDescent="0.2">
      <c r="A2370" t="s">
        <v>2667</v>
      </c>
      <c r="B2370" s="27" t="s">
        <v>321</v>
      </c>
      <c r="E2370" t="str">
        <f t="shared" si="126"/>
        <v/>
      </c>
      <c r="G2370" s="5" t="str">
        <f t="shared" si="128"/>
        <v/>
      </c>
      <c r="I2370" s="6" t="str">
        <f t="shared" si="127"/>
        <v>0</v>
      </c>
      <c r="O2370" t="s">
        <v>321</v>
      </c>
    </row>
    <row r="2371" spans="1:15" x14ac:dyDescent="0.2">
      <c r="A2371" t="s">
        <v>2668</v>
      </c>
      <c r="B2371" s="27" t="s">
        <v>321</v>
      </c>
      <c r="E2371" t="str">
        <f t="shared" si="126"/>
        <v/>
      </c>
      <c r="G2371" s="5" t="str">
        <f t="shared" si="128"/>
        <v/>
      </c>
      <c r="I2371" s="6" t="str">
        <f t="shared" si="127"/>
        <v>0</v>
      </c>
      <c r="O2371" t="s">
        <v>321</v>
      </c>
    </row>
    <row r="2372" spans="1:15" x14ac:dyDescent="0.2">
      <c r="A2372" t="s">
        <v>2669</v>
      </c>
      <c r="B2372" s="27" t="s">
        <v>321</v>
      </c>
      <c r="E2372" t="str">
        <f t="shared" ref="E2372:E2435" si="129">IF(D2372&lt;&gt;"",C2372&amp;"/"&amp;D2372,"")</f>
        <v/>
      </c>
      <c r="G2372" s="5" t="str">
        <f t="shared" si="128"/>
        <v/>
      </c>
      <c r="I2372" s="6" t="str">
        <f t="shared" si="127"/>
        <v>0</v>
      </c>
      <c r="O2372" t="s">
        <v>321</v>
      </c>
    </row>
    <row r="2373" spans="1:15" x14ac:dyDescent="0.2">
      <c r="A2373" t="s">
        <v>2670</v>
      </c>
      <c r="B2373" s="27" t="s">
        <v>321</v>
      </c>
      <c r="E2373" t="str">
        <f t="shared" si="129"/>
        <v/>
      </c>
      <c r="G2373" s="5" t="str">
        <f t="shared" si="128"/>
        <v/>
      </c>
      <c r="I2373" s="6" t="str">
        <f t="shared" ref="I2373:I2436" si="130">IFERROR(DEC2HEX(H2373),"")</f>
        <v>0</v>
      </c>
      <c r="O2373" t="s">
        <v>321</v>
      </c>
    </row>
    <row r="2374" spans="1:15" x14ac:dyDescent="0.2">
      <c r="A2374" t="s">
        <v>2671</v>
      </c>
      <c r="B2374" s="27" t="s">
        <v>321</v>
      </c>
      <c r="E2374" t="str">
        <f t="shared" si="129"/>
        <v/>
      </c>
      <c r="G2374" s="5" t="str">
        <f t="shared" si="128"/>
        <v/>
      </c>
      <c r="I2374" s="6" t="str">
        <f t="shared" si="130"/>
        <v>0</v>
      </c>
      <c r="O2374" t="s">
        <v>321</v>
      </c>
    </row>
    <row r="2375" spans="1:15" x14ac:dyDescent="0.2">
      <c r="A2375" t="s">
        <v>2672</v>
      </c>
      <c r="B2375" s="27" t="s">
        <v>321</v>
      </c>
      <c r="E2375" t="str">
        <f t="shared" si="129"/>
        <v/>
      </c>
      <c r="G2375" s="5" t="str">
        <f t="shared" si="128"/>
        <v/>
      </c>
      <c r="I2375" s="6" t="str">
        <f t="shared" si="130"/>
        <v>0</v>
      </c>
      <c r="O2375" t="s">
        <v>321</v>
      </c>
    </row>
    <row r="2376" spans="1:15" x14ac:dyDescent="0.2">
      <c r="A2376" t="s">
        <v>2673</v>
      </c>
      <c r="B2376" s="27" t="s">
        <v>321</v>
      </c>
      <c r="E2376" t="str">
        <f t="shared" si="129"/>
        <v/>
      </c>
      <c r="G2376" s="5" t="str">
        <f t="shared" si="128"/>
        <v/>
      </c>
      <c r="I2376" s="6" t="str">
        <f t="shared" si="130"/>
        <v>0</v>
      </c>
      <c r="O2376" t="s">
        <v>321</v>
      </c>
    </row>
    <row r="2377" spans="1:15" x14ac:dyDescent="0.2">
      <c r="A2377" t="s">
        <v>2674</v>
      </c>
      <c r="B2377" s="27" t="s">
        <v>321</v>
      </c>
      <c r="E2377" t="str">
        <f t="shared" si="129"/>
        <v/>
      </c>
      <c r="G2377" s="5" t="str">
        <f t="shared" si="128"/>
        <v/>
      </c>
      <c r="I2377" s="6" t="str">
        <f t="shared" si="130"/>
        <v>0</v>
      </c>
      <c r="O2377" t="s">
        <v>321</v>
      </c>
    </row>
    <row r="2378" spans="1:15" x14ac:dyDescent="0.2">
      <c r="A2378" t="s">
        <v>2675</v>
      </c>
      <c r="B2378" s="27" t="s">
        <v>321</v>
      </c>
      <c r="E2378" t="str">
        <f t="shared" si="129"/>
        <v/>
      </c>
      <c r="G2378" s="5" t="str">
        <f t="shared" si="128"/>
        <v/>
      </c>
      <c r="I2378" s="6" t="str">
        <f t="shared" si="130"/>
        <v>0</v>
      </c>
      <c r="O2378" t="s">
        <v>321</v>
      </c>
    </row>
    <row r="2379" spans="1:15" x14ac:dyDescent="0.2">
      <c r="A2379" t="s">
        <v>2676</v>
      </c>
      <c r="B2379" s="27" t="s">
        <v>321</v>
      </c>
      <c r="E2379" t="str">
        <f t="shared" si="129"/>
        <v/>
      </c>
      <c r="G2379" s="5" t="str">
        <f t="shared" ref="G2379:G2442" si="131">IF(F2379&lt;&gt;"",HEX2DEC(SUBSTITUTE(SUBSTITUTE(F2379,"adrEA",""),"$","")),"")</f>
        <v/>
      </c>
      <c r="I2379" s="6" t="str">
        <f t="shared" si="130"/>
        <v>0</v>
      </c>
      <c r="O2379" t="s">
        <v>321</v>
      </c>
    </row>
    <row r="2380" spans="1:15" x14ac:dyDescent="0.2">
      <c r="A2380" t="s">
        <v>2677</v>
      </c>
      <c r="B2380" s="27" t="s">
        <v>321</v>
      </c>
      <c r="E2380" t="str">
        <f t="shared" si="129"/>
        <v/>
      </c>
      <c r="G2380" s="5" t="str">
        <f t="shared" si="131"/>
        <v/>
      </c>
      <c r="I2380" s="6" t="str">
        <f t="shared" si="130"/>
        <v>0</v>
      </c>
      <c r="O2380" t="s">
        <v>321</v>
      </c>
    </row>
    <row r="2381" spans="1:15" x14ac:dyDescent="0.2">
      <c r="A2381" t="s">
        <v>2678</v>
      </c>
      <c r="B2381" s="27" t="s">
        <v>321</v>
      </c>
      <c r="E2381" t="str">
        <f t="shared" si="129"/>
        <v/>
      </c>
      <c r="G2381" s="5" t="str">
        <f t="shared" si="131"/>
        <v/>
      </c>
      <c r="I2381" s="6" t="str">
        <f t="shared" si="130"/>
        <v>0</v>
      </c>
      <c r="O2381" t="s">
        <v>321</v>
      </c>
    </row>
    <row r="2382" spans="1:15" x14ac:dyDescent="0.2">
      <c r="A2382" t="s">
        <v>2679</v>
      </c>
      <c r="B2382" s="27" t="s">
        <v>321</v>
      </c>
      <c r="E2382" t="str">
        <f t="shared" si="129"/>
        <v/>
      </c>
      <c r="G2382" s="5" t="str">
        <f t="shared" si="131"/>
        <v/>
      </c>
      <c r="I2382" s="6" t="str">
        <f t="shared" si="130"/>
        <v>0</v>
      </c>
      <c r="O2382" t="s">
        <v>321</v>
      </c>
    </row>
    <row r="2383" spans="1:15" x14ac:dyDescent="0.2">
      <c r="A2383" t="s">
        <v>2680</v>
      </c>
      <c r="B2383" s="27" t="s">
        <v>321</v>
      </c>
      <c r="E2383" t="str">
        <f t="shared" si="129"/>
        <v/>
      </c>
      <c r="G2383" s="5" t="str">
        <f t="shared" si="131"/>
        <v/>
      </c>
      <c r="I2383" s="6" t="str">
        <f t="shared" si="130"/>
        <v>0</v>
      </c>
      <c r="O2383" t="s">
        <v>321</v>
      </c>
    </row>
    <row r="2384" spans="1:15" x14ac:dyDescent="0.2">
      <c r="A2384" t="s">
        <v>2681</v>
      </c>
      <c r="B2384" s="27" t="s">
        <v>321</v>
      </c>
      <c r="E2384" t="str">
        <f t="shared" si="129"/>
        <v/>
      </c>
      <c r="G2384" s="5" t="str">
        <f t="shared" si="131"/>
        <v/>
      </c>
      <c r="I2384" s="6" t="str">
        <f t="shared" si="130"/>
        <v>0</v>
      </c>
      <c r="O2384" t="s">
        <v>321</v>
      </c>
    </row>
    <row r="2385" spans="1:15" x14ac:dyDescent="0.2">
      <c r="A2385" t="s">
        <v>2682</v>
      </c>
      <c r="B2385" s="27" t="s">
        <v>321</v>
      </c>
      <c r="E2385" t="str">
        <f t="shared" si="129"/>
        <v/>
      </c>
      <c r="G2385" s="5" t="str">
        <f t="shared" si="131"/>
        <v/>
      </c>
      <c r="I2385" s="6" t="str">
        <f t="shared" si="130"/>
        <v>0</v>
      </c>
      <c r="O2385" t="s">
        <v>321</v>
      </c>
    </row>
    <row r="2386" spans="1:15" x14ac:dyDescent="0.2">
      <c r="A2386" t="s">
        <v>2683</v>
      </c>
      <c r="B2386" s="27" t="s">
        <v>321</v>
      </c>
      <c r="E2386" t="str">
        <f t="shared" si="129"/>
        <v/>
      </c>
      <c r="G2386" s="5" t="str">
        <f t="shared" si="131"/>
        <v/>
      </c>
      <c r="I2386" s="6" t="str">
        <f t="shared" si="130"/>
        <v>0</v>
      </c>
      <c r="O2386" t="s">
        <v>321</v>
      </c>
    </row>
    <row r="2387" spans="1:15" x14ac:dyDescent="0.2">
      <c r="A2387" t="s">
        <v>2684</v>
      </c>
      <c r="B2387" s="27" t="s">
        <v>321</v>
      </c>
      <c r="E2387" t="str">
        <f t="shared" si="129"/>
        <v/>
      </c>
      <c r="G2387" s="5" t="str">
        <f t="shared" si="131"/>
        <v/>
      </c>
      <c r="I2387" s="6" t="str">
        <f t="shared" si="130"/>
        <v>0</v>
      </c>
      <c r="O2387" t="s">
        <v>321</v>
      </c>
    </row>
    <row r="2388" spans="1:15" x14ac:dyDescent="0.2">
      <c r="A2388" t="s">
        <v>2685</v>
      </c>
      <c r="B2388" s="27" t="s">
        <v>321</v>
      </c>
      <c r="E2388" t="str">
        <f t="shared" si="129"/>
        <v/>
      </c>
      <c r="G2388" s="5" t="str">
        <f t="shared" si="131"/>
        <v/>
      </c>
      <c r="I2388" s="6" t="str">
        <f t="shared" si="130"/>
        <v>0</v>
      </c>
      <c r="O2388" t="s">
        <v>321</v>
      </c>
    </row>
    <row r="2389" spans="1:15" x14ac:dyDescent="0.2">
      <c r="A2389" t="s">
        <v>2686</v>
      </c>
      <c r="B2389" s="27" t="s">
        <v>321</v>
      </c>
      <c r="E2389" t="str">
        <f t="shared" si="129"/>
        <v/>
      </c>
      <c r="G2389" s="5" t="str">
        <f t="shared" si="131"/>
        <v/>
      </c>
      <c r="I2389" s="6" t="str">
        <f t="shared" si="130"/>
        <v>0</v>
      </c>
      <c r="O2389" t="s">
        <v>321</v>
      </c>
    </row>
    <row r="2390" spans="1:15" x14ac:dyDescent="0.2">
      <c r="A2390" t="s">
        <v>2687</v>
      </c>
      <c r="B2390" s="27" t="s">
        <v>321</v>
      </c>
      <c r="E2390" t="str">
        <f t="shared" si="129"/>
        <v/>
      </c>
      <c r="G2390" s="5" t="str">
        <f t="shared" si="131"/>
        <v/>
      </c>
      <c r="I2390" s="6" t="str">
        <f t="shared" si="130"/>
        <v>0</v>
      </c>
      <c r="O2390" t="s">
        <v>321</v>
      </c>
    </row>
    <row r="2391" spans="1:15" x14ac:dyDescent="0.2">
      <c r="A2391" t="s">
        <v>2688</v>
      </c>
      <c r="B2391" s="27" t="s">
        <v>321</v>
      </c>
      <c r="E2391" t="str">
        <f t="shared" si="129"/>
        <v/>
      </c>
      <c r="G2391" s="5" t="str">
        <f t="shared" si="131"/>
        <v/>
      </c>
      <c r="I2391" s="6" t="str">
        <f t="shared" si="130"/>
        <v>0</v>
      </c>
      <c r="O2391" t="s">
        <v>321</v>
      </c>
    </row>
    <row r="2392" spans="1:15" x14ac:dyDescent="0.2">
      <c r="A2392" t="s">
        <v>2689</v>
      </c>
      <c r="B2392" s="27" t="s">
        <v>321</v>
      </c>
      <c r="E2392" t="str">
        <f t="shared" si="129"/>
        <v/>
      </c>
      <c r="G2392" s="5" t="str">
        <f t="shared" si="131"/>
        <v/>
      </c>
      <c r="I2392" s="6" t="str">
        <f t="shared" si="130"/>
        <v>0</v>
      </c>
      <c r="O2392" t="s">
        <v>321</v>
      </c>
    </row>
    <row r="2393" spans="1:15" x14ac:dyDescent="0.2">
      <c r="A2393" t="s">
        <v>2690</v>
      </c>
      <c r="B2393" s="27" t="s">
        <v>321</v>
      </c>
      <c r="E2393" t="str">
        <f t="shared" si="129"/>
        <v/>
      </c>
      <c r="G2393" s="5" t="str">
        <f t="shared" si="131"/>
        <v/>
      </c>
      <c r="I2393" s="6" t="str">
        <f t="shared" si="130"/>
        <v>0</v>
      </c>
      <c r="O2393" t="s">
        <v>321</v>
      </c>
    </row>
    <row r="2394" spans="1:15" x14ac:dyDescent="0.2">
      <c r="A2394" t="s">
        <v>2691</v>
      </c>
      <c r="B2394" s="27" t="s">
        <v>321</v>
      </c>
      <c r="E2394" t="str">
        <f t="shared" si="129"/>
        <v/>
      </c>
      <c r="G2394" s="5" t="str">
        <f t="shared" si="131"/>
        <v/>
      </c>
      <c r="I2394" s="6" t="str">
        <f t="shared" si="130"/>
        <v>0</v>
      </c>
      <c r="O2394" t="s">
        <v>321</v>
      </c>
    </row>
    <row r="2395" spans="1:15" x14ac:dyDescent="0.2">
      <c r="A2395" t="s">
        <v>2692</v>
      </c>
      <c r="B2395" s="27" t="s">
        <v>321</v>
      </c>
      <c r="E2395" t="str">
        <f t="shared" si="129"/>
        <v/>
      </c>
      <c r="G2395" s="5" t="str">
        <f t="shared" si="131"/>
        <v/>
      </c>
      <c r="I2395" s="6" t="str">
        <f t="shared" si="130"/>
        <v>0</v>
      </c>
      <c r="O2395" t="s">
        <v>321</v>
      </c>
    </row>
    <row r="2396" spans="1:15" x14ac:dyDescent="0.2">
      <c r="A2396" t="s">
        <v>2693</v>
      </c>
      <c r="B2396" s="27" t="s">
        <v>321</v>
      </c>
      <c r="E2396" t="str">
        <f t="shared" si="129"/>
        <v/>
      </c>
      <c r="G2396" s="5" t="str">
        <f t="shared" si="131"/>
        <v/>
      </c>
      <c r="I2396" s="6" t="str">
        <f t="shared" si="130"/>
        <v>0</v>
      </c>
      <c r="O2396" t="s">
        <v>321</v>
      </c>
    </row>
    <row r="2397" spans="1:15" x14ac:dyDescent="0.2">
      <c r="A2397" t="s">
        <v>2694</v>
      </c>
      <c r="B2397" s="27" t="s">
        <v>2695</v>
      </c>
      <c r="E2397" t="str">
        <f t="shared" si="129"/>
        <v/>
      </c>
      <c r="G2397" s="5" t="str">
        <f t="shared" si="131"/>
        <v/>
      </c>
      <c r="I2397" s="6" t="str">
        <f t="shared" si="130"/>
        <v>0</v>
      </c>
      <c r="O2397" t="s">
        <v>2695</v>
      </c>
    </row>
    <row r="2398" spans="1:15" x14ac:dyDescent="0.2">
      <c r="A2398" t="s">
        <v>2696</v>
      </c>
      <c r="B2398" s="27" t="s">
        <v>2697</v>
      </c>
      <c r="E2398" t="str">
        <f t="shared" si="129"/>
        <v/>
      </c>
      <c r="G2398" s="5" t="str">
        <f t="shared" si="131"/>
        <v/>
      </c>
      <c r="I2398" s="6" t="str">
        <f t="shared" si="130"/>
        <v>0</v>
      </c>
      <c r="O2398" t="s">
        <v>2697</v>
      </c>
    </row>
    <row r="2399" spans="1:15" x14ac:dyDescent="0.2">
      <c r="A2399" t="s">
        <v>2698</v>
      </c>
      <c r="B2399" s="27" t="s">
        <v>2699</v>
      </c>
      <c r="E2399" t="str">
        <f t="shared" si="129"/>
        <v/>
      </c>
      <c r="G2399" s="5" t="str">
        <f t="shared" si="131"/>
        <v/>
      </c>
      <c r="I2399" s="6" t="str">
        <f t="shared" si="130"/>
        <v>0</v>
      </c>
      <c r="O2399" t="s">
        <v>2699</v>
      </c>
    </row>
    <row r="2400" spans="1:15" x14ac:dyDescent="0.2">
      <c r="A2400" t="s">
        <v>2700</v>
      </c>
      <c r="B2400" s="27" t="s">
        <v>321</v>
      </c>
      <c r="E2400" t="str">
        <f t="shared" si="129"/>
        <v/>
      </c>
      <c r="G2400" s="5" t="str">
        <f t="shared" si="131"/>
        <v/>
      </c>
      <c r="I2400" s="6" t="str">
        <f t="shared" si="130"/>
        <v>0</v>
      </c>
      <c r="O2400" t="s">
        <v>321</v>
      </c>
    </row>
    <row r="2401" spans="1:15" x14ac:dyDescent="0.2">
      <c r="A2401" t="s">
        <v>2701</v>
      </c>
      <c r="B2401" s="27" t="s">
        <v>321</v>
      </c>
      <c r="E2401" t="str">
        <f t="shared" si="129"/>
        <v/>
      </c>
      <c r="G2401" s="5" t="str">
        <f t="shared" si="131"/>
        <v/>
      </c>
      <c r="I2401" s="6" t="str">
        <f t="shared" si="130"/>
        <v>0</v>
      </c>
      <c r="O2401" t="s">
        <v>321</v>
      </c>
    </row>
    <row r="2402" spans="1:15" x14ac:dyDescent="0.2">
      <c r="A2402" t="s">
        <v>2702</v>
      </c>
      <c r="B2402" s="27" t="s">
        <v>2702</v>
      </c>
      <c r="E2402" t="str">
        <f t="shared" si="129"/>
        <v/>
      </c>
      <c r="G2402" s="5" t="str">
        <f t="shared" si="131"/>
        <v/>
      </c>
      <c r="I2402" s="6" t="str">
        <f t="shared" si="130"/>
        <v>0</v>
      </c>
      <c r="O2402" t="s">
        <v>2702</v>
      </c>
    </row>
    <row r="2403" spans="1:15" x14ac:dyDescent="0.2">
      <c r="A2403" t="s">
        <v>2703</v>
      </c>
      <c r="B2403" s="27" t="s">
        <v>321</v>
      </c>
      <c r="E2403" t="str">
        <f t="shared" si="129"/>
        <v/>
      </c>
      <c r="G2403" s="5" t="str">
        <f t="shared" si="131"/>
        <v/>
      </c>
      <c r="I2403" s="6" t="str">
        <f t="shared" si="130"/>
        <v>0</v>
      </c>
      <c r="O2403" t="s">
        <v>321</v>
      </c>
    </row>
    <row r="2404" spans="1:15" x14ac:dyDescent="0.2">
      <c r="A2404" t="s">
        <v>2704</v>
      </c>
      <c r="B2404" s="27" t="s">
        <v>321</v>
      </c>
      <c r="E2404" t="str">
        <f t="shared" si="129"/>
        <v/>
      </c>
      <c r="G2404" s="5" t="str">
        <f t="shared" si="131"/>
        <v/>
      </c>
      <c r="I2404" s="6" t="str">
        <f t="shared" si="130"/>
        <v>0</v>
      </c>
      <c r="O2404" t="s">
        <v>321</v>
      </c>
    </row>
    <row r="2405" spans="1:15" x14ac:dyDescent="0.2">
      <c r="A2405" t="s">
        <v>2705</v>
      </c>
      <c r="B2405" s="27" t="s">
        <v>321</v>
      </c>
      <c r="E2405" t="str">
        <f t="shared" si="129"/>
        <v/>
      </c>
      <c r="G2405" s="5" t="str">
        <f t="shared" si="131"/>
        <v/>
      </c>
      <c r="I2405" s="6" t="str">
        <f t="shared" si="130"/>
        <v>0</v>
      </c>
      <c r="O2405" t="s">
        <v>321</v>
      </c>
    </row>
    <row r="2406" spans="1:15" x14ac:dyDescent="0.2">
      <c r="A2406" t="s">
        <v>2706</v>
      </c>
      <c r="B2406" s="27" t="s">
        <v>321</v>
      </c>
      <c r="E2406" t="str">
        <f t="shared" si="129"/>
        <v/>
      </c>
      <c r="G2406" s="5" t="str">
        <f t="shared" si="131"/>
        <v/>
      </c>
      <c r="I2406" s="6" t="str">
        <f t="shared" si="130"/>
        <v>0</v>
      </c>
      <c r="O2406" t="s">
        <v>321</v>
      </c>
    </row>
    <row r="2407" spans="1:15" x14ac:dyDescent="0.2">
      <c r="A2407" t="s">
        <v>2707</v>
      </c>
      <c r="B2407" s="27" t="s">
        <v>321</v>
      </c>
      <c r="E2407" t="str">
        <f t="shared" si="129"/>
        <v/>
      </c>
      <c r="G2407" s="5" t="str">
        <f t="shared" si="131"/>
        <v/>
      </c>
      <c r="I2407" s="6" t="str">
        <f t="shared" si="130"/>
        <v>0</v>
      </c>
      <c r="O2407" t="s">
        <v>321</v>
      </c>
    </row>
    <row r="2408" spans="1:15" x14ac:dyDescent="0.2">
      <c r="A2408" t="s">
        <v>2708</v>
      </c>
      <c r="B2408" s="27" t="s">
        <v>321</v>
      </c>
      <c r="E2408" t="str">
        <f t="shared" si="129"/>
        <v/>
      </c>
      <c r="G2408" s="5" t="str">
        <f t="shared" si="131"/>
        <v/>
      </c>
      <c r="I2408" s="6" t="str">
        <f t="shared" si="130"/>
        <v>0</v>
      </c>
      <c r="O2408" t="s">
        <v>321</v>
      </c>
    </row>
    <row r="2409" spans="1:15" x14ac:dyDescent="0.2">
      <c r="A2409" t="s">
        <v>2709</v>
      </c>
      <c r="B2409" s="27" t="s">
        <v>321</v>
      </c>
      <c r="E2409" t="str">
        <f t="shared" si="129"/>
        <v/>
      </c>
      <c r="G2409" s="5" t="str">
        <f t="shared" si="131"/>
        <v/>
      </c>
      <c r="I2409" s="6" t="str">
        <f t="shared" si="130"/>
        <v>0</v>
      </c>
      <c r="O2409" t="s">
        <v>321</v>
      </c>
    </row>
    <row r="2410" spans="1:15" x14ac:dyDescent="0.2">
      <c r="A2410" t="s">
        <v>2710</v>
      </c>
      <c r="B2410" s="27" t="s">
        <v>321</v>
      </c>
      <c r="E2410" t="str">
        <f t="shared" si="129"/>
        <v/>
      </c>
      <c r="G2410" s="5" t="str">
        <f t="shared" si="131"/>
        <v/>
      </c>
      <c r="I2410" s="6" t="str">
        <f t="shared" si="130"/>
        <v>0</v>
      </c>
      <c r="O2410" t="s">
        <v>321</v>
      </c>
    </row>
    <row r="2411" spans="1:15" x14ac:dyDescent="0.2">
      <c r="A2411" t="s">
        <v>2711</v>
      </c>
      <c r="B2411" s="27" t="s">
        <v>321</v>
      </c>
      <c r="E2411" t="str">
        <f t="shared" si="129"/>
        <v/>
      </c>
      <c r="G2411" s="5" t="str">
        <f t="shared" si="131"/>
        <v/>
      </c>
      <c r="I2411" s="6" t="str">
        <f t="shared" si="130"/>
        <v>0</v>
      </c>
      <c r="O2411" t="s">
        <v>321</v>
      </c>
    </row>
    <row r="2412" spans="1:15" x14ac:dyDescent="0.2">
      <c r="A2412" t="s">
        <v>2712</v>
      </c>
      <c r="B2412" s="27" t="s">
        <v>321</v>
      </c>
      <c r="E2412" t="str">
        <f t="shared" si="129"/>
        <v/>
      </c>
      <c r="G2412" s="5" t="str">
        <f t="shared" si="131"/>
        <v/>
      </c>
      <c r="I2412" s="6" t="str">
        <f t="shared" si="130"/>
        <v>0</v>
      </c>
      <c r="O2412" t="s">
        <v>321</v>
      </c>
    </row>
    <row r="2413" spans="1:15" x14ac:dyDescent="0.2">
      <c r="A2413" t="s">
        <v>2713</v>
      </c>
      <c r="B2413" s="27" t="s">
        <v>321</v>
      </c>
      <c r="E2413" t="str">
        <f t="shared" si="129"/>
        <v/>
      </c>
      <c r="G2413" s="5" t="str">
        <f t="shared" si="131"/>
        <v/>
      </c>
      <c r="I2413" s="6" t="str">
        <f t="shared" si="130"/>
        <v>0</v>
      </c>
      <c r="O2413" t="s">
        <v>321</v>
      </c>
    </row>
    <row r="2414" spans="1:15" x14ac:dyDescent="0.2">
      <c r="A2414" t="s">
        <v>2714</v>
      </c>
      <c r="B2414" s="27" t="s">
        <v>321</v>
      </c>
      <c r="E2414" t="str">
        <f t="shared" si="129"/>
        <v/>
      </c>
      <c r="G2414" s="5" t="str">
        <f t="shared" si="131"/>
        <v/>
      </c>
      <c r="I2414" s="6" t="str">
        <f t="shared" si="130"/>
        <v>0</v>
      </c>
      <c r="O2414" t="s">
        <v>321</v>
      </c>
    </row>
    <row r="2415" spans="1:15" x14ac:dyDescent="0.2">
      <c r="A2415" t="s">
        <v>2715</v>
      </c>
      <c r="B2415" s="27" t="s">
        <v>321</v>
      </c>
      <c r="E2415" t="str">
        <f t="shared" si="129"/>
        <v/>
      </c>
      <c r="G2415" s="5" t="str">
        <f t="shared" si="131"/>
        <v/>
      </c>
      <c r="I2415" s="6" t="str">
        <f t="shared" si="130"/>
        <v>0</v>
      </c>
      <c r="O2415" t="s">
        <v>321</v>
      </c>
    </row>
    <row r="2416" spans="1:15" x14ac:dyDescent="0.2">
      <c r="A2416" t="s">
        <v>2716</v>
      </c>
      <c r="B2416" s="27" t="s">
        <v>321</v>
      </c>
      <c r="E2416" t="str">
        <f t="shared" si="129"/>
        <v/>
      </c>
      <c r="G2416" s="5" t="str">
        <f t="shared" si="131"/>
        <v/>
      </c>
      <c r="I2416" s="6" t="str">
        <f t="shared" si="130"/>
        <v>0</v>
      </c>
      <c r="O2416" t="s">
        <v>321</v>
      </c>
    </row>
    <row r="2417" spans="1:15" x14ac:dyDescent="0.2">
      <c r="A2417" t="s">
        <v>2717</v>
      </c>
      <c r="B2417" s="27" t="s">
        <v>321</v>
      </c>
      <c r="E2417" t="str">
        <f t="shared" si="129"/>
        <v/>
      </c>
      <c r="G2417" s="5" t="str">
        <f t="shared" si="131"/>
        <v/>
      </c>
      <c r="I2417" s="6" t="str">
        <f t="shared" si="130"/>
        <v>0</v>
      </c>
      <c r="O2417" t="s">
        <v>321</v>
      </c>
    </row>
    <row r="2418" spans="1:15" x14ac:dyDescent="0.2">
      <c r="A2418" t="s">
        <v>2718</v>
      </c>
      <c r="B2418" s="27" t="s">
        <v>321</v>
      </c>
      <c r="E2418" t="str">
        <f t="shared" si="129"/>
        <v/>
      </c>
      <c r="G2418" s="5" t="str">
        <f t="shared" si="131"/>
        <v/>
      </c>
      <c r="I2418" s="6" t="str">
        <f t="shared" si="130"/>
        <v>0</v>
      </c>
      <c r="O2418" t="s">
        <v>321</v>
      </c>
    </row>
    <row r="2419" spans="1:15" x14ac:dyDescent="0.2">
      <c r="A2419" t="s">
        <v>2719</v>
      </c>
      <c r="B2419" s="27" t="s">
        <v>321</v>
      </c>
      <c r="E2419" t="str">
        <f t="shared" si="129"/>
        <v/>
      </c>
      <c r="G2419" s="5" t="str">
        <f t="shared" si="131"/>
        <v/>
      </c>
      <c r="I2419" s="6" t="str">
        <f t="shared" si="130"/>
        <v>0</v>
      </c>
      <c r="O2419" t="s">
        <v>321</v>
      </c>
    </row>
    <row r="2420" spans="1:15" x14ac:dyDescent="0.2">
      <c r="A2420" t="s">
        <v>2720</v>
      </c>
      <c r="B2420" s="27" t="s">
        <v>321</v>
      </c>
      <c r="E2420" t="str">
        <f t="shared" si="129"/>
        <v/>
      </c>
      <c r="G2420" s="5" t="str">
        <f t="shared" si="131"/>
        <v/>
      </c>
      <c r="I2420" s="6" t="str">
        <f t="shared" si="130"/>
        <v>0</v>
      </c>
      <c r="O2420" t="s">
        <v>321</v>
      </c>
    </row>
    <row r="2421" spans="1:15" x14ac:dyDescent="0.2">
      <c r="A2421" t="s">
        <v>2721</v>
      </c>
      <c r="B2421" s="27" t="s">
        <v>321</v>
      </c>
      <c r="E2421" t="str">
        <f t="shared" si="129"/>
        <v/>
      </c>
      <c r="G2421" s="5" t="str">
        <f t="shared" si="131"/>
        <v/>
      </c>
      <c r="I2421" s="6" t="str">
        <f t="shared" si="130"/>
        <v>0</v>
      </c>
      <c r="O2421" t="s">
        <v>321</v>
      </c>
    </row>
    <row r="2422" spans="1:15" x14ac:dyDescent="0.2">
      <c r="A2422" t="s">
        <v>2722</v>
      </c>
      <c r="B2422" s="27" t="s">
        <v>321</v>
      </c>
      <c r="E2422" t="str">
        <f t="shared" si="129"/>
        <v/>
      </c>
      <c r="G2422" s="5" t="str">
        <f t="shared" si="131"/>
        <v/>
      </c>
      <c r="I2422" s="6" t="str">
        <f t="shared" si="130"/>
        <v>0</v>
      </c>
      <c r="O2422" t="s">
        <v>321</v>
      </c>
    </row>
    <row r="2423" spans="1:15" x14ac:dyDescent="0.2">
      <c r="A2423" t="s">
        <v>2723</v>
      </c>
      <c r="B2423" s="27" t="s">
        <v>321</v>
      </c>
      <c r="E2423" t="str">
        <f t="shared" si="129"/>
        <v/>
      </c>
      <c r="G2423" s="5" t="str">
        <f t="shared" si="131"/>
        <v/>
      </c>
      <c r="I2423" s="6" t="str">
        <f t="shared" si="130"/>
        <v>0</v>
      </c>
      <c r="O2423" t="s">
        <v>321</v>
      </c>
    </row>
    <row r="2424" spans="1:15" x14ac:dyDescent="0.2">
      <c r="A2424" t="s">
        <v>2724</v>
      </c>
      <c r="B2424" s="27" t="s">
        <v>2725</v>
      </c>
      <c r="E2424" t="str">
        <f t="shared" si="129"/>
        <v/>
      </c>
      <c r="G2424" s="5" t="str">
        <f t="shared" si="131"/>
        <v/>
      </c>
      <c r="I2424" s="6" t="str">
        <f t="shared" si="130"/>
        <v>0</v>
      </c>
      <c r="O2424" t="s">
        <v>2725</v>
      </c>
    </row>
    <row r="2425" spans="1:15" x14ac:dyDescent="0.2">
      <c r="A2425" t="s">
        <v>2726</v>
      </c>
      <c r="B2425" s="27" t="s">
        <v>2727</v>
      </c>
      <c r="E2425" t="str">
        <f t="shared" si="129"/>
        <v/>
      </c>
      <c r="G2425" s="5" t="str">
        <f t="shared" si="131"/>
        <v/>
      </c>
      <c r="I2425" s="6" t="str">
        <f t="shared" si="130"/>
        <v>0</v>
      </c>
      <c r="O2425" t="s">
        <v>2727</v>
      </c>
    </row>
    <row r="2426" spans="1:15" x14ac:dyDescent="0.2">
      <c r="A2426" t="s">
        <v>2728</v>
      </c>
      <c r="B2426" s="27" t="s">
        <v>2729</v>
      </c>
      <c r="E2426" t="str">
        <f t="shared" si="129"/>
        <v/>
      </c>
      <c r="G2426" s="5" t="str">
        <f t="shared" si="131"/>
        <v/>
      </c>
      <c r="I2426" s="6" t="str">
        <f t="shared" si="130"/>
        <v>0</v>
      </c>
      <c r="O2426" t="s">
        <v>2729</v>
      </c>
    </row>
    <row r="2427" spans="1:15" x14ac:dyDescent="0.2">
      <c r="A2427" t="s">
        <v>2730</v>
      </c>
      <c r="B2427" s="27" t="s">
        <v>2730</v>
      </c>
      <c r="E2427" t="str">
        <f t="shared" si="129"/>
        <v/>
      </c>
      <c r="G2427" s="5" t="str">
        <f t="shared" si="131"/>
        <v/>
      </c>
      <c r="I2427" s="6" t="str">
        <f t="shared" si="130"/>
        <v>0</v>
      </c>
      <c r="O2427" t="s">
        <v>2730</v>
      </c>
    </row>
    <row r="2428" spans="1:15" x14ac:dyDescent="0.2">
      <c r="A2428" t="s">
        <v>2731</v>
      </c>
      <c r="B2428" s="27" t="s">
        <v>2732</v>
      </c>
      <c r="E2428" t="str">
        <f t="shared" si="129"/>
        <v/>
      </c>
      <c r="G2428" s="5" t="str">
        <f t="shared" si="131"/>
        <v/>
      </c>
      <c r="I2428" s="6" t="str">
        <f t="shared" si="130"/>
        <v>0</v>
      </c>
      <c r="O2428" t="s">
        <v>2732</v>
      </c>
    </row>
    <row r="2429" spans="1:15" x14ac:dyDescent="0.2">
      <c r="A2429" t="s">
        <v>2733</v>
      </c>
      <c r="B2429" s="27"/>
      <c r="E2429" t="str">
        <f t="shared" si="129"/>
        <v/>
      </c>
      <c r="G2429" s="5" t="str">
        <f t="shared" si="131"/>
        <v/>
      </c>
      <c r="I2429" s="6" t="str">
        <f t="shared" si="130"/>
        <v>0</v>
      </c>
    </row>
    <row r="2430" spans="1:15" x14ac:dyDescent="0.2">
      <c r="A2430" t="s">
        <v>2734</v>
      </c>
      <c r="B2430" s="27"/>
      <c r="E2430" t="str">
        <f t="shared" si="129"/>
        <v/>
      </c>
      <c r="G2430" s="5" t="str">
        <f t="shared" si="131"/>
        <v/>
      </c>
      <c r="I2430" s="6" t="str">
        <f t="shared" si="130"/>
        <v>0</v>
      </c>
    </row>
    <row r="2431" spans="1:15" x14ac:dyDescent="0.2">
      <c r="A2431" t="s">
        <v>2735</v>
      </c>
      <c r="B2431" s="27"/>
      <c r="E2431" t="str">
        <f t="shared" si="129"/>
        <v/>
      </c>
      <c r="G2431" s="5" t="str">
        <f t="shared" si="131"/>
        <v/>
      </c>
      <c r="I2431" s="6" t="str">
        <f t="shared" si="130"/>
        <v>0</v>
      </c>
    </row>
    <row r="2432" spans="1:15" x14ac:dyDescent="0.2">
      <c r="A2432" t="s">
        <v>2736</v>
      </c>
      <c r="B2432" s="27"/>
      <c r="E2432" t="str">
        <f t="shared" si="129"/>
        <v/>
      </c>
      <c r="G2432" s="5" t="str">
        <f t="shared" si="131"/>
        <v/>
      </c>
      <c r="I2432" s="6" t="str">
        <f t="shared" si="130"/>
        <v>0</v>
      </c>
    </row>
    <row r="2433" spans="1:15" x14ac:dyDescent="0.2">
      <c r="A2433" t="s">
        <v>2737</v>
      </c>
      <c r="B2433" s="27" t="s">
        <v>321</v>
      </c>
      <c r="E2433" t="str">
        <f t="shared" si="129"/>
        <v/>
      </c>
      <c r="G2433" s="5" t="str">
        <f t="shared" si="131"/>
        <v/>
      </c>
      <c r="I2433" s="6" t="str">
        <f t="shared" si="130"/>
        <v>0</v>
      </c>
      <c r="O2433" t="s">
        <v>321</v>
      </c>
    </row>
    <row r="2434" spans="1:15" x14ac:dyDescent="0.2">
      <c r="A2434" t="s">
        <v>2738</v>
      </c>
      <c r="B2434" s="27" t="s">
        <v>321</v>
      </c>
      <c r="E2434" t="str">
        <f t="shared" si="129"/>
        <v/>
      </c>
      <c r="G2434" s="5" t="str">
        <f t="shared" si="131"/>
        <v/>
      </c>
      <c r="I2434" s="6" t="str">
        <f t="shared" si="130"/>
        <v>0</v>
      </c>
      <c r="O2434" t="s">
        <v>321</v>
      </c>
    </row>
    <row r="2435" spans="1:15" x14ac:dyDescent="0.2">
      <c r="A2435" t="s">
        <v>2739</v>
      </c>
      <c r="B2435" s="27" t="s">
        <v>321</v>
      </c>
      <c r="E2435" t="str">
        <f t="shared" si="129"/>
        <v/>
      </c>
      <c r="G2435" s="5" t="str">
        <f t="shared" si="131"/>
        <v/>
      </c>
      <c r="I2435" s="6" t="str">
        <f t="shared" si="130"/>
        <v>0</v>
      </c>
      <c r="O2435" t="s">
        <v>321</v>
      </c>
    </row>
    <row r="2436" spans="1:15" x14ac:dyDescent="0.2">
      <c r="A2436" t="s">
        <v>2740</v>
      </c>
      <c r="B2436" s="27" t="s">
        <v>321</v>
      </c>
      <c r="E2436" t="str">
        <f t="shared" ref="E2436:E2499" si="132">IF(D2436&lt;&gt;"",C2436&amp;"/"&amp;D2436,"")</f>
        <v/>
      </c>
      <c r="G2436" s="5" t="str">
        <f t="shared" si="131"/>
        <v/>
      </c>
      <c r="I2436" s="6" t="str">
        <f t="shared" si="130"/>
        <v>0</v>
      </c>
      <c r="O2436" t="s">
        <v>321</v>
      </c>
    </row>
    <row r="2437" spans="1:15" x14ac:dyDescent="0.2">
      <c r="A2437" t="s">
        <v>2741</v>
      </c>
      <c r="B2437" s="27" t="s">
        <v>321</v>
      </c>
      <c r="E2437" t="str">
        <f t="shared" si="132"/>
        <v/>
      </c>
      <c r="G2437" s="5" t="str">
        <f t="shared" si="131"/>
        <v/>
      </c>
      <c r="I2437" s="6" t="str">
        <f t="shared" ref="I2437:I2500" si="133">IFERROR(DEC2HEX(H2437),"")</f>
        <v>0</v>
      </c>
      <c r="O2437" t="s">
        <v>321</v>
      </c>
    </row>
    <row r="2438" spans="1:15" x14ac:dyDescent="0.2">
      <c r="A2438" t="s">
        <v>2742</v>
      </c>
      <c r="B2438" s="27" t="s">
        <v>321</v>
      </c>
      <c r="E2438" t="str">
        <f t="shared" si="132"/>
        <v/>
      </c>
      <c r="G2438" s="5" t="str">
        <f t="shared" si="131"/>
        <v/>
      </c>
      <c r="I2438" s="6" t="str">
        <f t="shared" si="133"/>
        <v>0</v>
      </c>
      <c r="O2438" t="s">
        <v>321</v>
      </c>
    </row>
    <row r="2439" spans="1:15" x14ac:dyDescent="0.2">
      <c r="A2439" t="s">
        <v>2743</v>
      </c>
      <c r="B2439" s="27" t="s">
        <v>321</v>
      </c>
      <c r="E2439" t="str">
        <f t="shared" si="132"/>
        <v/>
      </c>
      <c r="G2439" s="5" t="str">
        <f t="shared" si="131"/>
        <v/>
      </c>
      <c r="I2439" s="6" t="str">
        <f t="shared" si="133"/>
        <v>0</v>
      </c>
      <c r="O2439" t="s">
        <v>321</v>
      </c>
    </row>
    <row r="2440" spans="1:15" x14ac:dyDescent="0.2">
      <c r="A2440" t="s">
        <v>2744</v>
      </c>
      <c r="B2440" s="27" t="s">
        <v>321</v>
      </c>
      <c r="E2440" t="str">
        <f t="shared" si="132"/>
        <v/>
      </c>
      <c r="G2440" s="5" t="str">
        <f t="shared" si="131"/>
        <v/>
      </c>
      <c r="I2440" s="6" t="str">
        <f t="shared" si="133"/>
        <v>0</v>
      </c>
      <c r="O2440" t="s">
        <v>321</v>
      </c>
    </row>
    <row r="2441" spans="1:15" x14ac:dyDescent="0.2">
      <c r="A2441" t="s">
        <v>2745</v>
      </c>
      <c r="B2441" s="27" t="s">
        <v>321</v>
      </c>
      <c r="E2441" t="str">
        <f t="shared" si="132"/>
        <v/>
      </c>
      <c r="G2441" s="5" t="str">
        <f t="shared" si="131"/>
        <v/>
      </c>
      <c r="I2441" s="6" t="str">
        <f t="shared" si="133"/>
        <v>0</v>
      </c>
      <c r="O2441" t="s">
        <v>321</v>
      </c>
    </row>
    <row r="2442" spans="1:15" x14ac:dyDescent="0.2">
      <c r="A2442" t="s">
        <v>2746</v>
      </c>
      <c r="B2442" s="27" t="s">
        <v>321</v>
      </c>
      <c r="E2442" t="str">
        <f t="shared" si="132"/>
        <v/>
      </c>
      <c r="G2442" s="5" t="str">
        <f t="shared" si="131"/>
        <v/>
      </c>
      <c r="I2442" s="6" t="str">
        <f t="shared" si="133"/>
        <v>0</v>
      </c>
      <c r="O2442" t="s">
        <v>321</v>
      </c>
    </row>
    <row r="2443" spans="1:15" x14ac:dyDescent="0.2">
      <c r="A2443" t="s">
        <v>2747</v>
      </c>
      <c r="B2443" s="27" t="s">
        <v>321</v>
      </c>
      <c r="E2443" t="str">
        <f t="shared" si="132"/>
        <v/>
      </c>
      <c r="G2443" s="5" t="str">
        <f t="shared" ref="G2443:G2506" si="134">IF(F2443&lt;&gt;"",HEX2DEC(SUBSTITUTE(SUBSTITUTE(F2443,"adrEA",""),"$","")),"")</f>
        <v/>
      </c>
      <c r="I2443" s="6" t="str">
        <f t="shared" si="133"/>
        <v>0</v>
      </c>
      <c r="O2443" t="s">
        <v>321</v>
      </c>
    </row>
    <row r="2444" spans="1:15" x14ac:dyDescent="0.2">
      <c r="A2444" t="s">
        <v>2748</v>
      </c>
      <c r="B2444" s="27" t="s">
        <v>2748</v>
      </c>
      <c r="E2444" t="str">
        <f t="shared" si="132"/>
        <v/>
      </c>
      <c r="G2444" s="5" t="str">
        <f t="shared" si="134"/>
        <v/>
      </c>
      <c r="I2444" s="6" t="str">
        <f t="shared" si="133"/>
        <v>0</v>
      </c>
      <c r="O2444" t="s">
        <v>2748</v>
      </c>
    </row>
    <row r="2445" spans="1:15" x14ac:dyDescent="0.2">
      <c r="A2445" t="s">
        <v>2749</v>
      </c>
      <c r="B2445" s="27" t="s">
        <v>321</v>
      </c>
      <c r="E2445" t="str">
        <f t="shared" si="132"/>
        <v/>
      </c>
      <c r="G2445" s="5" t="str">
        <f t="shared" si="134"/>
        <v/>
      </c>
      <c r="I2445" s="6" t="str">
        <f t="shared" si="133"/>
        <v>0</v>
      </c>
      <c r="O2445" t="s">
        <v>321</v>
      </c>
    </row>
    <row r="2446" spans="1:15" x14ac:dyDescent="0.2">
      <c r="A2446" t="s">
        <v>2750</v>
      </c>
      <c r="B2446" s="27" t="s">
        <v>321</v>
      </c>
      <c r="E2446" t="str">
        <f t="shared" si="132"/>
        <v/>
      </c>
      <c r="G2446" s="5" t="str">
        <f t="shared" si="134"/>
        <v/>
      </c>
      <c r="I2446" s="6" t="str">
        <f t="shared" si="133"/>
        <v>0</v>
      </c>
      <c r="O2446" t="s">
        <v>321</v>
      </c>
    </row>
    <row r="2447" spans="1:15" x14ac:dyDescent="0.2">
      <c r="A2447" t="s">
        <v>2751</v>
      </c>
      <c r="B2447" s="27" t="s">
        <v>321</v>
      </c>
      <c r="E2447" t="str">
        <f t="shared" si="132"/>
        <v/>
      </c>
      <c r="G2447" s="5" t="str">
        <f t="shared" si="134"/>
        <v/>
      </c>
      <c r="I2447" s="6" t="str">
        <f t="shared" si="133"/>
        <v>0</v>
      </c>
      <c r="O2447" t="s">
        <v>321</v>
      </c>
    </row>
    <row r="2448" spans="1:15" x14ac:dyDescent="0.2">
      <c r="A2448" t="s">
        <v>2752</v>
      </c>
      <c r="B2448" s="27" t="s">
        <v>321</v>
      </c>
      <c r="E2448" t="str">
        <f t="shared" si="132"/>
        <v/>
      </c>
      <c r="G2448" s="5" t="str">
        <f t="shared" si="134"/>
        <v/>
      </c>
      <c r="I2448" s="6" t="str">
        <f t="shared" si="133"/>
        <v>0</v>
      </c>
      <c r="O2448" t="s">
        <v>321</v>
      </c>
    </row>
    <row r="2449" spans="1:15" x14ac:dyDescent="0.2">
      <c r="A2449" t="s">
        <v>2753</v>
      </c>
      <c r="B2449" s="27" t="s">
        <v>2754</v>
      </c>
      <c r="E2449" t="str">
        <f t="shared" si="132"/>
        <v/>
      </c>
      <c r="G2449" s="5" t="str">
        <f t="shared" si="134"/>
        <v/>
      </c>
      <c r="I2449" s="6" t="str">
        <f t="shared" si="133"/>
        <v>0</v>
      </c>
      <c r="O2449" t="s">
        <v>2754</v>
      </c>
    </row>
    <row r="2450" spans="1:15" x14ac:dyDescent="0.2">
      <c r="A2450" t="s">
        <v>2755</v>
      </c>
      <c r="B2450" s="27" t="s">
        <v>321</v>
      </c>
      <c r="E2450" t="str">
        <f t="shared" si="132"/>
        <v/>
      </c>
      <c r="G2450" s="5" t="str">
        <f t="shared" si="134"/>
        <v/>
      </c>
      <c r="I2450" s="6" t="str">
        <f t="shared" si="133"/>
        <v>0</v>
      </c>
      <c r="O2450" t="s">
        <v>321</v>
      </c>
    </row>
    <row r="2451" spans="1:15" x14ac:dyDescent="0.2">
      <c r="A2451" t="s">
        <v>2756</v>
      </c>
      <c r="B2451" s="27" t="s">
        <v>321</v>
      </c>
      <c r="E2451" t="str">
        <f t="shared" si="132"/>
        <v/>
      </c>
      <c r="G2451" s="5" t="str">
        <f t="shared" si="134"/>
        <v/>
      </c>
      <c r="I2451" s="6" t="str">
        <f t="shared" si="133"/>
        <v>0</v>
      </c>
      <c r="O2451" t="s">
        <v>321</v>
      </c>
    </row>
    <row r="2452" spans="1:15" x14ac:dyDescent="0.2">
      <c r="A2452" t="s">
        <v>2757</v>
      </c>
      <c r="B2452" s="27" t="s">
        <v>321</v>
      </c>
      <c r="E2452" t="str">
        <f t="shared" si="132"/>
        <v/>
      </c>
      <c r="G2452" s="5" t="str">
        <f t="shared" si="134"/>
        <v/>
      </c>
      <c r="I2452" s="6" t="str">
        <f t="shared" si="133"/>
        <v>0</v>
      </c>
      <c r="O2452" t="s">
        <v>321</v>
      </c>
    </row>
    <row r="2453" spans="1:15" x14ac:dyDescent="0.2">
      <c r="A2453" t="s">
        <v>2758</v>
      </c>
      <c r="B2453" s="27"/>
      <c r="E2453" t="str">
        <f t="shared" si="132"/>
        <v/>
      </c>
      <c r="G2453" s="5" t="str">
        <f t="shared" si="134"/>
        <v/>
      </c>
      <c r="I2453" s="6" t="str">
        <f t="shared" si="133"/>
        <v>0</v>
      </c>
    </row>
    <row r="2454" spans="1:15" x14ac:dyDescent="0.2">
      <c r="A2454" t="s">
        <v>2759</v>
      </c>
      <c r="B2454" s="27" t="s">
        <v>2760</v>
      </c>
      <c r="E2454" t="str">
        <f t="shared" si="132"/>
        <v/>
      </c>
      <c r="G2454" s="5" t="str">
        <f t="shared" si="134"/>
        <v/>
      </c>
      <c r="I2454" s="6" t="str">
        <f t="shared" si="133"/>
        <v>0</v>
      </c>
      <c r="O2454" t="s">
        <v>2760</v>
      </c>
    </row>
    <row r="2455" spans="1:15" x14ac:dyDescent="0.2">
      <c r="A2455" t="s">
        <v>2761</v>
      </c>
      <c r="B2455" s="27"/>
      <c r="E2455" t="str">
        <f t="shared" si="132"/>
        <v/>
      </c>
      <c r="G2455" s="5" t="str">
        <f t="shared" si="134"/>
        <v/>
      </c>
      <c r="I2455" s="6" t="str">
        <f t="shared" si="133"/>
        <v>0</v>
      </c>
    </row>
    <row r="2456" spans="1:15" x14ac:dyDescent="0.2">
      <c r="A2456" t="s">
        <v>2762</v>
      </c>
      <c r="B2456" s="27" t="s">
        <v>2763</v>
      </c>
      <c r="E2456" t="str">
        <f t="shared" si="132"/>
        <v/>
      </c>
      <c r="G2456" s="5" t="str">
        <f t="shared" si="134"/>
        <v/>
      </c>
      <c r="I2456" s="6" t="str">
        <f t="shared" si="133"/>
        <v>0</v>
      </c>
      <c r="O2456" t="s">
        <v>2763</v>
      </c>
    </row>
    <row r="2457" spans="1:15" x14ac:dyDescent="0.2">
      <c r="A2457" t="s">
        <v>2764</v>
      </c>
      <c r="B2457" s="27" t="s">
        <v>321</v>
      </c>
      <c r="E2457" t="str">
        <f t="shared" si="132"/>
        <v/>
      </c>
      <c r="G2457" s="5" t="str">
        <f t="shared" si="134"/>
        <v/>
      </c>
      <c r="I2457" s="6" t="str">
        <f t="shared" si="133"/>
        <v>0</v>
      </c>
      <c r="O2457" t="s">
        <v>321</v>
      </c>
    </row>
    <row r="2458" spans="1:15" x14ac:dyDescent="0.2">
      <c r="A2458" t="s">
        <v>2765</v>
      </c>
      <c r="B2458" s="27" t="s">
        <v>2766</v>
      </c>
      <c r="E2458" t="str">
        <f t="shared" si="132"/>
        <v/>
      </c>
      <c r="G2458" s="5" t="str">
        <f t="shared" si="134"/>
        <v/>
      </c>
      <c r="I2458" s="6" t="str">
        <f t="shared" si="133"/>
        <v>0</v>
      </c>
      <c r="O2458" t="s">
        <v>2766</v>
      </c>
    </row>
    <row r="2459" spans="1:15" x14ac:dyDescent="0.2">
      <c r="A2459" t="s">
        <v>2767</v>
      </c>
      <c r="B2459" s="27" t="s">
        <v>2767</v>
      </c>
      <c r="E2459" t="str">
        <f t="shared" si="132"/>
        <v/>
      </c>
      <c r="G2459" s="5" t="str">
        <f t="shared" si="134"/>
        <v/>
      </c>
      <c r="I2459" s="6" t="str">
        <f t="shared" si="133"/>
        <v>0</v>
      </c>
      <c r="O2459" t="s">
        <v>2767</v>
      </c>
    </row>
    <row r="2460" spans="1:15" x14ac:dyDescent="0.2">
      <c r="A2460" t="s">
        <v>2768</v>
      </c>
      <c r="B2460" s="27" t="s">
        <v>2769</v>
      </c>
      <c r="E2460" t="str">
        <f t="shared" si="132"/>
        <v/>
      </c>
      <c r="G2460" s="5" t="str">
        <f t="shared" si="134"/>
        <v/>
      </c>
      <c r="I2460" s="6" t="str">
        <f t="shared" si="133"/>
        <v>0</v>
      </c>
      <c r="O2460" t="s">
        <v>2769</v>
      </c>
    </row>
    <row r="2461" spans="1:15" x14ac:dyDescent="0.2">
      <c r="A2461" t="s">
        <v>2770</v>
      </c>
      <c r="B2461" s="27" t="s">
        <v>2771</v>
      </c>
      <c r="E2461" t="str">
        <f t="shared" si="132"/>
        <v/>
      </c>
      <c r="G2461" s="5" t="str">
        <f t="shared" si="134"/>
        <v/>
      </c>
      <c r="I2461" s="6" t="str">
        <f t="shared" si="133"/>
        <v>0</v>
      </c>
      <c r="O2461" t="s">
        <v>2771</v>
      </c>
    </row>
    <row r="2462" spans="1:15" x14ac:dyDescent="0.2">
      <c r="A2462" t="s">
        <v>2772</v>
      </c>
      <c r="B2462" s="27" t="s">
        <v>2773</v>
      </c>
      <c r="E2462" t="str">
        <f t="shared" si="132"/>
        <v/>
      </c>
      <c r="G2462" s="5" t="str">
        <f t="shared" si="134"/>
        <v/>
      </c>
      <c r="I2462" s="6" t="str">
        <f t="shared" si="133"/>
        <v>0</v>
      </c>
      <c r="O2462" t="s">
        <v>2773</v>
      </c>
    </row>
    <row r="2463" spans="1:15" x14ac:dyDescent="0.2">
      <c r="A2463" t="s">
        <v>2774</v>
      </c>
      <c r="B2463" s="27" t="s">
        <v>2775</v>
      </c>
      <c r="E2463" t="str">
        <f t="shared" si="132"/>
        <v/>
      </c>
      <c r="G2463" s="5" t="str">
        <f t="shared" si="134"/>
        <v/>
      </c>
      <c r="I2463" s="6" t="str">
        <f t="shared" si="133"/>
        <v>0</v>
      </c>
      <c r="O2463" t="s">
        <v>2775</v>
      </c>
    </row>
    <row r="2464" spans="1:15" x14ac:dyDescent="0.2">
      <c r="A2464" t="s">
        <v>2776</v>
      </c>
      <c r="B2464" s="27" t="s">
        <v>2777</v>
      </c>
      <c r="E2464" t="str">
        <f t="shared" si="132"/>
        <v/>
      </c>
      <c r="G2464" s="5" t="str">
        <f t="shared" si="134"/>
        <v/>
      </c>
      <c r="I2464" s="6" t="str">
        <f t="shared" si="133"/>
        <v>0</v>
      </c>
      <c r="O2464" t="s">
        <v>2777</v>
      </c>
    </row>
    <row r="2465" spans="1:15" x14ac:dyDescent="0.2">
      <c r="A2465" t="s">
        <v>2778</v>
      </c>
      <c r="B2465" s="27" t="s">
        <v>2779</v>
      </c>
      <c r="E2465" t="str">
        <f t="shared" si="132"/>
        <v/>
      </c>
      <c r="G2465" s="5" t="str">
        <f t="shared" si="134"/>
        <v/>
      </c>
      <c r="I2465" s="6" t="str">
        <f t="shared" si="133"/>
        <v>0</v>
      </c>
      <c r="O2465" t="s">
        <v>2779</v>
      </c>
    </row>
    <row r="2466" spans="1:15" x14ac:dyDescent="0.2">
      <c r="A2466" t="s">
        <v>2780</v>
      </c>
      <c r="B2466" s="27" t="s">
        <v>2781</v>
      </c>
      <c r="E2466" t="str">
        <f t="shared" si="132"/>
        <v/>
      </c>
      <c r="G2466" s="5" t="str">
        <f t="shared" si="134"/>
        <v/>
      </c>
      <c r="I2466" s="6" t="str">
        <f t="shared" si="133"/>
        <v>0</v>
      </c>
      <c r="O2466" t="s">
        <v>2781</v>
      </c>
    </row>
    <row r="2467" spans="1:15" x14ac:dyDescent="0.2">
      <c r="A2467" t="s">
        <v>2782</v>
      </c>
      <c r="B2467" s="27" t="s">
        <v>2783</v>
      </c>
      <c r="E2467" t="str">
        <f t="shared" si="132"/>
        <v/>
      </c>
      <c r="G2467" s="5" t="str">
        <f t="shared" si="134"/>
        <v/>
      </c>
      <c r="I2467" s="6" t="str">
        <f t="shared" si="133"/>
        <v>0</v>
      </c>
      <c r="O2467" t="s">
        <v>2783</v>
      </c>
    </row>
    <row r="2468" spans="1:15" x14ac:dyDescent="0.2">
      <c r="A2468" t="s">
        <v>2784</v>
      </c>
      <c r="B2468" s="27" t="s">
        <v>2785</v>
      </c>
      <c r="E2468" t="str">
        <f t="shared" si="132"/>
        <v/>
      </c>
      <c r="G2468" s="5" t="str">
        <f t="shared" si="134"/>
        <v/>
      </c>
      <c r="I2468" s="6" t="str">
        <f t="shared" si="133"/>
        <v>0</v>
      </c>
      <c r="O2468" t="s">
        <v>2785</v>
      </c>
    </row>
    <row r="2469" spans="1:15" x14ac:dyDescent="0.2">
      <c r="A2469" t="s">
        <v>2786</v>
      </c>
      <c r="B2469" s="27" t="s">
        <v>2787</v>
      </c>
      <c r="E2469" t="str">
        <f t="shared" si="132"/>
        <v/>
      </c>
      <c r="G2469" s="5" t="str">
        <f t="shared" si="134"/>
        <v/>
      </c>
      <c r="I2469" s="6" t="str">
        <f t="shared" si="133"/>
        <v>0</v>
      </c>
      <c r="O2469" t="s">
        <v>2787</v>
      </c>
    </row>
    <row r="2470" spans="1:15" x14ac:dyDescent="0.2">
      <c r="A2470" t="s">
        <v>2788</v>
      </c>
      <c r="B2470" s="27" t="s">
        <v>2788</v>
      </c>
      <c r="E2470" t="str">
        <f t="shared" si="132"/>
        <v/>
      </c>
      <c r="G2470" s="5" t="str">
        <f t="shared" si="134"/>
        <v/>
      </c>
      <c r="I2470" s="6" t="str">
        <f t="shared" si="133"/>
        <v>0</v>
      </c>
      <c r="O2470" t="s">
        <v>2788</v>
      </c>
    </row>
    <row r="2471" spans="1:15" x14ac:dyDescent="0.2">
      <c r="A2471" t="s">
        <v>2789</v>
      </c>
      <c r="B2471" s="27" t="s">
        <v>321</v>
      </c>
      <c r="E2471" t="str">
        <f t="shared" si="132"/>
        <v/>
      </c>
      <c r="G2471" s="5" t="str">
        <f t="shared" si="134"/>
        <v/>
      </c>
      <c r="I2471" s="6" t="str">
        <f t="shared" si="133"/>
        <v>0</v>
      </c>
      <c r="O2471" t="s">
        <v>321</v>
      </c>
    </row>
    <row r="2472" spans="1:15" x14ac:dyDescent="0.2">
      <c r="A2472" t="s">
        <v>2790</v>
      </c>
      <c r="B2472" s="27"/>
      <c r="E2472" t="str">
        <f t="shared" si="132"/>
        <v/>
      </c>
      <c r="G2472" s="5" t="str">
        <f t="shared" si="134"/>
        <v/>
      </c>
      <c r="I2472" s="6" t="str">
        <f t="shared" si="133"/>
        <v>0</v>
      </c>
    </row>
    <row r="2473" spans="1:15" x14ac:dyDescent="0.2">
      <c r="A2473" t="s">
        <v>2791</v>
      </c>
      <c r="B2473" s="27" t="s">
        <v>321</v>
      </c>
      <c r="E2473" t="str">
        <f t="shared" si="132"/>
        <v/>
      </c>
      <c r="G2473" s="5" t="str">
        <f t="shared" si="134"/>
        <v/>
      </c>
      <c r="I2473" s="6" t="str">
        <f t="shared" si="133"/>
        <v>0</v>
      </c>
      <c r="O2473" t="s">
        <v>321</v>
      </c>
    </row>
    <row r="2474" spans="1:15" x14ac:dyDescent="0.2">
      <c r="A2474" t="s">
        <v>2792</v>
      </c>
      <c r="B2474" s="27" t="s">
        <v>321</v>
      </c>
      <c r="E2474" t="str">
        <f t="shared" si="132"/>
        <v/>
      </c>
      <c r="G2474" s="5" t="str">
        <f t="shared" si="134"/>
        <v/>
      </c>
      <c r="I2474" s="6" t="str">
        <f t="shared" si="133"/>
        <v>0</v>
      </c>
      <c r="O2474" t="s">
        <v>321</v>
      </c>
    </row>
    <row r="2475" spans="1:15" x14ac:dyDescent="0.2">
      <c r="A2475" t="s">
        <v>2793</v>
      </c>
      <c r="B2475" s="27" t="s">
        <v>321</v>
      </c>
      <c r="E2475" t="str">
        <f t="shared" si="132"/>
        <v/>
      </c>
      <c r="G2475" s="5" t="str">
        <f t="shared" si="134"/>
        <v/>
      </c>
      <c r="I2475" s="6" t="str">
        <f t="shared" si="133"/>
        <v>0</v>
      </c>
      <c r="O2475" t="s">
        <v>321</v>
      </c>
    </row>
    <row r="2476" spans="1:15" x14ac:dyDescent="0.2">
      <c r="A2476" t="s">
        <v>2794</v>
      </c>
      <c r="B2476" s="27" t="s">
        <v>321</v>
      </c>
      <c r="E2476" t="str">
        <f t="shared" si="132"/>
        <v/>
      </c>
      <c r="G2476" s="5" t="str">
        <f t="shared" si="134"/>
        <v/>
      </c>
      <c r="I2476" s="6" t="str">
        <f t="shared" si="133"/>
        <v>0</v>
      </c>
      <c r="O2476" t="s">
        <v>321</v>
      </c>
    </row>
    <row r="2477" spans="1:15" x14ac:dyDescent="0.2">
      <c r="A2477" t="s">
        <v>2795</v>
      </c>
      <c r="B2477" s="27" t="s">
        <v>321</v>
      </c>
      <c r="E2477" t="str">
        <f t="shared" si="132"/>
        <v/>
      </c>
      <c r="G2477" s="5" t="str">
        <f t="shared" si="134"/>
        <v/>
      </c>
      <c r="I2477" s="6" t="str">
        <f t="shared" si="133"/>
        <v>0</v>
      </c>
      <c r="O2477" t="s">
        <v>321</v>
      </c>
    </row>
    <row r="2478" spans="1:15" x14ac:dyDescent="0.2">
      <c r="A2478" t="s">
        <v>2796</v>
      </c>
      <c r="B2478" s="27" t="s">
        <v>321</v>
      </c>
      <c r="E2478" t="str">
        <f t="shared" si="132"/>
        <v/>
      </c>
      <c r="G2478" s="5" t="str">
        <f t="shared" si="134"/>
        <v/>
      </c>
      <c r="I2478" s="6" t="str">
        <f t="shared" si="133"/>
        <v>0</v>
      </c>
      <c r="O2478" t="s">
        <v>321</v>
      </c>
    </row>
    <row r="2479" spans="1:15" x14ac:dyDescent="0.2">
      <c r="A2479" t="s">
        <v>2797</v>
      </c>
      <c r="B2479" s="27" t="s">
        <v>321</v>
      </c>
      <c r="E2479" t="str">
        <f t="shared" si="132"/>
        <v/>
      </c>
      <c r="G2479" s="5" t="str">
        <f t="shared" si="134"/>
        <v/>
      </c>
      <c r="I2479" s="6" t="str">
        <f t="shared" si="133"/>
        <v>0</v>
      </c>
      <c r="O2479" t="s">
        <v>321</v>
      </c>
    </row>
    <row r="2480" spans="1:15" x14ac:dyDescent="0.2">
      <c r="A2480" t="s">
        <v>2798</v>
      </c>
      <c r="B2480" s="27" t="s">
        <v>321</v>
      </c>
      <c r="E2480" t="str">
        <f t="shared" si="132"/>
        <v/>
      </c>
      <c r="G2480" s="5" t="str">
        <f t="shared" si="134"/>
        <v/>
      </c>
      <c r="I2480" s="6" t="str">
        <f t="shared" si="133"/>
        <v>0</v>
      </c>
      <c r="O2480" t="s">
        <v>321</v>
      </c>
    </row>
    <row r="2481" spans="1:15" x14ac:dyDescent="0.2">
      <c r="A2481" t="s">
        <v>2799</v>
      </c>
      <c r="B2481" s="27" t="s">
        <v>321</v>
      </c>
      <c r="E2481" t="str">
        <f t="shared" si="132"/>
        <v/>
      </c>
      <c r="G2481" s="5" t="str">
        <f t="shared" si="134"/>
        <v/>
      </c>
      <c r="I2481" s="6" t="str">
        <f t="shared" si="133"/>
        <v>0</v>
      </c>
      <c r="O2481" t="s">
        <v>321</v>
      </c>
    </row>
    <row r="2482" spans="1:15" x14ac:dyDescent="0.2">
      <c r="A2482" t="s">
        <v>2800</v>
      </c>
      <c r="B2482" s="27" t="s">
        <v>321</v>
      </c>
      <c r="E2482" t="str">
        <f t="shared" si="132"/>
        <v/>
      </c>
      <c r="G2482" s="5" t="str">
        <f t="shared" si="134"/>
        <v/>
      </c>
      <c r="I2482" s="6" t="str">
        <f t="shared" si="133"/>
        <v>0</v>
      </c>
      <c r="O2482" t="s">
        <v>321</v>
      </c>
    </row>
    <row r="2483" spans="1:15" x14ac:dyDescent="0.2">
      <c r="A2483" t="s">
        <v>2801</v>
      </c>
      <c r="B2483" s="27" t="s">
        <v>321</v>
      </c>
      <c r="E2483" t="str">
        <f t="shared" si="132"/>
        <v/>
      </c>
      <c r="G2483" s="5" t="str">
        <f t="shared" si="134"/>
        <v/>
      </c>
      <c r="I2483" s="6" t="str">
        <f t="shared" si="133"/>
        <v>0</v>
      </c>
      <c r="O2483" t="s">
        <v>321</v>
      </c>
    </row>
    <row r="2484" spans="1:15" x14ac:dyDescent="0.2">
      <c r="A2484" t="s">
        <v>2802</v>
      </c>
      <c r="B2484" s="27" t="s">
        <v>321</v>
      </c>
      <c r="E2484" t="str">
        <f t="shared" si="132"/>
        <v/>
      </c>
      <c r="G2484" s="5" t="str">
        <f t="shared" si="134"/>
        <v/>
      </c>
      <c r="I2484" s="6" t="str">
        <f t="shared" si="133"/>
        <v>0</v>
      </c>
      <c r="O2484" t="s">
        <v>321</v>
      </c>
    </row>
    <row r="2485" spans="1:15" x14ac:dyDescent="0.2">
      <c r="A2485" t="s">
        <v>2803</v>
      </c>
      <c r="B2485" s="27" t="s">
        <v>321</v>
      </c>
      <c r="E2485" t="str">
        <f t="shared" si="132"/>
        <v/>
      </c>
      <c r="G2485" s="5" t="str">
        <f t="shared" si="134"/>
        <v/>
      </c>
      <c r="I2485" s="6" t="str">
        <f t="shared" si="133"/>
        <v>0</v>
      </c>
      <c r="O2485" t="s">
        <v>321</v>
      </c>
    </row>
    <row r="2486" spans="1:15" x14ac:dyDescent="0.2">
      <c r="A2486" t="s">
        <v>2804</v>
      </c>
      <c r="B2486" s="27" t="s">
        <v>321</v>
      </c>
      <c r="E2486" t="str">
        <f t="shared" si="132"/>
        <v/>
      </c>
      <c r="G2486" s="5" t="str">
        <f t="shared" si="134"/>
        <v/>
      </c>
      <c r="I2486" s="6" t="str">
        <f t="shared" si="133"/>
        <v>0</v>
      </c>
      <c r="O2486" t="s">
        <v>321</v>
      </c>
    </row>
    <row r="2487" spans="1:15" x14ac:dyDescent="0.2">
      <c r="A2487" t="s">
        <v>2805</v>
      </c>
      <c r="B2487" s="27" t="s">
        <v>321</v>
      </c>
      <c r="E2487" t="str">
        <f t="shared" si="132"/>
        <v/>
      </c>
      <c r="G2487" s="5" t="str">
        <f t="shared" si="134"/>
        <v/>
      </c>
      <c r="I2487" s="6" t="str">
        <f t="shared" si="133"/>
        <v>0</v>
      </c>
      <c r="O2487" t="s">
        <v>321</v>
      </c>
    </row>
    <row r="2488" spans="1:15" x14ac:dyDescent="0.2">
      <c r="A2488" t="s">
        <v>2806</v>
      </c>
      <c r="B2488" s="27" t="s">
        <v>321</v>
      </c>
      <c r="E2488" t="str">
        <f t="shared" si="132"/>
        <v/>
      </c>
      <c r="G2488" s="5" t="str">
        <f t="shared" si="134"/>
        <v/>
      </c>
      <c r="I2488" s="6" t="str">
        <f t="shared" si="133"/>
        <v>0</v>
      </c>
      <c r="O2488" t="s">
        <v>321</v>
      </c>
    </row>
    <row r="2489" spans="1:15" x14ac:dyDescent="0.2">
      <c r="A2489" t="s">
        <v>2807</v>
      </c>
      <c r="B2489" s="27" t="s">
        <v>2808</v>
      </c>
      <c r="E2489" t="str">
        <f t="shared" si="132"/>
        <v/>
      </c>
      <c r="G2489" s="5" t="str">
        <f t="shared" si="134"/>
        <v/>
      </c>
      <c r="I2489" s="6" t="str">
        <f t="shared" si="133"/>
        <v>0</v>
      </c>
      <c r="O2489" t="s">
        <v>2808</v>
      </c>
    </row>
    <row r="2490" spans="1:15" x14ac:dyDescent="0.2">
      <c r="A2490" t="s">
        <v>2809</v>
      </c>
      <c r="B2490" s="27" t="s">
        <v>2810</v>
      </c>
      <c r="E2490" t="str">
        <f t="shared" si="132"/>
        <v/>
      </c>
      <c r="G2490" s="5" t="str">
        <f t="shared" si="134"/>
        <v/>
      </c>
      <c r="I2490" s="6" t="str">
        <f t="shared" si="133"/>
        <v>0</v>
      </c>
      <c r="O2490" t="s">
        <v>2810</v>
      </c>
    </row>
    <row r="2491" spans="1:15" x14ac:dyDescent="0.2">
      <c r="A2491" t="s">
        <v>2811</v>
      </c>
      <c r="B2491" s="27" t="s">
        <v>2812</v>
      </c>
      <c r="E2491" t="str">
        <f t="shared" si="132"/>
        <v/>
      </c>
      <c r="G2491" s="5" t="str">
        <f t="shared" si="134"/>
        <v/>
      </c>
      <c r="I2491" s="6" t="str">
        <f t="shared" si="133"/>
        <v>0</v>
      </c>
      <c r="O2491" t="s">
        <v>2812</v>
      </c>
    </row>
    <row r="2492" spans="1:15" x14ac:dyDescent="0.2">
      <c r="A2492" t="s">
        <v>2813</v>
      </c>
      <c r="B2492" s="27" t="s">
        <v>2814</v>
      </c>
      <c r="E2492" t="str">
        <f t="shared" si="132"/>
        <v/>
      </c>
      <c r="G2492" s="5" t="str">
        <f t="shared" si="134"/>
        <v/>
      </c>
      <c r="I2492" s="6" t="str">
        <f t="shared" si="133"/>
        <v>0</v>
      </c>
      <c r="O2492" t="s">
        <v>2814</v>
      </c>
    </row>
    <row r="2493" spans="1:15" x14ac:dyDescent="0.2">
      <c r="A2493" t="s">
        <v>2815</v>
      </c>
      <c r="B2493" s="27"/>
      <c r="E2493" t="str">
        <f t="shared" si="132"/>
        <v/>
      </c>
      <c r="G2493" s="5" t="str">
        <f t="shared" si="134"/>
        <v/>
      </c>
      <c r="I2493" s="6" t="str">
        <f t="shared" si="133"/>
        <v>0</v>
      </c>
    </row>
    <row r="2494" spans="1:15" x14ac:dyDescent="0.2">
      <c r="A2494" t="s">
        <v>2816</v>
      </c>
      <c r="B2494" s="27" t="s">
        <v>2817</v>
      </c>
      <c r="E2494" t="str">
        <f t="shared" si="132"/>
        <v/>
      </c>
      <c r="G2494" s="5" t="str">
        <f t="shared" si="134"/>
        <v/>
      </c>
      <c r="I2494" s="6" t="str">
        <f t="shared" si="133"/>
        <v>0</v>
      </c>
      <c r="O2494" t="s">
        <v>2817</v>
      </c>
    </row>
    <row r="2495" spans="1:15" x14ac:dyDescent="0.2">
      <c r="A2495" t="s">
        <v>2818</v>
      </c>
      <c r="B2495" s="27" t="s">
        <v>2819</v>
      </c>
      <c r="E2495" t="str">
        <f t="shared" si="132"/>
        <v/>
      </c>
      <c r="G2495" s="5" t="str">
        <f t="shared" si="134"/>
        <v/>
      </c>
      <c r="I2495" s="6" t="str">
        <f t="shared" si="133"/>
        <v>0</v>
      </c>
      <c r="O2495" t="s">
        <v>2819</v>
      </c>
    </row>
    <row r="2496" spans="1:15" x14ac:dyDescent="0.2">
      <c r="A2496" t="s">
        <v>2820</v>
      </c>
      <c r="B2496" s="27" t="s">
        <v>2821</v>
      </c>
      <c r="E2496" t="str">
        <f t="shared" si="132"/>
        <v/>
      </c>
      <c r="G2496" s="5" t="str">
        <f t="shared" si="134"/>
        <v/>
      </c>
      <c r="I2496" s="6" t="str">
        <f t="shared" si="133"/>
        <v>0</v>
      </c>
      <c r="O2496" t="s">
        <v>2821</v>
      </c>
    </row>
    <row r="2497" spans="1:15" x14ac:dyDescent="0.2">
      <c r="A2497" t="s">
        <v>2822</v>
      </c>
      <c r="B2497" s="27" t="s">
        <v>2823</v>
      </c>
      <c r="E2497" t="str">
        <f t="shared" si="132"/>
        <v/>
      </c>
      <c r="G2497" s="5" t="str">
        <f t="shared" si="134"/>
        <v/>
      </c>
      <c r="I2497" s="6" t="str">
        <f t="shared" si="133"/>
        <v>0</v>
      </c>
      <c r="O2497" t="s">
        <v>2823</v>
      </c>
    </row>
    <row r="2498" spans="1:15" x14ac:dyDescent="0.2">
      <c r="A2498" t="s">
        <v>2824</v>
      </c>
      <c r="B2498" s="27" t="s">
        <v>2825</v>
      </c>
      <c r="E2498" t="str">
        <f t="shared" si="132"/>
        <v/>
      </c>
      <c r="G2498" s="5" t="str">
        <f t="shared" si="134"/>
        <v/>
      </c>
      <c r="I2498" s="6" t="str">
        <f t="shared" si="133"/>
        <v>0</v>
      </c>
      <c r="O2498" t="s">
        <v>2825</v>
      </c>
    </row>
    <row r="2499" spans="1:15" x14ac:dyDescent="0.2">
      <c r="A2499" t="s">
        <v>2826</v>
      </c>
      <c r="B2499" s="27" t="s">
        <v>2827</v>
      </c>
      <c r="E2499" t="str">
        <f t="shared" si="132"/>
        <v/>
      </c>
      <c r="G2499" s="5" t="str">
        <f t="shared" si="134"/>
        <v/>
      </c>
      <c r="I2499" s="6" t="str">
        <f t="shared" si="133"/>
        <v>0</v>
      </c>
      <c r="O2499" t="s">
        <v>2827</v>
      </c>
    </row>
    <row r="2500" spans="1:15" x14ac:dyDescent="0.2">
      <c r="A2500" t="s">
        <v>2828</v>
      </c>
      <c r="B2500" s="27" t="s">
        <v>2829</v>
      </c>
      <c r="E2500" t="str">
        <f t="shared" ref="E2500:E2563" si="135">IF(D2500&lt;&gt;"",C2500&amp;"/"&amp;D2500,"")</f>
        <v/>
      </c>
      <c r="G2500" s="5" t="str">
        <f t="shared" si="134"/>
        <v/>
      </c>
      <c r="I2500" s="6" t="str">
        <f t="shared" si="133"/>
        <v>0</v>
      </c>
      <c r="O2500" t="s">
        <v>2829</v>
      </c>
    </row>
    <row r="2501" spans="1:15" x14ac:dyDescent="0.2">
      <c r="A2501" t="s">
        <v>2830</v>
      </c>
      <c r="B2501" s="27" t="s">
        <v>2831</v>
      </c>
      <c r="E2501" t="str">
        <f t="shared" si="135"/>
        <v/>
      </c>
      <c r="G2501" s="5" t="str">
        <f t="shared" si="134"/>
        <v/>
      </c>
      <c r="I2501" s="6" t="str">
        <f t="shared" ref="I2501:I2564" si="136">IFERROR(DEC2HEX(H2501),"")</f>
        <v>0</v>
      </c>
      <c r="O2501" t="s">
        <v>2831</v>
      </c>
    </row>
    <row r="2502" spans="1:15" x14ac:dyDescent="0.2">
      <c r="A2502" t="s">
        <v>2832</v>
      </c>
      <c r="B2502" s="27" t="s">
        <v>2833</v>
      </c>
      <c r="E2502" t="str">
        <f t="shared" si="135"/>
        <v/>
      </c>
      <c r="G2502" s="5" t="str">
        <f t="shared" si="134"/>
        <v/>
      </c>
      <c r="I2502" s="6" t="str">
        <f t="shared" si="136"/>
        <v>0</v>
      </c>
      <c r="O2502" t="s">
        <v>2833</v>
      </c>
    </row>
    <row r="2503" spans="1:15" x14ac:dyDescent="0.2">
      <c r="A2503" t="s">
        <v>2834</v>
      </c>
      <c r="B2503" s="27" t="s">
        <v>2835</v>
      </c>
      <c r="E2503" t="str">
        <f t="shared" si="135"/>
        <v/>
      </c>
      <c r="G2503" s="5" t="str">
        <f t="shared" si="134"/>
        <v/>
      </c>
      <c r="I2503" s="6" t="str">
        <f t="shared" si="136"/>
        <v>0</v>
      </c>
      <c r="O2503" t="s">
        <v>2835</v>
      </c>
    </row>
    <row r="2504" spans="1:15" x14ac:dyDescent="0.2">
      <c r="A2504" t="s">
        <v>2836</v>
      </c>
      <c r="B2504" s="27" t="s">
        <v>2837</v>
      </c>
      <c r="E2504" t="str">
        <f t="shared" si="135"/>
        <v/>
      </c>
      <c r="G2504" s="5" t="str">
        <f t="shared" si="134"/>
        <v/>
      </c>
      <c r="I2504" s="6" t="str">
        <f t="shared" si="136"/>
        <v>0</v>
      </c>
      <c r="O2504" t="s">
        <v>2837</v>
      </c>
    </row>
    <row r="2505" spans="1:15" x14ac:dyDescent="0.2">
      <c r="A2505" t="s">
        <v>2838</v>
      </c>
      <c r="B2505" s="27" t="s">
        <v>2839</v>
      </c>
      <c r="E2505" t="str">
        <f t="shared" si="135"/>
        <v/>
      </c>
      <c r="G2505" s="5" t="str">
        <f t="shared" si="134"/>
        <v/>
      </c>
      <c r="I2505" s="6" t="str">
        <f t="shared" si="136"/>
        <v>0</v>
      </c>
      <c r="O2505" t="s">
        <v>2839</v>
      </c>
    </row>
    <row r="2506" spans="1:15" x14ac:dyDescent="0.2">
      <c r="A2506" t="s">
        <v>2840</v>
      </c>
      <c r="B2506" s="27" t="s">
        <v>2841</v>
      </c>
      <c r="E2506" t="str">
        <f t="shared" si="135"/>
        <v/>
      </c>
      <c r="G2506" s="5" t="str">
        <f t="shared" si="134"/>
        <v/>
      </c>
      <c r="I2506" s="6" t="str">
        <f t="shared" si="136"/>
        <v>0</v>
      </c>
      <c r="O2506" t="s">
        <v>2841</v>
      </c>
    </row>
    <row r="2507" spans="1:15" x14ac:dyDescent="0.2">
      <c r="A2507" t="s">
        <v>2842</v>
      </c>
      <c r="B2507" s="27" t="s">
        <v>2843</v>
      </c>
      <c r="E2507" t="str">
        <f t="shared" si="135"/>
        <v/>
      </c>
      <c r="G2507" s="5" t="str">
        <f t="shared" ref="G2507:G2570" si="137">IF(F2507&lt;&gt;"",HEX2DEC(SUBSTITUTE(SUBSTITUTE(F2507,"adrEA",""),"$","")),"")</f>
        <v/>
      </c>
      <c r="I2507" s="6" t="str">
        <f t="shared" si="136"/>
        <v>0</v>
      </c>
      <c r="O2507" t="s">
        <v>2843</v>
      </c>
    </row>
    <row r="2508" spans="1:15" x14ac:dyDescent="0.2">
      <c r="A2508" t="s">
        <v>2844</v>
      </c>
      <c r="B2508" s="27" t="s">
        <v>321</v>
      </c>
      <c r="E2508" t="str">
        <f t="shared" si="135"/>
        <v/>
      </c>
      <c r="G2508" s="5" t="str">
        <f t="shared" si="137"/>
        <v/>
      </c>
      <c r="I2508" s="6" t="str">
        <f t="shared" si="136"/>
        <v>0</v>
      </c>
      <c r="O2508" t="s">
        <v>321</v>
      </c>
    </row>
    <row r="2509" spans="1:15" x14ac:dyDescent="0.2">
      <c r="A2509" t="s">
        <v>2845</v>
      </c>
      <c r="B2509" s="27" t="s">
        <v>321</v>
      </c>
      <c r="E2509" t="str">
        <f t="shared" si="135"/>
        <v/>
      </c>
      <c r="G2509" s="5" t="str">
        <f t="shared" si="137"/>
        <v/>
      </c>
      <c r="I2509" s="6" t="str">
        <f t="shared" si="136"/>
        <v>0</v>
      </c>
      <c r="O2509" t="s">
        <v>321</v>
      </c>
    </row>
    <row r="2510" spans="1:15" x14ac:dyDescent="0.2">
      <c r="A2510" t="s">
        <v>2846</v>
      </c>
      <c r="B2510" s="27" t="s">
        <v>2847</v>
      </c>
      <c r="E2510" t="str">
        <f t="shared" si="135"/>
        <v/>
      </c>
      <c r="G2510" s="5" t="str">
        <f t="shared" si="137"/>
        <v/>
      </c>
      <c r="I2510" s="6" t="str">
        <f t="shared" si="136"/>
        <v>0</v>
      </c>
      <c r="O2510" t="s">
        <v>2847</v>
      </c>
    </row>
    <row r="2511" spans="1:15" x14ac:dyDescent="0.2">
      <c r="A2511" t="s">
        <v>2848</v>
      </c>
      <c r="B2511" s="27" t="s">
        <v>2849</v>
      </c>
      <c r="E2511" t="str">
        <f t="shared" si="135"/>
        <v/>
      </c>
      <c r="G2511" s="5" t="str">
        <f t="shared" si="137"/>
        <v/>
      </c>
      <c r="I2511" s="6" t="str">
        <f t="shared" si="136"/>
        <v>0</v>
      </c>
      <c r="O2511" t="s">
        <v>2849</v>
      </c>
    </row>
    <row r="2512" spans="1:15" x14ac:dyDescent="0.2">
      <c r="A2512" t="s">
        <v>2850</v>
      </c>
      <c r="B2512" s="27" t="s">
        <v>2851</v>
      </c>
      <c r="E2512" t="str">
        <f t="shared" si="135"/>
        <v/>
      </c>
      <c r="G2512" s="5" t="str">
        <f t="shared" si="137"/>
        <v/>
      </c>
      <c r="I2512" s="6" t="str">
        <f t="shared" si="136"/>
        <v>0</v>
      </c>
      <c r="O2512" t="s">
        <v>2851</v>
      </c>
    </row>
    <row r="2513" spans="1:15" x14ac:dyDescent="0.2">
      <c r="A2513" t="s">
        <v>2852</v>
      </c>
      <c r="B2513" s="27" t="s">
        <v>2853</v>
      </c>
      <c r="E2513" t="str">
        <f t="shared" si="135"/>
        <v/>
      </c>
      <c r="G2513" s="5" t="str">
        <f t="shared" si="137"/>
        <v/>
      </c>
      <c r="I2513" s="6" t="str">
        <f t="shared" si="136"/>
        <v>0</v>
      </c>
      <c r="O2513" t="s">
        <v>2853</v>
      </c>
    </row>
    <row r="2514" spans="1:15" x14ac:dyDescent="0.2">
      <c r="A2514" t="s">
        <v>2854</v>
      </c>
      <c r="B2514" s="27" t="s">
        <v>321</v>
      </c>
      <c r="E2514" t="str">
        <f t="shared" si="135"/>
        <v/>
      </c>
      <c r="G2514" s="5" t="str">
        <f t="shared" si="137"/>
        <v/>
      </c>
      <c r="I2514" s="6" t="str">
        <f t="shared" si="136"/>
        <v>0</v>
      </c>
      <c r="O2514" t="s">
        <v>321</v>
      </c>
    </row>
    <row r="2515" spans="1:15" x14ac:dyDescent="0.2">
      <c r="A2515" t="s">
        <v>2855</v>
      </c>
      <c r="B2515" s="27" t="s">
        <v>321</v>
      </c>
      <c r="E2515" t="str">
        <f t="shared" si="135"/>
        <v/>
      </c>
      <c r="G2515" s="5" t="str">
        <f t="shared" si="137"/>
        <v/>
      </c>
      <c r="I2515" s="6" t="str">
        <f t="shared" si="136"/>
        <v>0</v>
      </c>
      <c r="O2515" t="s">
        <v>321</v>
      </c>
    </row>
    <row r="2516" spans="1:15" x14ac:dyDescent="0.2">
      <c r="A2516" t="s">
        <v>2856</v>
      </c>
      <c r="B2516" s="27" t="s">
        <v>2857</v>
      </c>
      <c r="E2516" t="str">
        <f t="shared" si="135"/>
        <v/>
      </c>
      <c r="G2516" s="5" t="str">
        <f t="shared" si="137"/>
        <v/>
      </c>
      <c r="I2516" s="6" t="str">
        <f t="shared" si="136"/>
        <v>0</v>
      </c>
      <c r="O2516" t="s">
        <v>2857</v>
      </c>
    </row>
    <row r="2517" spans="1:15" x14ac:dyDescent="0.2">
      <c r="A2517" t="s">
        <v>2858</v>
      </c>
      <c r="B2517" s="27"/>
      <c r="E2517" t="str">
        <f t="shared" si="135"/>
        <v/>
      </c>
      <c r="G2517" s="5" t="str">
        <f t="shared" si="137"/>
        <v/>
      </c>
      <c r="I2517" s="6" t="str">
        <f t="shared" si="136"/>
        <v>0</v>
      </c>
    </row>
    <row r="2518" spans="1:15" x14ac:dyDescent="0.2">
      <c r="A2518" t="s">
        <v>2859</v>
      </c>
      <c r="B2518" s="27" t="s">
        <v>321</v>
      </c>
      <c r="E2518" t="str">
        <f t="shared" si="135"/>
        <v/>
      </c>
      <c r="G2518" s="5" t="str">
        <f t="shared" si="137"/>
        <v/>
      </c>
      <c r="I2518" s="6" t="str">
        <f t="shared" si="136"/>
        <v>0</v>
      </c>
      <c r="O2518" t="s">
        <v>321</v>
      </c>
    </row>
    <row r="2519" spans="1:15" x14ac:dyDescent="0.2">
      <c r="A2519" t="s">
        <v>2860</v>
      </c>
      <c r="B2519" s="27" t="s">
        <v>321</v>
      </c>
      <c r="E2519" t="str">
        <f t="shared" si="135"/>
        <v/>
      </c>
      <c r="G2519" s="5" t="str">
        <f t="shared" si="137"/>
        <v/>
      </c>
      <c r="I2519" s="6" t="str">
        <f t="shared" si="136"/>
        <v>0</v>
      </c>
      <c r="O2519" t="s">
        <v>321</v>
      </c>
    </row>
    <row r="2520" spans="1:15" x14ac:dyDescent="0.2">
      <c r="A2520" t="s">
        <v>2861</v>
      </c>
      <c r="B2520" s="27" t="s">
        <v>321</v>
      </c>
      <c r="E2520" t="str">
        <f t="shared" si="135"/>
        <v/>
      </c>
      <c r="G2520" s="5" t="str">
        <f t="shared" si="137"/>
        <v/>
      </c>
      <c r="I2520" s="6" t="str">
        <f t="shared" si="136"/>
        <v>0</v>
      </c>
      <c r="O2520" t="s">
        <v>321</v>
      </c>
    </row>
    <row r="2521" spans="1:15" x14ac:dyDescent="0.2">
      <c r="A2521" t="s">
        <v>2862</v>
      </c>
      <c r="B2521" s="27" t="s">
        <v>321</v>
      </c>
      <c r="E2521" t="str">
        <f t="shared" si="135"/>
        <v/>
      </c>
      <c r="G2521" s="5" t="str">
        <f t="shared" si="137"/>
        <v/>
      </c>
      <c r="I2521" s="6" t="str">
        <f t="shared" si="136"/>
        <v>0</v>
      </c>
      <c r="O2521" t="s">
        <v>321</v>
      </c>
    </row>
    <row r="2522" spans="1:15" x14ac:dyDescent="0.2">
      <c r="A2522" t="s">
        <v>2863</v>
      </c>
      <c r="B2522" s="27" t="s">
        <v>321</v>
      </c>
      <c r="E2522" t="str">
        <f t="shared" si="135"/>
        <v/>
      </c>
      <c r="G2522" s="5" t="str">
        <f t="shared" si="137"/>
        <v/>
      </c>
      <c r="I2522" s="6" t="str">
        <f t="shared" si="136"/>
        <v>0</v>
      </c>
      <c r="O2522" t="s">
        <v>321</v>
      </c>
    </row>
    <row r="2523" spans="1:15" x14ac:dyDescent="0.2">
      <c r="A2523" t="s">
        <v>2864</v>
      </c>
      <c r="B2523" s="27" t="s">
        <v>321</v>
      </c>
      <c r="E2523" t="str">
        <f t="shared" si="135"/>
        <v/>
      </c>
      <c r="G2523" s="5" t="str">
        <f t="shared" si="137"/>
        <v/>
      </c>
      <c r="I2523" s="6" t="str">
        <f t="shared" si="136"/>
        <v>0</v>
      </c>
      <c r="O2523" t="s">
        <v>321</v>
      </c>
    </row>
    <row r="2524" spans="1:15" x14ac:dyDescent="0.2">
      <c r="A2524" t="s">
        <v>2865</v>
      </c>
      <c r="B2524" s="27" t="s">
        <v>321</v>
      </c>
      <c r="E2524" t="str">
        <f t="shared" si="135"/>
        <v/>
      </c>
      <c r="G2524" s="5" t="str">
        <f t="shared" si="137"/>
        <v/>
      </c>
      <c r="I2524" s="6" t="str">
        <f t="shared" si="136"/>
        <v>0</v>
      </c>
      <c r="O2524" t="s">
        <v>321</v>
      </c>
    </row>
    <row r="2525" spans="1:15" x14ac:dyDescent="0.2">
      <c r="A2525" t="s">
        <v>2866</v>
      </c>
      <c r="B2525" s="27"/>
      <c r="E2525" t="str">
        <f t="shared" si="135"/>
        <v/>
      </c>
      <c r="G2525" s="5" t="str">
        <f t="shared" si="137"/>
        <v/>
      </c>
      <c r="I2525" s="6" t="str">
        <f t="shared" si="136"/>
        <v>0</v>
      </c>
    </row>
    <row r="2526" spans="1:15" x14ac:dyDescent="0.2">
      <c r="A2526" t="s">
        <v>2867</v>
      </c>
      <c r="B2526" s="27"/>
      <c r="E2526" t="str">
        <f t="shared" si="135"/>
        <v/>
      </c>
      <c r="G2526" s="5" t="str">
        <f t="shared" si="137"/>
        <v/>
      </c>
      <c r="I2526" s="6" t="str">
        <f t="shared" si="136"/>
        <v>0</v>
      </c>
    </row>
    <row r="2527" spans="1:15" x14ac:dyDescent="0.2">
      <c r="A2527" t="s">
        <v>2868</v>
      </c>
      <c r="B2527" s="27"/>
      <c r="E2527" t="str">
        <f t="shared" si="135"/>
        <v/>
      </c>
      <c r="G2527" s="5" t="str">
        <f t="shared" si="137"/>
        <v/>
      </c>
      <c r="I2527" s="6" t="str">
        <f t="shared" si="136"/>
        <v>0</v>
      </c>
    </row>
    <row r="2528" spans="1:15" x14ac:dyDescent="0.2">
      <c r="A2528" t="s">
        <v>2869</v>
      </c>
      <c r="B2528" s="27" t="s">
        <v>2870</v>
      </c>
      <c r="E2528" t="str">
        <f t="shared" si="135"/>
        <v/>
      </c>
      <c r="G2528" s="5" t="str">
        <f t="shared" si="137"/>
        <v/>
      </c>
      <c r="I2528" s="6" t="str">
        <f t="shared" si="136"/>
        <v>0</v>
      </c>
      <c r="O2528" t="s">
        <v>2870</v>
      </c>
    </row>
    <row r="2529" spans="1:15" x14ac:dyDescent="0.2">
      <c r="A2529" t="s">
        <v>2871</v>
      </c>
      <c r="B2529" s="27" t="s">
        <v>2872</v>
      </c>
      <c r="E2529" t="str">
        <f t="shared" si="135"/>
        <v/>
      </c>
      <c r="G2529" s="5" t="str">
        <f t="shared" si="137"/>
        <v/>
      </c>
      <c r="I2529" s="6" t="str">
        <f t="shared" si="136"/>
        <v>0</v>
      </c>
      <c r="O2529" t="s">
        <v>2872</v>
      </c>
    </row>
    <row r="2530" spans="1:15" x14ac:dyDescent="0.2">
      <c r="A2530" t="s">
        <v>2873</v>
      </c>
      <c r="B2530" s="27" t="s">
        <v>2874</v>
      </c>
      <c r="E2530" t="str">
        <f t="shared" si="135"/>
        <v/>
      </c>
      <c r="G2530" s="5" t="str">
        <f t="shared" si="137"/>
        <v/>
      </c>
      <c r="I2530" s="6" t="str">
        <f t="shared" si="136"/>
        <v>0</v>
      </c>
      <c r="O2530" t="s">
        <v>2874</v>
      </c>
    </row>
    <row r="2531" spans="1:15" x14ac:dyDescent="0.2">
      <c r="A2531" t="s">
        <v>2875</v>
      </c>
      <c r="B2531" s="27" t="s">
        <v>2875</v>
      </c>
      <c r="E2531" t="str">
        <f t="shared" si="135"/>
        <v/>
      </c>
      <c r="G2531" s="5" t="str">
        <f t="shared" si="137"/>
        <v/>
      </c>
      <c r="I2531" s="6" t="str">
        <f t="shared" si="136"/>
        <v>0</v>
      </c>
      <c r="O2531" t="s">
        <v>2875</v>
      </c>
    </row>
    <row r="2532" spans="1:15" x14ac:dyDescent="0.2">
      <c r="A2532" t="s">
        <v>2876</v>
      </c>
      <c r="B2532" s="27" t="s">
        <v>317</v>
      </c>
      <c r="E2532" t="str">
        <f t="shared" si="135"/>
        <v/>
      </c>
      <c r="G2532" s="5" t="str">
        <f t="shared" si="137"/>
        <v/>
      </c>
      <c r="I2532" s="6" t="str">
        <f t="shared" si="136"/>
        <v>0</v>
      </c>
      <c r="O2532" t="s">
        <v>317</v>
      </c>
    </row>
    <row r="2533" spans="1:15" x14ac:dyDescent="0.2">
      <c r="A2533" t="s">
        <v>2877</v>
      </c>
      <c r="B2533" s="27" t="s">
        <v>2877</v>
      </c>
      <c r="E2533" t="str">
        <f t="shared" si="135"/>
        <v/>
      </c>
      <c r="G2533" s="5" t="str">
        <f t="shared" si="137"/>
        <v/>
      </c>
      <c r="I2533" s="6" t="str">
        <f t="shared" si="136"/>
        <v>0</v>
      </c>
      <c r="O2533" t="s">
        <v>2877</v>
      </c>
    </row>
    <row r="2534" spans="1:15" x14ac:dyDescent="0.2">
      <c r="A2534" t="s">
        <v>2878</v>
      </c>
      <c r="B2534" s="27" t="s">
        <v>2878</v>
      </c>
      <c r="E2534" t="str">
        <f t="shared" si="135"/>
        <v/>
      </c>
      <c r="G2534" s="5" t="str">
        <f t="shared" si="137"/>
        <v/>
      </c>
      <c r="I2534" s="6" t="str">
        <f t="shared" si="136"/>
        <v>0</v>
      </c>
      <c r="O2534" t="s">
        <v>2878</v>
      </c>
    </row>
    <row r="2535" spans="1:15" x14ac:dyDescent="0.2">
      <c r="A2535" t="s">
        <v>2879</v>
      </c>
      <c r="B2535" s="27" t="s">
        <v>2879</v>
      </c>
      <c r="E2535" t="str">
        <f t="shared" si="135"/>
        <v/>
      </c>
      <c r="G2535" s="5" t="str">
        <f t="shared" si="137"/>
        <v/>
      </c>
      <c r="I2535" s="6" t="str">
        <f t="shared" si="136"/>
        <v>0</v>
      </c>
      <c r="O2535" t="s">
        <v>2879</v>
      </c>
    </row>
    <row r="2536" spans="1:15" x14ac:dyDescent="0.2">
      <c r="A2536" t="s">
        <v>2880</v>
      </c>
      <c r="B2536" s="27" t="s">
        <v>2880</v>
      </c>
      <c r="E2536" t="str">
        <f t="shared" si="135"/>
        <v/>
      </c>
      <c r="G2536" s="5" t="str">
        <f t="shared" si="137"/>
        <v/>
      </c>
      <c r="I2536" s="6" t="str">
        <f t="shared" si="136"/>
        <v>0</v>
      </c>
      <c r="O2536" t="s">
        <v>2880</v>
      </c>
    </row>
    <row r="2537" spans="1:15" x14ac:dyDescent="0.2">
      <c r="A2537" t="s">
        <v>2881</v>
      </c>
      <c r="B2537" s="27" t="s">
        <v>2881</v>
      </c>
      <c r="E2537" t="str">
        <f t="shared" si="135"/>
        <v/>
      </c>
      <c r="G2537" s="5" t="str">
        <f t="shared" si="137"/>
        <v/>
      </c>
      <c r="I2537" s="6" t="str">
        <f t="shared" si="136"/>
        <v>0</v>
      </c>
      <c r="O2537" t="s">
        <v>2881</v>
      </c>
    </row>
    <row r="2538" spans="1:15" x14ac:dyDescent="0.2">
      <c r="A2538" t="s">
        <v>2882</v>
      </c>
      <c r="B2538" s="27" t="s">
        <v>2883</v>
      </c>
      <c r="E2538" t="str">
        <f t="shared" si="135"/>
        <v/>
      </c>
      <c r="G2538" s="5" t="str">
        <f t="shared" si="137"/>
        <v/>
      </c>
      <c r="I2538" s="6" t="str">
        <f t="shared" si="136"/>
        <v>0</v>
      </c>
      <c r="O2538" t="s">
        <v>2883</v>
      </c>
    </row>
    <row r="2539" spans="1:15" x14ac:dyDescent="0.2">
      <c r="A2539" t="s">
        <v>2884</v>
      </c>
      <c r="B2539" s="27" t="s">
        <v>2884</v>
      </c>
      <c r="E2539" t="str">
        <f t="shared" si="135"/>
        <v/>
      </c>
      <c r="G2539" s="5" t="str">
        <f t="shared" si="137"/>
        <v/>
      </c>
      <c r="I2539" s="6" t="str">
        <f t="shared" si="136"/>
        <v>0</v>
      </c>
      <c r="O2539" t="s">
        <v>2884</v>
      </c>
    </row>
    <row r="2540" spans="1:15" x14ac:dyDescent="0.2">
      <c r="A2540" t="s">
        <v>2885</v>
      </c>
      <c r="B2540" s="27" t="s">
        <v>2885</v>
      </c>
      <c r="E2540" t="str">
        <f t="shared" si="135"/>
        <v/>
      </c>
      <c r="G2540" s="5" t="str">
        <f t="shared" si="137"/>
        <v/>
      </c>
      <c r="I2540" s="6" t="str">
        <f t="shared" si="136"/>
        <v>0</v>
      </c>
      <c r="O2540" t="s">
        <v>2885</v>
      </c>
    </row>
    <row r="2541" spans="1:15" x14ac:dyDescent="0.2">
      <c r="A2541" t="s">
        <v>2886</v>
      </c>
      <c r="B2541" s="27" t="s">
        <v>2886</v>
      </c>
      <c r="E2541" t="str">
        <f t="shared" si="135"/>
        <v/>
      </c>
      <c r="G2541" s="5" t="str">
        <f t="shared" si="137"/>
        <v/>
      </c>
      <c r="I2541" s="6" t="str">
        <f t="shared" si="136"/>
        <v>0</v>
      </c>
      <c r="O2541" t="s">
        <v>2886</v>
      </c>
    </row>
    <row r="2542" spans="1:15" x14ac:dyDescent="0.2">
      <c r="A2542" t="s">
        <v>2887</v>
      </c>
      <c r="B2542" s="27" t="s">
        <v>321</v>
      </c>
      <c r="E2542" t="str">
        <f t="shared" si="135"/>
        <v/>
      </c>
      <c r="G2542" s="5" t="str">
        <f t="shared" si="137"/>
        <v/>
      </c>
      <c r="I2542" s="6" t="str">
        <f t="shared" si="136"/>
        <v>0</v>
      </c>
      <c r="O2542" t="s">
        <v>321</v>
      </c>
    </row>
    <row r="2543" spans="1:15" x14ac:dyDescent="0.2">
      <c r="A2543" t="s">
        <v>2888</v>
      </c>
      <c r="B2543" s="27" t="s">
        <v>2888</v>
      </c>
      <c r="E2543" t="str">
        <f t="shared" si="135"/>
        <v/>
      </c>
      <c r="G2543" s="5" t="str">
        <f t="shared" si="137"/>
        <v/>
      </c>
      <c r="I2543" s="6" t="str">
        <f t="shared" si="136"/>
        <v>0</v>
      </c>
      <c r="O2543" t="s">
        <v>2888</v>
      </c>
    </row>
    <row r="2544" spans="1:15" x14ac:dyDescent="0.2">
      <c r="A2544" t="s">
        <v>2889</v>
      </c>
      <c r="B2544" s="27"/>
      <c r="E2544" t="str">
        <f t="shared" si="135"/>
        <v/>
      </c>
      <c r="G2544" s="5" t="str">
        <f t="shared" si="137"/>
        <v/>
      </c>
      <c r="I2544" s="6" t="str">
        <f t="shared" si="136"/>
        <v>0</v>
      </c>
    </row>
    <row r="2545" spans="1:15" x14ac:dyDescent="0.2">
      <c r="A2545" t="s">
        <v>2890</v>
      </c>
      <c r="B2545" s="27" t="s">
        <v>321</v>
      </c>
      <c r="E2545" t="str">
        <f t="shared" si="135"/>
        <v/>
      </c>
      <c r="G2545" s="5" t="str">
        <f t="shared" si="137"/>
        <v/>
      </c>
      <c r="I2545" s="6" t="str">
        <f t="shared" si="136"/>
        <v>0</v>
      </c>
      <c r="O2545" t="s">
        <v>321</v>
      </c>
    </row>
    <row r="2546" spans="1:15" x14ac:dyDescent="0.2">
      <c r="A2546" t="s">
        <v>2891</v>
      </c>
      <c r="B2546" s="27" t="s">
        <v>321</v>
      </c>
      <c r="E2546" t="str">
        <f t="shared" si="135"/>
        <v/>
      </c>
      <c r="G2546" s="5" t="str">
        <f t="shared" si="137"/>
        <v/>
      </c>
      <c r="I2546" s="6" t="str">
        <f t="shared" si="136"/>
        <v>0</v>
      </c>
      <c r="O2546" t="s">
        <v>321</v>
      </c>
    </row>
    <row r="2547" spans="1:15" x14ac:dyDescent="0.2">
      <c r="A2547" t="s">
        <v>2892</v>
      </c>
      <c r="B2547" s="27" t="s">
        <v>321</v>
      </c>
      <c r="E2547" t="str">
        <f t="shared" si="135"/>
        <v/>
      </c>
      <c r="G2547" s="5" t="str">
        <f t="shared" si="137"/>
        <v/>
      </c>
      <c r="I2547" s="6" t="str">
        <f t="shared" si="136"/>
        <v>0</v>
      </c>
      <c r="O2547" t="s">
        <v>321</v>
      </c>
    </row>
    <row r="2548" spans="1:15" x14ac:dyDescent="0.2">
      <c r="A2548" t="s">
        <v>2893</v>
      </c>
      <c r="B2548" s="27" t="s">
        <v>321</v>
      </c>
      <c r="E2548" t="str">
        <f t="shared" si="135"/>
        <v/>
      </c>
      <c r="G2548" s="5" t="str">
        <f t="shared" si="137"/>
        <v/>
      </c>
      <c r="I2548" s="6" t="str">
        <f t="shared" si="136"/>
        <v>0</v>
      </c>
      <c r="O2548" t="s">
        <v>321</v>
      </c>
    </row>
    <row r="2549" spans="1:15" x14ac:dyDescent="0.2">
      <c r="A2549" t="s">
        <v>2894</v>
      </c>
      <c r="B2549" s="27" t="s">
        <v>321</v>
      </c>
      <c r="E2549" t="str">
        <f t="shared" si="135"/>
        <v/>
      </c>
      <c r="G2549" s="5" t="str">
        <f t="shared" si="137"/>
        <v/>
      </c>
      <c r="I2549" s="6" t="str">
        <f t="shared" si="136"/>
        <v>0</v>
      </c>
      <c r="O2549" t="s">
        <v>321</v>
      </c>
    </row>
    <row r="2550" spans="1:15" x14ac:dyDescent="0.2">
      <c r="A2550" t="s">
        <v>2895</v>
      </c>
      <c r="B2550" s="27" t="s">
        <v>2895</v>
      </c>
      <c r="E2550" t="str">
        <f t="shared" si="135"/>
        <v/>
      </c>
      <c r="G2550" s="5" t="str">
        <f t="shared" si="137"/>
        <v/>
      </c>
      <c r="I2550" s="6" t="str">
        <f t="shared" si="136"/>
        <v>0</v>
      </c>
      <c r="O2550" t="s">
        <v>2895</v>
      </c>
    </row>
    <row r="2551" spans="1:15" x14ac:dyDescent="0.2">
      <c r="A2551" t="s">
        <v>2896</v>
      </c>
      <c r="B2551" s="27" t="s">
        <v>2896</v>
      </c>
      <c r="E2551" t="str">
        <f t="shared" si="135"/>
        <v/>
      </c>
      <c r="G2551" s="5" t="str">
        <f t="shared" si="137"/>
        <v/>
      </c>
      <c r="I2551" s="6" t="str">
        <f t="shared" si="136"/>
        <v>0</v>
      </c>
      <c r="O2551" t="s">
        <v>2896</v>
      </c>
    </row>
    <row r="2552" spans="1:15" x14ac:dyDescent="0.2">
      <c r="A2552" t="s">
        <v>2898</v>
      </c>
      <c r="B2552" s="27" t="s">
        <v>3202</v>
      </c>
      <c r="E2552" t="str">
        <f t="shared" si="135"/>
        <v/>
      </c>
      <c r="G2552" s="5" t="str">
        <f t="shared" si="137"/>
        <v/>
      </c>
      <c r="I2552" s="6" t="str">
        <f t="shared" si="136"/>
        <v>0</v>
      </c>
      <c r="O2552" t="s">
        <v>3202</v>
      </c>
    </row>
    <row r="2553" spans="1:15" x14ac:dyDescent="0.2">
      <c r="A2553" t="s">
        <v>2899</v>
      </c>
      <c r="B2553" s="27" t="s">
        <v>3203</v>
      </c>
      <c r="E2553" t="str">
        <f t="shared" si="135"/>
        <v/>
      </c>
      <c r="G2553" s="5" t="str">
        <f t="shared" si="137"/>
        <v/>
      </c>
      <c r="I2553" s="6" t="str">
        <f t="shared" si="136"/>
        <v>0</v>
      </c>
      <c r="O2553" t="s">
        <v>3203</v>
      </c>
    </row>
    <row r="2554" spans="1:15" x14ac:dyDescent="0.2">
      <c r="A2554" t="s">
        <v>2900</v>
      </c>
      <c r="B2554" s="27" t="s">
        <v>321</v>
      </c>
      <c r="E2554" t="str">
        <f t="shared" si="135"/>
        <v/>
      </c>
      <c r="G2554" s="5" t="str">
        <f t="shared" si="137"/>
        <v/>
      </c>
      <c r="I2554" s="6" t="str">
        <f t="shared" si="136"/>
        <v>0</v>
      </c>
      <c r="O2554" t="s">
        <v>321</v>
      </c>
    </row>
    <row r="2555" spans="1:15" x14ac:dyDescent="0.2">
      <c r="A2555" t="s">
        <v>2901</v>
      </c>
      <c r="B2555" s="27" t="s">
        <v>321</v>
      </c>
      <c r="E2555" t="str">
        <f t="shared" si="135"/>
        <v/>
      </c>
      <c r="G2555" s="5" t="str">
        <f t="shared" si="137"/>
        <v/>
      </c>
      <c r="I2555" s="6" t="str">
        <f t="shared" si="136"/>
        <v>0</v>
      </c>
      <c r="O2555" t="s">
        <v>321</v>
      </c>
    </row>
    <row r="2556" spans="1:15" x14ac:dyDescent="0.2">
      <c r="A2556" t="s">
        <v>2908</v>
      </c>
      <c r="B2556" s="27" t="s">
        <v>321</v>
      </c>
      <c r="E2556" t="str">
        <f t="shared" si="135"/>
        <v/>
      </c>
      <c r="G2556" s="5" t="str">
        <f t="shared" si="137"/>
        <v/>
      </c>
      <c r="I2556" s="6" t="str">
        <f t="shared" si="136"/>
        <v>0</v>
      </c>
      <c r="O2556" t="s">
        <v>321</v>
      </c>
    </row>
    <row r="2557" spans="1:15" x14ac:dyDescent="0.2">
      <c r="A2557" t="s">
        <v>2909</v>
      </c>
      <c r="B2557" s="27" t="s">
        <v>2910</v>
      </c>
      <c r="E2557" t="str">
        <f t="shared" si="135"/>
        <v/>
      </c>
      <c r="G2557" s="5" t="str">
        <f t="shared" si="137"/>
        <v/>
      </c>
      <c r="I2557" s="6" t="str">
        <f t="shared" si="136"/>
        <v>0</v>
      </c>
      <c r="O2557" t="s">
        <v>2910</v>
      </c>
    </row>
    <row r="2558" spans="1:15" x14ac:dyDescent="0.2">
      <c r="A2558" t="s">
        <v>2911</v>
      </c>
      <c r="B2558" s="27" t="s">
        <v>321</v>
      </c>
      <c r="E2558" t="str">
        <f t="shared" si="135"/>
        <v/>
      </c>
      <c r="G2558" s="5" t="str">
        <f t="shared" si="137"/>
        <v/>
      </c>
      <c r="I2558" s="6" t="str">
        <f t="shared" si="136"/>
        <v>0</v>
      </c>
      <c r="O2558" t="s">
        <v>321</v>
      </c>
    </row>
    <row r="2559" spans="1:15" x14ac:dyDescent="0.2">
      <c r="A2559" t="s">
        <v>2912</v>
      </c>
      <c r="B2559" s="27"/>
      <c r="E2559" t="str">
        <f t="shared" si="135"/>
        <v/>
      </c>
      <c r="G2559" s="5" t="str">
        <f t="shared" si="137"/>
        <v/>
      </c>
      <c r="I2559" s="6" t="str">
        <f t="shared" si="136"/>
        <v>0</v>
      </c>
    </row>
    <row r="2560" spans="1:15" x14ac:dyDescent="0.2">
      <c r="A2560" t="s">
        <v>2913</v>
      </c>
      <c r="B2560" s="27" t="s">
        <v>321</v>
      </c>
      <c r="E2560" t="str">
        <f t="shared" si="135"/>
        <v/>
      </c>
      <c r="G2560" s="5" t="str">
        <f t="shared" si="137"/>
        <v/>
      </c>
      <c r="I2560" s="6" t="str">
        <f t="shared" si="136"/>
        <v>0</v>
      </c>
      <c r="O2560" t="s">
        <v>321</v>
      </c>
    </row>
    <row r="2561" spans="1:15" x14ac:dyDescent="0.2">
      <c r="A2561" t="s">
        <v>2914</v>
      </c>
      <c r="B2561" s="27" t="s">
        <v>321</v>
      </c>
      <c r="E2561" t="str">
        <f t="shared" si="135"/>
        <v/>
      </c>
      <c r="G2561" s="5" t="str">
        <f t="shared" si="137"/>
        <v/>
      </c>
      <c r="I2561" s="6" t="str">
        <f t="shared" si="136"/>
        <v>0</v>
      </c>
      <c r="O2561" t="s">
        <v>321</v>
      </c>
    </row>
    <row r="2562" spans="1:15" x14ac:dyDescent="0.2">
      <c r="A2562" t="s">
        <v>2915</v>
      </c>
      <c r="B2562" s="27" t="s">
        <v>321</v>
      </c>
      <c r="E2562" t="str">
        <f t="shared" si="135"/>
        <v/>
      </c>
      <c r="G2562" s="5" t="str">
        <f t="shared" si="137"/>
        <v/>
      </c>
      <c r="I2562" s="6" t="str">
        <f t="shared" si="136"/>
        <v>0</v>
      </c>
      <c r="O2562" t="s">
        <v>321</v>
      </c>
    </row>
    <row r="2563" spans="1:15" x14ac:dyDescent="0.2">
      <c r="A2563" t="s">
        <v>2916</v>
      </c>
      <c r="B2563" s="27" t="s">
        <v>321</v>
      </c>
      <c r="E2563" t="str">
        <f t="shared" si="135"/>
        <v/>
      </c>
      <c r="G2563" s="5" t="str">
        <f t="shared" si="137"/>
        <v/>
      </c>
      <c r="I2563" s="6" t="str">
        <f t="shared" si="136"/>
        <v>0</v>
      </c>
      <c r="O2563" t="s">
        <v>321</v>
      </c>
    </row>
    <row r="2564" spans="1:15" x14ac:dyDescent="0.2">
      <c r="A2564" t="s">
        <v>2917</v>
      </c>
      <c r="B2564" s="27" t="s">
        <v>3197</v>
      </c>
      <c r="E2564" t="str">
        <f t="shared" ref="E2564:E2627" si="138">IF(D2564&lt;&gt;"",C2564&amp;"/"&amp;D2564,"")</f>
        <v/>
      </c>
      <c r="G2564" s="5" t="str">
        <f t="shared" si="137"/>
        <v/>
      </c>
      <c r="I2564" s="6" t="str">
        <f t="shared" si="136"/>
        <v>0</v>
      </c>
      <c r="O2564" t="s">
        <v>3197</v>
      </c>
    </row>
    <row r="2565" spans="1:15" x14ac:dyDescent="0.2">
      <c r="A2565" t="s">
        <v>2918</v>
      </c>
      <c r="B2565" s="27" t="s">
        <v>321</v>
      </c>
      <c r="E2565" t="str">
        <f t="shared" si="138"/>
        <v/>
      </c>
      <c r="G2565" s="5" t="str">
        <f t="shared" si="137"/>
        <v/>
      </c>
      <c r="I2565" s="6" t="str">
        <f t="shared" ref="I2565:I2628" si="139">IFERROR(DEC2HEX(H2565),"")</f>
        <v>0</v>
      </c>
      <c r="O2565" t="s">
        <v>321</v>
      </c>
    </row>
    <row r="2566" spans="1:15" x14ac:dyDescent="0.2">
      <c r="A2566" t="s">
        <v>2919</v>
      </c>
      <c r="B2566" s="27" t="s">
        <v>321</v>
      </c>
      <c r="E2566" t="str">
        <f t="shared" si="138"/>
        <v/>
      </c>
      <c r="G2566" s="5" t="str">
        <f t="shared" si="137"/>
        <v/>
      </c>
      <c r="I2566" s="6" t="str">
        <f t="shared" si="139"/>
        <v>0</v>
      </c>
      <c r="O2566" t="s">
        <v>321</v>
      </c>
    </row>
    <row r="2567" spans="1:15" x14ac:dyDescent="0.2">
      <c r="A2567" t="s">
        <v>2922</v>
      </c>
      <c r="B2567" s="27" t="s">
        <v>3351</v>
      </c>
      <c r="E2567" t="str">
        <f t="shared" si="138"/>
        <v/>
      </c>
      <c r="G2567" s="5" t="str">
        <f t="shared" si="137"/>
        <v/>
      </c>
      <c r="I2567" s="6" t="str">
        <f t="shared" si="139"/>
        <v>0</v>
      </c>
      <c r="O2567" t="s">
        <v>3351</v>
      </c>
    </row>
    <row r="2568" spans="1:15" x14ac:dyDescent="0.2">
      <c r="A2568" t="s">
        <v>2923</v>
      </c>
      <c r="B2568" s="27" t="s">
        <v>3352</v>
      </c>
      <c r="E2568" t="str">
        <f t="shared" si="138"/>
        <v/>
      </c>
      <c r="G2568" s="5" t="str">
        <f t="shared" si="137"/>
        <v/>
      </c>
      <c r="I2568" s="6" t="str">
        <f t="shared" si="139"/>
        <v>0</v>
      </c>
      <c r="O2568" t="s">
        <v>3352</v>
      </c>
    </row>
    <row r="2569" spans="1:15" x14ac:dyDescent="0.2">
      <c r="A2569" t="s">
        <v>2924</v>
      </c>
      <c r="B2569" s="27" t="s">
        <v>3353</v>
      </c>
      <c r="E2569" t="str">
        <f t="shared" si="138"/>
        <v/>
      </c>
      <c r="G2569" s="5" t="str">
        <f t="shared" si="137"/>
        <v/>
      </c>
      <c r="I2569" s="6" t="str">
        <f t="shared" si="139"/>
        <v>0</v>
      </c>
      <c r="O2569" t="s">
        <v>3353</v>
      </c>
    </row>
    <row r="2570" spans="1:15" x14ac:dyDescent="0.2">
      <c r="A2570" t="s">
        <v>2926</v>
      </c>
      <c r="B2570" s="27" t="s">
        <v>3354</v>
      </c>
      <c r="E2570" t="str">
        <f t="shared" si="138"/>
        <v/>
      </c>
      <c r="G2570" s="5" t="str">
        <f t="shared" si="137"/>
        <v/>
      </c>
      <c r="I2570" s="6" t="str">
        <f t="shared" si="139"/>
        <v>0</v>
      </c>
      <c r="O2570" t="s">
        <v>3354</v>
      </c>
    </row>
    <row r="2571" spans="1:15" x14ac:dyDescent="0.2">
      <c r="A2571" t="s">
        <v>2927</v>
      </c>
      <c r="B2571" s="27" t="s">
        <v>321</v>
      </c>
      <c r="E2571" t="str">
        <f t="shared" si="138"/>
        <v/>
      </c>
      <c r="G2571" s="5" t="str">
        <f t="shared" ref="G2571:G2634" si="140">IF(F2571&lt;&gt;"",HEX2DEC(SUBSTITUTE(SUBSTITUTE(F2571,"adrEA",""),"$","")),"")</f>
        <v/>
      </c>
      <c r="I2571" s="6" t="str">
        <f t="shared" si="139"/>
        <v>0</v>
      </c>
      <c r="O2571" t="s">
        <v>321</v>
      </c>
    </row>
    <row r="2572" spans="1:15" x14ac:dyDescent="0.2">
      <c r="A2572" t="s">
        <v>2928</v>
      </c>
      <c r="B2572" s="27" t="s">
        <v>321</v>
      </c>
      <c r="E2572" t="str">
        <f t="shared" si="138"/>
        <v/>
      </c>
      <c r="G2572" s="5" t="str">
        <f t="shared" si="140"/>
        <v/>
      </c>
      <c r="I2572" s="6" t="str">
        <f t="shared" si="139"/>
        <v>0</v>
      </c>
      <c r="O2572" t="s">
        <v>321</v>
      </c>
    </row>
    <row r="2573" spans="1:15" x14ac:dyDescent="0.2">
      <c r="A2573" t="s">
        <v>2929</v>
      </c>
      <c r="B2573" s="27" t="s">
        <v>3395</v>
      </c>
      <c r="E2573" t="str">
        <f t="shared" si="138"/>
        <v/>
      </c>
      <c r="G2573" s="5" t="str">
        <f t="shared" si="140"/>
        <v/>
      </c>
      <c r="I2573" s="6" t="str">
        <f t="shared" si="139"/>
        <v>0</v>
      </c>
      <c r="O2573" t="s">
        <v>3395</v>
      </c>
    </row>
    <row r="2574" spans="1:15" x14ac:dyDescent="0.2">
      <c r="A2574" t="s">
        <v>2930</v>
      </c>
      <c r="B2574" s="27" t="s">
        <v>2930</v>
      </c>
      <c r="E2574" t="str">
        <f t="shared" si="138"/>
        <v/>
      </c>
      <c r="G2574" s="5" t="str">
        <f t="shared" si="140"/>
        <v/>
      </c>
      <c r="I2574" s="6" t="str">
        <f t="shared" si="139"/>
        <v>0</v>
      </c>
      <c r="O2574" t="s">
        <v>2930</v>
      </c>
    </row>
    <row r="2575" spans="1:15" x14ac:dyDescent="0.2">
      <c r="A2575" t="s">
        <v>2931</v>
      </c>
      <c r="B2575" s="27" t="s">
        <v>3196</v>
      </c>
      <c r="E2575" t="str">
        <f t="shared" si="138"/>
        <v/>
      </c>
      <c r="G2575" s="5" t="str">
        <f t="shared" si="140"/>
        <v/>
      </c>
      <c r="I2575" s="6" t="str">
        <f t="shared" si="139"/>
        <v>0</v>
      </c>
      <c r="O2575" t="s">
        <v>3196</v>
      </c>
    </row>
    <row r="2576" spans="1:15" x14ac:dyDescent="0.2">
      <c r="A2576" t="s">
        <v>2932</v>
      </c>
      <c r="B2576" s="27" t="s">
        <v>2932</v>
      </c>
      <c r="E2576" t="str">
        <f t="shared" si="138"/>
        <v/>
      </c>
      <c r="G2576" s="5" t="str">
        <f t="shared" si="140"/>
        <v/>
      </c>
      <c r="I2576" s="6" t="str">
        <f t="shared" si="139"/>
        <v>0</v>
      </c>
      <c r="O2576" t="s">
        <v>2932</v>
      </c>
    </row>
    <row r="2577" spans="1:15" x14ac:dyDescent="0.2">
      <c r="A2577" t="s">
        <v>2933</v>
      </c>
      <c r="B2577" s="27" t="s">
        <v>2934</v>
      </c>
      <c r="E2577" t="str">
        <f t="shared" si="138"/>
        <v/>
      </c>
      <c r="G2577" s="5" t="str">
        <f t="shared" si="140"/>
        <v/>
      </c>
      <c r="I2577" s="6" t="str">
        <f t="shared" si="139"/>
        <v>0</v>
      </c>
      <c r="O2577" t="s">
        <v>2934</v>
      </c>
    </row>
    <row r="2578" spans="1:15" x14ac:dyDescent="0.2">
      <c r="A2578" t="s">
        <v>2935</v>
      </c>
      <c r="B2578" s="27" t="s">
        <v>321</v>
      </c>
      <c r="E2578" t="str">
        <f t="shared" si="138"/>
        <v/>
      </c>
      <c r="G2578" s="5" t="str">
        <f t="shared" si="140"/>
        <v/>
      </c>
      <c r="I2578" s="6" t="str">
        <f t="shared" si="139"/>
        <v>0</v>
      </c>
      <c r="O2578" t="s">
        <v>321</v>
      </c>
    </row>
    <row r="2579" spans="1:15" x14ac:dyDescent="0.2">
      <c r="A2579" t="s">
        <v>2936</v>
      </c>
      <c r="B2579" s="27"/>
      <c r="E2579" t="str">
        <f t="shared" si="138"/>
        <v/>
      </c>
      <c r="G2579" s="5" t="str">
        <f t="shared" si="140"/>
        <v/>
      </c>
      <c r="I2579" s="6" t="str">
        <f t="shared" si="139"/>
        <v>0</v>
      </c>
    </row>
    <row r="2580" spans="1:15" x14ac:dyDescent="0.2">
      <c r="A2580" t="s">
        <v>2937</v>
      </c>
      <c r="B2580" s="27" t="s">
        <v>321</v>
      </c>
      <c r="E2580" t="str">
        <f t="shared" si="138"/>
        <v/>
      </c>
      <c r="G2580" s="5" t="str">
        <f t="shared" si="140"/>
        <v/>
      </c>
      <c r="I2580" s="6" t="str">
        <f t="shared" si="139"/>
        <v>0</v>
      </c>
      <c r="O2580" t="s">
        <v>321</v>
      </c>
    </row>
    <row r="2581" spans="1:15" x14ac:dyDescent="0.2">
      <c r="A2581" t="s">
        <v>2938</v>
      </c>
      <c r="B2581" s="27" t="s">
        <v>321</v>
      </c>
      <c r="E2581" t="str">
        <f t="shared" si="138"/>
        <v/>
      </c>
      <c r="G2581" s="5" t="str">
        <f t="shared" si="140"/>
        <v/>
      </c>
      <c r="I2581" s="6" t="str">
        <f t="shared" si="139"/>
        <v>0</v>
      </c>
      <c r="O2581" t="s">
        <v>321</v>
      </c>
    </row>
    <row r="2582" spans="1:15" x14ac:dyDescent="0.2">
      <c r="A2582" t="s">
        <v>2939</v>
      </c>
      <c r="B2582" s="27" t="s">
        <v>321</v>
      </c>
      <c r="E2582" t="str">
        <f t="shared" si="138"/>
        <v/>
      </c>
      <c r="G2582" s="5" t="str">
        <f t="shared" si="140"/>
        <v/>
      </c>
      <c r="I2582" s="6" t="str">
        <f t="shared" si="139"/>
        <v>0</v>
      </c>
      <c r="O2582" t="s">
        <v>321</v>
      </c>
    </row>
    <row r="2583" spans="1:15" x14ac:dyDescent="0.2">
      <c r="A2583" t="s">
        <v>2940</v>
      </c>
      <c r="B2583" s="27" t="s">
        <v>321</v>
      </c>
      <c r="E2583" t="str">
        <f t="shared" si="138"/>
        <v/>
      </c>
      <c r="G2583" s="5" t="str">
        <f t="shared" si="140"/>
        <v/>
      </c>
      <c r="I2583" s="6" t="str">
        <f t="shared" si="139"/>
        <v>0</v>
      </c>
      <c r="O2583" t="s">
        <v>321</v>
      </c>
    </row>
    <row r="2584" spans="1:15" x14ac:dyDescent="0.2">
      <c r="A2584" t="s">
        <v>2941</v>
      </c>
      <c r="B2584" s="27" t="s">
        <v>321</v>
      </c>
      <c r="E2584" t="str">
        <f t="shared" si="138"/>
        <v/>
      </c>
      <c r="G2584" s="5" t="str">
        <f t="shared" si="140"/>
        <v/>
      </c>
      <c r="I2584" s="6" t="str">
        <f t="shared" si="139"/>
        <v>0</v>
      </c>
      <c r="O2584" t="s">
        <v>321</v>
      </c>
    </row>
    <row r="2585" spans="1:15" x14ac:dyDescent="0.2">
      <c r="A2585" t="s">
        <v>2942</v>
      </c>
      <c r="B2585" s="27" t="s">
        <v>321</v>
      </c>
      <c r="E2585" t="str">
        <f t="shared" si="138"/>
        <v/>
      </c>
      <c r="G2585" s="5" t="str">
        <f t="shared" si="140"/>
        <v/>
      </c>
      <c r="I2585" s="6" t="str">
        <f t="shared" si="139"/>
        <v>0</v>
      </c>
      <c r="O2585" t="s">
        <v>321</v>
      </c>
    </row>
    <row r="2586" spans="1:15" x14ac:dyDescent="0.2">
      <c r="A2586" t="s">
        <v>2943</v>
      </c>
      <c r="B2586" s="27" t="s">
        <v>321</v>
      </c>
      <c r="E2586" t="str">
        <f t="shared" si="138"/>
        <v/>
      </c>
      <c r="G2586" s="5" t="str">
        <f t="shared" si="140"/>
        <v/>
      </c>
      <c r="I2586" s="6" t="str">
        <f t="shared" si="139"/>
        <v>0</v>
      </c>
      <c r="O2586" t="s">
        <v>321</v>
      </c>
    </row>
    <row r="2587" spans="1:15" x14ac:dyDescent="0.2">
      <c r="A2587" t="s">
        <v>2944</v>
      </c>
      <c r="B2587" s="27" t="s">
        <v>321</v>
      </c>
      <c r="E2587" t="str">
        <f t="shared" si="138"/>
        <v/>
      </c>
      <c r="G2587" s="5" t="str">
        <f t="shared" si="140"/>
        <v/>
      </c>
      <c r="I2587" s="6" t="str">
        <f t="shared" si="139"/>
        <v>0</v>
      </c>
      <c r="O2587" t="s">
        <v>321</v>
      </c>
    </row>
    <row r="2588" spans="1:15" x14ac:dyDescent="0.2">
      <c r="A2588" t="s">
        <v>2945</v>
      </c>
      <c r="B2588" s="27" t="s">
        <v>321</v>
      </c>
      <c r="E2588" t="str">
        <f t="shared" si="138"/>
        <v/>
      </c>
      <c r="G2588" s="5" t="str">
        <f t="shared" si="140"/>
        <v/>
      </c>
      <c r="I2588" s="6" t="str">
        <f t="shared" si="139"/>
        <v>0</v>
      </c>
      <c r="O2588" t="s">
        <v>321</v>
      </c>
    </row>
    <row r="2589" spans="1:15" x14ac:dyDescent="0.2">
      <c r="A2589" t="s">
        <v>2946</v>
      </c>
      <c r="B2589" s="27" t="s">
        <v>321</v>
      </c>
      <c r="E2589" t="str">
        <f t="shared" si="138"/>
        <v/>
      </c>
      <c r="G2589" s="5" t="str">
        <f t="shared" si="140"/>
        <v/>
      </c>
      <c r="I2589" s="6" t="str">
        <f t="shared" si="139"/>
        <v>0</v>
      </c>
      <c r="O2589" t="s">
        <v>321</v>
      </c>
    </row>
    <row r="2590" spans="1:15" x14ac:dyDescent="0.2">
      <c r="A2590" t="s">
        <v>2947</v>
      </c>
      <c r="B2590" s="27" t="s">
        <v>321</v>
      </c>
      <c r="E2590" t="str">
        <f t="shared" si="138"/>
        <v/>
      </c>
      <c r="G2590" s="5" t="str">
        <f t="shared" si="140"/>
        <v/>
      </c>
      <c r="I2590" s="6" t="str">
        <f t="shared" si="139"/>
        <v>0</v>
      </c>
      <c r="O2590" t="s">
        <v>321</v>
      </c>
    </row>
    <row r="2591" spans="1:15" x14ac:dyDescent="0.2">
      <c r="A2591" t="s">
        <v>2948</v>
      </c>
      <c r="B2591" s="27" t="s">
        <v>321</v>
      </c>
      <c r="E2591" t="str">
        <f t="shared" si="138"/>
        <v/>
      </c>
      <c r="G2591" s="5" t="str">
        <f t="shared" si="140"/>
        <v/>
      </c>
      <c r="I2591" s="6" t="str">
        <f t="shared" si="139"/>
        <v>0</v>
      </c>
      <c r="O2591" t="s">
        <v>321</v>
      </c>
    </row>
    <row r="2592" spans="1:15" x14ac:dyDescent="0.2">
      <c r="A2592" t="s">
        <v>2949</v>
      </c>
      <c r="B2592" s="27" t="s">
        <v>321</v>
      </c>
      <c r="E2592" t="str">
        <f t="shared" si="138"/>
        <v/>
      </c>
      <c r="G2592" s="5" t="str">
        <f t="shared" si="140"/>
        <v/>
      </c>
      <c r="I2592" s="6" t="str">
        <f t="shared" si="139"/>
        <v>0</v>
      </c>
      <c r="O2592" t="s">
        <v>321</v>
      </c>
    </row>
    <row r="2593" spans="1:15" x14ac:dyDescent="0.2">
      <c r="A2593" t="s">
        <v>2950</v>
      </c>
      <c r="B2593" s="27" t="s">
        <v>2950</v>
      </c>
      <c r="E2593" t="str">
        <f t="shared" si="138"/>
        <v/>
      </c>
      <c r="G2593" s="5" t="str">
        <f t="shared" si="140"/>
        <v/>
      </c>
      <c r="I2593" s="6" t="str">
        <f t="shared" si="139"/>
        <v>0</v>
      </c>
      <c r="O2593" t="s">
        <v>2950</v>
      </c>
    </row>
    <row r="2594" spans="1:15" x14ac:dyDescent="0.2">
      <c r="A2594" t="s">
        <v>2951</v>
      </c>
      <c r="B2594" s="27" t="s">
        <v>321</v>
      </c>
      <c r="E2594" t="str">
        <f t="shared" si="138"/>
        <v/>
      </c>
      <c r="G2594" s="5" t="str">
        <f t="shared" si="140"/>
        <v/>
      </c>
      <c r="I2594" s="6" t="str">
        <f t="shared" si="139"/>
        <v>0</v>
      </c>
      <c r="O2594" t="s">
        <v>321</v>
      </c>
    </row>
    <row r="2595" spans="1:15" x14ac:dyDescent="0.2">
      <c r="A2595" t="s">
        <v>2952</v>
      </c>
      <c r="B2595" s="27" t="s">
        <v>321</v>
      </c>
      <c r="E2595" t="str">
        <f t="shared" si="138"/>
        <v/>
      </c>
      <c r="G2595" s="5" t="str">
        <f t="shared" si="140"/>
        <v/>
      </c>
      <c r="I2595" s="6" t="str">
        <f t="shared" si="139"/>
        <v>0</v>
      </c>
      <c r="O2595" t="s">
        <v>321</v>
      </c>
    </row>
    <row r="2596" spans="1:15" x14ac:dyDescent="0.2">
      <c r="A2596" t="s">
        <v>2953</v>
      </c>
      <c r="B2596" s="27" t="s">
        <v>321</v>
      </c>
      <c r="E2596" t="str">
        <f t="shared" si="138"/>
        <v/>
      </c>
      <c r="G2596" s="5" t="str">
        <f t="shared" si="140"/>
        <v/>
      </c>
      <c r="I2596" s="6" t="str">
        <f t="shared" si="139"/>
        <v>0</v>
      </c>
      <c r="O2596" t="s">
        <v>321</v>
      </c>
    </row>
    <row r="2597" spans="1:15" x14ac:dyDescent="0.2">
      <c r="A2597" t="s">
        <v>2954</v>
      </c>
      <c r="B2597" s="27" t="s">
        <v>321</v>
      </c>
      <c r="E2597" t="str">
        <f t="shared" si="138"/>
        <v/>
      </c>
      <c r="G2597" s="5" t="str">
        <f t="shared" si="140"/>
        <v/>
      </c>
      <c r="I2597" s="6" t="str">
        <f t="shared" si="139"/>
        <v>0</v>
      </c>
      <c r="O2597" t="s">
        <v>321</v>
      </c>
    </row>
    <row r="2598" spans="1:15" x14ac:dyDescent="0.2">
      <c r="A2598" t="s">
        <v>2955</v>
      </c>
      <c r="B2598" s="27" t="s">
        <v>321</v>
      </c>
      <c r="E2598" t="str">
        <f t="shared" si="138"/>
        <v/>
      </c>
      <c r="G2598" s="5" t="str">
        <f t="shared" si="140"/>
        <v/>
      </c>
      <c r="I2598" s="6" t="str">
        <f t="shared" si="139"/>
        <v>0</v>
      </c>
      <c r="O2598" t="s">
        <v>321</v>
      </c>
    </row>
    <row r="2599" spans="1:15" x14ac:dyDescent="0.2">
      <c r="A2599" t="s">
        <v>2956</v>
      </c>
      <c r="B2599" s="27" t="s">
        <v>321</v>
      </c>
      <c r="E2599" t="str">
        <f t="shared" si="138"/>
        <v/>
      </c>
      <c r="G2599" s="5" t="str">
        <f t="shared" si="140"/>
        <v/>
      </c>
      <c r="I2599" s="6" t="str">
        <f t="shared" si="139"/>
        <v>0</v>
      </c>
      <c r="O2599" t="s">
        <v>321</v>
      </c>
    </row>
    <row r="2600" spans="1:15" x14ac:dyDescent="0.2">
      <c r="A2600" t="s">
        <v>2957</v>
      </c>
      <c r="B2600" s="27" t="s">
        <v>3258</v>
      </c>
      <c r="E2600" t="str">
        <f t="shared" si="138"/>
        <v/>
      </c>
      <c r="G2600" s="5" t="str">
        <f t="shared" si="140"/>
        <v/>
      </c>
      <c r="I2600" s="6" t="str">
        <f t="shared" si="139"/>
        <v>0</v>
      </c>
      <c r="O2600" t="s">
        <v>3258</v>
      </c>
    </row>
    <row r="2601" spans="1:15" x14ac:dyDescent="0.2">
      <c r="A2601" t="s">
        <v>2958</v>
      </c>
      <c r="B2601" s="27" t="s">
        <v>321</v>
      </c>
      <c r="E2601" t="str">
        <f t="shared" si="138"/>
        <v/>
      </c>
      <c r="G2601" s="5" t="str">
        <f t="shared" si="140"/>
        <v/>
      </c>
      <c r="I2601" s="6" t="str">
        <f t="shared" si="139"/>
        <v>0</v>
      </c>
      <c r="O2601" t="s">
        <v>321</v>
      </c>
    </row>
    <row r="2602" spans="1:15" x14ac:dyDescent="0.2">
      <c r="A2602" t="s">
        <v>2959</v>
      </c>
      <c r="B2602" s="27" t="s">
        <v>321</v>
      </c>
      <c r="E2602" t="str">
        <f t="shared" si="138"/>
        <v/>
      </c>
      <c r="G2602" s="5" t="str">
        <f t="shared" si="140"/>
        <v/>
      </c>
      <c r="I2602" s="6" t="str">
        <f t="shared" si="139"/>
        <v>0</v>
      </c>
      <c r="O2602" t="s">
        <v>321</v>
      </c>
    </row>
    <row r="2603" spans="1:15" x14ac:dyDescent="0.2">
      <c r="A2603" t="s">
        <v>2960</v>
      </c>
      <c r="B2603" s="27" t="s">
        <v>3260</v>
      </c>
      <c r="E2603" t="str">
        <f t="shared" si="138"/>
        <v/>
      </c>
      <c r="G2603" s="5" t="str">
        <f t="shared" si="140"/>
        <v/>
      </c>
      <c r="I2603" s="6" t="str">
        <f t="shared" si="139"/>
        <v>0</v>
      </c>
      <c r="O2603" t="s">
        <v>3260</v>
      </c>
    </row>
    <row r="2604" spans="1:15" x14ac:dyDescent="0.2">
      <c r="A2604" t="s">
        <v>2961</v>
      </c>
      <c r="B2604" s="27" t="s">
        <v>321</v>
      </c>
      <c r="E2604" t="str">
        <f t="shared" si="138"/>
        <v/>
      </c>
      <c r="G2604" s="5" t="str">
        <f t="shared" si="140"/>
        <v/>
      </c>
      <c r="I2604" s="6" t="str">
        <f t="shared" si="139"/>
        <v>0</v>
      </c>
      <c r="O2604" t="s">
        <v>321</v>
      </c>
    </row>
    <row r="2605" spans="1:15" x14ac:dyDescent="0.2">
      <c r="A2605" t="s">
        <v>2962</v>
      </c>
      <c r="B2605" s="27" t="s">
        <v>321</v>
      </c>
      <c r="E2605" t="str">
        <f t="shared" si="138"/>
        <v/>
      </c>
      <c r="G2605" s="5" t="str">
        <f t="shared" si="140"/>
        <v/>
      </c>
      <c r="I2605" s="6" t="str">
        <f t="shared" si="139"/>
        <v>0</v>
      </c>
      <c r="O2605" t="s">
        <v>321</v>
      </c>
    </row>
    <row r="2606" spans="1:15" x14ac:dyDescent="0.2">
      <c r="A2606" t="s">
        <v>2963</v>
      </c>
      <c r="B2606" s="27" t="s">
        <v>321</v>
      </c>
      <c r="E2606" t="str">
        <f t="shared" si="138"/>
        <v/>
      </c>
      <c r="G2606" s="5" t="str">
        <f t="shared" si="140"/>
        <v/>
      </c>
      <c r="I2606" s="6" t="str">
        <f t="shared" si="139"/>
        <v>0</v>
      </c>
      <c r="O2606" t="s">
        <v>321</v>
      </c>
    </row>
    <row r="2607" spans="1:15" x14ac:dyDescent="0.2">
      <c r="A2607" t="s">
        <v>2964</v>
      </c>
      <c r="B2607" s="27" t="s">
        <v>321</v>
      </c>
      <c r="E2607" t="str">
        <f t="shared" si="138"/>
        <v/>
      </c>
      <c r="G2607" s="5" t="str">
        <f t="shared" si="140"/>
        <v/>
      </c>
      <c r="I2607" s="6" t="str">
        <f t="shared" si="139"/>
        <v>0</v>
      </c>
      <c r="O2607" t="s">
        <v>321</v>
      </c>
    </row>
    <row r="2608" spans="1:15" x14ac:dyDescent="0.2">
      <c r="A2608" t="s">
        <v>2965</v>
      </c>
      <c r="B2608" s="27" t="s">
        <v>321</v>
      </c>
      <c r="E2608" t="str">
        <f t="shared" si="138"/>
        <v/>
      </c>
      <c r="G2608" s="5" t="str">
        <f t="shared" si="140"/>
        <v/>
      </c>
      <c r="I2608" s="6" t="str">
        <f t="shared" si="139"/>
        <v>0</v>
      </c>
      <c r="O2608" t="s">
        <v>321</v>
      </c>
    </row>
    <row r="2609" spans="1:15" x14ac:dyDescent="0.2">
      <c r="A2609" t="s">
        <v>2966</v>
      </c>
      <c r="B2609" s="27" t="s">
        <v>321</v>
      </c>
      <c r="E2609" t="str">
        <f t="shared" si="138"/>
        <v/>
      </c>
      <c r="G2609" s="5" t="str">
        <f t="shared" si="140"/>
        <v/>
      </c>
      <c r="I2609" s="6" t="str">
        <f t="shared" si="139"/>
        <v>0</v>
      </c>
      <c r="O2609" t="s">
        <v>321</v>
      </c>
    </row>
    <row r="2610" spans="1:15" x14ac:dyDescent="0.2">
      <c r="A2610" t="s">
        <v>2967</v>
      </c>
      <c r="B2610" s="27" t="s">
        <v>321</v>
      </c>
      <c r="E2610" t="str">
        <f t="shared" si="138"/>
        <v/>
      </c>
      <c r="G2610" s="5" t="str">
        <f t="shared" si="140"/>
        <v/>
      </c>
      <c r="I2610" s="6" t="str">
        <f t="shared" si="139"/>
        <v>0</v>
      </c>
      <c r="O2610" t="s">
        <v>321</v>
      </c>
    </row>
    <row r="2611" spans="1:15" x14ac:dyDescent="0.2">
      <c r="A2611" t="s">
        <v>2968</v>
      </c>
      <c r="B2611" s="27" t="s">
        <v>321</v>
      </c>
      <c r="E2611" t="str">
        <f t="shared" si="138"/>
        <v/>
      </c>
      <c r="G2611" s="5" t="str">
        <f t="shared" si="140"/>
        <v/>
      </c>
      <c r="I2611" s="6" t="str">
        <f t="shared" si="139"/>
        <v>0</v>
      </c>
      <c r="O2611" t="s">
        <v>321</v>
      </c>
    </row>
    <row r="2612" spans="1:15" x14ac:dyDescent="0.2">
      <c r="A2612" t="s">
        <v>2969</v>
      </c>
      <c r="B2612" s="27" t="s">
        <v>2969</v>
      </c>
      <c r="E2612" t="str">
        <f t="shared" si="138"/>
        <v/>
      </c>
      <c r="G2612" s="5" t="str">
        <f t="shared" si="140"/>
        <v/>
      </c>
      <c r="I2612" s="6" t="str">
        <f t="shared" si="139"/>
        <v>0</v>
      </c>
      <c r="O2612" t="s">
        <v>2969</v>
      </c>
    </row>
    <row r="2613" spans="1:15" x14ac:dyDescent="0.2">
      <c r="A2613" t="s">
        <v>2970</v>
      </c>
      <c r="B2613" s="27" t="s">
        <v>321</v>
      </c>
      <c r="E2613" t="str">
        <f t="shared" si="138"/>
        <v/>
      </c>
      <c r="G2613" s="5" t="str">
        <f t="shared" si="140"/>
        <v/>
      </c>
      <c r="I2613" s="6" t="str">
        <f t="shared" si="139"/>
        <v>0</v>
      </c>
      <c r="O2613" t="s">
        <v>321</v>
      </c>
    </row>
    <row r="2614" spans="1:15" x14ac:dyDescent="0.2">
      <c r="A2614" t="s">
        <v>2971</v>
      </c>
      <c r="B2614" s="27" t="s">
        <v>321</v>
      </c>
      <c r="E2614" t="str">
        <f t="shared" si="138"/>
        <v/>
      </c>
      <c r="G2614" s="5" t="str">
        <f t="shared" si="140"/>
        <v/>
      </c>
      <c r="I2614" s="6" t="str">
        <f t="shared" si="139"/>
        <v>0</v>
      </c>
      <c r="O2614" t="s">
        <v>321</v>
      </c>
    </row>
    <row r="2615" spans="1:15" x14ac:dyDescent="0.2">
      <c r="A2615" t="s">
        <v>2972</v>
      </c>
      <c r="B2615" s="27" t="s">
        <v>321</v>
      </c>
      <c r="E2615" t="str">
        <f t="shared" si="138"/>
        <v/>
      </c>
      <c r="G2615" s="5" t="str">
        <f t="shared" si="140"/>
        <v/>
      </c>
      <c r="I2615" s="6" t="str">
        <f t="shared" si="139"/>
        <v>0</v>
      </c>
      <c r="O2615" t="s">
        <v>321</v>
      </c>
    </row>
    <row r="2616" spans="1:15" x14ac:dyDescent="0.2">
      <c r="A2616" t="s">
        <v>2973</v>
      </c>
      <c r="B2616" s="27" t="s">
        <v>3259</v>
      </c>
      <c r="E2616" t="str">
        <f t="shared" si="138"/>
        <v/>
      </c>
      <c r="G2616" s="5" t="str">
        <f t="shared" si="140"/>
        <v/>
      </c>
      <c r="I2616" s="6" t="str">
        <f t="shared" si="139"/>
        <v>0</v>
      </c>
      <c r="O2616" t="s">
        <v>3259</v>
      </c>
    </row>
    <row r="2617" spans="1:15" x14ac:dyDescent="0.2">
      <c r="A2617" t="s">
        <v>2974</v>
      </c>
      <c r="B2617" s="27" t="s">
        <v>321</v>
      </c>
      <c r="E2617" t="str">
        <f t="shared" si="138"/>
        <v/>
      </c>
      <c r="G2617" s="5" t="str">
        <f t="shared" si="140"/>
        <v/>
      </c>
      <c r="I2617" s="6" t="str">
        <f t="shared" si="139"/>
        <v>0</v>
      </c>
      <c r="O2617" t="s">
        <v>321</v>
      </c>
    </row>
    <row r="2618" spans="1:15" x14ac:dyDescent="0.2">
      <c r="A2618" t="s">
        <v>2975</v>
      </c>
      <c r="B2618" s="27" t="s">
        <v>3261</v>
      </c>
      <c r="E2618" t="str">
        <f t="shared" si="138"/>
        <v/>
      </c>
      <c r="G2618" s="5" t="str">
        <f t="shared" si="140"/>
        <v/>
      </c>
      <c r="I2618" s="6" t="str">
        <f t="shared" si="139"/>
        <v>0</v>
      </c>
      <c r="O2618" t="s">
        <v>3261</v>
      </c>
    </row>
    <row r="2619" spans="1:15" x14ac:dyDescent="0.2">
      <c r="A2619" t="s">
        <v>2976</v>
      </c>
      <c r="B2619" s="27" t="s">
        <v>321</v>
      </c>
      <c r="E2619" t="str">
        <f t="shared" si="138"/>
        <v/>
      </c>
      <c r="G2619" s="5" t="str">
        <f t="shared" si="140"/>
        <v/>
      </c>
      <c r="I2619" s="6" t="str">
        <f t="shared" si="139"/>
        <v>0</v>
      </c>
      <c r="O2619" t="s">
        <v>321</v>
      </c>
    </row>
    <row r="2620" spans="1:15" x14ac:dyDescent="0.2">
      <c r="A2620" t="s">
        <v>2977</v>
      </c>
      <c r="B2620" s="27" t="s">
        <v>321</v>
      </c>
      <c r="E2620" t="str">
        <f t="shared" si="138"/>
        <v/>
      </c>
      <c r="G2620" s="5" t="str">
        <f t="shared" si="140"/>
        <v/>
      </c>
      <c r="I2620" s="6" t="str">
        <f t="shared" si="139"/>
        <v>0</v>
      </c>
      <c r="O2620" t="s">
        <v>321</v>
      </c>
    </row>
    <row r="2621" spans="1:15" x14ac:dyDescent="0.2">
      <c r="A2621" t="s">
        <v>2978</v>
      </c>
      <c r="B2621" s="27" t="s">
        <v>321</v>
      </c>
      <c r="E2621" t="str">
        <f t="shared" si="138"/>
        <v/>
      </c>
      <c r="G2621" s="5" t="str">
        <f t="shared" si="140"/>
        <v/>
      </c>
      <c r="I2621" s="6" t="str">
        <f t="shared" si="139"/>
        <v>0</v>
      </c>
      <c r="O2621" t="s">
        <v>321</v>
      </c>
    </row>
    <row r="2622" spans="1:15" x14ac:dyDescent="0.2">
      <c r="A2622" t="s">
        <v>2979</v>
      </c>
      <c r="B2622" s="27" t="s">
        <v>321</v>
      </c>
      <c r="E2622" t="str">
        <f t="shared" si="138"/>
        <v/>
      </c>
      <c r="G2622" s="5" t="str">
        <f t="shared" si="140"/>
        <v/>
      </c>
      <c r="I2622" s="6" t="str">
        <f t="shared" si="139"/>
        <v>0</v>
      </c>
      <c r="O2622" t="s">
        <v>321</v>
      </c>
    </row>
    <row r="2623" spans="1:15" x14ac:dyDescent="0.2">
      <c r="A2623" t="s">
        <v>2980</v>
      </c>
      <c r="B2623" s="27" t="s">
        <v>321</v>
      </c>
      <c r="E2623" t="str">
        <f t="shared" si="138"/>
        <v/>
      </c>
      <c r="G2623" s="5" t="str">
        <f t="shared" si="140"/>
        <v/>
      </c>
      <c r="I2623" s="6" t="str">
        <f t="shared" si="139"/>
        <v>0</v>
      </c>
      <c r="O2623" t="s">
        <v>321</v>
      </c>
    </row>
    <row r="2624" spans="1:15" x14ac:dyDescent="0.2">
      <c r="A2624" t="s">
        <v>2981</v>
      </c>
      <c r="B2624" s="27" t="s">
        <v>321</v>
      </c>
      <c r="E2624" t="str">
        <f t="shared" si="138"/>
        <v/>
      </c>
      <c r="G2624" s="5" t="str">
        <f t="shared" si="140"/>
        <v/>
      </c>
      <c r="I2624" s="6" t="str">
        <f t="shared" si="139"/>
        <v>0</v>
      </c>
      <c r="O2624" t="s">
        <v>321</v>
      </c>
    </row>
    <row r="2625" spans="1:15" x14ac:dyDescent="0.2">
      <c r="A2625" t="s">
        <v>2982</v>
      </c>
      <c r="B2625" s="27" t="s">
        <v>321</v>
      </c>
      <c r="E2625" t="str">
        <f t="shared" si="138"/>
        <v/>
      </c>
      <c r="G2625" s="5" t="str">
        <f t="shared" si="140"/>
        <v/>
      </c>
      <c r="I2625" s="6" t="str">
        <f t="shared" si="139"/>
        <v>0</v>
      </c>
      <c r="O2625" t="s">
        <v>321</v>
      </c>
    </row>
    <row r="2626" spans="1:15" x14ac:dyDescent="0.2">
      <c r="A2626" t="s">
        <v>2983</v>
      </c>
      <c r="B2626" s="27" t="s">
        <v>321</v>
      </c>
      <c r="E2626" t="str">
        <f t="shared" si="138"/>
        <v/>
      </c>
      <c r="G2626" s="5" t="str">
        <f t="shared" si="140"/>
        <v/>
      </c>
      <c r="I2626" s="6" t="str">
        <f t="shared" si="139"/>
        <v>0</v>
      </c>
      <c r="O2626" t="s">
        <v>321</v>
      </c>
    </row>
    <row r="2627" spans="1:15" s="12" customFormat="1" x14ac:dyDescent="0.2">
      <c r="A2627" s="12" t="s">
        <v>2986</v>
      </c>
      <c r="B2627" s="27" t="s">
        <v>3107</v>
      </c>
      <c r="C2627" s="5"/>
      <c r="E2627" t="str">
        <f t="shared" si="138"/>
        <v/>
      </c>
      <c r="G2627" s="5" t="str">
        <f t="shared" si="140"/>
        <v/>
      </c>
      <c r="H2627" s="13"/>
      <c r="I2627" s="6" t="str">
        <f t="shared" si="139"/>
        <v>0</v>
      </c>
      <c r="J2627" s="14"/>
      <c r="K2627" s="14"/>
      <c r="L2627" s="14"/>
      <c r="M2627" s="14"/>
      <c r="O2627" s="12" t="s">
        <v>3107</v>
      </c>
    </row>
    <row r="2628" spans="1:15" s="12" customFormat="1" x14ac:dyDescent="0.2">
      <c r="A2628" t="s">
        <v>2987</v>
      </c>
      <c r="B2628" s="27" t="s">
        <v>3108</v>
      </c>
      <c r="C2628" s="5"/>
      <c r="E2628" t="str">
        <f t="shared" ref="E2628:E2654" si="141">IF(D2628&lt;&gt;"",C2628&amp;"/"&amp;D2628,"")</f>
        <v/>
      </c>
      <c r="G2628" s="5" t="str">
        <f t="shared" si="140"/>
        <v/>
      </c>
      <c r="H2628" s="13"/>
      <c r="I2628" s="6" t="str">
        <f t="shared" si="139"/>
        <v>0</v>
      </c>
      <c r="J2628" s="14"/>
      <c r="K2628" s="14"/>
      <c r="L2628" s="14"/>
      <c r="M2628" s="14"/>
      <c r="O2628" s="12" t="s">
        <v>3108</v>
      </c>
    </row>
    <row r="2629" spans="1:15" x14ac:dyDescent="0.2">
      <c r="A2629" t="s">
        <v>2997</v>
      </c>
      <c r="B2629" s="27"/>
      <c r="E2629" t="str">
        <f t="shared" si="141"/>
        <v/>
      </c>
      <c r="G2629" s="5" t="str">
        <f t="shared" si="140"/>
        <v/>
      </c>
      <c r="I2629" s="6" t="str">
        <f t="shared" ref="I2629:I2654" si="142">IFERROR(DEC2HEX(H2629),"")</f>
        <v>0</v>
      </c>
    </row>
    <row r="2630" spans="1:15" x14ac:dyDescent="0.2">
      <c r="A2630" t="s">
        <v>2998</v>
      </c>
      <c r="B2630" s="27" t="s">
        <v>321</v>
      </c>
      <c r="E2630" t="str">
        <f t="shared" si="141"/>
        <v/>
      </c>
      <c r="G2630" s="5" t="str">
        <f t="shared" si="140"/>
        <v/>
      </c>
      <c r="I2630" s="6" t="str">
        <f t="shared" si="142"/>
        <v>0</v>
      </c>
      <c r="O2630" t="s">
        <v>321</v>
      </c>
    </row>
    <row r="2631" spans="1:15" x14ac:dyDescent="0.2">
      <c r="A2631" t="s">
        <v>3000</v>
      </c>
      <c r="B2631" s="27" t="s">
        <v>3346</v>
      </c>
      <c r="E2631" t="str">
        <f t="shared" si="141"/>
        <v/>
      </c>
      <c r="G2631" s="5" t="str">
        <f t="shared" si="140"/>
        <v/>
      </c>
      <c r="H2631" s="5">
        <f>16*8*4</f>
        <v>512</v>
      </c>
      <c r="I2631" s="6" t="str">
        <f t="shared" si="142"/>
        <v>200</v>
      </c>
      <c r="O2631" t="s">
        <v>3346</v>
      </c>
    </row>
    <row r="2632" spans="1:15" x14ac:dyDescent="0.2">
      <c r="A2632" t="s">
        <v>3001</v>
      </c>
      <c r="B2632" s="27" t="s">
        <v>3001</v>
      </c>
      <c r="E2632" t="str">
        <f t="shared" si="141"/>
        <v/>
      </c>
      <c r="G2632" s="5" t="str">
        <f t="shared" si="140"/>
        <v/>
      </c>
      <c r="I2632" s="6" t="str">
        <f t="shared" si="142"/>
        <v>0</v>
      </c>
      <c r="O2632" t="s">
        <v>3001</v>
      </c>
    </row>
    <row r="2633" spans="1:15" x14ac:dyDescent="0.2">
      <c r="A2633" t="s">
        <v>3002</v>
      </c>
      <c r="B2633" s="27" t="s">
        <v>321</v>
      </c>
      <c r="E2633" t="str">
        <f t="shared" si="141"/>
        <v/>
      </c>
      <c r="G2633" s="5" t="str">
        <f t="shared" si="140"/>
        <v/>
      </c>
      <c r="I2633" s="6" t="str">
        <f t="shared" si="142"/>
        <v>0</v>
      </c>
      <c r="O2633" t="s">
        <v>321</v>
      </c>
    </row>
    <row r="2634" spans="1:15" x14ac:dyDescent="0.2">
      <c r="A2634" t="s">
        <v>3003</v>
      </c>
      <c r="B2634" s="27"/>
      <c r="E2634" t="str">
        <f t="shared" si="141"/>
        <v/>
      </c>
      <c r="G2634" s="5" t="str">
        <f t="shared" si="140"/>
        <v/>
      </c>
      <c r="I2634" s="6" t="str">
        <f t="shared" si="142"/>
        <v>0</v>
      </c>
    </row>
    <row r="2635" spans="1:15" x14ac:dyDescent="0.2">
      <c r="A2635" t="s">
        <v>3004</v>
      </c>
      <c r="B2635" s="27" t="s">
        <v>3004</v>
      </c>
      <c r="E2635" t="str">
        <f t="shared" si="141"/>
        <v/>
      </c>
      <c r="G2635" s="5" t="str">
        <f t="shared" ref="G2635:G2654" si="143">IF(F2635&lt;&gt;"",HEX2DEC(SUBSTITUTE(SUBSTITUTE(F2635,"adrEA",""),"$","")),"")</f>
        <v/>
      </c>
      <c r="I2635" s="6" t="str">
        <f t="shared" si="142"/>
        <v>0</v>
      </c>
      <c r="O2635" t="s">
        <v>3004</v>
      </c>
    </row>
    <row r="2636" spans="1:15" x14ac:dyDescent="0.2">
      <c r="A2636" t="s">
        <v>3005</v>
      </c>
      <c r="B2636" s="27" t="s">
        <v>321</v>
      </c>
      <c r="E2636" t="str">
        <f t="shared" si="141"/>
        <v/>
      </c>
      <c r="G2636" s="5" t="str">
        <f t="shared" si="143"/>
        <v/>
      </c>
      <c r="I2636" s="6" t="str">
        <f t="shared" si="142"/>
        <v>0</v>
      </c>
      <c r="O2636" t="s">
        <v>321</v>
      </c>
    </row>
    <row r="2637" spans="1:15" x14ac:dyDescent="0.2">
      <c r="A2637" t="s">
        <v>3006</v>
      </c>
      <c r="B2637" s="27" t="s">
        <v>321</v>
      </c>
      <c r="E2637" t="str">
        <f t="shared" si="141"/>
        <v/>
      </c>
      <c r="G2637" s="5" t="str">
        <f t="shared" si="143"/>
        <v/>
      </c>
      <c r="I2637" s="6" t="str">
        <f t="shared" si="142"/>
        <v>0</v>
      </c>
      <c r="O2637" t="s">
        <v>321</v>
      </c>
    </row>
    <row r="2638" spans="1:15" x14ac:dyDescent="0.2">
      <c r="A2638" t="s">
        <v>3007</v>
      </c>
      <c r="B2638" s="27"/>
      <c r="E2638" t="str">
        <f t="shared" si="141"/>
        <v/>
      </c>
      <c r="G2638" s="5" t="str">
        <f t="shared" si="143"/>
        <v/>
      </c>
      <c r="I2638" s="6" t="str">
        <f t="shared" si="142"/>
        <v>0</v>
      </c>
    </row>
    <row r="2639" spans="1:15" x14ac:dyDescent="0.2">
      <c r="A2639" t="s">
        <v>3008</v>
      </c>
      <c r="B2639" s="27" t="s">
        <v>321</v>
      </c>
      <c r="E2639" t="str">
        <f t="shared" si="141"/>
        <v/>
      </c>
      <c r="G2639" s="5" t="str">
        <f t="shared" si="143"/>
        <v/>
      </c>
      <c r="I2639" s="6" t="str">
        <f t="shared" si="142"/>
        <v>0</v>
      </c>
      <c r="O2639" t="s">
        <v>321</v>
      </c>
    </row>
    <row r="2640" spans="1:15" x14ac:dyDescent="0.2">
      <c r="A2640" t="s">
        <v>3009</v>
      </c>
      <c r="B2640" t="s">
        <v>321</v>
      </c>
      <c r="E2640" t="str">
        <f t="shared" si="141"/>
        <v/>
      </c>
      <c r="G2640" s="5" t="str">
        <f t="shared" si="143"/>
        <v/>
      </c>
      <c r="I2640" s="6" t="str">
        <f t="shared" si="142"/>
        <v>0</v>
      </c>
      <c r="O2640" t="s">
        <v>321</v>
      </c>
    </row>
    <row r="2641" spans="1:15" x14ac:dyDescent="0.2">
      <c r="A2641" t="s">
        <v>3010</v>
      </c>
      <c r="B2641" t="s">
        <v>321</v>
      </c>
      <c r="E2641" t="str">
        <f t="shared" si="141"/>
        <v/>
      </c>
      <c r="G2641" s="5" t="str">
        <f t="shared" si="143"/>
        <v/>
      </c>
      <c r="I2641" s="6" t="str">
        <f t="shared" si="142"/>
        <v>0</v>
      </c>
      <c r="O2641" t="s">
        <v>321</v>
      </c>
    </row>
    <row r="2642" spans="1:15" x14ac:dyDescent="0.2">
      <c r="A2642" t="s">
        <v>3013</v>
      </c>
      <c r="B2642" t="s">
        <v>321</v>
      </c>
      <c r="E2642" t="str">
        <f t="shared" si="141"/>
        <v/>
      </c>
      <c r="G2642" s="5" t="str">
        <f t="shared" si="143"/>
        <v/>
      </c>
      <c r="I2642" s="6" t="str">
        <f t="shared" si="142"/>
        <v>0</v>
      </c>
      <c r="O2642" t="s">
        <v>321</v>
      </c>
    </row>
    <row r="2643" spans="1:15" x14ac:dyDescent="0.2">
      <c r="A2643" t="s">
        <v>3014</v>
      </c>
      <c r="B2643" t="s">
        <v>3015</v>
      </c>
      <c r="E2643" t="str">
        <f t="shared" si="141"/>
        <v/>
      </c>
      <c r="G2643" s="5" t="str">
        <f t="shared" si="143"/>
        <v/>
      </c>
      <c r="I2643" s="6" t="str">
        <f t="shared" si="142"/>
        <v>0</v>
      </c>
      <c r="O2643" t="s">
        <v>3015</v>
      </c>
    </row>
    <row r="2644" spans="1:15" x14ac:dyDescent="0.2">
      <c r="A2644" t="s">
        <v>3016</v>
      </c>
      <c r="B2644" t="s">
        <v>3198</v>
      </c>
      <c r="E2644" t="str">
        <f t="shared" si="141"/>
        <v/>
      </c>
      <c r="G2644" s="5" t="str">
        <f t="shared" si="143"/>
        <v/>
      </c>
      <c r="I2644" s="6" t="str">
        <f t="shared" si="142"/>
        <v>0</v>
      </c>
      <c r="O2644" t="s">
        <v>3198</v>
      </c>
    </row>
    <row r="2645" spans="1:15" ht="17" x14ac:dyDescent="0.25">
      <c r="A2645" t="s">
        <v>3017</v>
      </c>
      <c r="B2645" s="26" t="s">
        <v>3839</v>
      </c>
      <c r="C2645" t="s">
        <v>48</v>
      </c>
      <c r="D2645" s="26" t="s">
        <v>3840</v>
      </c>
      <c r="E2645" t="str">
        <f t="shared" si="141"/>
        <v>data/characters-standard-render.layout</v>
      </c>
      <c r="F2645" s="26" t="s">
        <v>3841</v>
      </c>
      <c r="G2645" s="5">
        <f t="shared" si="143"/>
        <v>99456</v>
      </c>
      <c r="H2645" s="5">
        <v>304</v>
      </c>
      <c r="I2645" s="6" t="str">
        <f t="shared" si="142"/>
        <v>130</v>
      </c>
      <c r="O2645" t="s">
        <v>321</v>
      </c>
    </row>
    <row r="2646" spans="1:15" ht="17" x14ac:dyDescent="0.25">
      <c r="A2646" t="s">
        <v>3018</v>
      </c>
      <c r="B2646" s="26" t="s">
        <v>3842</v>
      </c>
      <c r="C2646" t="s">
        <v>48</v>
      </c>
      <c r="D2646" s="26" t="s">
        <v>3843</v>
      </c>
      <c r="E2646" t="str">
        <f t="shared" si="141"/>
        <v>data/characters-standard-distant-4.positions</v>
      </c>
      <c r="F2646" s="26" t="s">
        <v>3844</v>
      </c>
      <c r="G2646" s="5">
        <f t="shared" si="143"/>
        <v>99760</v>
      </c>
      <c r="H2646" s="5">
        <v>8</v>
      </c>
      <c r="I2646" s="6" t="str">
        <f t="shared" si="142"/>
        <v>8</v>
      </c>
      <c r="K2646" s="6" t="s">
        <v>3859</v>
      </c>
      <c r="O2646" t="s">
        <v>321</v>
      </c>
    </row>
    <row r="2647" spans="1:15" ht="17" x14ac:dyDescent="0.25">
      <c r="A2647" t="s">
        <v>3019</v>
      </c>
      <c r="B2647" s="26" t="s">
        <v>3845</v>
      </c>
      <c r="C2647" t="s">
        <v>48</v>
      </c>
      <c r="D2647" s="26" t="s">
        <v>3846</v>
      </c>
      <c r="E2647" t="str">
        <f t="shared" si="141"/>
        <v>data/characters-standard-distant-5.positions</v>
      </c>
      <c r="F2647" s="26" t="s">
        <v>3847</v>
      </c>
      <c r="G2647" s="5">
        <f t="shared" si="143"/>
        <v>99768</v>
      </c>
      <c r="H2647" s="5">
        <v>8</v>
      </c>
      <c r="I2647" s="6" t="str">
        <f t="shared" si="142"/>
        <v>8</v>
      </c>
      <c r="K2647" s="6" t="s">
        <v>3859</v>
      </c>
      <c r="O2647" t="s">
        <v>321</v>
      </c>
    </row>
    <row r="2648" spans="1:15" ht="17" x14ac:dyDescent="0.25">
      <c r="A2648" t="s">
        <v>3020</v>
      </c>
      <c r="B2648" s="26" t="s">
        <v>3848</v>
      </c>
      <c r="C2648" t="s">
        <v>48</v>
      </c>
      <c r="D2648" s="26" t="s">
        <v>3849</v>
      </c>
      <c r="E2648" t="str">
        <f t="shared" si="141"/>
        <v>data/characters-alternate-render.layout</v>
      </c>
      <c r="F2648" s="26" t="s">
        <v>3850</v>
      </c>
      <c r="G2648" s="5">
        <f t="shared" si="143"/>
        <v>99776</v>
      </c>
      <c r="H2648" s="5">
        <v>304</v>
      </c>
      <c r="I2648" s="6" t="str">
        <f t="shared" si="142"/>
        <v>130</v>
      </c>
      <c r="O2648" t="s">
        <v>321</v>
      </c>
    </row>
    <row r="2649" spans="1:15" ht="17" x14ac:dyDescent="0.25">
      <c r="A2649" t="s">
        <v>3021</v>
      </c>
      <c r="B2649" s="26" t="s">
        <v>3851</v>
      </c>
      <c r="C2649" t="s">
        <v>48</v>
      </c>
      <c r="D2649" s="26" t="s">
        <v>3852</v>
      </c>
      <c r="E2649" t="str">
        <f t="shared" si="141"/>
        <v>data/characters-alternate-distant-4.positions</v>
      </c>
      <c r="F2649" s="26" t="s">
        <v>3853</v>
      </c>
      <c r="G2649" s="5">
        <f t="shared" si="143"/>
        <v>100080</v>
      </c>
      <c r="H2649" s="5">
        <v>8</v>
      </c>
      <c r="I2649" s="6" t="str">
        <f t="shared" si="142"/>
        <v>8</v>
      </c>
      <c r="K2649" s="6" t="s">
        <v>3859</v>
      </c>
      <c r="O2649" t="s">
        <v>321</v>
      </c>
    </row>
    <row r="2650" spans="1:15" ht="17" x14ac:dyDescent="0.25">
      <c r="A2650" t="s">
        <v>3022</v>
      </c>
      <c r="B2650" s="26" t="s">
        <v>3854</v>
      </c>
      <c r="C2650" t="s">
        <v>48</v>
      </c>
      <c r="D2650" s="26" t="s">
        <v>3855</v>
      </c>
      <c r="E2650" t="str">
        <f t="shared" si="141"/>
        <v>data/characters-alternate-distant-5.positions</v>
      </c>
      <c r="F2650" s="26" t="s">
        <v>3856</v>
      </c>
      <c r="G2650" s="5">
        <f t="shared" si="143"/>
        <v>100088</v>
      </c>
      <c r="H2650" s="5">
        <v>8</v>
      </c>
      <c r="I2650" s="6" t="str">
        <f t="shared" si="142"/>
        <v>8</v>
      </c>
      <c r="K2650" s="6" t="s">
        <v>3859</v>
      </c>
      <c r="O2650" t="s">
        <v>321</v>
      </c>
    </row>
    <row r="2651" spans="1:15" x14ac:dyDescent="0.2">
      <c r="A2651" t="s">
        <v>3024</v>
      </c>
      <c r="B2651" t="s">
        <v>3126</v>
      </c>
      <c r="E2651" t="str">
        <f t="shared" si="141"/>
        <v/>
      </c>
      <c r="G2651" s="5" t="str">
        <f t="shared" si="143"/>
        <v/>
      </c>
      <c r="I2651" s="6" t="str">
        <f t="shared" si="142"/>
        <v>0</v>
      </c>
      <c r="O2651" t="s">
        <v>3126</v>
      </c>
    </row>
    <row r="2652" spans="1:15" x14ac:dyDescent="0.2">
      <c r="A2652" t="s">
        <v>3031</v>
      </c>
      <c r="B2652" t="s">
        <v>3032</v>
      </c>
      <c r="E2652" t="str">
        <f t="shared" si="141"/>
        <v/>
      </c>
      <c r="G2652" s="5" t="str">
        <f t="shared" si="143"/>
        <v/>
      </c>
      <c r="I2652" s="6" t="str">
        <f t="shared" si="142"/>
        <v>0</v>
      </c>
      <c r="O2652" t="s">
        <v>3032</v>
      </c>
    </row>
    <row r="2653" spans="1:15" x14ac:dyDescent="0.2">
      <c r="A2653" t="s">
        <v>3033</v>
      </c>
      <c r="B2653" t="s">
        <v>3034</v>
      </c>
      <c r="E2653" t="str">
        <f t="shared" si="141"/>
        <v/>
      </c>
      <c r="G2653" s="5" t="str">
        <f t="shared" si="143"/>
        <v/>
      </c>
      <c r="I2653" s="6" t="str">
        <f t="shared" si="142"/>
        <v>0</v>
      </c>
      <c r="O2653" t="s">
        <v>3034</v>
      </c>
    </row>
    <row r="2654" spans="1:15" s="12" customFormat="1" x14ac:dyDescent="0.2">
      <c r="C2654" s="13" t="s">
        <v>48</v>
      </c>
      <c r="D2654" s="12" t="s">
        <v>136</v>
      </c>
      <c r="E2654" t="str">
        <f t="shared" si="141"/>
        <v>data/scrolls.block</v>
      </c>
      <c r="G2654" s="5" t="str">
        <f t="shared" si="143"/>
        <v/>
      </c>
      <c r="H2654" s="13">
        <v>3380</v>
      </c>
      <c r="I2654" s="6" t="str">
        <f t="shared" si="142"/>
        <v>D34</v>
      </c>
      <c r="J2654" s="14"/>
      <c r="K2654" s="14"/>
      <c r="L2654" s="14"/>
      <c r="M2654" s="14"/>
    </row>
  </sheetData>
  <autoFilter ref="A1:R2669" xr:uid="{00000000-0001-0000-0000-000000000000}"/>
  <phoneticPr fontId="4" type="noConversion"/>
  <conditionalFormatting sqref="B2670:B9988 B2:B2654">
    <cfRule type="expression" dxfId="10" priority="11">
      <formula>AND(B2&lt;&gt;"",_xlfn.ISFORMULA(B2)=TRUE)</formula>
    </cfRule>
  </conditionalFormatting>
  <conditionalFormatting sqref="K2017:Z2017 F2017:I2017 B2670:Z9988 K1909:Z1909 K1923:Z1923 F1954:Z2016 K1953:Z1953 F2018:Z2232 K2233:Z2233 K2246:Z2246 K2248:Z2248 K2252:Z2254 K2259:Z2259 K2265:Z2265 K2274:Z2274 K2280:Z2280 K2282:Z2282 G140:G2282 I141:I2282 G2290:Z2292 B2:Z1908 B1909:I1909 F1910:Z1922 F1923:I1923 F1924:Z1938 B1953:I1953 B1954:E2232 B2233:I2233 B2234:Z2245 B2246:I2246 B2247:Z2247 B2248:I2248 F2293:Z2654 F2283:Z2289 F2282:I2282 F2281:Z2281 F2280:I2280 F2275:Z2279 F2274:I2274 F2266:Z2273 F2265:I2265 F2260:Z2264 F2259:I2259 F2255:Z2258 F2252:I2254 F2249:Z2251 B2249:E2654 F1940:Z1952 G1939:Z1939 B1910:E1952">
    <cfRule type="expression" dxfId="9" priority="12">
      <formula>LEFT(LOWER($B2),7)="_delete"</formula>
    </cfRule>
    <cfRule type="expression" dxfId="8" priority="18">
      <formula>LEFT(LOWER($B2),7)="_offset"</formula>
    </cfRule>
  </conditionalFormatting>
  <conditionalFormatting sqref="A2670:A9988 A2:A2654">
    <cfRule type="expression" dxfId="7" priority="19">
      <formula>AND(MATCH(A2,A:A,0)=ROW(A2),COUNTIF(A:A,A2)=1)</formula>
    </cfRule>
    <cfRule type="expression" dxfId="6" priority="20">
      <formula>AND(MATCH(A2,A:A,0)=ROW(A2),COUNTIF(A:A,A2)&gt;1)</formula>
    </cfRule>
    <cfRule type="expression" dxfId="5" priority="23" stopIfTrue="1">
      <formula>MATCH(A2,A:A,0)&lt;&gt;ROW(A2)</formula>
    </cfRule>
  </conditionalFormatting>
  <conditionalFormatting sqref="G2670:G1048576 I2670:I1048576 I1:I2654 G1:G2654">
    <cfRule type="expression" dxfId="4" priority="6">
      <formula>_xlfn.ISFORMULA(G1)=FALSE</formula>
    </cfRule>
  </conditionalFormatting>
  <conditionalFormatting sqref="I2290:I2292">
    <cfRule type="expression" dxfId="3" priority="3">
      <formula>LEFT(LOWER($B2290),7)="_delete"</formula>
    </cfRule>
    <cfRule type="expression" dxfId="2" priority="4">
      <formula>LEFT(LOWER($B2290),7)="_offset"</formula>
    </cfRule>
  </conditionalFormatting>
  <conditionalFormatting sqref="C2290:C2292">
    <cfRule type="expression" dxfId="1" priority="1">
      <formula>LEFT(LOWER($B2290),7)="_delete"</formula>
    </cfRule>
    <cfRule type="expression" dxfId="0" priority="2">
      <formula>LEFT(LOWER($B2290),7)="_offset"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workbookViewId="0">
      <selection activeCell="A2" sqref="A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3439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3440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3441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3442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3443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3444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3445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3446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3447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3448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3449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3450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3451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3452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3453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3454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3455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3456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3457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3458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3459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3460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3461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3462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3463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3464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3465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3466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3467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3468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3469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3470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3471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3472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3473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3474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3475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3476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3477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3478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3479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3480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3481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3482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3483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3484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3485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3486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3487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3488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3489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3490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3491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3492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3493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3494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3495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3496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3523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3524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3525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3526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3527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3528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3529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3530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3531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3532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3497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3498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3499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3500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3501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3502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3503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3504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3505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3506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3507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3508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3509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3510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3511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3512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3513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3514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3515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3516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3517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3518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3519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3520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3521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3522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3533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3534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3535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3536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3552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3551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3537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3553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3554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3555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3556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3557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3558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3559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3560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3561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3562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3563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3564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3565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3566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3567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3568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3569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2026-07-22T13:19:19Z</dcterms:modified>
</cp:coreProperties>
</file>